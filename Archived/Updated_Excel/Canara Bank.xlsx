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856B59A9-B821-468A-B097-129769106700}" xr6:coauthVersionLast="47" xr6:coauthVersionMax="47" xr10:uidLastSave="{00000000-0000-0000-0000-000000000000}"/>
  <bookViews>
    <workbookView xWindow="-120" yWindow="-120" windowWidth="29040" windowHeight="17640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25" i="1" l="1"/>
  <c r="BX117" i="1"/>
  <c r="BX120" i="1" s="1"/>
  <c r="BX123" i="1" s="1"/>
  <c r="BX104" i="1"/>
  <c r="BX80" i="1"/>
  <c r="BX75" i="1"/>
  <c r="BX76" i="1"/>
  <c r="BX41" i="1"/>
  <c r="BX31" i="1"/>
  <c r="BX33" i="1" s="1"/>
  <c r="BX42" i="1" l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I62" i="125" a="1"/>
  <c r="AA61" i="125" a="1"/>
  <c r="O61" i="125" a="1"/>
  <c r="C61" i="125" a="1"/>
  <c r="U60" i="125" a="1"/>
  <c r="I60" i="125" a="1"/>
  <c r="AA59" i="125" a="1"/>
  <c r="O59" i="125" a="1"/>
  <c r="C59" i="125" a="1"/>
  <c r="U54" i="125" a="1"/>
  <c r="I54" i="125" a="1"/>
  <c r="AA53" i="125" a="1"/>
  <c r="O53" i="125" a="1"/>
  <c r="C53" i="125" a="1"/>
  <c r="U52" i="125" a="1"/>
  <c r="I52" i="125" a="1"/>
  <c r="AA51" i="125" a="1"/>
  <c r="O51" i="125" a="1"/>
  <c r="C51" i="125" a="1"/>
  <c r="U50" i="125" a="1"/>
  <c r="I50" i="125" a="1"/>
  <c r="AA49" i="125" a="1"/>
  <c r="O49" i="125" a="1"/>
  <c r="C49" i="125" a="1"/>
  <c r="U48" i="125" a="1"/>
  <c r="I48" i="125" a="1"/>
  <c r="AA47" i="125" a="1"/>
  <c r="O47" i="125" a="1"/>
  <c r="C47" i="125" a="1"/>
  <c r="U46" i="125" a="1"/>
  <c r="I46" i="125" a="1"/>
  <c r="AA45" i="125" a="1"/>
  <c r="O45" i="125" a="1"/>
  <c r="C45" i="125" a="1"/>
  <c r="U44" i="125" a="1"/>
  <c r="I44" i="125" a="1"/>
  <c r="AA43" i="125" a="1"/>
  <c r="O43" i="125" a="1"/>
  <c r="C43" i="125" a="1"/>
  <c r="U42" i="125" a="1"/>
  <c r="I42" i="125" a="1"/>
  <c r="AF94" i="125" a="1"/>
  <c r="T94" i="125" a="1"/>
  <c r="H94" i="125" a="1"/>
  <c r="Z93" i="125" a="1"/>
  <c r="N93" i="125" a="1"/>
  <c r="AF92" i="125" a="1"/>
  <c r="T92" i="125" a="1"/>
  <c r="H92" i="125" a="1"/>
  <c r="Z91" i="125" a="1"/>
  <c r="N91" i="125" a="1"/>
  <c r="AF88" i="125" a="1"/>
  <c r="T88" i="125" a="1"/>
  <c r="H88" i="125" a="1"/>
  <c r="Z87" i="125" a="1"/>
  <c r="N87" i="125" a="1"/>
  <c r="AF86" i="125" a="1"/>
  <c r="T86" i="125" a="1"/>
  <c r="H86" i="125" a="1"/>
  <c r="Z85" i="125" a="1"/>
  <c r="N85" i="125" a="1"/>
  <c r="AF84" i="125" a="1"/>
  <c r="T84" i="125" a="1"/>
  <c r="H84" i="125" a="1"/>
  <c r="Z83" i="125" a="1"/>
  <c r="N83" i="125" a="1"/>
  <c r="AF82" i="125" a="1"/>
  <c r="T82" i="125" a="1"/>
  <c r="H82" i="125" a="1"/>
  <c r="Z81" i="125" a="1"/>
  <c r="N81" i="125" a="1"/>
  <c r="AF80" i="125" a="1"/>
  <c r="T80" i="125" a="1"/>
  <c r="H80" i="125" a="1"/>
  <c r="Z79" i="125" a="1"/>
  <c r="N79" i="125" a="1"/>
  <c r="AF78" i="125" a="1"/>
  <c r="T78" i="125" a="1"/>
  <c r="H78" i="125" a="1"/>
  <c r="Z77" i="125" a="1"/>
  <c r="N77" i="125" a="1"/>
  <c r="AF76" i="125" a="1"/>
  <c r="T76" i="125" a="1"/>
  <c r="H76" i="125" a="1"/>
  <c r="AE94" i="125" a="1"/>
  <c r="AD94" i="125" a="1"/>
  <c r="R94" i="125" a="1"/>
  <c r="F94" i="125" a="1"/>
  <c r="X93" i="125" a="1"/>
  <c r="L93" i="125" a="1"/>
  <c r="AD92" i="125" a="1"/>
  <c r="R92" i="125" a="1"/>
  <c r="F92" i="125" a="1"/>
  <c r="X91" i="125" a="1"/>
  <c r="L91" i="125" a="1"/>
  <c r="AD88" i="125" a="1"/>
  <c r="R88" i="125" a="1"/>
  <c r="F88" i="125" a="1"/>
  <c r="X87" i="125" a="1"/>
  <c r="L87" i="125" a="1"/>
  <c r="AD86" i="125" a="1"/>
  <c r="R86" i="125" a="1"/>
  <c r="F86" i="125" a="1"/>
  <c r="X85" i="125" a="1"/>
  <c r="L85" i="125" a="1"/>
  <c r="AD84" i="125" a="1"/>
  <c r="R84" i="125" a="1"/>
  <c r="F84" i="125" a="1"/>
  <c r="X83" i="125" a="1"/>
  <c r="L83" i="125" a="1"/>
  <c r="AD82" i="125" a="1"/>
  <c r="R82" i="125" a="1"/>
  <c r="F82" i="125" a="1"/>
  <c r="X81" i="125" a="1"/>
  <c r="L81" i="125" a="1"/>
  <c r="AD80" i="125" a="1"/>
  <c r="R80" i="125" a="1"/>
  <c r="F80" i="125" a="1"/>
  <c r="X79" i="125" a="1"/>
  <c r="L79" i="125" a="1"/>
  <c r="AD78" i="125" a="1"/>
  <c r="R78" i="125" a="1"/>
  <c r="F78" i="125" a="1"/>
  <c r="X77" i="125" a="1"/>
  <c r="L77" i="125" a="1"/>
  <c r="AD76" i="125" a="1"/>
  <c r="R76" i="125" a="1"/>
  <c r="F76" i="125" a="1"/>
  <c r="X75" i="125" a="1"/>
  <c r="L75" i="125" a="1"/>
  <c r="AD74" i="125" a="1"/>
  <c r="R74" i="125" a="1"/>
  <c r="F74" i="125" a="1"/>
  <c r="X73" i="125" a="1"/>
  <c r="L73" i="125" a="1"/>
  <c r="AD72" i="125" a="1"/>
  <c r="R72" i="125" a="1"/>
  <c r="F72" i="125" a="1"/>
  <c r="X71" i="125" a="1"/>
  <c r="L71" i="125" a="1"/>
  <c r="AD70" i="125" a="1"/>
  <c r="R70" i="125" a="1"/>
  <c r="F70" i="125" a="1"/>
  <c r="X69" i="125" a="1"/>
  <c r="L69" i="125" a="1"/>
  <c r="AD68" i="125" a="1"/>
  <c r="R68" i="125" a="1"/>
  <c r="F68" i="125" a="1"/>
  <c r="X67" i="125" a="1"/>
  <c r="L67" i="125" a="1"/>
  <c r="AD66" i="125" a="1"/>
  <c r="R66" i="125" a="1"/>
  <c r="F66" i="125" a="1"/>
  <c r="X65" i="125" a="1"/>
  <c r="L65" i="125" a="1"/>
  <c r="AD64" i="125" a="1"/>
  <c r="R64" i="125" a="1"/>
  <c r="F64" i="125" a="1"/>
  <c r="X63" i="125" a="1"/>
  <c r="L63" i="125" a="1"/>
  <c r="AD62" i="125" a="1"/>
  <c r="R62" i="125" a="1"/>
  <c r="F62" i="125" a="1"/>
  <c r="X61" i="125" a="1"/>
  <c r="L61" i="125" a="1"/>
  <c r="AD60" i="125" a="1"/>
  <c r="R60" i="125" a="1"/>
  <c r="F60" i="125" a="1"/>
  <c r="X59" i="125" a="1"/>
  <c r="L59" i="125" a="1"/>
  <c r="AD54" i="125" a="1"/>
  <c r="R54" i="125" a="1"/>
  <c r="F54" i="125" a="1"/>
  <c r="X53" i="125" a="1"/>
  <c r="L53" i="125" a="1"/>
  <c r="AD52" i="125" a="1"/>
  <c r="R52" i="125" a="1"/>
  <c r="F52" i="125" a="1"/>
  <c r="X51" i="125" a="1"/>
  <c r="L51" i="125" a="1"/>
  <c r="AD50" i="125" a="1"/>
  <c r="R50" i="125" a="1"/>
  <c r="F50" i="125" a="1"/>
  <c r="X49" i="125" a="1"/>
  <c r="L49" i="125" a="1"/>
  <c r="AD48" i="125" a="1"/>
  <c r="R48" i="125" a="1"/>
  <c r="F48" i="125" a="1"/>
  <c r="X47" i="125" a="1"/>
  <c r="L47" i="125" a="1"/>
  <c r="AD46" i="125" a="1"/>
  <c r="R46" i="125" a="1"/>
  <c r="F46" i="125" a="1"/>
  <c r="X45" i="125" a="1"/>
  <c r="L45" i="125" a="1"/>
  <c r="AD44" i="125" a="1"/>
  <c r="R44" i="125" a="1"/>
  <c r="F44" i="125" a="1"/>
  <c r="X43" i="125" a="1"/>
  <c r="L43" i="125" a="1"/>
  <c r="AD42" i="125" a="1"/>
  <c r="R42" i="125" a="1"/>
  <c r="F42" i="125" a="1"/>
  <c r="AC94" i="125" a="1"/>
  <c r="AB94" i="125" a="1"/>
  <c r="AA69" i="1" s="1"/>
  <c r="P94" i="125" a="1"/>
  <c r="D94" i="125" a="1"/>
  <c r="V93" i="125" a="1"/>
  <c r="J93" i="125" a="1"/>
  <c r="AB92" i="125" a="1"/>
  <c r="AA67" i="1" s="1"/>
  <c r="P92" i="125" a="1"/>
  <c r="D92" i="125" a="1"/>
  <c r="V91" i="125" a="1"/>
  <c r="J91" i="125" a="1"/>
  <c r="AB88" i="125" a="1"/>
  <c r="P88" i="125" a="1"/>
  <c r="D88" i="125" a="1"/>
  <c r="V87" i="125" a="1"/>
  <c r="J87" i="125" a="1"/>
  <c r="AB86" i="125" a="1"/>
  <c r="P86" i="125" a="1"/>
  <c r="D86" i="125" a="1"/>
  <c r="V85" i="125" a="1"/>
  <c r="J85" i="125" a="1"/>
  <c r="AB84" i="125" a="1"/>
  <c r="P84" i="125" a="1"/>
  <c r="D84" i="125" a="1"/>
  <c r="Z94" i="125" a="1"/>
  <c r="Y94" i="125" a="1"/>
  <c r="X94" i="125" a="1"/>
  <c r="W94" i="125" a="1"/>
  <c r="G94" i="125" a="1"/>
  <c r="S93" i="125" a="1"/>
  <c r="AE92" i="125" a="1"/>
  <c r="M92" i="125" a="1"/>
  <c r="Y91" i="125" a="1"/>
  <c r="G91" i="125" a="1"/>
  <c r="S88" i="125" a="1"/>
  <c r="AE87" i="125" a="1"/>
  <c r="M87" i="125" a="1"/>
  <c r="Y86" i="125" a="1"/>
  <c r="G86" i="125" a="1"/>
  <c r="S85" i="125" a="1"/>
  <c r="AE84" i="125" a="1"/>
  <c r="M84" i="125" a="1"/>
  <c r="Y83" i="125" a="1"/>
  <c r="I83" i="125" a="1"/>
  <c r="X82" i="125" a="1"/>
  <c r="G82" i="125" a="1"/>
  <c r="U81" i="125" a="1"/>
  <c r="F81" i="125" a="1"/>
  <c r="S80" i="125" a="1"/>
  <c r="C80" i="125" a="1"/>
  <c r="R79" i="125" a="1"/>
  <c r="AE78" i="125" a="1"/>
  <c r="O78" i="125" a="1"/>
  <c r="AD77" i="125" a="1"/>
  <c r="M77" i="125" a="1"/>
  <c r="AA76" i="125" a="1"/>
  <c r="L76" i="125" a="1"/>
  <c r="Z75" i="125" a="1"/>
  <c r="K75" i="125" a="1"/>
  <c r="AA74" i="125" a="1"/>
  <c r="M74" i="125" a="1"/>
  <c r="AC73" i="125" a="1"/>
  <c r="N73" i="125" a="1"/>
  <c r="AC72" i="125" a="1"/>
  <c r="O72" i="125" a="1"/>
  <c r="AE71" i="125" a="1"/>
  <c r="Q71" i="125" a="1"/>
  <c r="AF70" i="125" a="1"/>
  <c r="Q70" i="125" a="1"/>
  <c r="C70" i="125" a="1"/>
  <c r="S69" i="125" a="1"/>
  <c r="L1" i="133"/>
  <c r="E94" i="125" a="1"/>
  <c r="R93" i="125" a="1"/>
  <c r="AC92" i="125" a="1"/>
  <c r="L92" i="125" a="1"/>
  <c r="W91" i="125" a="1"/>
  <c r="F91" i="125" a="1"/>
  <c r="Q88" i="125" a="1"/>
  <c r="AD87" i="125" a="1"/>
  <c r="K87" i="125" a="1"/>
  <c r="X86" i="125" a="1"/>
  <c r="E86" i="125" a="1"/>
  <c r="R85" i="125" a="1"/>
  <c r="AC84" i="125" a="1"/>
  <c r="L84" i="125" a="1"/>
  <c r="W83" i="125" a="1"/>
  <c r="H83" i="125" a="1"/>
  <c r="W82" i="125" a="1"/>
  <c r="E82" i="125" a="1"/>
  <c r="T81" i="125" a="1"/>
  <c r="E81" i="125" a="1"/>
  <c r="Q80" i="125" a="1"/>
  <c r="AF79" i="125" a="1"/>
  <c r="Q79" i="125" a="1"/>
  <c r="AC78" i="125" a="1"/>
  <c r="N78" i="125" a="1"/>
  <c r="AC77" i="125" a="1"/>
  <c r="K77" i="125" a="1"/>
  <c r="Z76" i="125" a="1"/>
  <c r="K76" i="125" a="1"/>
  <c r="Y75" i="125" a="1"/>
  <c r="J75" i="125" a="1"/>
  <c r="Z74" i="125" a="1"/>
  <c r="L74" i="125" a="1"/>
  <c r="AB73" i="125" a="1"/>
  <c r="AA113" i="1" s="1"/>
  <c r="M73" i="125" a="1"/>
  <c r="AB72" i="125" a="1"/>
  <c r="N72" i="125" a="1"/>
  <c r="AD71" i="125" a="1"/>
  <c r="P71" i="125" a="1"/>
  <c r="AE70" i="125" a="1"/>
  <c r="P70" i="125" a="1"/>
  <c r="AF69" i="125" a="1"/>
  <c r="R69" i="125" a="1"/>
  <c r="D69" i="125" a="1"/>
  <c r="S68" i="125" a="1"/>
  <c r="D68" i="125" a="1"/>
  <c r="T67" i="125" a="1"/>
  <c r="F67" i="125" a="1"/>
  <c r="V66" i="125" a="1"/>
  <c r="G66" i="125" a="1"/>
  <c r="V65" i="125" a="1"/>
  <c r="H65" i="125" a="1"/>
  <c r="X64" i="125" a="1"/>
  <c r="J64" i="125" a="1"/>
  <c r="Y63" i="125" a="1"/>
  <c r="J63" i="125" a="1"/>
  <c r="Z62" i="125" a="1"/>
  <c r="L62" i="125" a="1"/>
  <c r="AB61" i="125" a="1"/>
  <c r="M61" i="125" a="1"/>
  <c r="AB60" i="125" a="1"/>
  <c r="N60" i="125" a="1"/>
  <c r="AD59" i="125" a="1"/>
  <c r="P59" i="125" a="1"/>
  <c r="AE54" i="125" a="1"/>
  <c r="P54" i="125" a="1"/>
  <c r="AF53" i="125" a="1"/>
  <c r="R53" i="125" a="1"/>
  <c r="D53" i="125" a="1"/>
  <c r="S52" i="125" a="1"/>
  <c r="D52" i="125" a="1"/>
  <c r="T51" i="125" a="1"/>
  <c r="F51" i="125" a="1"/>
  <c r="V50" i="125" a="1"/>
  <c r="G50" i="125" a="1"/>
  <c r="V49" i="125" a="1"/>
  <c r="H49" i="125" a="1"/>
  <c r="X48" i="125" a="1"/>
  <c r="J48" i="125" a="1"/>
  <c r="Y47" i="125" a="1"/>
  <c r="J47" i="125" a="1"/>
  <c r="Z46" i="125" a="1"/>
  <c r="L46" i="125" a="1"/>
  <c r="AB45" i="125" a="1"/>
  <c r="AA88" i="1" s="1"/>
  <c r="M45" i="125" a="1"/>
  <c r="AB44" i="125" a="1"/>
  <c r="N44" i="125" a="1"/>
  <c r="AD43" i="125" a="1"/>
  <c r="AA94" i="125" a="1"/>
  <c r="C94" i="125" a="1"/>
  <c r="Q93" i="125" a="1"/>
  <c r="AA92" i="125" a="1"/>
  <c r="K92" i="125" a="1"/>
  <c r="U91" i="125" a="1"/>
  <c r="E91" i="125" a="1"/>
  <c r="O88" i="125" a="1"/>
  <c r="AC87" i="125" a="1"/>
  <c r="I87" i="125" a="1"/>
  <c r="W86" i="125" a="1"/>
  <c r="C86" i="125" a="1"/>
  <c r="Q85" i="125" a="1"/>
  <c r="AA84" i="125" a="1"/>
  <c r="K84" i="125" a="1"/>
  <c r="V83" i="125" a="1"/>
  <c r="G83" i="125" a="1"/>
  <c r="V82" i="125" a="1"/>
  <c r="D82" i="125" a="1"/>
  <c r="S81" i="125" a="1"/>
  <c r="D81" i="125" a="1"/>
  <c r="P80" i="125" a="1"/>
  <c r="AE79" i="125" a="1"/>
  <c r="P79" i="125" a="1"/>
  <c r="AB78" i="125" a="1"/>
  <c r="AA116" i="1" s="1"/>
  <c r="M78" i="125" a="1"/>
  <c r="AB77" i="125" a="1"/>
  <c r="J77" i="125" a="1"/>
  <c r="Y76" i="125" a="1"/>
  <c r="J76" i="125" a="1"/>
  <c r="W75" i="125" a="1"/>
  <c r="I75" i="125" a="1"/>
  <c r="Y74" i="125" a="1"/>
  <c r="K74" i="125" a="1"/>
  <c r="Z73" i="125" a="1"/>
  <c r="K73" i="125" a="1"/>
  <c r="AA72" i="125" a="1"/>
  <c r="M72" i="125" a="1"/>
  <c r="AC71" i="125" a="1"/>
  <c r="N71" i="125" a="1"/>
  <c r="AC70" i="125" a="1"/>
  <c r="O70" i="125" a="1"/>
  <c r="AE69" i="125" a="1"/>
  <c r="V94" i="125" a="1"/>
  <c r="AF93" i="125" a="1"/>
  <c r="P93" i="125" a="1"/>
  <c r="Z92" i="125" a="1"/>
  <c r="J92" i="125" a="1"/>
  <c r="T91" i="125" a="1"/>
  <c r="D91" i="125" a="1"/>
  <c r="N88" i="125" a="1"/>
  <c r="AB87" i="125" a="1"/>
  <c r="H87" i="125" a="1"/>
  <c r="V86" i="125" a="1"/>
  <c r="AF85" i="125" a="1"/>
  <c r="P85" i="125" a="1"/>
  <c r="Z84" i="125" a="1"/>
  <c r="J84" i="125" a="1"/>
  <c r="U83" i="125" a="1"/>
  <c r="F83" i="125" a="1"/>
  <c r="S82" i="125" a="1"/>
  <c r="C82" i="125" a="1"/>
  <c r="R81" i="125" a="1"/>
  <c r="AE80" i="125" a="1"/>
  <c r="O80" i="125" a="1"/>
  <c r="AD79" i="125" a="1"/>
  <c r="M79" i="125" a="1"/>
  <c r="AA78" i="125" a="1"/>
  <c r="L78" i="125" a="1"/>
  <c r="Y77" i="125" a="1"/>
  <c r="I77" i="125" a="1"/>
  <c r="X76" i="125" a="1"/>
  <c r="G76" i="125" a="1"/>
  <c r="V75" i="125" a="1"/>
  <c r="H75" i="125" a="1"/>
  <c r="X74" i="125" a="1"/>
  <c r="J74" i="125" a="1"/>
  <c r="Y73" i="125" a="1"/>
  <c r="J73" i="125" a="1"/>
  <c r="Z72" i="125" a="1"/>
  <c r="L72" i="125" a="1"/>
  <c r="AB71" i="125" a="1"/>
  <c r="AA117" i="1" s="1"/>
  <c r="M71" i="125" a="1"/>
  <c r="AB70" i="125" a="1"/>
  <c r="N70" i="125" a="1"/>
  <c r="AD69" i="125" a="1"/>
  <c r="P69" i="125" a="1"/>
  <c r="AE68" i="125" a="1"/>
  <c r="P68" i="125" a="1"/>
  <c r="AF67" i="125" a="1"/>
  <c r="R67" i="125" a="1"/>
  <c r="D67" i="125" a="1"/>
  <c r="S66" i="125" a="1"/>
  <c r="D66" i="125" a="1"/>
  <c r="T65" i="125" a="1"/>
  <c r="F65" i="125" a="1"/>
  <c r="V64" i="125" a="1"/>
  <c r="G64" i="125" a="1"/>
  <c r="V63" i="125" a="1"/>
  <c r="H63" i="125" a="1"/>
  <c r="X62" i="125" a="1"/>
  <c r="J62" i="125" a="1"/>
  <c r="Y61" i="125" a="1"/>
  <c r="J61" i="125" a="1"/>
  <c r="Z60" i="125" a="1"/>
  <c r="L60" i="125" a="1"/>
  <c r="AB59" i="125" a="1"/>
  <c r="M59" i="125" a="1"/>
  <c r="AB54" i="125" a="1"/>
  <c r="AA78" i="1" s="1"/>
  <c r="N54" i="125" a="1"/>
  <c r="AD53" i="125" a="1"/>
  <c r="P53" i="125" a="1"/>
  <c r="AE52" i="125" a="1"/>
  <c r="P52" i="125" a="1"/>
  <c r="AF51" i="125" a="1"/>
  <c r="R51" i="125" a="1"/>
  <c r="D51" i="125" a="1"/>
  <c r="S50" i="125" a="1"/>
  <c r="D50" i="125" a="1"/>
  <c r="T49" i="125" a="1"/>
  <c r="F49" i="125" a="1"/>
  <c r="V48" i="125" a="1"/>
  <c r="G48" i="125" a="1"/>
  <c r="V47" i="125" a="1"/>
  <c r="H47" i="125" a="1"/>
  <c r="X46" i="125" a="1"/>
  <c r="J46" i="125" a="1"/>
  <c r="Y45" i="125" a="1"/>
  <c r="J45" i="125" a="1"/>
  <c r="Z44" i="125" a="1"/>
  <c r="L44" i="125" a="1"/>
  <c r="AB43" i="125" a="1"/>
  <c r="M43" i="125" a="1"/>
  <c r="AB42" i="125" a="1"/>
  <c r="S94" i="125" a="1"/>
  <c r="AE93" i="125" a="1"/>
  <c r="M93" i="125" a="1"/>
  <c r="Y92" i="125" a="1"/>
  <c r="G92" i="125" a="1"/>
  <c r="S91" i="125" a="1"/>
  <c r="AE88" i="125" a="1"/>
  <c r="M88" i="125" a="1"/>
  <c r="Y87" i="125" a="1"/>
  <c r="G87" i="125" a="1"/>
  <c r="S86" i="125" a="1"/>
  <c r="AE85" i="125" a="1"/>
  <c r="M85" i="125" a="1"/>
  <c r="Y84" i="125" a="1"/>
  <c r="G84" i="125" a="1"/>
  <c r="T83" i="125" a="1"/>
  <c r="E83" i="125" a="1"/>
  <c r="Q82" i="125" a="1"/>
  <c r="AF81" i="125" a="1"/>
  <c r="Q81" i="125" a="1"/>
  <c r="AC80" i="125" a="1"/>
  <c r="N80" i="125" a="1"/>
  <c r="AC79" i="125" a="1"/>
  <c r="K79" i="125" a="1"/>
  <c r="Z78" i="125" a="1"/>
  <c r="K78" i="125" a="1"/>
  <c r="W77" i="125" a="1"/>
  <c r="H77" i="125" a="1"/>
  <c r="W76" i="125" a="1"/>
  <c r="E76" i="125" a="1"/>
  <c r="U75" i="125" a="1"/>
  <c r="G75" i="125" a="1"/>
  <c r="W74" i="125" a="1"/>
  <c r="H74" i="125" a="1"/>
  <c r="W73" i="125" a="1"/>
  <c r="I73" i="125" a="1"/>
  <c r="Y72" i="125" a="1"/>
  <c r="K72" i="125" a="1"/>
  <c r="Z71" i="125" a="1"/>
  <c r="K71" i="125" a="1"/>
  <c r="AA70" i="125" a="1"/>
  <c r="M70" i="125" a="1"/>
  <c r="AC69" i="125" a="1"/>
  <c r="N69" i="125" a="1"/>
  <c r="AC68" i="125" a="1"/>
  <c r="O68" i="125" a="1"/>
  <c r="AE67" i="125" a="1"/>
  <c r="Q67" i="125" a="1"/>
  <c r="AF66" i="125" a="1"/>
  <c r="Q66" i="125" a="1"/>
  <c r="C66" i="125" a="1"/>
  <c r="S65" i="125" a="1"/>
  <c r="E65" i="125" a="1"/>
  <c r="T64" i="125" a="1"/>
  <c r="E64" i="125" a="1"/>
  <c r="U63" i="125" a="1"/>
  <c r="G63" i="125" a="1"/>
  <c r="W62" i="125" a="1"/>
  <c r="H62" i="125" a="1"/>
  <c r="W61" i="125" a="1"/>
  <c r="I61" i="125" a="1"/>
  <c r="Y60" i="125" a="1"/>
  <c r="K60" i="125" a="1"/>
  <c r="Z59" i="125" a="1"/>
  <c r="K59" i="125" a="1"/>
  <c r="AA54" i="125" a="1"/>
  <c r="M54" i="125" a="1"/>
  <c r="AC53" i="125" a="1"/>
  <c r="N53" i="125" a="1"/>
  <c r="AC52" i="125" a="1"/>
  <c r="O52" i="125" a="1"/>
  <c r="AE51" i="125" a="1"/>
  <c r="Q51" i="125" a="1"/>
  <c r="AF50" i="125" a="1"/>
  <c r="Q50" i="125" a="1"/>
  <c r="C50" i="125" a="1"/>
  <c r="S49" i="125" a="1"/>
  <c r="E49" i="125" a="1"/>
  <c r="T48" i="125" a="1"/>
  <c r="E48" i="125" a="1"/>
  <c r="U47" i="125" a="1"/>
  <c r="G47" i="125" a="1"/>
  <c r="W46" i="125" a="1"/>
  <c r="H46" i="125" a="1"/>
  <c r="W45" i="125" a="1"/>
  <c r="I45" i="125" a="1"/>
  <c r="Y44" i="125" a="1"/>
  <c r="K44" i="125" a="1"/>
  <c r="Z43" i="125" a="1"/>
  <c r="K43" i="125" a="1"/>
  <c r="AA42" i="125" a="1"/>
  <c r="M42" i="125" a="1"/>
  <c r="AC41" i="125" a="1"/>
  <c r="Q41" i="125" a="1"/>
  <c r="E41" i="125" a="1"/>
  <c r="W40" i="125" a="1"/>
  <c r="K40" i="125" a="1"/>
  <c r="AC39" i="125" a="1"/>
  <c r="Q39" i="125" a="1"/>
  <c r="E39" i="125" a="1"/>
  <c r="W38" i="125" a="1"/>
  <c r="K38" i="125" a="1"/>
  <c r="AC35" i="125" a="1"/>
  <c r="Q35" i="125" a="1"/>
  <c r="E35" i="125" a="1"/>
  <c r="W34" i="125" a="1"/>
  <c r="K34" i="125" a="1"/>
  <c r="AC33" i="125" a="1"/>
  <c r="Q33" i="125" a="1"/>
  <c r="E33" i="125" a="1"/>
  <c r="W32" i="125" a="1"/>
  <c r="K32" i="125" a="1"/>
  <c r="AC31" i="125" a="1"/>
  <c r="Q31" i="125" a="1"/>
  <c r="E31" i="125" a="1"/>
  <c r="W30" i="125" a="1"/>
  <c r="K30" i="125" a="1"/>
  <c r="AC29" i="125" a="1"/>
  <c r="Q29" i="125" a="1"/>
  <c r="Q94" i="125" a="1"/>
  <c r="AD93" i="125" a="1"/>
  <c r="K93" i="125" a="1"/>
  <c r="X92" i="125" a="1"/>
  <c r="E92" i="125" a="1"/>
  <c r="R91" i="125" a="1"/>
  <c r="AC88" i="125" a="1"/>
  <c r="L88" i="125" a="1"/>
  <c r="W87" i="125" a="1"/>
  <c r="F87" i="125" a="1"/>
  <c r="Q86" i="125" a="1"/>
  <c r="AD85" i="125" a="1"/>
  <c r="K85" i="125" a="1"/>
  <c r="X84" i="125" a="1"/>
  <c r="E84" i="125" a="1"/>
  <c r="S83" i="125" a="1"/>
  <c r="D83" i="125" a="1"/>
  <c r="P82" i="125" a="1"/>
  <c r="AE81" i="125" a="1"/>
  <c r="P81" i="125" a="1"/>
  <c r="O94" i="125" a="1"/>
  <c r="AC93" i="125" a="1"/>
  <c r="I93" i="125" a="1"/>
  <c r="W92" i="125" a="1"/>
  <c r="C92" i="125" a="1"/>
  <c r="Q91" i="125" a="1"/>
  <c r="AA88" i="125" a="1"/>
  <c r="K88" i="125" a="1"/>
  <c r="U87" i="125" a="1"/>
  <c r="E87" i="125" a="1"/>
  <c r="O86" i="125" a="1"/>
  <c r="AC85" i="125" a="1"/>
  <c r="I85" i="125" a="1"/>
  <c r="W84" i="125" a="1"/>
  <c r="C84" i="125" a="1"/>
  <c r="R83" i="125" a="1"/>
  <c r="AE82" i="125" a="1"/>
  <c r="O82" i="125" a="1"/>
  <c r="AD81" i="125" a="1"/>
  <c r="M81" i="125" a="1"/>
  <c r="AA80" i="125" a="1"/>
  <c r="L80" i="125" a="1"/>
  <c r="Y79" i="125" a="1"/>
  <c r="I79" i="125" a="1"/>
  <c r="X78" i="125" a="1"/>
  <c r="G78" i="125" a="1"/>
  <c r="U77" i="125" a="1"/>
  <c r="F77" i="125" a="1"/>
  <c r="S76" i="125" a="1"/>
  <c r="C76" i="125" a="1"/>
  <c r="N94" i="125" a="1"/>
  <c r="AB93" i="125" a="1"/>
  <c r="AA68" i="1" s="1"/>
  <c r="H93" i="125" a="1"/>
  <c r="V92" i="125" a="1"/>
  <c r="AF91" i="125" a="1"/>
  <c r="P91" i="125" a="1"/>
  <c r="Z88" i="125" a="1"/>
  <c r="J88" i="125" a="1"/>
  <c r="T87" i="125" a="1"/>
  <c r="D87" i="125" a="1"/>
  <c r="N86" i="125" a="1"/>
  <c r="AB85" i="125" a="1"/>
  <c r="H85" i="125" a="1"/>
  <c r="V84" i="125" a="1"/>
  <c r="AF83" i="125" a="1"/>
  <c r="Q83" i="125" a="1"/>
  <c r="AC82" i="125" a="1"/>
  <c r="N82" i="125" a="1"/>
  <c r="AC81" i="125" a="1"/>
  <c r="K81" i="125" a="1"/>
  <c r="Z80" i="125" a="1"/>
  <c r="K80" i="125" a="1"/>
  <c r="W79" i="125" a="1"/>
  <c r="H79" i="125" a="1"/>
  <c r="W78" i="125" a="1"/>
  <c r="E78" i="125" a="1"/>
  <c r="T77" i="125" a="1"/>
  <c r="E77" i="125" a="1"/>
  <c r="Q76" i="125" a="1"/>
  <c r="AF75" i="125" a="1"/>
  <c r="R75" i="125" a="1"/>
  <c r="D75" i="125" a="1"/>
  <c r="S74" i="125" a="1"/>
  <c r="D74" i="125" a="1"/>
  <c r="T73" i="125" a="1"/>
  <c r="F73" i="125" a="1"/>
  <c r="V72" i="125" a="1"/>
  <c r="G72" i="125" a="1"/>
  <c r="V71" i="125" a="1"/>
  <c r="H71" i="125" a="1"/>
  <c r="X70" i="125" a="1"/>
  <c r="J70" i="125" a="1"/>
  <c r="Y69" i="125" a="1"/>
  <c r="J69" i="125" a="1"/>
  <c r="Z68" i="125" a="1"/>
  <c r="L68" i="125" a="1"/>
  <c r="AB67" i="125" a="1"/>
  <c r="AA108" i="1" s="1"/>
  <c r="M67" i="125" a="1"/>
  <c r="AB66" i="125" a="1"/>
  <c r="AA106" i="1" s="1"/>
  <c r="N66" i="125" a="1"/>
  <c r="AD65" i="125" a="1"/>
  <c r="P65" i="125" a="1"/>
  <c r="AE64" i="125" a="1"/>
  <c r="P64" i="125" a="1"/>
  <c r="AF63" i="125" a="1"/>
  <c r="R63" i="125" a="1"/>
  <c r="D63" i="125" a="1"/>
  <c r="S62" i="125" a="1"/>
  <c r="D62" i="125" a="1"/>
  <c r="T61" i="125" a="1"/>
  <c r="F61" i="125" a="1"/>
  <c r="M94" i="125" a="1"/>
  <c r="Y93" i="125" a="1"/>
  <c r="G93" i="125" a="1"/>
  <c r="S92" i="125" a="1"/>
  <c r="AE91" i="125" a="1"/>
  <c r="M91" i="125" a="1"/>
  <c r="Y88" i="125" a="1"/>
  <c r="G88" i="125" a="1"/>
  <c r="S87" i="125" a="1"/>
  <c r="AE86" i="125" a="1"/>
  <c r="M86" i="125" a="1"/>
  <c r="Y85" i="125" a="1"/>
  <c r="G85" i="125" a="1"/>
  <c r="S84" i="125" a="1"/>
  <c r="AE83" i="125" a="1"/>
  <c r="P83" i="125" a="1"/>
  <c r="AB82" i="125" a="1"/>
  <c r="M82" i="125" a="1"/>
  <c r="AB81" i="125" a="1"/>
  <c r="J81" i="125" a="1"/>
  <c r="Y80" i="125" a="1"/>
  <c r="J80" i="125" a="1"/>
  <c r="V79" i="125" a="1"/>
  <c r="G79" i="125" a="1"/>
  <c r="V78" i="125" a="1"/>
  <c r="D78" i="125" a="1"/>
  <c r="S77" i="125" a="1"/>
  <c r="D77" i="125" a="1"/>
  <c r="P76" i="125" a="1"/>
  <c r="AE75" i="125" a="1"/>
  <c r="Q75" i="125" a="1"/>
  <c r="AF74" i="125" a="1"/>
  <c r="Q74" i="125" a="1"/>
  <c r="C74" i="125" a="1"/>
  <c r="S73" i="125" a="1"/>
  <c r="E73" i="125" a="1"/>
  <c r="T72" i="125" a="1"/>
  <c r="E72" i="125" a="1"/>
  <c r="U71" i="125" a="1"/>
  <c r="G71" i="125" a="1"/>
  <c r="W70" i="125" a="1"/>
  <c r="H70" i="125" a="1"/>
  <c r="W69" i="125" a="1"/>
  <c r="I69" i="125" a="1"/>
  <c r="Y68" i="125" a="1"/>
  <c r="K68" i="125" a="1"/>
  <c r="Z67" i="125" a="1"/>
  <c r="K67" i="125" a="1"/>
  <c r="AA66" i="125" a="1"/>
  <c r="M66" i="125" a="1"/>
  <c r="AC65" i="125" a="1"/>
  <c r="N65" i="125" a="1"/>
  <c r="AC64" i="125" a="1"/>
  <c r="O64" i="125" a="1"/>
  <c r="AE63" i="125" a="1"/>
  <c r="Q63" i="125" a="1"/>
  <c r="AF62" i="125" a="1"/>
  <c r="Q62" i="125" a="1"/>
  <c r="C62" i="125" a="1"/>
  <c r="S61" i="125" a="1"/>
  <c r="E61" i="125" a="1"/>
  <c r="T60" i="125" a="1"/>
  <c r="E60" i="125" a="1"/>
  <c r="U59" i="125" a="1"/>
  <c r="G59" i="125" a="1"/>
  <c r="W54" i="125" a="1"/>
  <c r="H54" i="125" a="1"/>
  <c r="W53" i="125" a="1"/>
  <c r="I53" i="125" a="1"/>
  <c r="Y52" i="125" a="1"/>
  <c r="K52" i="125" a="1"/>
  <c r="Z51" i="125" a="1"/>
  <c r="K51" i="125" a="1"/>
  <c r="AA50" i="125" a="1"/>
  <c r="M50" i="125" a="1"/>
  <c r="AC49" i="125" a="1"/>
  <c r="N49" i="125" a="1"/>
  <c r="AC48" i="125" a="1"/>
  <c r="O48" i="125" a="1"/>
  <c r="AE47" i="125" a="1"/>
  <c r="Q47" i="125" a="1"/>
  <c r="AF46" i="125" a="1"/>
  <c r="Q46" i="125" a="1"/>
  <c r="C46" i="125" a="1"/>
  <c r="S45" i="125" a="1"/>
  <c r="E45" i="125" a="1"/>
  <c r="T44" i="125" a="1"/>
  <c r="E44" i="125" a="1"/>
  <c r="U43" i="125" a="1"/>
  <c r="G43" i="125" a="1"/>
  <c r="W42" i="125" a="1"/>
  <c r="H42" i="125" a="1"/>
  <c r="Y41" i="125" a="1"/>
  <c r="M41" i="125" a="1"/>
  <c r="AE40" i="125" a="1"/>
  <c r="S40" i="125" a="1"/>
  <c r="G40" i="125" a="1"/>
  <c r="Y39" i="125" a="1"/>
  <c r="M39" i="125" a="1"/>
  <c r="AE38" i="125" a="1"/>
  <c r="S38" i="125" a="1"/>
  <c r="G38" i="125" a="1"/>
  <c r="Y35" i="125" a="1"/>
  <c r="M35" i="125" a="1"/>
  <c r="AE34" i="125" a="1"/>
  <c r="S34" i="125" a="1"/>
  <c r="G34" i="125" a="1"/>
  <c r="Y33" i="125" a="1"/>
  <c r="M33" i="125" a="1"/>
  <c r="AE32" i="125" a="1"/>
  <c r="S32" i="125" a="1"/>
  <c r="G32" i="125" a="1"/>
  <c r="Y31" i="125" a="1"/>
  <c r="M31" i="125" a="1"/>
  <c r="AE30" i="125" a="1"/>
  <c r="S30" i="125" a="1"/>
  <c r="G30" i="125" a="1"/>
  <c r="Y29" i="125" a="1"/>
  <c r="M29" i="125" a="1"/>
  <c r="AE28" i="125" a="1"/>
  <c r="S28" i="125" a="1"/>
  <c r="G28" i="125" a="1"/>
  <c r="Y27" i="125" a="1"/>
  <c r="M27" i="125" a="1"/>
  <c r="AE26" i="125" a="1"/>
  <c r="S26" i="125" a="1"/>
  <c r="L94" i="125" a="1"/>
  <c r="W93" i="125" a="1"/>
  <c r="F93" i="125" a="1"/>
  <c r="Q92" i="125" a="1"/>
  <c r="AD91" i="125" a="1"/>
  <c r="K91" i="125" a="1"/>
  <c r="X88" i="125" a="1"/>
  <c r="E88" i="125" a="1"/>
  <c r="R87" i="125" a="1"/>
  <c r="AC86" i="125" a="1"/>
  <c r="L86" i="125" a="1"/>
  <c r="W85" i="125" a="1"/>
  <c r="F85" i="125" a="1"/>
  <c r="Q84" i="125" a="1"/>
  <c r="AD83" i="125" a="1"/>
  <c r="M83" i="125" a="1"/>
  <c r="AA82" i="125" a="1"/>
  <c r="L82" i="125" a="1"/>
  <c r="Y81" i="125" a="1"/>
  <c r="I81" i="125" a="1"/>
  <c r="X80" i="125" a="1"/>
  <c r="G80" i="125" a="1"/>
  <c r="U79" i="125" a="1"/>
  <c r="F79" i="125" a="1"/>
  <c r="S78" i="125" a="1"/>
  <c r="C78" i="125" a="1"/>
  <c r="R77" i="125" a="1"/>
  <c r="AE76" i="125" a="1"/>
  <c r="O76" i="125" a="1"/>
  <c r="AD75" i="125" a="1"/>
  <c r="P75" i="125" a="1"/>
  <c r="AE74" i="125" a="1"/>
  <c r="P74" i="125" a="1"/>
  <c r="AF73" i="125" a="1"/>
  <c r="R73" i="125" a="1"/>
  <c r="D73" i="125" a="1"/>
  <c r="S72" i="125" a="1"/>
  <c r="D72" i="125" a="1"/>
  <c r="T71" i="125" a="1"/>
  <c r="F71" i="125" a="1"/>
  <c r="V70" i="125" a="1"/>
  <c r="G70" i="125" a="1"/>
  <c r="V69" i="125" a="1"/>
  <c r="K94" i="125" a="1"/>
  <c r="U93" i="125" a="1"/>
  <c r="E93" i="125" a="1"/>
  <c r="O92" i="125" a="1"/>
  <c r="AC91" i="125" a="1"/>
  <c r="I91" i="125" a="1"/>
  <c r="W88" i="125" a="1"/>
  <c r="C88" i="125" a="1"/>
  <c r="Q87" i="125" a="1"/>
  <c r="AA86" i="125" a="1"/>
  <c r="K86" i="125" a="1"/>
  <c r="U85" i="125" a="1"/>
  <c r="E85" i="125" a="1"/>
  <c r="O84" i="125" a="1"/>
  <c r="AC83" i="125" a="1"/>
  <c r="K83" i="125" a="1"/>
  <c r="Z82" i="125" a="1"/>
  <c r="K82" i="125" a="1"/>
  <c r="W81" i="125" a="1"/>
  <c r="H81" i="125" a="1"/>
  <c r="W80" i="125" a="1"/>
  <c r="E80" i="125" a="1"/>
  <c r="T79" i="125" a="1"/>
  <c r="E79" i="125" a="1"/>
  <c r="Q78" i="125" a="1"/>
  <c r="AF77" i="125" a="1"/>
  <c r="Q77" i="125" a="1"/>
  <c r="AC76" i="125" a="1"/>
  <c r="N76" i="125" a="1"/>
  <c r="AC75" i="125" a="1"/>
  <c r="N75" i="125" a="1"/>
  <c r="AC74" i="125" a="1"/>
  <c r="O74" i="125" a="1"/>
  <c r="AE73" i="125" a="1"/>
  <c r="Q73" i="125" a="1"/>
  <c r="AF72" i="125" a="1"/>
  <c r="Q72" i="125" a="1"/>
  <c r="C72" i="125" a="1"/>
  <c r="S71" i="125" a="1"/>
  <c r="E71" i="125" a="1"/>
  <c r="T70" i="125" a="1"/>
  <c r="E70" i="125" a="1"/>
  <c r="U69" i="125" a="1"/>
  <c r="G69" i="125" a="1"/>
  <c r="W68" i="125" a="1"/>
  <c r="H68" i="125" a="1"/>
  <c r="W67" i="125" a="1"/>
  <c r="I67" i="125" a="1"/>
  <c r="Y66" i="125" a="1"/>
  <c r="K66" i="125" a="1"/>
  <c r="Z65" i="125" a="1"/>
  <c r="K65" i="125" a="1"/>
  <c r="AA64" i="125" a="1"/>
  <c r="M64" i="125" a="1"/>
  <c r="AC63" i="125" a="1"/>
  <c r="N63" i="125" a="1"/>
  <c r="AC62" i="125" a="1"/>
  <c r="O62" i="125" a="1"/>
  <c r="AE61" i="125" a="1"/>
  <c r="Q61" i="125" a="1"/>
  <c r="AF60" i="125" a="1"/>
  <c r="Q60" i="125" a="1"/>
  <c r="C60" i="125" a="1"/>
  <c r="S59" i="125" a="1"/>
  <c r="E59" i="125" a="1"/>
  <c r="T54" i="125" a="1"/>
  <c r="E54" i="125" a="1"/>
  <c r="U53" i="125" a="1"/>
  <c r="G53" i="125" a="1"/>
  <c r="W52" i="125" a="1"/>
  <c r="H52" i="125" a="1"/>
  <c r="W51" i="125" a="1"/>
  <c r="I51" i="125" a="1"/>
  <c r="Y50" i="125" a="1"/>
  <c r="K50" i="125" a="1"/>
  <c r="Z49" i="125" a="1"/>
  <c r="K49" i="125" a="1"/>
  <c r="AA48" i="125" a="1"/>
  <c r="M48" i="125" a="1"/>
  <c r="AC47" i="125" a="1"/>
  <c r="N47" i="125" a="1"/>
  <c r="AC46" i="125" a="1"/>
  <c r="O46" i="125" a="1"/>
  <c r="AE45" i="125" a="1"/>
  <c r="Q45" i="125" a="1"/>
  <c r="AF44" i="125" a="1"/>
  <c r="Q44" i="125" a="1"/>
  <c r="C44" i="125" a="1"/>
  <c r="S43" i="125" a="1"/>
  <c r="E43" i="125" a="1"/>
  <c r="T42" i="125" a="1"/>
  <c r="E42" i="125" a="1"/>
  <c r="W41" i="125" a="1"/>
  <c r="K41" i="125" a="1"/>
  <c r="AC40" i="125" a="1"/>
  <c r="Q40" i="125" a="1"/>
  <c r="E40" i="125" a="1"/>
  <c r="W39" i="125" a="1"/>
  <c r="K39" i="125" a="1"/>
  <c r="AC38" i="125" a="1"/>
  <c r="Q38" i="125" a="1"/>
  <c r="E38" i="125" a="1"/>
  <c r="W35" i="125" a="1"/>
  <c r="K35" i="125" a="1"/>
  <c r="AC34" i="125" a="1"/>
  <c r="Q34" i="125" a="1"/>
  <c r="E34" i="125" a="1"/>
  <c r="W33" i="125" a="1"/>
  <c r="K33" i="125" a="1"/>
  <c r="AC32" i="125" a="1"/>
  <c r="J86" i="125" a="1"/>
  <c r="M80" i="125" a="1"/>
  <c r="G77" i="125" a="1"/>
  <c r="V74" i="125" a="1"/>
  <c r="X72" i="125" a="1"/>
  <c r="Z70" i="125" a="1"/>
  <c r="H69" i="125" a="1"/>
  <c r="J68" i="125" a="1"/>
  <c r="J67" i="125" a="1"/>
  <c r="L66" i="125" a="1"/>
  <c r="M65" i="125" a="1"/>
  <c r="N64" i="125" a="1"/>
  <c r="P63" i="125" a="1"/>
  <c r="P62" i="125" a="1"/>
  <c r="R61" i="125" a="1"/>
  <c r="V60" i="125" a="1"/>
  <c r="Y59" i="125" a="1"/>
  <c r="AF54" i="125" a="1"/>
  <c r="G54" i="125" a="1"/>
  <c r="K53" i="125" a="1"/>
  <c r="Q52" i="125" a="1"/>
  <c r="V51" i="125" a="1"/>
  <c r="AB50" i="125" a="1"/>
  <c r="AA58" i="1" s="1"/>
  <c r="AF49" i="125" a="1"/>
  <c r="I49" i="125" a="1"/>
  <c r="N48" i="125" a="1"/>
  <c r="S47" i="125" a="1"/>
  <c r="Y46" i="125" a="1"/>
  <c r="AD45" i="125" a="1"/>
  <c r="F45" i="125" a="1"/>
  <c r="J44" i="125" a="1"/>
  <c r="Q43" i="125" a="1"/>
  <c r="Y42" i="125" a="1"/>
  <c r="D42" i="125" a="1"/>
  <c r="T85" i="125" a="1"/>
  <c r="D80" i="125" a="1"/>
  <c r="AB76" i="125" a="1"/>
  <c r="T74" i="125" a="1"/>
  <c r="W72" i="125" a="1"/>
  <c r="Y70" i="125" a="1"/>
  <c r="F69" i="125" a="1"/>
  <c r="G68" i="125" a="1"/>
  <c r="H67" i="125" a="1"/>
  <c r="J66" i="125" a="1"/>
  <c r="J65" i="125" a="1"/>
  <c r="L64" i="125" a="1"/>
  <c r="M63" i="125" a="1"/>
  <c r="N62" i="125" a="1"/>
  <c r="P61" i="125" a="1"/>
  <c r="S60" i="125" a="1"/>
  <c r="W59" i="125" a="1"/>
  <c r="AC54" i="125" a="1"/>
  <c r="D54" i="125" a="1"/>
  <c r="J53" i="125" a="1"/>
  <c r="N52" i="125" a="1"/>
  <c r="U51" i="125" a="1"/>
  <c r="Z50" i="125" a="1"/>
  <c r="AE49" i="125" a="1"/>
  <c r="G49" i="125" a="1"/>
  <c r="L48" i="125" a="1"/>
  <c r="R47" i="125" a="1"/>
  <c r="V46" i="125" a="1"/>
  <c r="AC45" i="125" a="1"/>
  <c r="D45" i="125" a="1"/>
  <c r="H44" i="125" a="1"/>
  <c r="P43" i="125" a="1"/>
  <c r="X42" i="125" a="1"/>
  <c r="C42" i="125" a="1"/>
  <c r="R41" i="125" a="1"/>
  <c r="AF40" i="125" a="1"/>
  <c r="O40" i="125" a="1"/>
  <c r="AD39" i="125" a="1"/>
  <c r="N39" i="125" a="1"/>
  <c r="AA38" i="125" a="1"/>
  <c r="L38" i="125" a="1"/>
  <c r="Z35" i="125" a="1"/>
  <c r="I35" i="125" a="1"/>
  <c r="X34" i="125" a="1"/>
  <c r="H34" i="125" a="1"/>
  <c r="U33" i="125" a="1"/>
  <c r="F33" i="125" a="1"/>
  <c r="T32" i="125" a="1"/>
  <c r="E32" i="125" a="1"/>
  <c r="U31" i="125" a="1"/>
  <c r="G31" i="125" a="1"/>
  <c r="V30" i="125" a="1"/>
  <c r="H30" i="125" a="1"/>
  <c r="W29" i="125" a="1"/>
  <c r="I29" i="125" a="1"/>
  <c r="Z28" i="125" a="1"/>
  <c r="M28" i="125" a="1"/>
  <c r="AD27" i="125" a="1"/>
  <c r="Q27" i="125" a="1"/>
  <c r="D27" i="125" a="1"/>
  <c r="U26" i="125" a="1"/>
  <c r="H26" i="125" a="1"/>
  <c r="Z25" i="125" a="1"/>
  <c r="N25" i="125" a="1"/>
  <c r="AF24" i="125" a="1"/>
  <c r="T24" i="125" a="1"/>
  <c r="H24" i="125" a="1"/>
  <c r="Z23" i="125" a="1"/>
  <c r="N23" i="125" a="1"/>
  <c r="AF22" i="125" a="1"/>
  <c r="T22" i="125" a="1"/>
  <c r="H22" i="125" a="1"/>
  <c r="Z21" i="125" a="1"/>
  <c r="N21" i="125" a="1"/>
  <c r="AF20" i="125" a="1"/>
  <c r="T20" i="125" a="1"/>
  <c r="H20" i="125" a="1"/>
  <c r="Z19" i="125" a="1"/>
  <c r="N19" i="125" a="1"/>
  <c r="AF18" i="125" a="1"/>
  <c r="T18" i="125" a="1"/>
  <c r="H18" i="125" a="1"/>
  <c r="Z17" i="125" a="1"/>
  <c r="N17" i="125" a="1"/>
  <c r="AF16" i="125" a="1"/>
  <c r="T16" i="125" a="1"/>
  <c r="H16" i="125" a="1"/>
  <c r="Z15" i="125" a="1"/>
  <c r="N15" i="125" a="1"/>
  <c r="AF14" i="125" a="1"/>
  <c r="T14" i="125" a="1"/>
  <c r="H14" i="125" a="1"/>
  <c r="Z13" i="125" a="1"/>
  <c r="N13" i="125" a="1"/>
  <c r="AF12" i="125" a="1"/>
  <c r="T12" i="125" a="1"/>
  <c r="H12" i="125" a="1"/>
  <c r="Z11" i="125" a="1"/>
  <c r="N11" i="125" a="1"/>
  <c r="AF10" i="125" a="1"/>
  <c r="T10" i="125" a="1"/>
  <c r="H10" i="125" a="1"/>
  <c r="Z9" i="125" a="1"/>
  <c r="N9" i="125" a="1"/>
  <c r="AF8" i="125" a="1"/>
  <c r="T8" i="125" a="1"/>
  <c r="H8" i="125" a="1"/>
  <c r="Z7" i="125" a="1"/>
  <c r="N7" i="125" a="1"/>
  <c r="AF6" i="125" a="1"/>
  <c r="T6" i="125" a="1"/>
  <c r="H6" i="125" a="1"/>
  <c r="J94" i="125" a="1"/>
  <c r="D85" i="125" a="1"/>
  <c r="AB79" i="125" a="1"/>
  <c r="V76" i="125" a="1"/>
  <c r="N74" i="125" a="1"/>
  <c r="P72" i="125" a="1"/>
  <c r="S70" i="125" a="1"/>
  <c r="E69" i="125" a="1"/>
  <c r="E68" i="125" a="1"/>
  <c r="G67" i="125" a="1"/>
  <c r="H66" i="125" a="1"/>
  <c r="I65" i="125" a="1"/>
  <c r="K64" i="125" a="1"/>
  <c r="K63" i="125" a="1"/>
  <c r="M62" i="125" a="1"/>
  <c r="N61" i="125" a="1"/>
  <c r="P60" i="125" a="1"/>
  <c r="V59" i="125" a="1"/>
  <c r="Z54" i="125" a="1"/>
  <c r="C54" i="125" a="1"/>
  <c r="H53" i="125" a="1"/>
  <c r="M52" i="125" a="1"/>
  <c r="S51" i="125" a="1"/>
  <c r="X50" i="125" a="1"/>
  <c r="AD49" i="125" a="1"/>
  <c r="D49" i="125" a="1"/>
  <c r="K48" i="125" a="1"/>
  <c r="P47" i="125" a="1"/>
  <c r="T46" i="125" a="1"/>
  <c r="Z45" i="125" a="1"/>
  <c r="AE44" i="125" a="1"/>
  <c r="G44" i="125" a="1"/>
  <c r="N43" i="125" a="1"/>
  <c r="V42" i="125" a="1"/>
  <c r="AF41" i="125" a="1"/>
  <c r="P41" i="125" a="1"/>
  <c r="AD40" i="125" a="1"/>
  <c r="N40" i="125" a="1"/>
  <c r="AB39" i="125" a="1"/>
  <c r="L39" i="125" a="1"/>
  <c r="Z38" i="125" a="1"/>
  <c r="J38" i="125" a="1"/>
  <c r="X35" i="125" a="1"/>
  <c r="H35" i="125" a="1"/>
  <c r="V34" i="125" a="1"/>
  <c r="F34" i="125" a="1"/>
  <c r="T33" i="125" a="1"/>
  <c r="D33" i="125" a="1"/>
  <c r="R32" i="125" a="1"/>
  <c r="D32" i="125" a="1"/>
  <c r="T31" i="125" a="1"/>
  <c r="F31" i="125" a="1"/>
  <c r="U30" i="125" a="1"/>
  <c r="F30" i="125" a="1"/>
  <c r="V29" i="125" a="1"/>
  <c r="H29" i="125" a="1"/>
  <c r="Y28" i="125" a="1"/>
  <c r="L28" i="125" a="1"/>
  <c r="AC27" i="125" a="1"/>
  <c r="P27" i="125" a="1"/>
  <c r="C27" i="125" a="1"/>
  <c r="T26" i="125" a="1"/>
  <c r="G26" i="125" a="1"/>
  <c r="Y25" i="125" a="1"/>
  <c r="M25" i="125" a="1"/>
  <c r="AE24" i="125" a="1"/>
  <c r="S24" i="125" a="1"/>
  <c r="G24" i="125" a="1"/>
  <c r="Y23" i="125" a="1"/>
  <c r="M23" i="125" a="1"/>
  <c r="AE22" i="125" a="1"/>
  <c r="S22" i="125" a="1"/>
  <c r="G22" i="125" a="1"/>
  <c r="Y21" i="125" a="1"/>
  <c r="M21" i="125" a="1"/>
  <c r="AE20" i="125" a="1"/>
  <c r="S20" i="125" a="1"/>
  <c r="G20" i="125" a="1"/>
  <c r="Y19" i="125" a="1"/>
  <c r="M19" i="125" a="1"/>
  <c r="AE18" i="125" a="1"/>
  <c r="S18" i="125" a="1"/>
  <c r="G18" i="125" a="1"/>
  <c r="Y17" i="125" a="1"/>
  <c r="M17" i="125" a="1"/>
  <c r="AE16" i="125" a="1"/>
  <c r="S16" i="125" a="1"/>
  <c r="G16" i="125" a="1"/>
  <c r="Y15" i="125" a="1"/>
  <c r="M15" i="125" a="1"/>
  <c r="AE14" i="125" a="1"/>
  <c r="S14" i="125" a="1"/>
  <c r="G14" i="125" a="1"/>
  <c r="Y13" i="125" a="1"/>
  <c r="M13" i="125" a="1"/>
  <c r="AE12" i="125" a="1"/>
  <c r="S12" i="125" a="1"/>
  <c r="G12" i="125" a="1"/>
  <c r="Y11" i="125" a="1"/>
  <c r="M11" i="125" a="1"/>
  <c r="AE10" i="125" a="1"/>
  <c r="S10" i="125" a="1"/>
  <c r="G10" i="125" a="1"/>
  <c r="Y9" i="125" a="1"/>
  <c r="M9" i="125" a="1"/>
  <c r="AE8" i="125" a="1"/>
  <c r="S8" i="125" a="1"/>
  <c r="G8" i="125" a="1"/>
  <c r="Y7" i="125" a="1"/>
  <c r="M7" i="125" a="1"/>
  <c r="AE6" i="125" a="1"/>
  <c r="S6" i="125" a="1"/>
  <c r="G6" i="125" a="1"/>
  <c r="X5" i="125" a="1"/>
  <c r="L5" i="125" a="1"/>
  <c r="FH5" i="132" a="1"/>
  <c r="FT5" i="132" a="1"/>
  <c r="GF5" i="132" a="1"/>
  <c r="GR5" i="132" a="1"/>
  <c r="HD5" i="132" a="1"/>
  <c r="FN6" i="132" a="1"/>
  <c r="FZ6" i="132" a="1"/>
  <c r="GL6" i="132" a="1"/>
  <c r="GX6" i="132" a="1"/>
  <c r="FH7" i="132" a="1"/>
  <c r="FT7" i="132" a="1"/>
  <c r="GF7" i="132" a="1"/>
  <c r="T93" i="125" a="1"/>
  <c r="D93" i="125" a="1"/>
  <c r="AB83" i="125" a="1"/>
  <c r="J79" i="125" a="1"/>
  <c r="D76" i="125" a="1"/>
  <c r="E74" i="125" a="1"/>
  <c r="H72" i="125" a="1"/>
  <c r="K70" i="125" a="1"/>
  <c r="AB68" i="125" a="1"/>
  <c r="AA109" i="1" s="1"/>
  <c r="AD67" i="125" a="1"/>
  <c r="AE66" i="125" a="1"/>
  <c r="AF65" i="125" a="1"/>
  <c r="D65" i="125" a="1"/>
  <c r="D64" i="125" a="1"/>
  <c r="F63" i="125" a="1"/>
  <c r="H91" i="125" a="1"/>
  <c r="J82" i="125" a="1"/>
  <c r="P78" i="125" a="1"/>
  <c r="S75" i="125" a="1"/>
  <c r="U73" i="125" a="1"/>
  <c r="W71" i="125" a="1"/>
  <c r="Z69" i="125" a="1"/>
  <c r="V68" i="125" a="1"/>
  <c r="V67" i="125" a="1"/>
  <c r="X66" i="125" a="1"/>
  <c r="Y65" i="125" a="1"/>
  <c r="Z64" i="125" a="1"/>
  <c r="AB63" i="125" a="1"/>
  <c r="AA102" i="1" s="1"/>
  <c r="AB62" i="125" a="1"/>
  <c r="AD61" i="125" a="1"/>
  <c r="AE60" i="125" a="1"/>
  <c r="G60" i="125" a="1"/>
  <c r="J59" i="125" a="1"/>
  <c r="Q54" i="125" a="1"/>
  <c r="V53" i="125" a="1"/>
  <c r="AA52" i="125" a="1"/>
  <c r="C52" i="125" a="1"/>
  <c r="H51" i="125" a="1"/>
  <c r="N50" i="125" a="1"/>
  <c r="R49" i="125" a="1"/>
  <c r="Y48" i="125" a="1"/>
  <c r="AD47" i="125" a="1"/>
  <c r="E47" i="125" a="1"/>
  <c r="K46" i="125" a="1"/>
  <c r="V88" i="125" a="1"/>
  <c r="V81" i="125" a="1"/>
  <c r="J78" i="125" a="1"/>
  <c r="M75" i="125" a="1"/>
  <c r="P73" i="125" a="1"/>
  <c r="R71" i="125" a="1"/>
  <c r="T69" i="125" a="1"/>
  <c r="T68" i="125" a="1"/>
  <c r="U67" i="125" a="1"/>
  <c r="W66" i="125" a="1"/>
  <c r="W65" i="125" a="1"/>
  <c r="Y64" i="125" a="1"/>
  <c r="Z63" i="125" a="1"/>
  <c r="AA62" i="125" a="1"/>
  <c r="AC61" i="125" a="1"/>
  <c r="AC60" i="125" a="1"/>
  <c r="D60" i="125" a="1"/>
  <c r="AB91" i="125" a="1"/>
  <c r="Y78" i="125" a="1"/>
  <c r="V73" i="125" a="1"/>
  <c r="AB69" i="125" a="1"/>
  <c r="AA118" i="1" s="1"/>
  <c r="Y67" i="125" a="1"/>
  <c r="AB65" i="125" a="1"/>
  <c r="AA103" i="1" s="1"/>
  <c r="AD63" i="125" a="1"/>
  <c r="E62" i="125" a="1"/>
  <c r="O60" i="125" a="1"/>
  <c r="H59" i="125" a="1"/>
  <c r="AB53" i="125" a="1"/>
  <c r="AA72" i="1" s="1"/>
  <c r="AA76" i="1" s="1"/>
  <c r="X52" i="125" a="1"/>
  <c r="N51" i="125" a="1"/>
  <c r="J50" i="125" a="1"/>
  <c r="AE48" i="125" a="1"/>
  <c r="Z47" i="125" a="1"/>
  <c r="P46" i="125" a="1"/>
  <c r="N45" i="125" a="1"/>
  <c r="M44" i="125" a="1"/>
  <c r="H43" i="125" a="1"/>
  <c r="L42" i="125" a="1"/>
  <c r="T41" i="125" a="1"/>
  <c r="AB40" i="125" a="1"/>
  <c r="J40" i="125" a="1"/>
  <c r="U39" i="125" a="1"/>
  <c r="C39" i="125" a="1"/>
  <c r="N38" i="125" a="1"/>
  <c r="V35" i="125" a="1"/>
  <c r="D35" i="125" a="1"/>
  <c r="O34" i="125" a="1"/>
  <c r="AA33" i="125" a="1"/>
  <c r="H33" i="125" a="1"/>
  <c r="Q32" i="125" a="1"/>
  <c r="AE31" i="125" a="1"/>
  <c r="N31" i="125" a="1"/>
  <c r="AA30" i="125" a="1"/>
  <c r="J30" i="125" a="1"/>
  <c r="U29" i="125" a="1"/>
  <c r="E29" i="125" a="1"/>
  <c r="T28" i="125" a="1"/>
  <c r="D28" i="125" a="1"/>
  <c r="S27" i="125" a="1"/>
  <c r="AF26" i="125" a="1"/>
  <c r="P26" i="125" a="1"/>
  <c r="AF25" i="125" a="1"/>
  <c r="R25" i="125" a="1"/>
  <c r="D25" i="125" a="1"/>
  <c r="R24" i="125" a="1"/>
  <c r="D24" i="125" a="1"/>
  <c r="T23" i="125" a="1"/>
  <c r="F23" i="125" a="1"/>
  <c r="V22" i="125" a="1"/>
  <c r="F22" i="125" a="1"/>
  <c r="V21" i="125" a="1"/>
  <c r="H21" i="125" a="1"/>
  <c r="X20" i="125" a="1"/>
  <c r="J20" i="125" a="1"/>
  <c r="X19" i="125" a="1"/>
  <c r="J19" i="125" a="1"/>
  <c r="Z18" i="125" a="1"/>
  <c r="AF87" i="125" a="1"/>
  <c r="AE77" i="125" a="1"/>
  <c r="H73" i="125" a="1"/>
  <c r="Q69" i="125" a="1"/>
  <c r="S67" i="125" a="1"/>
  <c r="U65" i="125" a="1"/>
  <c r="W63" i="125" a="1"/>
  <c r="AF61" i="125" a="1"/>
  <c r="M60" i="125" a="1"/>
  <c r="F59" i="125" a="1"/>
  <c r="Z53" i="125" a="1"/>
  <c r="V52" i="125" a="1"/>
  <c r="M51" i="125" a="1"/>
  <c r="H50" i="125" a="1"/>
  <c r="AB48" i="125" a="1"/>
  <c r="W47" i="125" a="1"/>
  <c r="N46" i="125" a="1"/>
  <c r="K45" i="125" a="1"/>
  <c r="D44" i="125" a="1"/>
  <c r="F43" i="125" a="1"/>
  <c r="K42" i="125" a="1"/>
  <c r="S41" i="125" a="1"/>
  <c r="AA40" i="125" a="1"/>
  <c r="I40" i="125" a="1"/>
  <c r="T39" i="125" a="1"/>
  <c r="AF38" i="125" a="1"/>
  <c r="M38" i="125" a="1"/>
  <c r="U35" i="125" a="1"/>
  <c r="C35" i="125" a="1"/>
  <c r="N34" i="125" a="1"/>
  <c r="Z33" i="125" a="1"/>
  <c r="G33" i="125" a="1"/>
  <c r="P32" i="125" a="1"/>
  <c r="AD31" i="125" a="1"/>
  <c r="L31" i="125" a="1"/>
  <c r="Z30" i="125" a="1"/>
  <c r="I30" i="125" a="1"/>
  <c r="T29" i="125" a="1"/>
  <c r="D29" i="125" a="1"/>
  <c r="R28" i="125" a="1"/>
  <c r="C28" i="125" a="1"/>
  <c r="R27" i="125" a="1"/>
  <c r="AD26" i="125" a="1"/>
  <c r="O26" i="125" a="1"/>
  <c r="AE25" i="125" a="1"/>
  <c r="Q25" i="125" a="1"/>
  <c r="C25" i="125" a="1"/>
  <c r="Q24" i="125" a="1"/>
  <c r="C24" i="125" a="1"/>
  <c r="S23" i="125" a="1"/>
  <c r="E23" i="125" a="1"/>
  <c r="U22" i="125" a="1"/>
  <c r="E22" i="125" a="1"/>
  <c r="U21" i="125" a="1"/>
  <c r="G21" i="125" a="1"/>
  <c r="W20" i="125" a="1"/>
  <c r="I20" i="125" a="1"/>
  <c r="W19" i="125" a="1"/>
  <c r="I19" i="125" a="1"/>
  <c r="Y18" i="125" a="1"/>
  <c r="K18" i="125" a="1"/>
  <c r="AA17" i="125" a="1"/>
  <c r="K17" i="125" a="1"/>
  <c r="AA16" i="125" a="1"/>
  <c r="M16" i="125" a="1"/>
  <c r="AC15" i="125" a="1"/>
  <c r="O15" i="125" a="1"/>
  <c r="AC14" i="125" a="1"/>
  <c r="O14" i="125" a="1"/>
  <c r="AE13" i="125" a="1"/>
  <c r="Q13" i="125" a="1"/>
  <c r="C13" i="125" a="1"/>
  <c r="Q12" i="125" a="1"/>
  <c r="C12" i="125" a="1"/>
  <c r="S11" i="125" a="1"/>
  <c r="E11" i="125" a="1"/>
  <c r="U10" i="125" a="1"/>
  <c r="E10" i="125" a="1"/>
  <c r="U9" i="125" a="1"/>
  <c r="G9" i="125" a="1"/>
  <c r="W8" i="125" a="1"/>
  <c r="I8" i="125" a="1"/>
  <c r="W7" i="125" a="1"/>
  <c r="I7" i="125" a="1"/>
  <c r="Y6" i="125" a="1"/>
  <c r="K6" i="125" a="1"/>
  <c r="Z5" i="125" a="1"/>
  <c r="M5" i="125" a="1"/>
  <c r="FI5" i="132" a="1"/>
  <c r="FV5" i="132" a="1"/>
  <c r="GI5" i="132" a="1"/>
  <c r="GV5" i="132" a="1"/>
  <c r="FG6" i="132" a="1"/>
  <c r="FT6" i="132" a="1"/>
  <c r="GG6" i="132" a="1"/>
  <c r="GT6" i="132" a="1"/>
  <c r="HG6" i="132" a="1"/>
  <c r="FR7" i="132" a="1"/>
  <c r="GE7" i="132" a="1"/>
  <c r="GR7" i="132" a="1"/>
  <c r="HD7" i="132" a="1"/>
  <c r="FN8" i="132" a="1"/>
  <c r="FZ8" i="132" a="1"/>
  <c r="GL8" i="132" a="1"/>
  <c r="GX8" i="132" a="1"/>
  <c r="FH9" i="132" a="1"/>
  <c r="FT9" i="132" a="1"/>
  <c r="GF9" i="132" a="1"/>
  <c r="GR9" i="132" a="1"/>
  <c r="HD9" i="132" a="1"/>
  <c r="FN11" i="132" a="1"/>
  <c r="FZ11" i="132" a="1"/>
  <c r="GL11" i="132" a="1"/>
  <c r="GX11" i="132" a="1"/>
  <c r="FH12" i="132" a="1"/>
  <c r="FT12" i="132" a="1"/>
  <c r="GF12" i="132" a="1"/>
  <c r="GR12" i="132" a="1"/>
  <c r="HD12" i="132" a="1"/>
  <c r="FN13" i="132" a="1"/>
  <c r="FZ13" i="132" a="1"/>
  <c r="GL13" i="132" a="1"/>
  <c r="GX13" i="132" a="1"/>
  <c r="FH14" i="132" a="1"/>
  <c r="FT14" i="132" a="1"/>
  <c r="GF14" i="132" a="1"/>
  <c r="GR14" i="132" a="1"/>
  <c r="P87" i="125" a="1"/>
  <c r="V77" i="125" a="1"/>
  <c r="G73" i="125" a="1"/>
  <c r="M69" i="125" a="1"/>
  <c r="P67" i="125" a="1"/>
  <c r="R65" i="125" a="1"/>
  <c r="T63" i="125" a="1"/>
  <c r="Z61" i="125" a="1"/>
  <c r="J60" i="125" a="1"/>
  <c r="D59" i="125" a="1"/>
  <c r="Y53" i="125" a="1"/>
  <c r="T52" i="125" a="1"/>
  <c r="J51" i="125" a="1"/>
  <c r="E50" i="125" a="1"/>
  <c r="Z48" i="125" a="1"/>
  <c r="T47" i="125" a="1"/>
  <c r="M46" i="125" a="1"/>
  <c r="H45" i="125" a="1"/>
  <c r="AF43" i="125" a="1"/>
  <c r="D43" i="125" a="1"/>
  <c r="J42" i="125" a="1"/>
  <c r="O41" i="125" a="1"/>
  <c r="Z40" i="125" a="1"/>
  <c r="H40" i="125" a="1"/>
  <c r="S39" i="125" a="1"/>
  <c r="Z86" i="125" a="1"/>
  <c r="P77" i="125" a="1"/>
  <c r="AE72" i="125" a="1"/>
  <c r="K69" i="125" a="1"/>
  <c r="N67" i="125" a="1"/>
  <c r="Q65" i="125" a="1"/>
  <c r="S63" i="125" a="1"/>
  <c r="V61" i="125" a="1"/>
  <c r="H60" i="125" a="1"/>
  <c r="Y54" i="125" a="1"/>
  <c r="T53" i="125" a="1"/>
  <c r="L52" i="125" a="1"/>
  <c r="G51" i="125" a="1"/>
  <c r="AB49" i="125" a="1"/>
  <c r="W48" i="125" a="1"/>
  <c r="M47" i="125" a="1"/>
  <c r="G46" i="125" a="1"/>
  <c r="G45" i="125" a="1"/>
  <c r="AE43" i="125" a="1"/>
  <c r="AF42" i="125" a="1"/>
  <c r="G42" i="125" a="1"/>
  <c r="N41" i="125" a="1"/>
  <c r="Y40" i="125" a="1"/>
  <c r="F40" i="125" a="1"/>
  <c r="R39" i="125" a="1"/>
  <c r="AB38" i="125" a="1"/>
  <c r="AA57" i="1" s="1"/>
  <c r="AA59" i="1" s="1"/>
  <c r="H38" i="125" a="1"/>
  <c r="S35" i="125" a="1"/>
  <c r="AD34" i="125" a="1"/>
  <c r="L34" i="125" a="1"/>
  <c r="V33" i="125" a="1"/>
  <c r="Y82" i="125" a="1"/>
  <c r="T75" i="125" a="1"/>
  <c r="Y71" i="125" a="1"/>
  <c r="X68" i="125" a="1"/>
  <c r="Z66" i="125" a="1"/>
  <c r="AB64" i="125" a="1"/>
  <c r="AE62" i="125" a="1"/>
  <c r="H61" i="125" a="1"/>
  <c r="AC59" i="125" a="1"/>
  <c r="S54" i="125" a="1"/>
  <c r="M53" i="125" a="1"/>
  <c r="E52" i="125" a="1"/>
  <c r="AC50" i="125" a="1"/>
  <c r="U49" i="125" a="1"/>
  <c r="P48" i="125" a="1"/>
  <c r="F47" i="125" a="1"/>
  <c r="AF45" i="125" a="1"/>
  <c r="X44" i="125" a="1"/>
  <c r="W43" i="125" a="1"/>
  <c r="Z42" i="125" a="1"/>
  <c r="AB41" i="125" a="1"/>
  <c r="I41" i="125" a="1"/>
  <c r="U40" i="125" a="1"/>
  <c r="AF39" i="125" a="1"/>
  <c r="J39" i="125" a="1"/>
  <c r="V38" i="125" a="1"/>
  <c r="C38" i="125" a="1"/>
  <c r="O35" i="125" a="1"/>
  <c r="Z34" i="125" a="1"/>
  <c r="D34" i="125" a="1"/>
  <c r="P33" i="125" a="1"/>
  <c r="AA32" i="125" a="1"/>
  <c r="J32" i="125" a="1"/>
  <c r="W31" i="125" a="1"/>
  <c r="D31" i="125" a="1"/>
  <c r="Q30" i="125" a="1"/>
  <c r="AE29" i="125" a="1"/>
  <c r="N29" i="125" a="1"/>
  <c r="AB28" i="125" a="1"/>
  <c r="K28" i="125" a="1"/>
  <c r="Z27" i="125" a="1"/>
  <c r="J27" i="125" a="1"/>
  <c r="Y26" i="125" a="1"/>
  <c r="J26" i="125" a="1"/>
  <c r="X25" i="125" a="1"/>
  <c r="J25" i="125" a="1"/>
  <c r="Z24" i="125" a="1"/>
  <c r="L24" i="125" a="1"/>
  <c r="AB23" i="125" a="1"/>
  <c r="L23" i="125" a="1"/>
  <c r="AB22" i="125" a="1"/>
  <c r="AA54" i="1" s="1"/>
  <c r="N22" i="125" a="1"/>
  <c r="AD21" i="125" a="1"/>
  <c r="P21" i="125" a="1"/>
  <c r="AD20" i="125" a="1"/>
  <c r="P20" i="125" a="1"/>
  <c r="AF19" i="125" a="1"/>
  <c r="R19" i="125" a="1"/>
  <c r="D19" i="125" a="1"/>
  <c r="R18" i="125" a="1"/>
  <c r="D18" i="125" a="1"/>
  <c r="T17" i="125" a="1"/>
  <c r="F17" i="125" a="1"/>
  <c r="V16" i="125" a="1"/>
  <c r="F16" i="125" a="1"/>
  <c r="V15" i="125" a="1"/>
  <c r="H15" i="125" a="1"/>
  <c r="X14" i="125" a="1"/>
  <c r="J14" i="125" a="1"/>
  <c r="X13" i="125" a="1"/>
  <c r="J13" i="125" a="1"/>
  <c r="Z12" i="125" a="1"/>
  <c r="L12" i="125" a="1"/>
  <c r="AB11" i="125" a="1"/>
  <c r="AA36" i="1" s="1"/>
  <c r="L11" i="125" a="1"/>
  <c r="AB10" i="125" a="1"/>
  <c r="AA30" i="1" s="1"/>
  <c r="N10" i="125" a="1"/>
  <c r="AD9" i="125" a="1"/>
  <c r="P9" i="125" a="1"/>
  <c r="AD8" i="125" a="1"/>
  <c r="P8" i="125" a="1"/>
  <c r="AF7" i="125" a="1"/>
  <c r="R7" i="125" a="1"/>
  <c r="D7" i="125" a="1"/>
  <c r="R6" i="125" a="1"/>
  <c r="D6" i="125" a="1"/>
  <c r="T5" i="125" a="1"/>
  <c r="G5" i="125" a="1"/>
  <c r="FN5" i="132" a="1"/>
  <c r="GA5" i="132" a="1"/>
  <c r="GN5" i="132" a="1"/>
  <c r="HA5" i="132" a="1"/>
  <c r="FL6" i="132" a="1"/>
  <c r="FY6" i="132" a="1"/>
  <c r="GM6" i="132" a="1"/>
  <c r="GZ6" i="132" a="1"/>
  <c r="FK7" i="132" a="1"/>
  <c r="FX7" i="132" a="1"/>
  <c r="GK7" i="132" a="1"/>
  <c r="GW7" i="132" a="1"/>
  <c r="FG8" i="132" a="1"/>
  <c r="FS8" i="132" a="1"/>
  <c r="GE8" i="132" a="1"/>
  <c r="GQ8" i="132" a="1"/>
  <c r="HC8" i="132" a="1"/>
  <c r="FM9" i="132" a="1"/>
  <c r="FY9" i="132" a="1"/>
  <c r="GK9" i="132" a="1"/>
  <c r="GW9" i="132" a="1"/>
  <c r="FG11" i="132" a="1"/>
  <c r="FS11" i="132" a="1"/>
  <c r="GE11" i="132" a="1"/>
  <c r="GQ11" i="132" a="1"/>
  <c r="HC11" i="132" a="1"/>
  <c r="FM12" i="132" a="1"/>
  <c r="FY12" i="132" a="1"/>
  <c r="GK12" i="132" a="1"/>
  <c r="GW12" i="132" a="1"/>
  <c r="FG13" i="132" a="1"/>
  <c r="FS13" i="132" a="1"/>
  <c r="GE13" i="132" a="1"/>
  <c r="GQ13" i="132" a="1"/>
  <c r="HC13" i="132" a="1"/>
  <c r="FM14" i="132" a="1"/>
  <c r="FY14" i="132" a="1"/>
  <c r="GK14" i="132" a="1"/>
  <c r="GW14" i="132" a="1"/>
  <c r="G81" i="125" a="1"/>
  <c r="AB80" i="125" a="1"/>
  <c r="E75" i="125" a="1"/>
  <c r="I71" i="125" a="1"/>
  <c r="N68" i="125" a="1"/>
  <c r="P66" i="125" a="1"/>
  <c r="S64" i="125" a="1"/>
  <c r="V62" i="125" a="1"/>
  <c r="D61" i="125" a="1"/>
  <c r="R59" i="125" a="1"/>
  <c r="N92" i="125" a="1"/>
  <c r="J72" i="125" a="1"/>
  <c r="E67" i="125" a="1"/>
  <c r="I63" i="125" a="1"/>
  <c r="AF59" i="125" a="1"/>
  <c r="AE53" i="125" a="1"/>
  <c r="AB51" i="125" a="1"/>
  <c r="Q49" i="125" a="1"/>
  <c r="K47" i="125" a="1"/>
  <c r="R45" i="125" a="1"/>
  <c r="T43" i="125" a="1"/>
  <c r="AD41" i="125" a="1"/>
  <c r="C41" i="125" a="1"/>
  <c r="Z39" i="125" a="1"/>
  <c r="X38" i="125" a="1"/>
  <c r="AB35" i="125" a="1"/>
  <c r="AA34" i="125" a="1"/>
  <c r="AD33" i="125" a="1"/>
  <c r="AD32" i="125" a="1"/>
  <c r="H32" i="125" a="1"/>
  <c r="O31" i="125" a="1"/>
  <c r="T30" i="125" a="1"/>
  <c r="AB29" i="125" a="1"/>
  <c r="F29" i="125" a="1"/>
  <c r="O28" i="125" a="1"/>
  <c r="W27" i="125" a="1"/>
  <c r="E27" i="125" a="1"/>
  <c r="L26" i="125" a="1"/>
  <c r="V25" i="125" a="1"/>
  <c r="E25" i="125" a="1"/>
  <c r="N24" i="125" a="1"/>
  <c r="X23" i="125" a="1"/>
  <c r="G23" i="125" a="1"/>
  <c r="P22" i="125" a="1"/>
  <c r="AB21" i="125" a="1"/>
  <c r="I21" i="125" a="1"/>
  <c r="R20" i="125" a="1"/>
  <c r="AD19" i="125" a="1"/>
  <c r="K19" i="125" a="1"/>
  <c r="V18" i="125" a="1"/>
  <c r="C18" i="125" a="1"/>
  <c r="Q17" i="125" a="1"/>
  <c r="AC16" i="125" a="1"/>
  <c r="L16" i="125" a="1"/>
  <c r="X15" i="125" a="1"/>
  <c r="G15" i="125" a="1"/>
  <c r="U14" i="125" a="1"/>
  <c r="C14" i="125" a="1"/>
  <c r="P13" i="125" a="1"/>
  <c r="AB12" i="125" a="1"/>
  <c r="AA35" i="1" s="1"/>
  <c r="K12" i="125" a="1"/>
  <c r="W11" i="125" a="1"/>
  <c r="G11" i="125" a="1"/>
  <c r="R10" i="125" a="1"/>
  <c r="AF9" i="125" a="1"/>
  <c r="O9" i="125" a="1"/>
  <c r="AA8" i="125" a="1"/>
  <c r="K8" i="125" a="1"/>
  <c r="V7" i="125" a="1"/>
  <c r="F7" i="125" a="1"/>
  <c r="Q6" i="125" a="1"/>
  <c r="AD5" i="125" a="1"/>
  <c r="O5" i="125" a="1"/>
  <c r="FJ5" i="132" a="1"/>
  <c r="FY5" i="132" a="1"/>
  <c r="GO5" i="132" a="1"/>
  <c r="HE5" i="132" a="1"/>
  <c r="FR6" i="132" a="1"/>
  <c r="GH6" i="132" a="1"/>
  <c r="GW6" i="132" a="1"/>
  <c r="FL7" i="132" a="1"/>
  <c r="GA7" i="132" a="1"/>
  <c r="GP7" i="132" a="1"/>
  <c r="HE7" i="132" a="1"/>
  <c r="FQ8" i="132" a="1"/>
  <c r="GF8" i="132" a="1"/>
  <c r="GT8" i="132" a="1"/>
  <c r="HH8" i="132" a="1"/>
  <c r="FU9" i="132" a="1"/>
  <c r="GI9" i="132" a="1"/>
  <c r="GX9" i="132" a="1"/>
  <c r="FJ11" i="132" a="1"/>
  <c r="FX11" i="132" a="1"/>
  <c r="GM11" i="132" a="1"/>
  <c r="HA11" i="132" a="1"/>
  <c r="FN12" i="132" a="1"/>
  <c r="GB12" i="132" a="1"/>
  <c r="GP12" i="132" a="1"/>
  <c r="HE12" i="132" a="1"/>
  <c r="FQ13" i="132" a="1"/>
  <c r="GF13" i="132" a="1"/>
  <c r="GT13" i="132" a="1"/>
  <c r="HH13" i="132" a="1"/>
  <c r="FU14" i="132" a="1"/>
  <c r="GI14" i="132" a="1"/>
  <c r="GX14" i="132" a="1"/>
  <c r="FH15" i="132" a="1"/>
  <c r="FT15" i="132" a="1"/>
  <c r="GF15" i="132" a="1"/>
  <c r="GR15" i="132" a="1"/>
  <c r="HD15" i="132" a="1"/>
  <c r="FN16" i="132" a="1"/>
  <c r="FZ16" i="132" a="1"/>
  <c r="GL16" i="132" a="1"/>
  <c r="GX16" i="132" a="1"/>
  <c r="FD13" i="132" a="1"/>
  <c r="GJ14" i="132" a="1"/>
  <c r="GY14" i="132" a="1"/>
  <c r="FI15" i="132" a="1"/>
  <c r="GS15" i="132" a="1"/>
  <c r="FO16" i="132" a="1"/>
  <c r="GA16" i="132" a="1"/>
  <c r="GM16" i="132" a="1"/>
  <c r="GY16" i="132" a="1"/>
  <c r="FD8" i="132" a="1"/>
  <c r="FD11" i="132" a="1"/>
  <c r="F8" i="125" a="1"/>
  <c r="C7" i="125" a="1"/>
  <c r="O6" i="125" a="1"/>
  <c r="AB5" i="125" a="1"/>
  <c r="K5" i="125" a="1"/>
  <c r="FL5" i="132" a="1"/>
  <c r="GB5" i="132" a="1"/>
  <c r="GQ5" i="132" a="1"/>
  <c r="HG5" i="132" a="1"/>
  <c r="FU6" i="132" a="1"/>
  <c r="GJ6" i="132" a="1"/>
  <c r="HA6" i="132" a="1"/>
  <c r="FN7" i="132" a="1"/>
  <c r="GC7" i="132" a="1"/>
  <c r="GS7" i="132" a="1"/>
  <c r="HG7" i="132" a="1"/>
  <c r="FT8" i="132" a="1"/>
  <c r="GH8" i="132" a="1"/>
  <c r="GV8" i="132" a="1"/>
  <c r="FI9" i="132" a="1"/>
  <c r="FW9" i="132" a="1"/>
  <c r="GL9" i="132" a="1"/>
  <c r="GZ9" i="132" a="1"/>
  <c r="FL11" i="132" a="1"/>
  <c r="GA11" i="132" a="1"/>
  <c r="GO11" i="132" a="1"/>
  <c r="HD11" i="132" a="1"/>
  <c r="FP12" i="132" a="1"/>
  <c r="GS12" i="132" a="1"/>
  <c r="HG12" i="132" a="1"/>
  <c r="FT13" i="132" a="1"/>
  <c r="GH13" i="132" a="1"/>
  <c r="FI14" i="132" a="1"/>
  <c r="GL14" i="132" a="1"/>
  <c r="GZ14" i="132" a="1"/>
  <c r="FJ15" i="132" a="1"/>
  <c r="FV15" i="132" a="1"/>
  <c r="GH15" i="132" a="1"/>
  <c r="GT15" i="132" a="1"/>
  <c r="HF15" i="132" a="1"/>
  <c r="FP16" i="132" a="1"/>
  <c r="GB16" i="132" a="1"/>
  <c r="GN16" i="132" a="1"/>
  <c r="GZ16" i="132" a="1"/>
  <c r="FD16" i="132" a="1"/>
  <c r="FE16" i="132" a="1"/>
  <c r="FQ12" i="132" a="1"/>
  <c r="GE12" i="132" a="1"/>
  <c r="GT12" i="132" a="1"/>
  <c r="HH12" i="132" a="1"/>
  <c r="FU13" i="132" a="1"/>
  <c r="GI13" i="132" a="1"/>
  <c r="GW13" i="132" a="1"/>
  <c r="FJ14" i="132" a="1"/>
  <c r="FX14" i="132" a="1"/>
  <c r="GM14" i="132" a="1"/>
  <c r="HA14" i="132" a="1"/>
  <c r="FK15" i="132" a="1"/>
  <c r="FW15" i="132" a="1"/>
  <c r="GI15" i="132" a="1"/>
  <c r="GU15" i="132" a="1"/>
  <c r="HG15" i="132" a="1"/>
  <c r="FQ16" i="132" a="1"/>
  <c r="GC16" i="132" a="1"/>
  <c r="GO16" i="132" a="1"/>
  <c r="HA16" i="132" a="1"/>
  <c r="FE9" i="132" a="1"/>
  <c r="FD15" i="132" a="1"/>
  <c r="HB9" i="132" a="1"/>
  <c r="FR12" i="132" a="1"/>
  <c r="N84" i="125" a="1"/>
  <c r="AF71" i="125" a="1"/>
  <c r="AC66" i="125" a="1"/>
  <c r="E63" i="125" a="1"/>
  <c r="AE59" i="125" a="1"/>
  <c r="S53" i="125" a="1"/>
  <c r="Y51" i="125" a="1"/>
  <c r="P49" i="125" a="1"/>
  <c r="I47" i="125" a="1"/>
  <c r="P45" i="125" a="1"/>
  <c r="R43" i="125" a="1"/>
  <c r="AA41" i="125" a="1"/>
  <c r="X40" i="125" a="1"/>
  <c r="X39" i="125" a="1"/>
  <c r="U38" i="125" a="1"/>
  <c r="AA35" i="125" a="1"/>
  <c r="Y34" i="125" a="1"/>
  <c r="AB33" i="125" a="1"/>
  <c r="AB32" i="125" a="1"/>
  <c r="F32" i="125" a="1"/>
  <c r="K31" i="125" a="1"/>
  <c r="R30" i="125" a="1"/>
  <c r="AA29" i="125" a="1"/>
  <c r="C29" i="125" a="1"/>
  <c r="N28" i="125" a="1"/>
  <c r="V27" i="125" a="1"/>
  <c r="AC26" i="125" a="1"/>
  <c r="K26" i="125" a="1"/>
  <c r="U25" i="125" a="1"/>
  <c r="AD24" i="125" a="1"/>
  <c r="M24" i="125" a="1"/>
  <c r="W23" i="125" a="1"/>
  <c r="D23" i="125" a="1"/>
  <c r="O22" i="125" a="1"/>
  <c r="AA21" i="125" a="1"/>
  <c r="F21" i="125" a="1"/>
  <c r="Q20" i="125" a="1"/>
  <c r="AC19" i="125" a="1"/>
  <c r="H19" i="125" a="1"/>
  <c r="U18" i="125" a="1"/>
  <c r="AF17" i="125" a="1"/>
  <c r="P17" i="125" a="1"/>
  <c r="AB16" i="125" a="1"/>
  <c r="K16" i="125" a="1"/>
  <c r="W15" i="125" a="1"/>
  <c r="F15" i="125" a="1"/>
  <c r="R14" i="125" a="1"/>
  <c r="AF13" i="125" a="1"/>
  <c r="O13" i="125" a="1"/>
  <c r="AA12" i="125" a="1"/>
  <c r="J12" i="125" a="1"/>
  <c r="V11" i="125" a="1"/>
  <c r="F11" i="125" a="1"/>
  <c r="Q10" i="125" a="1"/>
  <c r="AE9" i="125" a="1"/>
  <c r="L9" i="125" a="1"/>
  <c r="Z8" i="125" a="1"/>
  <c r="J8" i="125" a="1"/>
  <c r="U7" i="125" a="1"/>
  <c r="E7" i="125" a="1"/>
  <c r="P6" i="125" a="1"/>
  <c r="AC5" i="125" a="1"/>
  <c r="N5" i="125" a="1"/>
  <c r="FK5" i="132" a="1"/>
  <c r="FZ5" i="132" a="1"/>
  <c r="GP5" i="132" a="1"/>
  <c r="HF5" i="132" a="1"/>
  <c r="FS6" i="132" a="1"/>
  <c r="GI6" i="132" a="1"/>
  <c r="GY6" i="132" a="1"/>
  <c r="FM7" i="132" a="1"/>
  <c r="GB7" i="132" a="1"/>
  <c r="GQ7" i="132" a="1"/>
  <c r="HF7" i="132" a="1"/>
  <c r="FR8" i="132" a="1"/>
  <c r="GG8" i="132" a="1"/>
  <c r="GU8" i="132" a="1"/>
  <c r="FG9" i="132" a="1"/>
  <c r="FV9" i="132" a="1"/>
  <c r="GJ9" i="132" a="1"/>
  <c r="GY9" i="132" a="1"/>
  <c r="FK11" i="132" a="1"/>
  <c r="FY11" i="132" a="1"/>
  <c r="GN11" i="132" a="1"/>
  <c r="HB11" i="132" a="1"/>
  <c r="FO12" i="132" a="1"/>
  <c r="GC12" i="132" a="1"/>
  <c r="GQ12" i="132" a="1"/>
  <c r="HF12" i="132" a="1"/>
  <c r="FR13" i="132" a="1"/>
  <c r="GG13" i="132" a="1"/>
  <c r="GU13" i="132" a="1"/>
  <c r="FG14" i="132" a="1"/>
  <c r="FV14" i="132" a="1"/>
  <c r="FU15" i="132" a="1"/>
  <c r="GG15" i="132" a="1"/>
  <c r="HE15" i="132" a="1"/>
  <c r="T7" i="125" a="1"/>
  <c r="GD12" i="132" a="1"/>
  <c r="GV13" i="132" a="1"/>
  <c r="FW14" i="132" a="1"/>
  <c r="J83" i="125" a="1"/>
  <c r="J71" i="125" a="1"/>
  <c r="T66" i="125" a="1"/>
  <c r="Y62" i="125" a="1"/>
  <c r="T59" i="125" a="1"/>
  <c r="Q53" i="125" a="1"/>
  <c r="P51" i="125" a="1"/>
  <c r="M49" i="125" a="1"/>
  <c r="D47" i="125" a="1"/>
  <c r="AC44" i="125" a="1"/>
  <c r="J43" i="125" a="1"/>
  <c r="Z41" i="125" a="1"/>
  <c r="V40" i="125" a="1"/>
  <c r="V39" i="125" a="1"/>
  <c r="T38" i="125" a="1"/>
  <c r="T35" i="125" a="1"/>
  <c r="U34" i="125" a="1"/>
  <c r="X33" i="125" a="1"/>
  <c r="Z32" i="125" a="1"/>
  <c r="C32" i="125" a="1"/>
  <c r="J31" i="125" a="1"/>
  <c r="P30" i="125" a="1"/>
  <c r="Z29" i="125" a="1"/>
  <c r="AF28" i="125" a="1"/>
  <c r="J28" i="125" a="1"/>
  <c r="U27" i="125" a="1"/>
  <c r="AB26" i="125" a="1"/>
  <c r="AA49" i="1" s="1"/>
  <c r="I26" i="125" a="1"/>
  <c r="T25" i="125" a="1"/>
  <c r="AC24" i="125" a="1"/>
  <c r="K24" i="125" a="1"/>
  <c r="V23" i="125" a="1"/>
  <c r="C23" i="125" a="1"/>
  <c r="M22" i="125" a="1"/>
  <c r="X21" i="125" a="1"/>
  <c r="E21" i="125" a="1"/>
  <c r="O20" i="125" a="1"/>
  <c r="AB19" i="125" a="1"/>
  <c r="AA44" i="1" s="1"/>
  <c r="G19" i="125" a="1"/>
  <c r="Q18" i="125" a="1"/>
  <c r="AE17" i="125" a="1"/>
  <c r="O17" i="125" a="1"/>
  <c r="Z16" i="125" a="1"/>
  <c r="J16" i="125" a="1"/>
  <c r="U15" i="125" a="1"/>
  <c r="E15" i="125" a="1"/>
  <c r="Q14" i="125" a="1"/>
  <c r="AD13" i="125" a="1"/>
  <c r="L13" i="125" a="1"/>
  <c r="Y12" i="125" a="1"/>
  <c r="I12" i="125" a="1"/>
  <c r="U11" i="125" a="1"/>
  <c r="D11" i="125" a="1"/>
  <c r="P10" i="125" a="1"/>
  <c r="AC9" i="125" a="1"/>
  <c r="K9" i="125" a="1"/>
  <c r="Y8" i="125" a="1"/>
  <c r="V80" i="125" a="1"/>
  <c r="D71" i="125" a="1"/>
  <c r="O66" i="125" a="1"/>
  <c r="T62" i="125" a="1"/>
  <c r="Q59" i="125" a="1"/>
  <c r="F53" i="125" a="1"/>
  <c r="E51" i="125" a="1"/>
  <c r="J49" i="125" a="1"/>
  <c r="AE46" i="125" a="1"/>
  <c r="AA44" i="125" a="1"/>
  <c r="I43" i="125" a="1"/>
  <c r="X41" i="125" a="1"/>
  <c r="T40" i="125" a="1"/>
  <c r="P39" i="125" a="1"/>
  <c r="R38" i="125" a="1"/>
  <c r="R35" i="125" a="1"/>
  <c r="T34" i="125" a="1"/>
  <c r="S33" i="125" a="1"/>
  <c r="Y32" i="125" a="1"/>
  <c r="AF31" i="125" a="1"/>
  <c r="I31" i="125" a="1"/>
  <c r="O30" i="125" a="1"/>
  <c r="X29" i="125" a="1"/>
  <c r="AD28" i="125" a="1"/>
  <c r="I28" i="125" a="1"/>
  <c r="T27" i="125" a="1"/>
  <c r="AA26" i="125" a="1"/>
  <c r="F26" i="125" a="1"/>
  <c r="S25" i="125" a="1"/>
  <c r="AB24" i="125" a="1"/>
  <c r="J24" i="125" a="1"/>
  <c r="U23" i="125" a="1"/>
  <c r="AD22" i="125" a="1"/>
  <c r="L22" i="125" a="1"/>
  <c r="W21" i="125" a="1"/>
  <c r="D21" i="125" a="1"/>
  <c r="N20" i="125" a="1"/>
  <c r="AA19" i="125" a="1"/>
  <c r="F19" i="125" a="1"/>
  <c r="P18" i="125" a="1"/>
  <c r="AD17" i="125" a="1"/>
  <c r="L17" i="125" a="1"/>
  <c r="Y16" i="125" a="1"/>
  <c r="I16" i="125" a="1"/>
  <c r="T15" i="125" a="1"/>
  <c r="D15" i="125" a="1"/>
  <c r="P14" i="125" a="1"/>
  <c r="AC13" i="125" a="1"/>
  <c r="K13" i="125" a="1"/>
  <c r="X12" i="125" a="1"/>
  <c r="F12" i="125" a="1"/>
  <c r="T11" i="125" a="1"/>
  <c r="C11" i="125" a="1"/>
  <c r="O10" i="125" a="1"/>
  <c r="AB9" i="125" a="1"/>
  <c r="J9" i="125" a="1"/>
  <c r="X8" i="125" a="1"/>
  <c r="E8" i="125" a="1"/>
  <c r="S7" i="125" a="1"/>
  <c r="AD6" i="125" a="1"/>
  <c r="N6" i="125" a="1"/>
  <c r="AA5" i="125" a="1"/>
  <c r="J5" i="125" a="1"/>
  <c r="FM5" i="132" a="1"/>
  <c r="GC5" i="132" a="1"/>
  <c r="GS5" i="132" a="1"/>
  <c r="HH5" i="132" a="1"/>
  <c r="FV6" i="132" a="1"/>
  <c r="GK6" i="132" a="1"/>
  <c r="HB6" i="132" a="1"/>
  <c r="FO7" i="132" a="1"/>
  <c r="GD7" i="132" a="1"/>
  <c r="GT7" i="132" a="1"/>
  <c r="HH7" i="132" a="1"/>
  <c r="FU8" i="132" a="1"/>
  <c r="GI8" i="132" a="1"/>
  <c r="GW8" i="132" a="1"/>
  <c r="FJ9" i="132" a="1"/>
  <c r="FX9" i="132" a="1"/>
  <c r="GM9" i="132" a="1"/>
  <c r="HA9" i="132" a="1"/>
  <c r="FM11" i="132" a="1"/>
  <c r="GB11" i="132" a="1"/>
  <c r="GP11" i="132" a="1"/>
  <c r="HE11" i="132" a="1"/>
  <c r="S79" i="125" a="1"/>
  <c r="L70" i="125" a="1"/>
  <c r="E66" i="125" a="1"/>
  <c r="K62" i="125" a="1"/>
  <c r="N59" i="125" a="1"/>
  <c r="E53" i="125" a="1"/>
  <c r="AE50" i="125" a="1"/>
  <c r="AF48" i="125" a="1"/>
  <c r="AB46" i="125" a="1"/>
  <c r="AA89" i="1" s="1"/>
  <c r="W44" i="125" a="1"/>
  <c r="AE42" i="125" a="1"/>
  <c r="V41" i="125" a="1"/>
  <c r="R40" i="125" a="1"/>
  <c r="O39" i="125" a="1"/>
  <c r="P38" i="125" a="1"/>
  <c r="P35" i="125" a="1"/>
  <c r="R34" i="125" a="1"/>
  <c r="R33" i="125" a="1"/>
  <c r="X32" i="125" a="1"/>
  <c r="AB31" i="125" a="1"/>
  <c r="H31" i="125" a="1"/>
  <c r="N30" i="125" a="1"/>
  <c r="S29" i="125" a="1"/>
  <c r="AC28" i="125" a="1"/>
  <c r="H28" i="125" a="1"/>
  <c r="O27" i="125" a="1"/>
  <c r="Z26" i="125" a="1"/>
  <c r="E26" i="125" a="1"/>
  <c r="P25" i="125" a="1"/>
  <c r="AA24" i="125" a="1"/>
  <c r="I24" i="125" a="1"/>
  <c r="R23" i="125" a="1"/>
  <c r="AC22" i="125" a="1"/>
  <c r="K22" i="125" a="1"/>
  <c r="T21" i="125" a="1"/>
  <c r="C21" i="125" a="1"/>
  <c r="M20" i="125" a="1"/>
  <c r="V19" i="125" a="1"/>
  <c r="E19" i="125" a="1"/>
  <c r="O18" i="125" a="1"/>
  <c r="AC17" i="125" a="1"/>
  <c r="J17" i="125" a="1"/>
  <c r="X16" i="125" a="1"/>
  <c r="E16" i="125" a="1"/>
  <c r="S15" i="125" a="1"/>
  <c r="C15" i="125" a="1"/>
  <c r="N14" i="125" a="1"/>
  <c r="AB13" i="125" a="1"/>
  <c r="AA40" i="1" s="1"/>
  <c r="I13" i="125" a="1"/>
  <c r="W12" i="125" a="1"/>
  <c r="E12" i="125" a="1"/>
  <c r="R11" i="125" a="1"/>
  <c r="AD10" i="125" a="1"/>
  <c r="M10" i="125" a="1"/>
  <c r="AA9" i="125" a="1"/>
  <c r="I9" i="125" a="1"/>
  <c r="V8" i="125" a="1"/>
  <c r="D8" i="125" a="1"/>
  <c r="Q7" i="125" a="1"/>
  <c r="AC6" i="125" a="1"/>
  <c r="M6" i="125" a="1"/>
  <c r="Y5" i="125" a="1"/>
  <c r="I5" i="125" a="1"/>
  <c r="FO5" i="132" a="1"/>
  <c r="GD5" i="132" a="1"/>
  <c r="GT5" i="132" a="1"/>
  <c r="FH6" i="132" a="1"/>
  <c r="FW6" i="132" a="1"/>
  <c r="GN6" i="132" a="1"/>
  <c r="HC6" i="132" a="1"/>
  <c r="FP7" i="132" a="1"/>
  <c r="GG7" i="132" a="1"/>
  <c r="GU7" i="132" a="1"/>
  <c r="FH8" i="132" a="1"/>
  <c r="FV8" i="132" a="1"/>
  <c r="GJ8" i="132" a="1"/>
  <c r="GY8" i="132" a="1"/>
  <c r="FK9" i="132" a="1"/>
  <c r="FZ9" i="132" a="1"/>
  <c r="GN9" i="132" a="1"/>
  <c r="FO11" i="132" a="1"/>
  <c r="GC11" i="132" a="1"/>
  <c r="GR11" i="132" a="1"/>
  <c r="HF11" i="132" a="1"/>
  <c r="GG12" i="132" a="1"/>
  <c r="D79" i="125" a="1"/>
  <c r="D70" i="125" a="1"/>
  <c r="AE65" i="125" a="1"/>
  <c r="G62" i="125" a="1"/>
  <c r="I59" i="125" a="1"/>
  <c r="AF52" i="125" a="1"/>
  <c r="W50" i="125" a="1"/>
  <c r="S48" i="125" a="1"/>
  <c r="AA46" i="125" a="1"/>
  <c r="V44" i="125" a="1"/>
  <c r="AC42" i="125" a="1"/>
  <c r="U41" i="125" a="1"/>
  <c r="P40" i="125" a="1"/>
  <c r="I39" i="125" a="1"/>
  <c r="O38" i="125" a="1"/>
  <c r="N35" i="125" a="1"/>
  <c r="P34" i="125" a="1"/>
  <c r="O33" i="125" a="1"/>
  <c r="V32" i="125" a="1"/>
  <c r="AA31" i="125" a="1"/>
  <c r="C31" i="125" a="1"/>
  <c r="M30" i="125" a="1"/>
  <c r="R29" i="125" a="1"/>
  <c r="AA28" i="125" a="1"/>
  <c r="F28" i="125" a="1"/>
  <c r="N27" i="125" a="1"/>
  <c r="X26" i="125" a="1"/>
  <c r="D26" i="125" a="1"/>
  <c r="O25" i="125" a="1"/>
  <c r="Y24" i="125" a="1"/>
  <c r="F24" i="125" a="1"/>
  <c r="Q23" i="125" a="1"/>
  <c r="AA22" i="125" a="1"/>
  <c r="J22" i="125" a="1"/>
  <c r="S21" i="125" a="1"/>
  <c r="AC20" i="125" a="1"/>
  <c r="L20" i="125" a="1"/>
  <c r="U19" i="125" a="1"/>
  <c r="C19" i="125" a="1"/>
  <c r="N18" i="125" a="1"/>
  <c r="AB17" i="125" a="1"/>
  <c r="AA37" i="1" s="1"/>
  <c r="I17" i="125" a="1"/>
  <c r="W16" i="125" a="1"/>
  <c r="D16" i="125" a="1"/>
  <c r="R15" i="125" a="1"/>
  <c r="AD14" i="125" a="1"/>
  <c r="M14" i="125" a="1"/>
  <c r="AA13" i="125" a="1"/>
  <c r="H13" i="125" a="1"/>
  <c r="V12" i="125" a="1"/>
  <c r="D12" i="125" a="1"/>
  <c r="Q11" i="125" a="1"/>
  <c r="AC10" i="125" a="1"/>
  <c r="L10" i="125" a="1"/>
  <c r="X9" i="125" a="1"/>
  <c r="H9" i="125" a="1"/>
  <c r="U8" i="125" a="1"/>
  <c r="C8" i="125" a="1"/>
  <c r="P7" i="125" a="1"/>
  <c r="AB6" i="125" a="1"/>
  <c r="L6" i="125" a="1"/>
  <c r="W5" i="125" a="1"/>
  <c r="H5" i="125" a="1"/>
  <c r="FP5" i="132" a="1"/>
  <c r="GE5" i="132" a="1"/>
  <c r="GU5" i="132" a="1"/>
  <c r="FI6" i="132" a="1"/>
  <c r="FX6" i="132" a="1"/>
  <c r="GO6" i="132" a="1"/>
  <c r="HD6" i="132" a="1"/>
  <c r="FQ7" i="132" a="1"/>
  <c r="GH7" i="132" a="1"/>
  <c r="GV7" i="132" a="1"/>
  <c r="FI8" i="132" a="1"/>
  <c r="FW8" i="132" a="1"/>
  <c r="GK8" i="132" a="1"/>
  <c r="GZ8" i="132" a="1"/>
  <c r="FL9" i="132" a="1"/>
  <c r="GA9" i="132" a="1"/>
  <c r="GO9" i="132" a="1"/>
  <c r="HC9" i="132" a="1"/>
  <c r="FP11" i="132" a="1"/>
  <c r="GD11" i="132" a="1"/>
  <c r="GS11" i="132" a="1"/>
  <c r="HG11" i="132" a="1"/>
  <c r="FS12" i="132" a="1"/>
  <c r="GH12" i="132" a="1"/>
  <c r="GV12" i="132" a="1"/>
  <c r="FI13" i="132" a="1"/>
  <c r="FW13" i="132" a="1"/>
  <c r="GK13" i="132" a="1"/>
  <c r="GZ13" i="132" a="1"/>
  <c r="FL14" i="132" a="1"/>
  <c r="GA14" i="132" a="1"/>
  <c r="GO14" i="132" a="1"/>
  <c r="HC14" i="132" a="1"/>
  <c r="FM15" i="132" a="1"/>
  <c r="FY15" i="132" a="1"/>
  <c r="GK15" i="132" a="1"/>
  <c r="GW15" i="132" a="1"/>
  <c r="FG16" i="132" a="1"/>
  <c r="FS16" i="132" a="1"/>
  <c r="GE16" i="132" a="1"/>
  <c r="GQ16" i="132" a="1"/>
  <c r="HC16" i="132" a="1"/>
  <c r="FE13" i="132" a="1"/>
  <c r="FD9" i="132" a="1"/>
  <c r="FQ14" i="132" a="1"/>
  <c r="GO15" i="132" a="1"/>
  <c r="HA15" i="132" a="1"/>
  <c r="GI16" i="132" a="1"/>
  <c r="GU16" i="132" a="1"/>
  <c r="HG16" i="132" a="1"/>
  <c r="P24" i="125" a="1"/>
  <c r="S17" i="125" a="1"/>
  <c r="J15" i="125" a="1"/>
  <c r="E14" i="125" a="1"/>
  <c r="AD12" i="125" a="1"/>
  <c r="M8" i="125" a="1"/>
  <c r="M76" i="125" a="1"/>
  <c r="AF68" i="125" a="1"/>
  <c r="G65" i="125" a="1"/>
  <c r="U61" i="125" a="1"/>
  <c r="X54" i="125" a="1"/>
  <c r="AB52" i="125" a="1"/>
  <c r="AA71" i="1" s="1"/>
  <c r="T50" i="125" a="1"/>
  <c r="Q48" i="125" a="1"/>
  <c r="S46" i="125" a="1"/>
  <c r="S44" i="125" a="1"/>
  <c r="S42" i="125" a="1"/>
  <c r="L41" i="125" a="1"/>
  <c r="M40" i="125" a="1"/>
  <c r="H39" i="125" a="1"/>
  <c r="I38" i="125" a="1"/>
  <c r="L35" i="125" a="1"/>
  <c r="M34" i="125" a="1"/>
  <c r="N33" i="125" a="1"/>
  <c r="U32" i="125" a="1"/>
  <c r="Z31" i="125" a="1"/>
  <c r="AF30" i="125" a="1"/>
  <c r="L30" i="125" a="1"/>
  <c r="P29" i="125" a="1"/>
  <c r="X28" i="125" a="1"/>
  <c r="E28" i="125" a="1"/>
  <c r="L27" i="125" a="1"/>
  <c r="W26" i="125" a="1"/>
  <c r="C26" i="125" a="1"/>
  <c r="L25" i="125" a="1"/>
  <c r="X24" i="125" a="1"/>
  <c r="E24" i="125" a="1"/>
  <c r="P23" i="125" a="1"/>
  <c r="Z22" i="125" a="1"/>
  <c r="I22" i="125" a="1"/>
  <c r="R21" i="125" a="1"/>
  <c r="AB20" i="125" a="1"/>
  <c r="K20" i="125" a="1"/>
  <c r="T19" i="125" a="1"/>
  <c r="AD18" i="125" a="1"/>
  <c r="M18" i="125" a="1"/>
  <c r="X17" i="125" a="1"/>
  <c r="H17" i="125" a="1"/>
  <c r="U16" i="125" a="1"/>
  <c r="C16" i="125" a="1"/>
  <c r="Q15" i="125" a="1"/>
  <c r="AB14" i="125" a="1"/>
  <c r="AA38" i="1" s="1"/>
  <c r="L14" i="125" a="1"/>
  <c r="W13" i="125" a="1"/>
  <c r="G13" i="125" a="1"/>
  <c r="U12" i="125" a="1"/>
  <c r="AF11" i="125" a="1"/>
  <c r="P11" i="125" a="1"/>
  <c r="AA10" i="125" a="1"/>
  <c r="K10" i="125" a="1"/>
  <c r="W9" i="125" a="1"/>
  <c r="F9" i="125" a="1"/>
  <c r="R8" i="125" a="1"/>
  <c r="AE7" i="125" a="1"/>
  <c r="O7" i="125" a="1"/>
  <c r="AA6" i="125" a="1"/>
  <c r="J6" i="125" a="1"/>
  <c r="V5" i="125" a="1"/>
  <c r="F5" i="125" a="1"/>
  <c r="FQ5" i="132" a="1"/>
  <c r="GG5" i="132" a="1"/>
  <c r="GW5" i="132" a="1"/>
  <c r="FJ6" i="132" a="1"/>
  <c r="GA6" i="132" a="1"/>
  <c r="GP6" i="132" a="1"/>
  <c r="HE6" i="132" a="1"/>
  <c r="FS7" i="132" a="1"/>
  <c r="GI7" i="132" a="1"/>
  <c r="GX7" i="132" a="1"/>
  <c r="FJ8" i="132" a="1"/>
  <c r="FX8" i="132" a="1"/>
  <c r="GM8" i="132" a="1"/>
  <c r="HA8" i="132" a="1"/>
  <c r="FN9" i="132" a="1"/>
  <c r="GB9" i="132" a="1"/>
  <c r="GP9" i="132" a="1"/>
  <c r="HE9" i="132" a="1"/>
  <c r="FQ11" i="132" a="1"/>
  <c r="GF11" i="132" a="1"/>
  <c r="GT11" i="132" a="1"/>
  <c r="HH11" i="132" a="1"/>
  <c r="FU12" i="132" a="1"/>
  <c r="GI12" i="132" a="1"/>
  <c r="GX12" i="132" a="1"/>
  <c r="FJ13" i="132" a="1"/>
  <c r="FX13" i="132" a="1"/>
  <c r="GM13" i="132" a="1"/>
  <c r="HA13" i="132" a="1"/>
  <c r="FN14" i="132" a="1"/>
  <c r="GB14" i="132" a="1"/>
  <c r="GP14" i="132" a="1"/>
  <c r="HD14" i="132" a="1"/>
  <c r="FN15" i="132" a="1"/>
  <c r="FZ15" i="132" a="1"/>
  <c r="GL15" i="132" a="1"/>
  <c r="GX15" i="132" a="1"/>
  <c r="FH16" i="132" a="1"/>
  <c r="FT16" i="132" a="1"/>
  <c r="GF16" i="132" a="1"/>
  <c r="GR16" i="132" a="1"/>
  <c r="HD16" i="132" a="1"/>
  <c r="FD12" i="132" a="1"/>
  <c r="FE14" i="132" a="1"/>
  <c r="D17" i="125" a="1"/>
  <c r="S9" i="125" a="1"/>
  <c r="C5" i="125" a="1"/>
  <c r="FU5" i="132" a="1"/>
  <c r="GK5" i="132" a="1"/>
  <c r="FO6" i="132" a="1"/>
  <c r="GS6" i="132" a="1"/>
  <c r="GB8" i="132" a="1"/>
  <c r="HE8" i="132" a="1"/>
  <c r="FQ9" i="132" a="1"/>
  <c r="GT9" i="132" a="1"/>
  <c r="FU11" i="132" a="1"/>
  <c r="GI11" i="132" a="1"/>
  <c r="GW11" i="132" a="1"/>
  <c r="GB13" i="132" a="1"/>
  <c r="HE13" i="132" a="1"/>
  <c r="GE14" i="132" a="1"/>
  <c r="FQ15" i="132" a="1"/>
  <c r="FE7" i="132" a="1"/>
  <c r="R22" i="125" a="1"/>
  <c r="AB75" i="125" a="1"/>
  <c r="AA68" i="125" a="1"/>
  <c r="AF64" i="125" a="1"/>
  <c r="K61" i="125" a="1"/>
  <c r="V54" i="125" a="1"/>
  <c r="Z52" i="125" a="1"/>
  <c r="P50" i="125" a="1"/>
  <c r="H48" i="125" a="1"/>
  <c r="E46" i="125" a="1"/>
  <c r="P44" i="125" a="1"/>
  <c r="Q42" i="125" a="1"/>
  <c r="J41" i="125" a="1"/>
  <c r="L40" i="125" a="1"/>
  <c r="G39" i="125" a="1"/>
  <c r="F38" i="125" a="1"/>
  <c r="J35" i="125" a="1"/>
  <c r="J34" i="125" a="1"/>
  <c r="L33" i="125" a="1"/>
  <c r="O32" i="125" a="1"/>
  <c r="X31" i="125" a="1"/>
  <c r="AD30" i="125" a="1"/>
  <c r="E30" i="125" a="1"/>
  <c r="O29" i="125" a="1"/>
  <c r="W28" i="125" a="1"/>
  <c r="AF27" i="125" a="1"/>
  <c r="K27" i="125" a="1"/>
  <c r="V26" i="125" a="1"/>
  <c r="AD25" i="125" a="1"/>
  <c r="K25" i="125" a="1"/>
  <c r="W24" i="125" a="1"/>
  <c r="AF23" i="125" a="1"/>
  <c r="O23" i="125" a="1"/>
  <c r="Y22" i="125" a="1"/>
  <c r="D22" i="125" a="1"/>
  <c r="Q21" i="125" a="1"/>
  <c r="AA20" i="125" a="1"/>
  <c r="F20" i="125" a="1"/>
  <c r="S19" i="125" a="1"/>
  <c r="AC18" i="125" a="1"/>
  <c r="L18" i="125" a="1"/>
  <c r="W17" i="125" a="1"/>
  <c r="G17" i="125" a="1"/>
  <c r="R16" i="125" a="1"/>
  <c r="AF15" i="125" a="1"/>
  <c r="P15" i="125" a="1"/>
  <c r="AA14" i="125" a="1"/>
  <c r="K14" i="125" a="1"/>
  <c r="V13" i="125" a="1"/>
  <c r="F13" i="125" a="1"/>
  <c r="R12" i="125" a="1"/>
  <c r="AE11" i="125" a="1"/>
  <c r="O11" i="125" a="1"/>
  <c r="Z10" i="125" a="1"/>
  <c r="J10" i="125" a="1"/>
  <c r="V9" i="125" a="1"/>
  <c r="E9" i="125" a="1"/>
  <c r="Q8" i="125" a="1"/>
  <c r="AD7" i="125" a="1"/>
  <c r="L7" i="125" a="1"/>
  <c r="Z6" i="125" a="1"/>
  <c r="I6" i="125" a="1"/>
  <c r="U5" i="125" a="1"/>
  <c r="E5" i="125" a="1"/>
  <c r="FR5" i="132" a="1"/>
  <c r="GH5" i="132" a="1"/>
  <c r="GX5" i="132" a="1"/>
  <c r="FK6" i="132" a="1"/>
  <c r="GB6" i="132" a="1"/>
  <c r="GQ6" i="132" a="1"/>
  <c r="HF6" i="132" a="1"/>
  <c r="FU7" i="132" a="1"/>
  <c r="GJ7" i="132" a="1"/>
  <c r="GY7" i="132" a="1"/>
  <c r="FK8" i="132" a="1"/>
  <c r="FY8" i="132" a="1"/>
  <c r="GN8" i="132" a="1"/>
  <c r="HB8" i="132" a="1"/>
  <c r="FO9" i="132" a="1"/>
  <c r="GC9" i="132" a="1"/>
  <c r="GQ9" i="132" a="1"/>
  <c r="HF9" i="132" a="1"/>
  <c r="FR11" i="132" a="1"/>
  <c r="GG11" i="132" a="1"/>
  <c r="GU11" i="132" a="1"/>
  <c r="FG12" i="132" a="1"/>
  <c r="FV12" i="132" a="1"/>
  <c r="GJ12" i="132" a="1"/>
  <c r="GY12" i="132" a="1"/>
  <c r="FK13" i="132" a="1"/>
  <c r="FY13" i="132" a="1"/>
  <c r="GN13" i="132" a="1"/>
  <c r="HB13" i="132" a="1"/>
  <c r="FO14" i="132" a="1"/>
  <c r="GC14" i="132" a="1"/>
  <c r="GQ14" i="132" a="1"/>
  <c r="HE14" i="132" a="1"/>
  <c r="FO15" i="132" a="1"/>
  <c r="GA15" i="132" a="1"/>
  <c r="GM15" i="132" a="1"/>
  <c r="GY15" i="132" a="1"/>
  <c r="FI16" i="132" a="1"/>
  <c r="FU16" i="132" a="1"/>
  <c r="GG16" i="132" a="1"/>
  <c r="GS16" i="132" a="1"/>
  <c r="HE16" i="132" a="1"/>
  <c r="FE11" i="132" a="1"/>
  <c r="FE15" i="132" a="1"/>
  <c r="GN15" i="132" a="1"/>
  <c r="GZ15" i="132" a="1"/>
  <c r="FJ16" i="132" a="1"/>
  <c r="FV16" i="132" a="1"/>
  <c r="GH16" i="132" a="1"/>
  <c r="GT16" i="132" a="1"/>
  <c r="HF16" i="132" a="1"/>
  <c r="FE6" i="132" a="1"/>
  <c r="FD14" i="132" a="1"/>
  <c r="L50" i="125" a="1"/>
  <c r="C48" i="125" a="1"/>
  <c r="V45" i="125" a="1"/>
  <c r="AC43" i="125" a="1"/>
  <c r="O42" i="125" a="1"/>
  <c r="G41" i="125" a="1"/>
  <c r="C40" i="125" a="1"/>
  <c r="D39" i="125" a="1"/>
  <c r="AF35" i="125" a="1"/>
  <c r="F35" i="125" a="1"/>
  <c r="C34" i="125" a="1"/>
  <c r="I33" i="125" a="1"/>
  <c r="M32" i="125" a="1"/>
  <c r="S31" i="125" a="1"/>
  <c r="AB30" i="125" a="1"/>
  <c r="C30" i="125" a="1"/>
  <c r="K29" i="125" a="1"/>
  <c r="U28" i="125" a="1"/>
  <c r="AB27" i="125" a="1"/>
  <c r="H27" i="125" a="1"/>
  <c r="Q26" i="125" a="1"/>
  <c r="AB25" i="125" a="1"/>
  <c r="AA48" i="1" s="1"/>
  <c r="H25" i="125" a="1"/>
  <c r="U24" i="125" a="1"/>
  <c r="AD23" i="125" a="1"/>
  <c r="J23" i="125" a="1"/>
  <c r="W22" i="125" a="1"/>
  <c r="AF21" i="125" a="1"/>
  <c r="L21" i="125" a="1"/>
  <c r="Y20" i="125" a="1"/>
  <c r="D20" i="125" a="1"/>
  <c r="P19" i="125" a="1"/>
  <c r="AA18" i="125" a="1"/>
  <c r="I18" i="125" a="1"/>
  <c r="U17" i="125" a="1"/>
  <c r="P16" i="125" a="1"/>
  <c r="AD15" i="125" a="1"/>
  <c r="K15" i="125" a="1"/>
  <c r="Y14" i="125" a="1"/>
  <c r="F14" i="125" a="1"/>
  <c r="T13" i="125" a="1"/>
  <c r="D13" i="125" a="1"/>
  <c r="O12" i="125" a="1"/>
  <c r="AC11" i="125" a="1"/>
  <c r="J11" i="125" a="1"/>
  <c r="X10" i="125" a="1"/>
  <c r="F10" i="125" a="1"/>
  <c r="C9" i="125" a="1"/>
  <c r="N8" i="125" a="1"/>
  <c r="AB7" i="125" a="1"/>
  <c r="AA29" i="1" s="1"/>
  <c r="J7" i="125" a="1"/>
  <c r="W6" i="125" a="1"/>
  <c r="E6" i="125" a="1"/>
  <c r="R5" i="125" a="1"/>
  <c r="GZ5" i="132" a="1"/>
  <c r="GD6" i="132" a="1"/>
  <c r="FG7" i="132" a="1"/>
  <c r="FW7" i="132" a="1"/>
  <c r="GM7" i="132" a="1"/>
  <c r="HA7" i="132" a="1"/>
  <c r="FM8" i="132" a="1"/>
  <c r="GP8" i="132" a="1"/>
  <c r="GE9" i="132" a="1"/>
  <c r="HH9" i="132" a="1"/>
  <c r="FJ12" i="132" a="1"/>
  <c r="FX12" i="132" a="1"/>
  <c r="GM12" i="132" a="1"/>
  <c r="HA12" i="132" a="1"/>
  <c r="FM13" i="132" a="1"/>
  <c r="GP13" i="132" a="1"/>
  <c r="GT14" i="132" a="1"/>
  <c r="HG14" i="132" a="1"/>
  <c r="GC15" i="132" a="1"/>
  <c r="FK16" i="132" a="1"/>
  <c r="FW16" i="132" a="1"/>
  <c r="FD6" i="132" a="1"/>
  <c r="AA25" i="125" a="1"/>
  <c r="X18" i="125" a="1"/>
  <c r="AB15" i="125" a="1"/>
  <c r="AA39" i="1" s="1"/>
  <c r="W14" i="125" a="1"/>
  <c r="AC8" i="125" a="1"/>
  <c r="F75" i="125" a="1"/>
  <c r="Q68" i="125" a="1"/>
  <c r="W64" i="125" a="1"/>
  <c r="G61" i="125" a="1"/>
  <c r="O54" i="125" a="1"/>
  <c r="J52" i="125" a="1"/>
  <c r="O50" i="125" a="1"/>
  <c r="D48" i="125" a="1"/>
  <c r="D46" i="125" a="1"/>
  <c r="O44" i="125" a="1"/>
  <c r="P42" i="125" a="1"/>
  <c r="H41" i="125" a="1"/>
  <c r="D40" i="125" a="1"/>
  <c r="F39" i="125" a="1"/>
  <c r="D38" i="125" a="1"/>
  <c r="G35" i="125" a="1"/>
  <c r="I34" i="125" a="1"/>
  <c r="J33" i="125" a="1"/>
  <c r="N32" i="125" a="1"/>
  <c r="V31" i="125" a="1"/>
  <c r="AC30" i="125" a="1"/>
  <c r="D30" i="125" a="1"/>
  <c r="L29" i="125" a="1"/>
  <c r="V28" i="125" a="1"/>
  <c r="AE27" i="125" a="1"/>
  <c r="I27" i="125" a="1"/>
  <c r="R26" i="125" a="1"/>
  <c r="AC25" i="125" a="1"/>
  <c r="I25" i="125" a="1"/>
  <c r="V24" i="125" a="1"/>
  <c r="AE23" i="125" a="1"/>
  <c r="K23" i="125" a="1"/>
  <c r="X22" i="125" a="1"/>
  <c r="C22" i="125" a="1"/>
  <c r="O21" i="125" a="1"/>
  <c r="Z20" i="125" a="1"/>
  <c r="E20" i="125" a="1"/>
  <c r="Q19" i="125" a="1"/>
  <c r="AB18" i="125" a="1"/>
  <c r="AA46" i="1" s="1"/>
  <c r="J18" i="125" a="1"/>
  <c r="V17" i="125" a="1"/>
  <c r="E17" i="125" a="1"/>
  <c r="Q16" i="125" a="1"/>
  <c r="AE15" i="125" a="1"/>
  <c r="L15" i="125" a="1"/>
  <c r="Z14" i="125" a="1"/>
  <c r="I14" i="125" a="1"/>
  <c r="U13" i="125" a="1"/>
  <c r="E13" i="125" a="1"/>
  <c r="P12" i="125" a="1"/>
  <c r="AD11" i="125" a="1"/>
  <c r="K11" i="125" a="1"/>
  <c r="Y10" i="125" a="1"/>
  <c r="I10" i="125" a="1"/>
  <c r="T9" i="125" a="1"/>
  <c r="D9" i="125" a="1"/>
  <c r="O8" i="125" a="1"/>
  <c r="AC7" i="125" a="1"/>
  <c r="K7" i="125" a="1"/>
  <c r="X6" i="125" a="1"/>
  <c r="F6" i="125" a="1"/>
  <c r="S5" i="125" a="1"/>
  <c r="D5" i="125" a="1"/>
  <c r="FS5" i="132" a="1"/>
  <c r="GJ5" i="132" a="1"/>
  <c r="GY5" i="132" a="1"/>
  <c r="FM6" i="132" a="1"/>
  <c r="GC6" i="132" a="1"/>
  <c r="GR6" i="132" a="1"/>
  <c r="HH6" i="132" a="1"/>
  <c r="FV7" i="132" a="1"/>
  <c r="GL7" i="132" a="1"/>
  <c r="GZ7" i="132" a="1"/>
  <c r="FL8" i="132" a="1"/>
  <c r="GA8" i="132" a="1"/>
  <c r="GO8" i="132" a="1"/>
  <c r="HD8" i="132" a="1"/>
  <c r="FP9" i="132" a="1"/>
  <c r="GD9" i="132" a="1"/>
  <c r="GS9" i="132" a="1"/>
  <c r="HG9" i="132" a="1"/>
  <c r="FT11" i="132" a="1"/>
  <c r="GH11" i="132" a="1"/>
  <c r="GV11" i="132" a="1"/>
  <c r="FI12" i="132" a="1"/>
  <c r="FW12" i="132" a="1"/>
  <c r="GL12" i="132" a="1"/>
  <c r="GZ12" i="132" a="1"/>
  <c r="FL13" i="132" a="1"/>
  <c r="GA13" i="132" a="1"/>
  <c r="GO13" i="132" a="1"/>
  <c r="HD13" i="132" a="1"/>
  <c r="FP14" i="132" a="1"/>
  <c r="GD14" i="132" a="1"/>
  <c r="GS14" i="132" a="1"/>
  <c r="HF14" i="132" a="1"/>
  <c r="FP15" i="132" a="1"/>
  <c r="GB15" i="132" a="1"/>
  <c r="AB74" i="125" a="1"/>
  <c r="AA114" i="1" s="1"/>
  <c r="M68" i="125" a="1"/>
  <c r="Q64" i="125" a="1"/>
  <c r="AA60" i="125" a="1"/>
  <c r="L54" i="125" a="1"/>
  <c r="G52" i="125" a="1"/>
  <c r="G74" i="125" a="1"/>
  <c r="C68" i="125" a="1"/>
  <c r="H64" i="125" a="1"/>
  <c r="X60" i="125" a="1"/>
  <c r="K54" i="125" a="1"/>
  <c r="AD51" i="125" a="1"/>
  <c r="Y49" i="125" a="1"/>
  <c r="AF47" i="125" a="1"/>
  <c r="U45" i="125" a="1"/>
  <c r="Y43" i="125" a="1"/>
  <c r="N42" i="125" a="1"/>
  <c r="F41" i="125" a="1"/>
  <c r="AE39" i="125" a="1"/>
  <c r="AD38" i="125" a="1"/>
  <c r="AE35" i="125" a="1"/>
  <c r="AF34" i="125" a="1"/>
  <c r="AF33" i="125" a="1"/>
  <c r="C33" i="125" a="1"/>
  <c r="L32" i="125" a="1"/>
  <c r="R31" i="125" a="1"/>
  <c r="Y30" i="125" a="1"/>
  <c r="AF29" i="125" a="1"/>
  <c r="J29" i="125" a="1"/>
  <c r="Q28" i="125" a="1"/>
  <c r="AA27" i="125" a="1"/>
  <c r="G27" i="125" a="1"/>
  <c r="N26" i="125" a="1"/>
  <c r="G25" i="125" a="1"/>
  <c r="AC23" i="125" a="1"/>
  <c r="I23" i="125" a="1"/>
  <c r="AE21" i="125" a="1"/>
  <c r="K21" i="125" a="1"/>
  <c r="V20" i="125" a="1"/>
  <c r="C20" i="125" a="1"/>
  <c r="O19" i="125" a="1"/>
  <c r="F18" i="125" a="1"/>
  <c r="C17" i="125" a="1"/>
  <c r="O16" i="125" a="1"/>
  <c r="S13" i="125" a="1"/>
  <c r="N12" i="125" a="1"/>
  <c r="AA11" i="125" a="1"/>
  <c r="I11" i="125" a="1"/>
  <c r="W10" i="125" a="1"/>
  <c r="D10" i="125" a="1"/>
  <c r="R9" i="125" a="1"/>
  <c r="AA7" i="125" a="1"/>
  <c r="AD73" i="125" a="1"/>
  <c r="AC67" i="125" a="1"/>
  <c r="C64" i="125" a="1"/>
  <c r="W60" i="125" a="1"/>
  <c r="J54" i="125" a="1"/>
  <c r="AC51" i="125" a="1"/>
  <c r="W49" i="125" a="1"/>
  <c r="AB47" i="125" a="1"/>
  <c r="AA90" i="1" s="1"/>
  <c r="T45" i="125" a="1"/>
  <c r="V43" i="125" a="1"/>
  <c r="AE41" i="125" a="1"/>
  <c r="D41" i="125" a="1"/>
  <c r="AA39" i="125" a="1"/>
  <c r="Y38" i="125" a="1"/>
  <c r="AD35" i="125" a="1"/>
  <c r="AB34" i="125" a="1"/>
  <c r="AE33" i="125" a="1"/>
  <c r="AF32" i="125" a="1"/>
  <c r="I32" i="125" a="1"/>
  <c r="P31" i="125" a="1"/>
  <c r="X30" i="125" a="1"/>
  <c r="AD29" i="125" a="1"/>
  <c r="G29" i="125" a="1"/>
  <c r="P28" i="125" a="1"/>
  <c r="X27" i="125" a="1"/>
  <c r="F27" i="125" a="1"/>
  <c r="M26" i="125" a="1"/>
  <c r="W25" i="125" a="1"/>
  <c r="F25" i="125" a="1"/>
  <c r="O24" i="125" a="1"/>
  <c r="AA23" i="125" a="1"/>
  <c r="H23" i="125" a="1"/>
  <c r="Q22" i="125" a="1"/>
  <c r="AC21" i="125" a="1"/>
  <c r="J21" i="125" a="1"/>
  <c r="U20" i="125" a="1"/>
  <c r="AE19" i="125" a="1"/>
  <c r="L19" i="125" a="1"/>
  <c r="W18" i="125" a="1"/>
  <c r="E18" i="125" a="1"/>
  <c r="R17" i="125" a="1"/>
  <c r="AD16" i="125" a="1"/>
  <c r="N16" i="125" a="1"/>
  <c r="AA15" i="125" a="1"/>
  <c r="I15" i="125" a="1"/>
  <c r="V14" i="125" a="1"/>
  <c r="D14" i="125" a="1"/>
  <c r="R13" i="125" a="1"/>
  <c r="AC12" i="125" a="1"/>
  <c r="M12" i="125" a="1"/>
  <c r="X11" i="125" a="1"/>
  <c r="H11" i="125" a="1"/>
  <c r="V10" i="125" a="1"/>
  <c r="C10" i="125" a="1"/>
  <c r="Q9" i="125" a="1"/>
  <c r="AB8" i="125" a="1"/>
  <c r="AA32" i="1" s="1"/>
  <c r="L8" i="125" a="1"/>
  <c r="X7" i="125" a="1"/>
  <c r="G7" i="125" a="1"/>
  <c r="U6" i="125" a="1"/>
  <c r="AE5" i="125" a="1"/>
  <c r="P5" i="125" a="1"/>
  <c r="FG5" i="132" a="1"/>
  <c r="H7" i="125" a="1"/>
  <c r="FQ6" i="132" a="1"/>
  <c r="HC7" i="132" a="1"/>
  <c r="GH9" i="132" a="1"/>
  <c r="FL12" i="132" a="1"/>
  <c r="GC13" i="132" a="1"/>
  <c r="GG14" i="132" a="1"/>
  <c r="GD15" i="132" a="1"/>
  <c r="FX16" i="132" a="1"/>
  <c r="FE5" i="132" a="1"/>
  <c r="GE6" i="132" a="1"/>
  <c r="FO8" i="132" a="1"/>
  <c r="GU9" i="132" a="1"/>
  <c r="FZ12" i="132" a="1"/>
  <c r="GD13" i="132" a="1"/>
  <c r="GH14" i="132" a="1"/>
  <c r="GE15" i="132" a="1"/>
  <c r="FY16" i="132" a="1"/>
  <c r="FD5" i="132" a="1"/>
  <c r="C6" i="125" a="1"/>
  <c r="GF6" i="132" a="1"/>
  <c r="FP8" i="132" a="1"/>
  <c r="GV9" i="132" a="1"/>
  <c r="GA12" i="132" a="1"/>
  <c r="GJ13" i="132" a="1"/>
  <c r="GN14" i="132" a="1"/>
  <c r="GJ15" i="132" a="1"/>
  <c r="GD16" i="132" a="1"/>
  <c r="FD7" i="132" a="1"/>
  <c r="HG13" i="132" a="1"/>
  <c r="HC15" i="132" a="1"/>
  <c r="GM5" i="132" a="1"/>
  <c r="FH13" i="132" a="1"/>
  <c r="HH15" i="132" a="1"/>
  <c r="GG9" i="132" a="1"/>
  <c r="FZ14" i="132" a="1"/>
  <c r="V6" i="125" a="1"/>
  <c r="HB16" i="132" a="1"/>
  <c r="FK12" i="132" a="1"/>
  <c r="Q5" i="125" a="1"/>
  <c r="GU6" i="132" a="1"/>
  <c r="GC8" i="132" a="1"/>
  <c r="FH11" i="132" a="1"/>
  <c r="GN12" i="132" a="1"/>
  <c r="GR13" i="132" a="1"/>
  <c r="GU14" i="132" a="1"/>
  <c r="GP15" i="132" a="1"/>
  <c r="GJ16" i="132" a="1"/>
  <c r="FE8" i="132" a="1"/>
  <c r="GS13" i="132" a="1"/>
  <c r="GQ15" i="132" a="1"/>
  <c r="FE12" i="132" a="1"/>
  <c r="FI7" i="132" a="1"/>
  <c r="GR8" i="132" a="1"/>
  <c r="FV11" i="132" a="1"/>
  <c r="GU12" i="132" a="1"/>
  <c r="GP16" i="132" a="1"/>
  <c r="FJ7" i="132" a="1"/>
  <c r="FW11" i="132" a="1"/>
  <c r="HF13" i="132" a="1"/>
  <c r="HB15" i="132" a="1"/>
  <c r="GL5" i="132" a="1"/>
  <c r="HF8" i="132" a="1"/>
  <c r="GJ11" i="132" a="1"/>
  <c r="HC12" i="132" a="1"/>
  <c r="FG15" i="132" a="1"/>
  <c r="FZ7" i="132" a="1"/>
  <c r="HG8" i="132" a="1"/>
  <c r="FK14" i="132" a="1"/>
  <c r="AF5" i="125" a="1"/>
  <c r="GV6" i="132" a="1"/>
  <c r="GD8" i="132" a="1"/>
  <c r="FI11" i="132" a="1"/>
  <c r="GO12" i="132" a="1"/>
  <c r="GV14" i="132" a="1"/>
  <c r="GK16" i="132" a="1"/>
  <c r="FW5" i="132" a="1"/>
  <c r="GY13" i="132" a="1"/>
  <c r="HB14" i="132" a="1"/>
  <c r="GV15" i="132" a="1"/>
  <c r="FX5" i="132" a="1"/>
  <c r="GS8" i="132" a="1"/>
  <c r="HB12" i="132" a="1"/>
  <c r="HH14" i="132" a="1"/>
  <c r="GV16" i="132" a="1"/>
  <c r="FY7" i="132" a="1"/>
  <c r="GW16" i="132" a="1"/>
  <c r="GK11" i="132" a="1"/>
  <c r="FL15" i="132" a="1"/>
  <c r="FP6" i="132" a="1"/>
  <c r="FV13" i="132" a="1"/>
  <c r="FR16" i="132" a="1"/>
  <c r="HB5" i="132" a="1"/>
  <c r="GN7" i="132" a="1"/>
  <c r="FR9" i="132" a="1"/>
  <c r="GY11" i="132" a="1"/>
  <c r="FO13" i="132" a="1"/>
  <c r="FR14" i="132" a="1"/>
  <c r="FR15" i="132" a="1"/>
  <c r="FL16" i="132" a="1"/>
  <c r="HH16" i="132" a="1"/>
  <c r="HC5" i="132" a="1"/>
  <c r="GO7" i="132" a="1"/>
  <c r="FS9" i="132" a="1"/>
  <c r="GZ11" i="132" a="1"/>
  <c r="FP13" i="132" a="1"/>
  <c r="FS14" i="132" a="1"/>
  <c r="FS15" i="132" a="1"/>
  <c r="FM16" i="132" a="1"/>
  <c r="HB7" i="132" a="1"/>
  <c r="FX15" i="132" a="1"/>
  <c r="KH16" i="132" s="1"/>
  <c r="JR16" i="132" s="1"/>
  <c r="JT9" i="132" s="1"/>
  <c r="JT16" i="132" s="1"/>
  <c r="JT21" i="132" s="1"/>
  <c r="KD16" i="132" s="1"/>
  <c r="KB16" i="132" s="1"/>
  <c r="JZ16" i="132" s="1"/>
  <c r="KF16" i="132" s="1"/>
  <c r="JY9" i="132" s="1"/>
  <c r="JX16" i="132" s="1"/>
  <c r="KD9" i="132" s="1"/>
  <c r="JV16" i="132" s="1"/>
  <c r="KC9" i="132" s="1"/>
  <c r="JX9" i="132" s="1"/>
  <c r="KD14" i="132" s="1"/>
  <c r="KH9" i="132" s="1"/>
  <c r="KG16" i="132" s="1"/>
  <c r="KC16" i="132" s="1"/>
  <c r="KC21" i="132" s="1"/>
  <c r="JY16" i="132" s="1"/>
  <c r="JY21" i="132" s="1"/>
  <c r="JU16" i="132" s="1"/>
  <c r="JQ16" i="132" s="1"/>
  <c r="JS9" i="132" s="1"/>
  <c r="KB8" i="132" s="1"/>
  <c r="JX8" i="132" s="1"/>
  <c r="KG9" i="132" s="1"/>
  <c r="KB9" i="132" s="1"/>
  <c r="JW9" i="132" s="1"/>
  <c r="JR9" i="132" s="1"/>
  <c r="KA9" i="132" s="1"/>
  <c r="JV9" i="132" s="1"/>
  <c r="JV14" i="132" s="1"/>
  <c r="KE9" i="132" s="1"/>
  <c r="JZ9" i="132" s="1"/>
  <c r="JY8" i="132" s="1"/>
  <c r="KH7" i="132" s="1"/>
  <c r="KF9" i="132" s="1"/>
  <c r="KD15" i="132" s="1"/>
  <c r="JV15" i="132" s="1"/>
  <c r="JQ9" i="132" s="1"/>
  <c r="KE16" i="132" s="1"/>
  <c r="KA16" i="132" s="1"/>
  <c r="JW16" i="132" s="1"/>
  <c r="JS16" i="132" s="1"/>
  <c r="JS21" i="132" s="1"/>
  <c r="JQ15" i="132" s="1"/>
  <c r="JU9" i="132" s="1"/>
  <c r="KH8" i="132" s="1"/>
  <c r="KE14" i="132" s="1"/>
  <c r="KA14" i="132" s="1"/>
  <c r="KG8" i="132" s="1"/>
  <c r="KC8" i="132" s="1"/>
  <c r="KA7" i="132" s="1"/>
  <c r="JY14" i="132" s="1"/>
  <c r="JU14" i="132" s="1"/>
  <c r="KG7" i="132" s="1"/>
  <c r="BX45" i="1"/>
  <c r="BX47" i="1" s="1"/>
  <c r="AE118" i="1"/>
  <c r="AE117" i="1"/>
  <c r="AE116" i="1"/>
  <c r="AE40" i="1"/>
  <c r="AE39" i="1"/>
  <c r="AE38" i="1"/>
  <c r="AD118" i="1"/>
  <c r="AD117" i="1"/>
  <c r="AD116" i="1"/>
  <c r="AD40" i="1"/>
  <c r="AD39" i="1"/>
  <c r="AD38" i="1"/>
  <c r="AC118" i="1"/>
  <c r="AC117" i="1"/>
  <c r="AC116" i="1"/>
  <c r="AC40" i="1"/>
  <c r="AC39" i="1"/>
  <c r="AC38" i="1"/>
  <c r="AA41" i="1" l="1"/>
  <c r="AA80" i="1"/>
  <c r="AA110" i="1"/>
  <c r="AA75" i="1"/>
  <c r="AA31" i="1"/>
  <c r="AA120" i="1"/>
  <c r="AA123" i="1" s="1"/>
  <c r="AA104" i="1"/>
  <c r="AA33" i="1"/>
  <c r="AA73" i="1"/>
  <c r="AA64" i="1"/>
  <c r="AA65" i="1" s="1"/>
  <c r="JR21" i="132"/>
  <c r="BY88" i="1" s="1"/>
  <c r="JR8" i="132"/>
  <c r="KE15" i="132"/>
  <c r="JW15" i="132"/>
  <c r="JS15" i="132"/>
  <c r="KF8" i="132"/>
  <c r="KC7" i="132"/>
  <c r="JQ14" i="132"/>
  <c r="JW7" i="132"/>
  <c r="KB21" i="132"/>
  <c r="KF21" i="132"/>
  <c r="JV21" i="132"/>
  <c r="JX15" i="132"/>
  <c r="JX20" i="132" s="1"/>
  <c r="KG21" i="132"/>
  <c r="JU21" i="132"/>
  <c r="JS14" i="132"/>
  <c r="KA8" i="132"/>
  <c r="JS7" i="132"/>
  <c r="JR14" i="132"/>
  <c r="JZ8" i="132"/>
  <c r="KE21" i="132"/>
  <c r="KA21" i="132"/>
  <c r="JU15" i="132"/>
  <c r="JQ8" i="132"/>
  <c r="KE8" i="132"/>
  <c r="KE20" i="132" s="1"/>
  <c r="KD21" i="132"/>
  <c r="JR7" i="132"/>
  <c r="JZ21" i="132"/>
  <c r="JZ14" i="132"/>
  <c r="KH14" i="132"/>
  <c r="KH19" i="132" s="1"/>
  <c r="KF7" i="132"/>
  <c r="JS8" i="132"/>
  <c r="JS20" i="132" s="1"/>
  <c r="KB15" i="132"/>
  <c r="KB20" i="132" s="1"/>
  <c r="JX14" i="132"/>
  <c r="JW8" i="132"/>
  <c r="JU7" i="132"/>
  <c r="JU19" i="132" s="1"/>
  <c r="KH21" i="132"/>
  <c r="JX21" i="132"/>
  <c r="KB14" i="132"/>
  <c r="JV7" i="132"/>
  <c r="JV19" i="132" s="1"/>
  <c r="JT15" i="132"/>
  <c r="KA15" i="132"/>
  <c r="JV8" i="132"/>
  <c r="JV20" i="132" s="1"/>
  <c r="KE7" i="132"/>
  <c r="KE19" i="132" s="1"/>
  <c r="KG14" i="132"/>
  <c r="KG19" i="132" s="1"/>
  <c r="JW14" i="132"/>
  <c r="JZ7" i="132"/>
  <c r="KD7" i="132"/>
  <c r="KD19" i="132" s="1"/>
  <c r="JT7" i="132"/>
  <c r="JX7" i="132"/>
  <c r="JZ15" i="132"/>
  <c r="JQ21" i="132"/>
  <c r="BX88" i="1" s="1"/>
  <c r="JW21" i="132"/>
  <c r="KC15" i="132"/>
  <c r="KC20" i="132" s="1"/>
  <c r="JY15" i="132"/>
  <c r="JY20" i="132" s="1"/>
  <c r="JT8" i="132"/>
  <c r="KA19" i="132"/>
  <c r="JU8" i="132"/>
  <c r="JY7" i="132"/>
  <c r="JY19" i="132" s="1"/>
  <c r="JQ7" i="132"/>
  <c r="JQ19" i="132" s="1"/>
  <c r="BX89" i="1" s="1"/>
  <c r="JT14" i="132"/>
  <c r="KF14" i="132"/>
  <c r="KB7" i="132"/>
  <c r="KF15" i="132"/>
  <c r="KF20" i="132" s="1"/>
  <c r="KD8" i="132"/>
  <c r="KG15" i="132"/>
  <c r="KG20" i="132" s="1"/>
  <c r="JR15" i="132"/>
  <c r="KH15" i="132"/>
  <c r="KH20" i="132" s="1"/>
  <c r="KC14" i="132"/>
  <c r="KD20" i="132"/>
  <c r="A1" i="130"/>
  <c r="JX19" i="132" l="1"/>
  <c r="JW20" i="132"/>
  <c r="KA20" i="132"/>
  <c r="JW19" i="132"/>
  <c r="JZ20" i="132"/>
  <c r="KC19" i="132"/>
  <c r="JQ20" i="132"/>
  <c r="BX90" i="1" s="1"/>
  <c r="JR20" i="132"/>
  <c r="BY90" i="1" s="1"/>
  <c r="AA131" i="1"/>
  <c r="AA111" i="1"/>
  <c r="AA124" i="1" s="1"/>
  <c r="AA42" i="1"/>
  <c r="AA97" i="1"/>
  <c r="AA96" i="1"/>
  <c r="AA98" i="1"/>
  <c r="JS19" i="132"/>
  <c r="JR19" i="132"/>
  <c r="BY89" i="1" s="1"/>
  <c r="JZ19" i="132"/>
  <c r="KF19" i="132"/>
  <c r="JT20" i="132"/>
  <c r="JT19" i="132"/>
  <c r="JU20" i="132"/>
  <c r="KB19" i="132"/>
  <c r="AB39" i="1"/>
  <c r="AB40" i="1"/>
  <c r="AB38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I12" i="130" a="1"/>
  <c r="AU16" i="130" a="1"/>
  <c r="AS30" i="130" a="1"/>
  <c r="BE33" i="130" a="1"/>
  <c r="AV37" i="130" a="1"/>
  <c r="BC40" i="130" a="1"/>
  <c r="AZ44" i="130" a="1"/>
  <c r="AY48" i="130" a="1"/>
  <c r="BB19" i="130" a="1"/>
  <c r="AW20" i="130" a="1"/>
  <c r="BI20" i="130" a="1"/>
  <c r="BD21" i="130" a="1"/>
  <c r="AY22" i="130" a="1"/>
  <c r="AT23" i="130" a="1"/>
  <c r="BF23" i="130" a="1"/>
  <c r="BA24" i="130" a="1"/>
  <c r="AV25" i="130" a="1"/>
  <c r="BH25" i="130" a="1"/>
  <c r="BC26" i="130" a="1"/>
  <c r="AX27" i="130" a="1"/>
  <c r="AS28" i="130" a="1"/>
  <c r="BE28" i="130" a="1"/>
  <c r="AZ29" i="130" a="1"/>
  <c r="BI32" i="130" a="1"/>
  <c r="BF36" i="130" a="1"/>
  <c r="BD40" i="130" a="1"/>
  <c r="BH44" i="130" a="1"/>
  <c r="AS38" i="130" a="1"/>
  <c r="AT13" i="130" a="1"/>
  <c r="BC16" i="130" a="1"/>
  <c r="BH30" i="130" a="1"/>
  <c r="AU35" i="130" a="1"/>
  <c r="AT40" i="130" a="1"/>
  <c r="AY44" i="130" a="1"/>
  <c r="BC48" i="130" a="1"/>
  <c r="BG12" i="130" a="1"/>
  <c r="BA16" i="130" a="1"/>
  <c r="AS31" i="130" a="1"/>
  <c r="AV35" i="130" a="1"/>
  <c r="BF38" i="130" a="1"/>
  <c r="AV43" i="130" a="1"/>
  <c r="AW48" i="130" a="1"/>
  <c r="AU13" i="130" a="1"/>
  <c r="BA31" i="130" a="1"/>
  <c r="BC43" i="130" a="1"/>
  <c r="BE10" i="130" a="1"/>
  <c r="AU40" i="130" a="1"/>
  <c r="BG47" i="130" a="1"/>
  <c r="BB47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AY27" i="130" a="1"/>
  <c r="AT28" i="130" a="1"/>
  <c r="BF28" i="130" a="1"/>
  <c r="BA29" i="130" a="1"/>
  <c r="AX33" i="130" a="1"/>
  <c r="AT37" i="130" a="1"/>
  <c r="AS41" i="130" a="1"/>
  <c r="AV45" i="130" a="1"/>
  <c r="BG9" i="130" a="1"/>
  <c r="AY13" i="130" a="1"/>
  <c r="BH16" i="130" a="1"/>
  <c r="AW31" i="130" a="1"/>
  <c r="BA35" i="130" a="1"/>
  <c r="BA40" i="130" a="1"/>
  <c r="BE44" i="130" a="1"/>
  <c r="BH48" i="130" a="1"/>
  <c r="BE16" i="130" a="1"/>
  <c r="AZ35" i="130" a="1"/>
  <c r="AT39" i="130" a="1"/>
  <c r="BB48" i="130" a="1"/>
  <c r="BG26" i="130" a="1"/>
  <c r="AT38" i="130" a="1"/>
  <c r="AV46" i="130" a="1"/>
  <c r="AX14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BA45" i="130" a="1"/>
  <c r="AW10" i="130" a="1"/>
  <c r="BD13" i="130" a="1"/>
  <c r="AV17" i="130" a="1"/>
  <c r="BC31" i="130" a="1"/>
  <c r="BG35" i="130" a="1"/>
  <c r="BG40" i="130" a="1"/>
  <c r="AS45" i="130" a="1"/>
  <c r="BF9" i="130" a="1"/>
  <c r="BA13" i="130" a="1"/>
  <c r="AS17" i="130" a="1"/>
  <c r="BG31" i="130" a="1"/>
  <c r="BE35" i="130" a="1"/>
  <c r="AZ39" i="130" a="1"/>
  <c r="BI43" i="130" a="1"/>
  <c r="BI48" i="130" a="1"/>
  <c r="BE19" i="130" a="1"/>
  <c r="AW23" i="130" a="1"/>
  <c r="BD24" i="130" a="1"/>
  <c r="BF26" i="130" a="1"/>
  <c r="BA27" i="130" a="1"/>
  <c r="AV28" i="130" a="1"/>
  <c r="BH28" i="130" a="1"/>
  <c r="AS34" i="130" a="1"/>
  <c r="BC41" i="130" a="1"/>
  <c r="AZ10" i="130" a="1"/>
  <c r="AU36" i="130" a="1"/>
  <c r="AX45" i="130" a="1"/>
  <c r="BF13" i="130" a="1"/>
  <c r="BG7" i="130" a="1"/>
  <c r="BB8" i="130" a="1"/>
  <c r="AW9" i="130" a="1"/>
  <c r="BG10" i="130" a="1"/>
  <c r="BI13" i="130" a="1"/>
  <c r="AV31" i="130" a="1"/>
  <c r="AT35" i="130" a="1"/>
  <c r="BG41" i="130" a="1"/>
  <c r="BF45" i="130" a="1"/>
  <c r="BF19" i="130" a="1"/>
  <c r="BC22" i="130" a="1"/>
  <c r="BE24" i="130" a="1"/>
  <c r="BB27" i="130" a="1"/>
  <c r="BI28" i="130" a="1"/>
  <c r="AY34" i="130" a="1"/>
  <c r="BC45" i="130" a="1"/>
  <c r="BD17" i="130" a="1"/>
  <c r="AY36" i="130" a="1"/>
  <c r="AS11" i="130" a="1"/>
  <c r="BC14" i="130" a="1"/>
  <c r="BF32" i="130" a="1"/>
  <c r="BI41" i="130" a="1"/>
  <c r="BD10" i="130" a="1"/>
  <c r="AY14" i="130" a="1"/>
  <c r="AZ40" i="130" a="1"/>
  <c r="BA21" i="130" a="1"/>
  <c r="BH31" i="130" a="1"/>
  <c r="BI47" i="130" a="1"/>
  <c r="BE15" i="130" a="1"/>
  <c r="BH8" i="130" a="1"/>
  <c r="BI39" i="130" a="1"/>
  <c r="BE47" i="130" a="1"/>
  <c r="BI22" i="130" a="1"/>
  <c r="AY39" i="130" a="1"/>
  <c r="AV30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AZ20" i="130" a="1"/>
  <c r="AU21" i="130" a="1"/>
  <c r="BG21" i="130" a="1"/>
  <c r="BB22" i="130" a="1"/>
  <c r="BI23" i="130" a="1"/>
  <c r="AY25" i="130" a="1"/>
  <c r="AT26" i="130" a="1"/>
  <c r="BC29" i="130" a="1"/>
  <c r="BE37" i="130" a="1"/>
  <c r="BG45" i="130" a="1"/>
  <c r="AS14" i="130" a="1"/>
  <c r="BA17" i="130" a="1"/>
  <c r="AS32" i="130" a="1"/>
  <c r="AU41" i="130" a="1"/>
  <c r="AU10" i="130" a="1"/>
  <c r="AY17" i="130" a="1"/>
  <c r="AV32" i="130" a="1"/>
  <c r="AS36" i="130" a="1"/>
  <c r="BE39" i="130" a="1"/>
  <c r="AX44" i="130" a="1"/>
  <c r="AU7" i="130" a="1"/>
  <c r="AU17" i="130" a="1"/>
  <c r="AW38" i="130" a="1"/>
  <c r="AT19" i="130" a="1"/>
  <c r="AV21" i="130" a="1"/>
  <c r="AS24" i="130" a="1"/>
  <c r="AU26" i="130" a="1"/>
  <c r="AW28" i="130" a="1"/>
  <c r="BI29" i="130" a="1"/>
  <c r="AY32" i="130" a="1"/>
  <c r="AT14" i="130" a="1"/>
  <c r="BB32" i="130" a="1"/>
  <c r="BE36" i="130" a="1"/>
  <c r="BD36" i="130" a="1"/>
  <c r="BF20" i="130" a="1"/>
  <c r="AX34" i="130" a="1"/>
  <c r="BD15" i="130" a="1"/>
  <c r="BI45" i="130" a="1"/>
  <c r="BH27" i="130" a="1"/>
  <c r="AS16" i="130" a="1"/>
  <c r="BB34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BA20" i="130" a="1"/>
  <c r="BH21" i="130" a="1"/>
  <c r="AX23" i="130" a="1"/>
  <c r="AZ25" i="130" a="1"/>
  <c r="BH41" i="130" a="1"/>
  <c r="BF17" i="130" a="1"/>
  <c r="AZ36" i="130" a="1"/>
  <c r="BB41" i="130" a="1"/>
  <c r="AY10" i="130" a="1"/>
  <c r="BD44" i="130" a="1"/>
  <c r="AS46" i="130" a="1"/>
  <c r="BI17" i="130" a="1"/>
  <c r="BH32" i="130" a="1"/>
  <c r="AS25" i="130" a="1"/>
  <c r="BB28" i="130" a="1"/>
  <c r="BE43" i="130" a="1"/>
  <c r="AW34" i="130" a="1"/>
  <c r="AX43" i="130" a="1"/>
  <c r="AT12" i="130" a="1"/>
  <c r="BB14" i="130" a="1"/>
  <c r="BA7" i="130" a="1"/>
  <c r="BC9" i="130" a="1"/>
  <c r="BC15" i="130" a="1"/>
  <c r="BD18" i="130" a="1"/>
  <c r="BG20" i="130" a="1"/>
  <c r="AT25" i="130" a="1"/>
  <c r="AV36" i="130" a="1"/>
  <c r="BA34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X38" i="130" a="1"/>
  <c r="AW42" i="130" a="1"/>
  <c r="BB46" i="130" a="1"/>
  <c r="AT18" i="130" a="1"/>
  <c r="BD45" i="130" a="1"/>
  <c r="AX24" i="130" a="1"/>
  <c r="AX18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BI7" i="130" a="1"/>
  <c r="BD8" i="130" a="1"/>
  <c r="AY9" i="130" a="1"/>
  <c r="AY11" i="130" a="1"/>
  <c r="BA14" i="130" a="1"/>
  <c r="BC17" i="130" a="1"/>
  <c r="BF31" i="130" a="1"/>
  <c r="BB35" i="130" a="1"/>
  <c r="BE38" i="130" a="1"/>
  <c r="BB42" i="130" a="1"/>
  <c r="BA46" i="130" a="1"/>
  <c r="AV19" i="130" a="1"/>
  <c r="BH19" i="130" a="1"/>
  <c r="BC20" i="130" a="1"/>
  <c r="AX21" i="130" a="1"/>
  <c r="AS22" i="130" a="1"/>
  <c r="BE22" i="130" a="1"/>
  <c r="AZ23" i="130" a="1"/>
  <c r="AU24" i="130" a="1"/>
  <c r="BG24" i="130" a="1"/>
  <c r="BB25" i="130" a="1"/>
  <c r="AW26" i="130" a="1"/>
  <c r="BI26" i="130" a="1"/>
  <c r="BD27" i="130" a="1"/>
  <c r="AY28" i="130" a="1"/>
  <c r="AT29" i="130" a="1"/>
  <c r="BF30" i="130" a="1"/>
  <c r="BI34" i="130" a="1"/>
  <c r="BC38" i="130" a="1"/>
  <c r="BC42" i="130" a="1"/>
  <c r="BI46" i="130" a="1"/>
  <c r="AX11" i="130" a="1"/>
  <c r="BG14" i="130" a="1"/>
  <c r="AY18" i="130" a="1"/>
  <c r="AU33" i="130" a="1"/>
  <c r="AS37" i="130" a="1"/>
  <c r="AX42" i="130" a="1"/>
  <c r="AY46" i="130" a="1"/>
  <c r="BI10" i="130" a="1"/>
  <c r="BD14" i="130" a="1"/>
  <c r="AW18" i="130" a="1"/>
  <c r="AW33" i="130" a="1"/>
  <c r="BI36" i="130" a="1"/>
  <c r="BF40" i="130" a="1"/>
  <c r="AT46" i="130" a="1"/>
  <c r="BI19" i="130" a="1"/>
  <c r="AY21" i="130" a="1"/>
  <c r="AT22" i="130" a="1"/>
  <c r="BF22" i="130" a="1"/>
  <c r="BA23" i="130" a="1"/>
  <c r="AV24" i="130" a="1"/>
  <c r="BH24" i="130" a="1"/>
  <c r="AV11" i="130" a="1"/>
  <c r="BE14" i="130" a="1"/>
  <c r="BA18" i="130" a="1"/>
  <c r="AV33" i="130" a="1"/>
  <c r="BI40" i="130" a="1"/>
  <c r="AU45" i="130" a="1"/>
  <c r="BE9" i="130" a="1"/>
  <c r="BC13" i="130" a="1"/>
  <c r="AZ17" i="130" a="1"/>
  <c r="AX32" i="130" a="1"/>
  <c r="BB36" i="130" a="1"/>
  <c r="AY40" i="130" a="1"/>
  <c r="BC44" i="130" a="1"/>
  <c r="BF48" i="130" a="1"/>
  <c r="BJ16" i="130" a="1"/>
  <c r="BJ28" i="130" a="1"/>
  <c r="BJ40" i="130" a="1"/>
  <c r="AV5" i="130" a="1"/>
  <c r="BH5" i="130" a="1"/>
  <c r="BC6" i="130" a="1"/>
  <c r="AX7" i="130" a="1"/>
  <c r="AS8" i="130" a="1"/>
  <c r="BE8" i="130" a="1"/>
  <c r="AZ9" i="130" a="1"/>
  <c r="BC11" i="130" a="1"/>
  <c r="BF14" i="130" a="1"/>
  <c r="BH17" i="130" a="1"/>
  <c r="AT32" i="130" a="1"/>
  <c r="BF35" i="130" a="1"/>
  <c r="AS39" i="130" a="1"/>
  <c r="BH42" i="130" a="1"/>
  <c r="BG46" i="130" a="1"/>
  <c r="AW19" i="130" a="1"/>
  <c r="BD20" i="130" a="1"/>
  <c r="BC25" i="130" a="1"/>
  <c r="AX26" i="130" a="1"/>
  <c r="AS27" i="130" a="1"/>
  <c r="BE27" i="130" a="1"/>
  <c r="AZ28" i="130" a="1"/>
  <c r="AU29" i="130" a="1"/>
  <c r="AT31" i="130" a="1"/>
  <c r="AW35" i="130" a="1"/>
  <c r="BH38" i="130" a="1"/>
  <c r="AS43" i="130" a="1"/>
  <c r="AW47" i="130" a="1"/>
  <c r="BD11" i="130" a="1"/>
  <c r="AV15" i="130" a="1"/>
  <c r="BC18" i="130" a="1"/>
  <c r="BA33" i="130" a="1"/>
  <c r="AW37" i="130" a="1"/>
  <c r="BD42" i="130" a="1"/>
  <c r="BE46" i="130" a="1"/>
  <c r="AW11" i="130" a="1"/>
  <c r="BI14" i="130" a="1"/>
  <c r="BB18" i="130" a="1"/>
  <c r="BC33" i="130" a="1"/>
  <c r="AX37" i="130" a="1"/>
  <c r="AY41" i="130" a="1"/>
  <c r="AZ46" i="130" a="1"/>
  <c r="AS33" i="130" a="1"/>
  <c r="AW45" i="130" a="1"/>
  <c r="BJ6" i="130" a="1"/>
  <c r="BE6" i="130" a="1"/>
  <c r="BG8" i="130" a="1"/>
  <c r="AZ18" i="130" a="1"/>
  <c r="AX36" i="130" a="1"/>
  <c r="AZ47" i="130" a="1"/>
  <c r="AY19" i="130" a="1"/>
  <c r="BC23" i="130" a="1"/>
  <c r="AZ26" i="130" a="1"/>
  <c r="AW29" i="130" a="1"/>
  <c r="BH35" i="130" a="1"/>
  <c r="BA47" i="130" a="1"/>
  <c r="BB15" i="130" a="1"/>
  <c r="AS42" i="130" a="1"/>
  <c r="AZ41" i="130" a="1"/>
  <c r="BJ7" i="130" a="1"/>
  <c r="BJ43" i="130" a="1"/>
  <c r="AV8" i="130" a="1"/>
  <c r="AZ19" i="130" a="1"/>
  <c r="BD23" i="130" a="1"/>
  <c r="BA26" i="130" a="1"/>
  <c r="AX29" i="130" a="1"/>
  <c r="BG15" i="130" a="1"/>
  <c r="BA11" i="130" a="1"/>
  <c r="AT15" i="130" a="1"/>
  <c r="BF18" i="130" a="1"/>
  <c r="BB33" i="130" a="1"/>
  <c r="AX41" i="130" a="1"/>
  <c r="AY45" i="130" a="1"/>
  <c r="AT10" i="130" a="1"/>
  <c r="BH13" i="130" a="1"/>
  <c r="BE17" i="130" a="1"/>
  <c r="BD32" i="130" a="1"/>
  <c r="BG36" i="130" a="1"/>
  <c r="BE40" i="130" a="1"/>
  <c r="BI44" i="130" a="1"/>
  <c r="BJ5" i="130" a="1"/>
  <c r="BJ17" i="130" a="1"/>
  <c r="BJ29" i="130" a="1"/>
  <c r="BJ41" i="130" a="1"/>
  <c r="AW5" i="130" a="1"/>
  <c r="BI5" i="130" a="1"/>
  <c r="BD6" i="130" a="1"/>
  <c r="AY7" i="130" a="1"/>
  <c r="AT8" i="130" a="1"/>
  <c r="BF8" i="130" a="1"/>
  <c r="BA9" i="130" a="1"/>
  <c r="BG11" i="130" a="1"/>
  <c r="AS15" i="130" a="1"/>
  <c r="AV18" i="130" a="1"/>
  <c r="AZ32" i="130" a="1"/>
  <c r="AT36" i="130" a="1"/>
  <c r="AX39" i="130" a="1"/>
  <c r="AW43" i="130" a="1"/>
  <c r="AU47" i="130" a="1"/>
  <c r="AX19" i="130" a="1"/>
  <c r="AS20" i="130" a="1"/>
  <c r="BE20" i="130" a="1"/>
  <c r="AZ21" i="130" a="1"/>
  <c r="AU22" i="130" a="1"/>
  <c r="BG22" i="130" a="1"/>
  <c r="BB23" i="130" a="1"/>
  <c r="AW24" i="130" a="1"/>
  <c r="BI24" i="130" a="1"/>
  <c r="BD25" i="130" a="1"/>
  <c r="AY26" i="130" a="1"/>
  <c r="AT27" i="130" a="1"/>
  <c r="BF27" i="130" a="1"/>
  <c r="BA28" i="130" a="1"/>
  <c r="AV29" i="130" a="1"/>
  <c r="BB31" i="130" a="1"/>
  <c r="BC35" i="130" a="1"/>
  <c r="AV39" i="130" a="1"/>
  <c r="AY43" i="130" a="1"/>
  <c r="BC47" i="130" a="1"/>
  <c r="BI11" i="130" a="1"/>
  <c r="AZ15" i="130" a="1"/>
  <c r="BH18" i="130" a="1"/>
  <c r="BH33" i="130" a="1"/>
  <c r="BB37" i="130" a="1"/>
  <c r="BI42" i="130" a="1"/>
  <c r="AT47" i="130" a="1"/>
  <c r="BB11" i="130" a="1"/>
  <c r="AW15" i="130" a="1"/>
  <c r="BG18" i="130" a="1"/>
  <c r="BI33" i="130" a="1"/>
  <c r="BC37" i="130" a="1"/>
  <c r="BE41" i="130" a="1"/>
  <c r="BF46" i="130" a="1"/>
  <c r="AY15" i="130" a="1"/>
  <c r="BE29" i="130" a="1"/>
  <c r="BG33" i="130" a="1"/>
  <c r="BD41" i="130" a="1"/>
  <c r="BE45" i="130" a="1"/>
  <c r="BA10" i="130" a="1"/>
  <c r="AV14" i="130" a="1"/>
  <c r="AS18" i="130" a="1"/>
  <c r="AU37" i="130" a="1"/>
  <c r="BJ18" i="130" a="1"/>
  <c r="BJ42" i="130" a="1"/>
  <c r="AS6" i="130" a="1"/>
  <c r="AU8" i="130" a="1"/>
  <c r="BB9" i="130" a="1"/>
  <c r="AX15" i="130" a="1"/>
  <c r="BD39" i="130" a="1"/>
  <c r="BB43" i="130" a="1"/>
  <c r="AT20" i="130" a="1"/>
  <c r="AV22" i="130" a="1"/>
  <c r="BE25" i="130" a="1"/>
  <c r="BG27" i="130" a="1"/>
  <c r="BH29" i="130" a="1"/>
  <c r="AV47" i="130" a="1"/>
  <c r="AT30" i="130" a="1"/>
  <c r="BF10" i="130" a="1"/>
  <c r="BA37" i="130" a="1"/>
  <c r="BJ19" i="130" a="1"/>
  <c r="AY5" i="130" a="1"/>
  <c r="AX48" i="130" a="1"/>
  <c r="BD43" i="130" a="1"/>
  <c r="AV38" i="130" a="1"/>
  <c r="BF11" i="130" a="1"/>
  <c r="AT41" i="130" a="1"/>
  <c r="BJ30" i="130" a="1"/>
  <c r="AX5" i="130" a="1"/>
  <c r="AZ7" i="130" a="1"/>
  <c r="AU12" i="130" a="1"/>
  <c r="BE32" i="130" a="1"/>
  <c r="BH22" i="130" a="1"/>
  <c r="AU27" i="130" a="1"/>
  <c r="BA39" i="130" a="1"/>
  <c r="AW12" i="130" a="1"/>
  <c r="BI37" i="130" a="1"/>
  <c r="BH11" i="130" a="1"/>
  <c r="BF29" i="130" a="1"/>
  <c r="BH37" i="130" a="1"/>
  <c r="AT42" i="130" a="1"/>
  <c r="AV34" i="130" a="1"/>
  <c r="AY33" i="130" a="1"/>
  <c r="BB45" i="130" a="1"/>
  <c r="BJ31" i="130" a="1"/>
  <c r="AT6" i="130" a="1"/>
  <c r="AZ12" i="130" a="1"/>
  <c r="AT33" i="130" a="1"/>
  <c r="BG43" i="130" a="1"/>
  <c r="AU20" i="130" a="1"/>
  <c r="BB21" i="130" a="1"/>
  <c r="BF25" i="130" a="1"/>
  <c r="AV44" i="130" a="1"/>
  <c r="BA42" i="130" a="1"/>
  <c r="AY12" i="130" a="1"/>
  <c r="BI15" i="130" a="1"/>
  <c r="AZ30" i="130" a="1"/>
  <c r="BC34" i="130" a="1"/>
  <c r="AY42" i="130" a="1"/>
  <c r="AX46" i="130" a="1"/>
  <c r="AU11" i="130" a="1"/>
  <c r="BH14" i="130" a="1"/>
  <c r="BE18" i="130" a="1"/>
  <c r="BF33" i="130" a="1"/>
  <c r="BF37" i="130" a="1"/>
  <c r="BF41" i="130" a="1"/>
  <c r="BH45" i="130" a="1"/>
  <c r="BJ8" i="130" a="1"/>
  <c r="BJ20" i="130" a="1"/>
  <c r="BJ32" i="130" a="1"/>
  <c r="BJ44" i="130" a="1"/>
  <c r="AZ5" i="130" a="1"/>
  <c r="AU6" i="130" a="1"/>
  <c r="BG6" i="130" a="1"/>
  <c r="BB7" i="130" a="1"/>
  <c r="AW8" i="130" a="1"/>
  <c r="BI8" i="130" a="1"/>
  <c r="BH9" i="130" a="1"/>
  <c r="BD12" i="130" a="1"/>
  <c r="BH15" i="130" a="1"/>
  <c r="BD29" i="130" a="1"/>
  <c r="AZ33" i="130" a="1"/>
  <c r="BH36" i="130" a="1"/>
  <c r="AX40" i="130" a="1"/>
  <c r="AU44" i="130" a="1"/>
  <c r="AS48" i="130" a="1"/>
  <c r="BA19" i="130" a="1"/>
  <c r="AV20" i="130" a="1"/>
  <c r="BH20" i="130" a="1"/>
  <c r="BC21" i="130" a="1"/>
  <c r="AX22" i="130" a="1"/>
  <c r="AS23" i="130" a="1"/>
  <c r="BE23" i="130" a="1"/>
  <c r="AZ24" i="130" a="1"/>
  <c r="AU25" i="130" a="1"/>
  <c r="BG25" i="130" a="1"/>
  <c r="BB26" i="130" a="1"/>
  <c r="AW27" i="130" a="1"/>
  <c r="BI27" i="130" a="1"/>
  <c r="BD28" i="130" a="1"/>
  <c r="AY29" i="130" a="1"/>
  <c r="BC32" i="130" a="1"/>
  <c r="BA36" i="130" a="1"/>
  <c r="AV40" i="130" a="1"/>
  <c r="BA44" i="130" a="1"/>
  <c r="BE48" i="130" a="1"/>
  <c r="BF12" i="130" a="1"/>
  <c r="AX16" i="130" a="1"/>
  <c r="BC30" i="130" a="1"/>
  <c r="BG34" i="130" a="1"/>
  <c r="BF39" i="130" a="1"/>
  <c r="AS44" i="130" a="1"/>
  <c r="AV48" i="130" a="1"/>
  <c r="BB12" i="130" a="1"/>
  <c r="AV16" i="130" a="1"/>
  <c r="BD30" i="130" a="1"/>
  <c r="BH34" i="130" a="1"/>
  <c r="AZ38" i="130" a="1"/>
  <c r="BG42" i="130" a="1"/>
  <c r="BH47" i="130" a="1"/>
  <c r="BF6" i="130" a="1"/>
  <c r="BC36" i="130" a="1"/>
  <c r="AW22" i="130" a="1"/>
  <c r="AY24" i="130" a="1"/>
  <c r="AV27" i="130" a="1"/>
  <c r="BC28" i="130" a="1"/>
  <c r="AW32" i="130" a="1"/>
  <c r="BG39" i="130" a="1"/>
  <c r="BA12" i="130" a="1"/>
  <c r="AX30" i="130" a="1"/>
  <c r="AV12" i="130" a="1"/>
  <c r="AA45" i="1" l="1"/>
  <c r="AA47" i="1" s="1"/>
  <c r="AA51" i="1" s="1"/>
  <c r="BX78" i="1"/>
  <c r="AZ51" i="130" s="1"/>
  <c r="BY29" i="1" s="1"/>
  <c r="AX51" i="130" s="1"/>
  <c r="BY72" i="1" s="1"/>
  <c r="AY51" i="130" s="1"/>
  <c r="BY58" i="1" s="1"/>
  <c r="BY46" i="1" s="1"/>
  <c r="BY67" i="1" s="1"/>
  <c r="BX50" i="1" s="1"/>
  <c r="BX51" i="1" s="1"/>
  <c r="BX55" i="1" s="1"/>
  <c r="BI51" i="130" s="1"/>
  <c r="AW51" i="130" s="1"/>
  <c r="BJ51" i="130" s="1"/>
  <c r="BY50" i="1" s="1"/>
  <c r="BH51" i="130" s="1"/>
  <c r="AV51" i="130" s="1"/>
  <c r="BY57" i="1" s="1"/>
  <c r="BY59" i="1" s="1"/>
  <c r="BG51" i="130" s="1"/>
  <c r="AU51" i="130" s="1"/>
  <c r="BY44" i="1" s="1"/>
  <c r="BY35" i="1" s="1"/>
  <c r="BF51" i="130" s="1"/>
  <c r="AT51" i="130" s="1"/>
  <c r="BY78" i="1" s="1"/>
  <c r="BY39" i="1" s="1"/>
  <c r="BE51" i="130" s="1"/>
  <c r="AS51" i="130" s="1"/>
  <c r="BY32" i="1" s="1"/>
  <c r="BD51" i="130" s="1"/>
  <c r="BY54" i="1" s="1"/>
  <c r="BC51" i="130" s="1"/>
  <c r="BY69" i="1" s="1"/>
  <c r="BY68" i="1" s="1"/>
  <c r="BY30" i="1" s="1"/>
  <c r="BB51" i="130" s="1"/>
  <c r="BY71" i="1" s="1"/>
  <c r="BA51" i="130" s="1"/>
  <c r="BJ69" i="130" a="1"/>
  <c r="BJ58" i="130" a="1"/>
  <c r="AS83" i="130" a="1"/>
  <c r="AS61" i="130" a="1"/>
  <c r="AS74" i="130" a="1"/>
  <c r="AT82" i="130" a="1"/>
  <c r="AT81" i="130" a="1"/>
  <c r="AU78" i="130" a="1"/>
  <c r="AU72" i="130" a="1"/>
  <c r="AU60" i="130" a="1"/>
  <c r="AV61" i="130" a="1"/>
  <c r="AV76" i="130" a="1"/>
  <c r="AW74" i="130" a="1"/>
  <c r="AW73" i="130" a="1"/>
  <c r="AW71" i="130" a="1"/>
  <c r="AX76" i="130" a="1"/>
  <c r="AX53" i="130" a="1"/>
  <c r="AX81" i="130" a="1"/>
  <c r="AY81" i="130" a="1"/>
  <c r="AY65" i="130" a="1"/>
  <c r="AZ54" i="130" a="1"/>
  <c r="AZ57" i="130" a="1"/>
  <c r="AZ71" i="130" a="1"/>
  <c r="BA65" i="130" a="1"/>
  <c r="BA75" i="130" a="1"/>
  <c r="BB77" i="130" a="1"/>
  <c r="BB70" i="130" a="1"/>
  <c r="BB74" i="130" a="1"/>
  <c r="BC81" i="130" a="1"/>
  <c r="BC58" i="130" a="1"/>
  <c r="BC53" i="130" a="1"/>
  <c r="BD60" i="130" a="1"/>
  <c r="BD68" i="130" a="1"/>
  <c r="BE59" i="130" a="1"/>
  <c r="BE81" i="130" a="1"/>
  <c r="BE63" i="130" a="1"/>
  <c r="BF73" i="130" a="1"/>
  <c r="BF59" i="130" a="1"/>
  <c r="BG58" i="130" a="1"/>
  <c r="BG61" i="130" a="1"/>
  <c r="BG62" i="130" a="1"/>
  <c r="BH81" i="130" a="1"/>
  <c r="BH75" i="130" a="1"/>
  <c r="BI75" i="130" a="1"/>
  <c r="BI59" i="130" a="1"/>
  <c r="BI65" i="130" a="1"/>
  <c r="AX15" i="132" a="1"/>
  <c r="M5" i="132" a="1"/>
  <c r="AS6" i="132" a="1"/>
  <c r="G8" i="132" a="1"/>
  <c r="CC8" i="132" a="1"/>
  <c r="T14" i="132" a="1"/>
  <c r="AR10" i="130" a="1"/>
  <c r="BX9" i="132" a="1"/>
  <c r="Y13" i="132" a="1"/>
  <c r="BW14" i="132" a="1"/>
  <c r="DT16" i="132" a="1"/>
  <c r="AE5" i="132" a="1"/>
  <c r="AU5" i="132" a="1"/>
  <c r="CU14" i="132" a="1"/>
  <c r="FF14" i="132" a="1"/>
  <c r="BG15" i="132" a="1"/>
  <c r="DS12" i="132" a="1"/>
  <c r="AC15" i="132" a="1"/>
  <c r="AE16" i="132" a="1"/>
  <c r="BG12" i="132" a="1"/>
  <c r="J13" i="132" a="1"/>
  <c r="DU11" i="132" a="1"/>
  <c r="E6" i="132" a="1"/>
  <c r="BS5" i="132" a="1"/>
  <c r="AB16" i="132" a="1"/>
  <c r="AU7" i="132" a="1"/>
  <c r="CB12" i="132" a="1"/>
  <c r="DD5" i="132" a="1"/>
  <c r="DA12" i="132" a="1"/>
  <c r="AD12" i="132" a="1"/>
  <c r="EE9" i="132" a="1"/>
  <c r="AQ14" i="132" a="1"/>
  <c r="AR17" i="130" a="1"/>
  <c r="CM13" i="132" a="1"/>
  <c r="EB13" i="132" a="1"/>
  <c r="BN15" i="132" a="1"/>
  <c r="CG7" i="132" a="1"/>
  <c r="AD5" i="132" a="1"/>
  <c r="BH8" i="132" a="1"/>
  <c r="BJ83" i="130" a="1"/>
  <c r="BJ64" i="130" a="1"/>
  <c r="BJ53" i="130" a="1"/>
  <c r="AS77" i="130" a="1"/>
  <c r="AS58" i="130" a="1"/>
  <c r="AS73" i="130" a="1"/>
  <c r="AT79" i="130" a="1"/>
  <c r="AT78" i="130" a="1"/>
  <c r="AU66" i="130" a="1"/>
  <c r="AU76" i="130" a="1"/>
  <c r="AU55" i="130" a="1"/>
  <c r="AV69" i="130" a="1"/>
  <c r="AV74" i="130" a="1"/>
  <c r="AW72" i="130" a="1"/>
  <c r="AW80" i="130" a="1"/>
  <c r="AW70" i="130" a="1"/>
  <c r="AX72" i="130" a="1"/>
  <c r="AX82" i="130" a="1"/>
  <c r="AX64" i="130" a="1"/>
  <c r="AY57" i="130" a="1"/>
  <c r="AY62" i="130" a="1"/>
  <c r="AZ80" i="130" a="1"/>
  <c r="AZ83" i="130" a="1"/>
  <c r="AZ62" i="130" a="1"/>
  <c r="BA64" i="130" a="1"/>
  <c r="BA72" i="130" a="1"/>
  <c r="BB73" i="130" a="1"/>
  <c r="BB65" i="130" a="1"/>
  <c r="BB62" i="130" a="1"/>
  <c r="BC79" i="130" a="1"/>
  <c r="BC74" i="130" a="1"/>
  <c r="BD81" i="130" a="1"/>
  <c r="BD54" i="130" a="1"/>
  <c r="BD61" i="130" a="1"/>
  <c r="BE54" i="130" a="1"/>
  <c r="BE78" i="130" a="1"/>
  <c r="BE60" i="130" a="1"/>
  <c r="BF63" i="130" a="1"/>
  <c r="BF57" i="130" a="1"/>
  <c r="BG80" i="130" a="1"/>
  <c r="BG77" i="130" a="1"/>
  <c r="BG60" i="130" a="1"/>
  <c r="BH70" i="130" a="1"/>
  <c r="BH73" i="130" a="1"/>
  <c r="BI73" i="130" a="1"/>
  <c r="BI58" i="130" a="1"/>
  <c r="BI63" i="130" a="1"/>
  <c r="ET9" i="132" a="1"/>
  <c r="AC13" i="132" a="1"/>
  <c r="T8" i="132" a="1"/>
  <c r="DO9" i="132" a="1"/>
  <c r="BS14" i="132" a="1"/>
  <c r="BP12" i="132" a="1"/>
  <c r="AW14" i="132" a="1"/>
  <c r="W11" i="132" a="1"/>
  <c r="CN16" i="132" a="1"/>
  <c r="EG9" i="132" a="1"/>
  <c r="CV5" i="132" a="1"/>
  <c r="F48" i="130" a="1"/>
  <c r="BU8" i="132" a="1"/>
  <c r="BA7" i="132" a="1"/>
  <c r="EQ6" i="132" a="1"/>
  <c r="CF6" i="132" a="1"/>
  <c r="BO16" i="132" a="1"/>
  <c r="ET14" i="132" a="1"/>
  <c r="G7" i="132" a="1"/>
  <c r="AR38" i="130" a="1"/>
  <c r="AJ48" i="130" a="1"/>
  <c r="BP8" i="132" a="1"/>
  <c r="L9" i="132" a="1"/>
  <c r="AK8" i="132" a="1"/>
  <c r="ES14" i="132" a="1"/>
  <c r="CL15" i="132" a="1"/>
  <c r="DT5" i="132" a="1"/>
  <c r="CY15" i="132" a="1"/>
  <c r="EA15" i="132" a="1"/>
  <c r="EI9" i="132" a="1"/>
  <c r="E11" i="132" a="1"/>
  <c r="R11" i="132" a="1"/>
  <c r="EK13" i="132" a="1"/>
  <c r="Z16" i="132" a="1"/>
  <c r="F9" i="132" a="1"/>
  <c r="BM11" i="132" a="1"/>
  <c r="CV16" i="132" a="1"/>
  <c r="CN8" i="132" a="1"/>
  <c r="BX6" i="132" a="1"/>
  <c r="FC11" i="132" a="1"/>
  <c r="EM14" i="132" a="1"/>
  <c r="BD5" i="132" a="1"/>
  <c r="AW13" i="132" a="1"/>
  <c r="EY16" i="132" a="1"/>
  <c r="AI5" i="132" a="1"/>
  <c r="DM14" i="132" a="1"/>
  <c r="M6" i="132" a="1"/>
  <c r="BJ78" i="130" a="1"/>
  <c r="BJ60" i="130" a="1"/>
  <c r="BJ81" i="130" a="1"/>
  <c r="AS76" i="130" a="1"/>
  <c r="AS57" i="130" a="1"/>
  <c r="AS59" i="130" a="1"/>
  <c r="AT74" i="130" a="1"/>
  <c r="AT80" i="130" a="1"/>
  <c r="AU79" i="130" a="1"/>
  <c r="AU75" i="130" a="1"/>
  <c r="AU61" i="130" a="1"/>
  <c r="AV65" i="130" a="1"/>
  <c r="AV68" i="130" a="1"/>
  <c r="AW69" i="130" a="1"/>
  <c r="AW79" i="130" a="1"/>
  <c r="AW59" i="130" a="1"/>
  <c r="AX62" i="130" a="1"/>
  <c r="AX79" i="130" a="1"/>
  <c r="AY82" i="130" a="1"/>
  <c r="AY73" i="130" a="1"/>
  <c r="AY54" i="130" a="1"/>
  <c r="AZ61" i="130" a="1"/>
  <c r="AZ79" i="130" a="1"/>
  <c r="AZ60" i="130" a="1"/>
  <c r="BA63" i="130" a="1"/>
  <c r="BA61" i="130" a="1"/>
  <c r="BB63" i="130" a="1"/>
  <c r="BB59" i="130" a="1"/>
  <c r="BB58" i="130" a="1"/>
  <c r="BC70" i="130" a="1"/>
  <c r="BC68" i="130" a="1"/>
  <c r="BD80" i="130" a="1"/>
  <c r="BD53" i="130" a="1"/>
  <c r="BD79" i="130" a="1"/>
  <c r="BE77" i="130" a="1"/>
  <c r="BE61" i="130" a="1"/>
  <c r="BE58" i="130" a="1"/>
  <c r="BF55" i="130" a="1"/>
  <c r="BF54" i="130" a="1"/>
  <c r="BG69" i="130" a="1"/>
  <c r="BG73" i="130" a="1"/>
  <c r="BG81" i="130" a="1"/>
  <c r="BH66" i="130" a="1"/>
  <c r="BH72" i="130" a="1"/>
  <c r="BI64" i="130" a="1"/>
  <c r="BI80" i="130" a="1"/>
  <c r="BI78" i="130" a="1"/>
  <c r="AU8" i="132" a="1"/>
  <c r="N8" i="132" a="1"/>
  <c r="O48" i="130" a="1"/>
  <c r="ET12" i="132" a="1"/>
  <c r="EX15" i="132" a="1"/>
  <c r="FC16" i="132" a="1"/>
  <c r="AY13" i="132" a="1"/>
  <c r="BA16" i="132" a="1"/>
  <c r="EM12" i="132" a="1"/>
  <c r="DS5" i="132" a="1"/>
  <c r="AB12" i="132" a="1"/>
  <c r="U48" i="130" a="1"/>
  <c r="DX14" i="132" a="1"/>
  <c r="BX8" i="132" a="1"/>
  <c r="E8" i="132" a="1"/>
  <c r="BO11" i="132" a="1"/>
  <c r="BW9" i="132" a="1"/>
  <c r="DP13" i="132" a="1"/>
  <c r="K48" i="130" a="1"/>
  <c r="EF11" i="132" a="1"/>
  <c r="AG15" i="132" a="1"/>
  <c r="DD7" i="132" a="1"/>
  <c r="EN12" i="132" a="1"/>
  <c r="AA11" i="132" a="1"/>
  <c r="CW12" i="132" a="1"/>
  <c r="AN16" i="132" a="1"/>
  <c r="AR31" i="130" a="1"/>
  <c r="EJ9" i="132" a="1"/>
  <c r="AG16" i="132" a="1"/>
  <c r="N12" i="132" a="1"/>
  <c r="AU6" i="132" a="1"/>
  <c r="DI15" i="132" a="1"/>
  <c r="CJ8" i="132" a="1"/>
  <c r="AM14" i="132" a="1"/>
  <c r="AT13" i="132" a="1"/>
  <c r="DF9" i="132" a="1"/>
  <c r="F16" i="132" a="1"/>
  <c r="CQ16" i="132" a="1"/>
  <c r="J12" i="132" a="1"/>
  <c r="DU15" i="132" a="1"/>
  <c r="DR11" i="132" a="1"/>
  <c r="CT5" i="132" a="1"/>
  <c r="AV7" i="132" a="1"/>
  <c r="CW9" i="132" a="1"/>
  <c r="CB9" i="132" a="1"/>
  <c r="EZ5" i="132" a="1"/>
  <c r="AE14" i="132" a="1"/>
  <c r="Y7" i="132" a="1"/>
  <c r="AP9" i="132" a="1"/>
  <c r="DV7" i="132" a="1"/>
  <c r="CK12" i="132" a="1"/>
  <c r="BO6" i="132" a="1"/>
  <c r="EU12" i="132" a="1"/>
  <c r="EM7" i="132" a="1"/>
  <c r="BL15" i="132" a="1"/>
  <c r="DS11" i="132" a="1"/>
  <c r="DL8" i="132" a="1"/>
  <c r="AR44" i="130" a="1"/>
  <c r="CQ6" i="132" a="1"/>
  <c r="CC9" i="132" a="1"/>
  <c r="DA6" i="132" a="1"/>
  <c r="DZ8" i="132" a="1"/>
  <c r="BE5" i="132" a="1"/>
  <c r="EO5" i="132" a="1"/>
  <c r="DF14" i="132" a="1"/>
  <c r="AL7" i="132" a="1"/>
  <c r="CW6" i="132" a="1"/>
  <c r="EU14" i="132" a="1"/>
  <c r="AA48" i="130" a="1"/>
  <c r="CO13" i="132" a="1"/>
  <c r="EN15" i="132" a="1"/>
  <c r="CG6" i="132" a="1"/>
  <c r="BP11" i="132" a="1"/>
  <c r="CW13" i="132" a="1"/>
  <c r="DE9" i="132" a="1"/>
  <c r="BX16" i="132" a="1"/>
  <c r="CZ15" i="132" a="1"/>
  <c r="R14" i="132" a="1"/>
  <c r="BD13" i="132" a="1"/>
  <c r="AJ5" i="132" a="1"/>
  <c r="Z11" i="132" a="1"/>
  <c r="AR6" i="132" a="1"/>
  <c r="R48" i="130" a="1"/>
  <c r="AE11" i="132" a="1"/>
  <c r="DV11" i="132" a="1"/>
  <c r="EF5" i="132" a="1"/>
  <c r="C9" i="132" a="1"/>
  <c r="EV16" i="132" a="1"/>
  <c r="FB16" i="132" a="1"/>
  <c r="E14" i="132" a="1"/>
  <c r="BM6" i="132" a="1"/>
  <c r="CI8" i="132" a="1"/>
  <c r="CD9" i="132" a="1"/>
  <c r="Q13" i="132" a="1"/>
  <c r="EY15" i="132" a="1"/>
  <c r="EM6" i="132" a="1"/>
  <c r="CW16" i="132" a="1"/>
  <c r="DR6" i="132" a="1"/>
  <c r="AD14" i="132" a="1"/>
  <c r="DK6" i="132" a="1"/>
  <c r="CH13" i="132" a="1"/>
  <c r="CV15" i="132" a="1"/>
  <c r="CN7" i="132" a="1"/>
  <c r="BJ70" i="130" a="1"/>
  <c r="BJ54" i="130" a="1"/>
  <c r="BJ76" i="130" a="1"/>
  <c r="AS71" i="130" a="1"/>
  <c r="AS80" i="130" a="1"/>
  <c r="AT77" i="130" a="1"/>
  <c r="AT72" i="130" a="1"/>
  <c r="AT76" i="130" a="1"/>
  <c r="AU74" i="130" a="1"/>
  <c r="AU71" i="130" a="1"/>
  <c r="AU58" i="130" a="1"/>
  <c r="AV60" i="130" a="1"/>
  <c r="AV66" i="130" a="1"/>
  <c r="AW61" i="130" a="1"/>
  <c r="AW78" i="130" a="1"/>
  <c r="AW58" i="130" a="1"/>
  <c r="AX83" i="130" a="1"/>
  <c r="AX70" i="130" a="1"/>
  <c r="AY78" i="130" a="1"/>
  <c r="AY71" i="130" a="1"/>
  <c r="AY53" i="130" a="1"/>
  <c r="AZ58" i="130" a="1"/>
  <c r="AZ77" i="130" a="1"/>
  <c r="AZ59" i="130" a="1"/>
  <c r="BA60" i="130" a="1"/>
  <c r="BA73" i="130" a="1"/>
  <c r="BB61" i="130" a="1"/>
  <c r="BB56" i="130" a="1"/>
  <c r="BB81" i="130" a="1"/>
  <c r="BC66" i="130" a="1"/>
  <c r="BC82" i="130" a="1"/>
  <c r="BD78" i="130" a="1"/>
  <c r="BD82" i="130" a="1"/>
  <c r="BD74" i="130" a="1"/>
  <c r="BE76" i="130" a="1"/>
  <c r="BE53" i="130" a="1"/>
  <c r="BF83" i="130" a="1"/>
  <c r="BF81" i="130" a="1"/>
  <c r="BF79" i="130" a="1"/>
  <c r="BG67" i="130" a="1"/>
  <c r="BG71" i="130" a="1"/>
  <c r="BG54" i="130" a="1"/>
  <c r="BH62" i="130" a="1"/>
  <c r="BH59" i="130" a="1"/>
  <c r="BI61" i="130" a="1"/>
  <c r="BI82" i="130" a="1"/>
  <c r="BI76" i="130" a="1"/>
  <c r="AI14" i="132" a="1"/>
  <c r="CJ13" i="132" a="1"/>
  <c r="ES11" i="132" a="1"/>
  <c r="Q15" i="132" a="1"/>
  <c r="FA8" i="132" a="1"/>
  <c r="CG15" i="132" a="1"/>
  <c r="AR22" i="130" a="1"/>
  <c r="BL5" i="132" a="1"/>
  <c r="EF8" i="132" a="1"/>
  <c r="BF8" i="132" a="1"/>
  <c r="D5" i="132" a="1"/>
  <c r="C7" i="132" a="1"/>
  <c r="N9" i="132" a="1"/>
  <c r="V7" i="132" a="1"/>
  <c r="CO7" i="132" a="1"/>
  <c r="DX13" i="132" a="1"/>
  <c r="CZ7" i="132" a="1"/>
  <c r="AK48" i="130" a="1"/>
  <c r="EU5" i="132" a="1"/>
  <c r="BC9" i="132" a="1"/>
  <c r="AA15" i="132" a="1"/>
  <c r="CO8" i="132" a="1"/>
  <c r="DZ14" i="132" a="1"/>
  <c r="AJ7" i="132" a="1"/>
  <c r="AO6" i="132" a="1"/>
  <c r="BJ65" i="130" a="1"/>
  <c r="BJ82" i="130" a="1"/>
  <c r="BJ72" i="130" a="1"/>
  <c r="AS62" i="130" a="1"/>
  <c r="AS66" i="130" a="1"/>
  <c r="AT75" i="130" a="1"/>
  <c r="AT61" i="130" a="1"/>
  <c r="AT71" i="130" a="1"/>
  <c r="AU64" i="130" a="1"/>
  <c r="AU69" i="130" a="1"/>
  <c r="AU53" i="130" a="1"/>
  <c r="AV83" i="130" a="1"/>
  <c r="AV62" i="130" a="1"/>
  <c r="AW53" i="130" a="1"/>
  <c r="AW76" i="130" a="1"/>
  <c r="AW77" i="130" a="1"/>
  <c r="AX80" i="130" a="1"/>
  <c r="AX67" i="130" a="1"/>
  <c r="AY76" i="130" a="1"/>
  <c r="AY64" i="130" a="1"/>
  <c r="AY67" i="130" a="1"/>
  <c r="AZ82" i="130" a="1"/>
  <c r="AZ72" i="130" a="1"/>
  <c r="BA74" i="130" a="1"/>
  <c r="BA55" i="130" a="1"/>
  <c r="BA56" i="130" a="1"/>
  <c r="BB53" i="130" a="1"/>
  <c r="BB54" i="130" a="1"/>
  <c r="BB72" i="130" a="1"/>
  <c r="BC62" i="130" a="1"/>
  <c r="BC78" i="130" a="1"/>
  <c r="BD70" i="130" a="1"/>
  <c r="BD75" i="130" a="1"/>
  <c r="BD69" i="130" a="1"/>
  <c r="BE72" i="130" a="1"/>
  <c r="BE71" i="130" a="1"/>
  <c r="BF72" i="130" a="1"/>
  <c r="BF76" i="130" a="1"/>
  <c r="BF69" i="130" a="1"/>
  <c r="BG65" i="130" a="1"/>
  <c r="BG66" i="130" a="1"/>
  <c r="BG53" i="130" a="1"/>
  <c r="BH61" i="130" a="1"/>
  <c r="BH58" i="130" a="1"/>
  <c r="BI57" i="130" a="1"/>
  <c r="BI70" i="130" a="1"/>
  <c r="BI67" i="130" a="1"/>
  <c r="ER12" i="132" a="1"/>
  <c r="AR39" i="130" a="1"/>
  <c r="CO12" i="132" a="1"/>
  <c r="AQ16" i="132" a="1"/>
  <c r="N14" i="132" a="1"/>
  <c r="C15" i="132" a="1"/>
  <c r="BW8" i="132" a="1"/>
  <c r="R12" i="132" a="1"/>
  <c r="CG14" i="132" a="1"/>
  <c r="AU15" i="132" a="1"/>
  <c r="X11" i="132" a="1"/>
  <c r="DO15" i="132" a="1"/>
  <c r="CN12" i="132" a="1"/>
  <c r="F7" i="132" a="1"/>
  <c r="AR28" i="130" a="1"/>
  <c r="M8" i="132" a="1"/>
  <c r="DR8" i="132" a="1"/>
  <c r="BS11" i="132" a="1"/>
  <c r="V12" i="132" a="1"/>
  <c r="EO9" i="132" a="1"/>
  <c r="DC7" i="132" a="1"/>
  <c r="BR13" i="132" a="1"/>
  <c r="AI16" i="132" a="1"/>
  <c r="DG13" i="132" a="1"/>
  <c r="EO16" i="132" a="1"/>
  <c r="DG8" i="132" a="1"/>
  <c r="BR5" i="132" a="1"/>
  <c r="W6" i="132" a="1"/>
  <c r="BO14" i="132" a="1"/>
  <c r="BP13" i="132" a="1"/>
  <c r="CC5" i="132" a="1"/>
  <c r="BP15" i="132" a="1"/>
  <c r="DJ7" i="132" a="1"/>
  <c r="DZ11" i="132" a="1"/>
  <c r="CA12" i="132" a="1"/>
  <c r="E13" i="132" a="1"/>
  <c r="EQ13" i="132" a="1"/>
  <c r="EV5" i="132" a="1"/>
  <c r="X14" i="132" a="1"/>
  <c r="DE12" i="132" a="1"/>
  <c r="CL12" i="132" a="1"/>
  <c r="CM7" i="132" a="1"/>
  <c r="CB14" i="132" a="1"/>
  <c r="T16" i="132" a="1"/>
  <c r="I13" i="132" a="1"/>
  <c r="AP15" i="132" a="1"/>
  <c r="DN16" i="132" a="1"/>
  <c r="EZ11" i="132" a="1"/>
  <c r="DH14" i="132" a="1"/>
  <c r="AQ48" i="130" a="1"/>
  <c r="DX16" i="132" a="1"/>
  <c r="BX13" i="132" a="1"/>
  <c r="Y9" i="132" a="1"/>
  <c r="ER5" i="132" a="1"/>
  <c r="EX11" i="132" a="1"/>
  <c r="ET15" i="132" a="1"/>
  <c r="Q14" i="132" a="1"/>
  <c r="AQ9" i="132" a="1"/>
  <c r="BJ12" i="132" a="1"/>
  <c r="DX12" i="132" a="1"/>
  <c r="AX11" i="132" a="1"/>
  <c r="Q11" i="132" a="1"/>
  <c r="P5" i="132" a="1"/>
  <c r="D16" i="132" a="1"/>
  <c r="EC5" i="132" a="1"/>
  <c r="CQ12" i="132" a="1"/>
  <c r="P16" i="132" a="1"/>
  <c r="CP9" i="132" a="1"/>
  <c r="AR37" i="130" a="1"/>
  <c r="EP8" i="132" a="1"/>
  <c r="DZ9" i="132" a="1"/>
  <c r="AH13" i="132" a="1"/>
  <c r="BQ14" i="132" a="1"/>
  <c r="EY7" i="132" a="1"/>
  <c r="D48" i="130" a="1"/>
  <c r="BV15" i="132" a="1"/>
  <c r="AV6" i="132" a="1"/>
  <c r="ES7" i="132" a="1"/>
  <c r="I8" i="132" a="1"/>
  <c r="AR23" i="130" a="1"/>
  <c r="BJ59" i="130" a="1"/>
  <c r="BJ66" i="130" a="1"/>
  <c r="BJ68" i="130" a="1"/>
  <c r="AS81" i="130" a="1"/>
  <c r="AS64" i="130" a="1"/>
  <c r="AT73" i="130" a="1"/>
  <c r="AT54" i="130" a="1"/>
  <c r="AT69" i="130" a="1"/>
  <c r="AU54" i="130" a="1"/>
  <c r="AU68" i="130" a="1"/>
  <c r="AV80" i="130" a="1"/>
  <c r="AV70" i="130" a="1"/>
  <c r="AV53" i="130" a="1"/>
  <c r="AW83" i="130" a="1"/>
  <c r="AW67" i="130" a="1"/>
  <c r="AW65" i="130" a="1"/>
  <c r="AX78" i="130" a="1"/>
  <c r="AX66" i="130" a="1"/>
  <c r="AY75" i="130" a="1"/>
  <c r="AY63" i="130" a="1"/>
  <c r="AY80" i="130" a="1"/>
  <c r="AZ76" i="130" a="1"/>
  <c r="AZ68" i="130" a="1"/>
  <c r="BA71" i="130" a="1"/>
  <c r="BA69" i="130" a="1"/>
  <c r="BA57" i="130" a="1"/>
  <c r="BB75" i="130" a="1"/>
  <c r="BB82" i="130" a="1"/>
  <c r="BB55" i="130" a="1"/>
  <c r="BC54" i="130" a="1"/>
  <c r="BC76" i="130" a="1"/>
  <c r="BD57" i="130" a="1"/>
  <c r="BD72" i="130" a="1"/>
  <c r="BD66" i="130" a="1"/>
  <c r="BE57" i="130" a="1"/>
  <c r="BE67" i="130" a="1"/>
  <c r="BF67" i="130" a="1"/>
  <c r="BF64" i="130" a="1"/>
  <c r="BF66" i="130" a="1"/>
  <c r="BG56" i="130" a="1"/>
  <c r="BG63" i="130" a="1"/>
  <c r="BH82" i="130" a="1"/>
  <c r="BH79" i="130" a="1"/>
  <c r="BH55" i="130" a="1"/>
  <c r="BI55" i="130" a="1"/>
  <c r="BI69" i="130" a="1"/>
  <c r="BI66" i="130" a="1"/>
  <c r="BE6" i="132" a="1"/>
  <c r="AJ14" i="132" a="1"/>
  <c r="BG16" i="132" a="1"/>
  <c r="I15" i="132" a="1"/>
  <c r="CU16" i="132" a="1"/>
  <c r="E5" i="132" a="1"/>
  <c r="X5" i="132" a="1"/>
  <c r="AF48" i="130" a="1"/>
  <c r="L48" i="130" a="1"/>
  <c r="DW14" i="132" a="1"/>
  <c r="X13" i="132" a="1"/>
  <c r="BF7" i="132" a="1"/>
  <c r="CN13" i="132" a="1"/>
  <c r="T6" i="132" a="1"/>
  <c r="BW15" i="132" a="1"/>
  <c r="EK15" i="132" a="1"/>
  <c r="DW16" i="132" a="1"/>
  <c r="CC14" i="132" a="1"/>
  <c r="AR30" i="130" a="1"/>
  <c r="BO7" i="132" a="1"/>
  <c r="C5" i="132" a="1"/>
  <c r="X48" i="130" a="1"/>
  <c r="FC15" i="132" a="1"/>
  <c r="AX9" i="132" a="1"/>
  <c r="M48" i="130" a="1"/>
  <c r="DX9" i="132" a="1"/>
  <c r="AJ12" i="132" a="1"/>
  <c r="K16" i="132" a="1"/>
  <c r="S14" i="132" a="1"/>
  <c r="DB11" i="132" a="1"/>
  <c r="AP12" i="132" a="1"/>
  <c r="DH13" i="132" a="1"/>
  <c r="CS15" i="132" a="1"/>
  <c r="BF13" i="132" a="1"/>
  <c r="AJ9" i="132" a="1"/>
  <c r="BZ5" i="132" a="1"/>
  <c r="AJ15" i="132" a="1"/>
  <c r="EA14" i="132" a="1"/>
  <c r="W48" i="130" a="1"/>
  <c r="DG7" i="132" a="1"/>
  <c r="R8" i="132" a="1"/>
  <c r="AI7" i="132" a="1"/>
  <c r="AF8" i="132" a="1"/>
  <c r="EC6" i="132" a="1"/>
  <c r="ED8" i="132" a="1"/>
  <c r="AH14" i="132" a="1"/>
  <c r="BP7" i="132" a="1"/>
  <c r="EU16" i="132" a="1"/>
  <c r="BS12" i="132" a="1"/>
  <c r="CY16" i="132" a="1"/>
  <c r="EE14" i="132" a="1"/>
  <c r="AH15" i="132" a="1"/>
  <c r="AP13" i="132" a="1"/>
  <c r="BJ55" i="130" a="1"/>
  <c r="BJ62" i="130" a="1"/>
  <c r="BJ61" i="130" a="1"/>
  <c r="AS79" i="130" a="1"/>
  <c r="AS53" i="130" a="1"/>
  <c r="AT68" i="130" a="1"/>
  <c r="AT64" i="130" a="1"/>
  <c r="AT66" i="130" a="1"/>
  <c r="AU70" i="130" a="1"/>
  <c r="AU62" i="130" a="1"/>
  <c r="AV71" i="130" a="1"/>
  <c r="AV54" i="130" a="1"/>
  <c r="AV79" i="130" a="1"/>
  <c r="AW81" i="130" a="1"/>
  <c r="AW66" i="130" a="1"/>
  <c r="AW54" i="130" a="1"/>
  <c r="AX71" i="130" a="1"/>
  <c r="AX75" i="130" a="1"/>
  <c r="AY66" i="130" a="1"/>
  <c r="AY60" i="130" a="1"/>
  <c r="AY74" i="130" a="1"/>
  <c r="AZ74" i="130" a="1"/>
  <c r="AZ66" i="130" a="1"/>
  <c r="BA68" i="130" a="1"/>
  <c r="BA66" i="130" a="1"/>
  <c r="BA53" i="130" a="1"/>
  <c r="BB71" i="130" a="1"/>
  <c r="BB66" i="130" a="1"/>
  <c r="BC75" i="130" a="1"/>
  <c r="BC80" i="130" a="1"/>
  <c r="BC65" i="130" a="1"/>
  <c r="BD77" i="130" a="1"/>
  <c r="BD67" i="130" a="1"/>
  <c r="BD59" i="130" a="1"/>
  <c r="BE83" i="130" a="1"/>
  <c r="BE55" i="130" a="1"/>
  <c r="BF65" i="130" a="1"/>
  <c r="BF60" i="130" a="1"/>
  <c r="BF80" i="130" a="1"/>
  <c r="BG82" i="130" a="1"/>
  <c r="BG83" i="130" a="1"/>
  <c r="BH78" i="130" a="1"/>
  <c r="BH74" i="130" a="1"/>
  <c r="BH53" i="130" a="1"/>
  <c r="BI79" i="130" a="1"/>
  <c r="BI54" i="130" a="1"/>
  <c r="BI62" i="130" a="1"/>
  <c r="EW15" i="132" a="1"/>
  <c r="DZ16" i="132" a="1"/>
  <c r="EJ12" i="132" a="1"/>
  <c r="CS14" i="132" a="1"/>
  <c r="AK15" i="132" a="1"/>
  <c r="BJ79" i="130" a="1"/>
  <c r="BJ56" i="130" a="1"/>
  <c r="BJ57" i="130" a="1"/>
  <c r="AS78" i="130" a="1"/>
  <c r="AS72" i="130" a="1"/>
  <c r="AT59" i="130" a="1"/>
  <c r="AT53" i="130" a="1"/>
  <c r="AT62" i="130" a="1"/>
  <c r="AU63" i="130" a="1"/>
  <c r="AU57" i="130" a="1"/>
  <c r="AV67" i="130" a="1"/>
  <c r="AV81" i="130" a="1"/>
  <c r="AV78" i="130" a="1"/>
  <c r="AW68" i="130" a="1"/>
  <c r="AW62" i="130" a="1"/>
  <c r="AX77" i="130" a="1"/>
  <c r="AX58" i="130" a="1"/>
  <c r="AX69" i="130" a="1"/>
  <c r="AY55" i="130" a="1"/>
  <c r="AY58" i="130" a="1"/>
  <c r="AY69" i="130" a="1"/>
  <c r="AZ53" i="130" a="1"/>
  <c r="AZ64" i="130" a="1"/>
  <c r="BA62" i="130" a="1"/>
  <c r="BA83" i="130" a="1"/>
  <c r="BA76" i="130" a="1"/>
  <c r="BB69" i="130" a="1"/>
  <c r="BB57" i="130" a="1"/>
  <c r="BC69" i="130" a="1"/>
  <c r="BC73" i="130" a="1"/>
  <c r="BC63" i="130" a="1"/>
  <c r="BD63" i="130" a="1"/>
  <c r="BD65" i="130" a="1"/>
  <c r="BD56" i="130" a="1"/>
  <c r="BE75" i="130" a="1"/>
  <c r="BE73" i="130" a="1"/>
  <c r="BF62" i="130" a="1"/>
  <c r="BF58" i="130" a="1"/>
  <c r="BF75" i="130" a="1"/>
  <c r="BG59" i="130" a="1"/>
  <c r="BG78" i="130" a="1"/>
  <c r="BH77" i="130" a="1"/>
  <c r="BJ80" i="130" a="1"/>
  <c r="BJ71" i="130" a="1"/>
  <c r="AS60" i="130" a="1"/>
  <c r="AS67" i="130" a="1"/>
  <c r="AS69" i="130" a="1"/>
  <c r="AT65" i="130" a="1"/>
  <c r="AT70" i="130" a="1"/>
  <c r="AT56" i="130" a="1"/>
  <c r="AU56" i="130" a="1"/>
  <c r="AU77" i="130" a="1"/>
  <c r="AV56" i="130" a="1"/>
  <c r="AV73" i="130" a="1"/>
  <c r="AV63" i="130" a="1"/>
  <c r="AW60" i="130" a="1"/>
  <c r="AW56" i="130" a="1"/>
  <c r="AX65" i="130" a="1"/>
  <c r="AX74" i="130" a="1"/>
  <c r="AX61" i="130" a="1"/>
  <c r="AY70" i="130" a="1"/>
  <c r="AY77" i="130" a="1"/>
  <c r="AZ81" i="130" a="1"/>
  <c r="AZ65" i="130" a="1"/>
  <c r="AZ78" i="130" a="1"/>
  <c r="BA58" i="130" a="1"/>
  <c r="BA80" i="130" a="1"/>
  <c r="BA67" i="130" a="1"/>
  <c r="BB67" i="130" a="1"/>
  <c r="BB64" i="130" a="1"/>
  <c r="BC60" i="130" a="1"/>
  <c r="BC71" i="130" a="1"/>
  <c r="BC56" i="130" a="1"/>
  <c r="BD76" i="130" a="1"/>
  <c r="BD55" i="130" a="1"/>
  <c r="BE79" i="130" a="1"/>
  <c r="BE69" i="130" a="1"/>
  <c r="BE68" i="130" a="1"/>
  <c r="BF82" i="130" a="1"/>
  <c r="BF77" i="130" a="1"/>
  <c r="BF61" i="130" a="1"/>
  <c r="BG55" i="130" a="1"/>
  <c r="BG72" i="130" a="1"/>
  <c r="BH69" i="130" a="1"/>
  <c r="BH65" i="130" a="1"/>
  <c r="BH64" i="130" a="1"/>
  <c r="BI71" i="130" a="1"/>
  <c r="BI53" i="130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C11" i="132" a="1"/>
  <c r="EM5" i="132" a="1"/>
  <c r="CB15" i="132" a="1"/>
  <c r="AL9" i="132" a="1"/>
  <c r="BZ12" i="132" a="1"/>
  <c r="BI13" i="132" a="1"/>
  <c r="BQ6" i="132" a="1"/>
  <c r="CZ9" i="132" a="1"/>
  <c r="U14" i="132" a="1"/>
  <c r="EX12" i="132" a="1"/>
  <c r="DY15" i="132" a="1"/>
  <c r="DB8" i="132" a="1"/>
  <c r="AK11" i="132" a="1"/>
  <c r="AJ13" i="132" a="1"/>
  <c r="EP6" i="132" a="1"/>
  <c r="CD15" i="132" a="1"/>
  <c r="CM12" i="132" a="1"/>
  <c r="DE7" i="132" a="1"/>
  <c r="CN9" i="132" a="1"/>
  <c r="AS55" i="130" a="1"/>
  <c r="AT67" i="130" a="1"/>
  <c r="AV82" i="130" a="1"/>
  <c r="AW55" i="130" a="1"/>
  <c r="AY59" i="130" a="1"/>
  <c r="AZ75" i="130" a="1"/>
  <c r="BB79" i="130" a="1"/>
  <c r="BC77" i="130" a="1"/>
  <c r="BE62" i="130" a="1"/>
  <c r="BG76" i="130" a="1"/>
  <c r="BH67" i="130" a="1"/>
  <c r="BI56" i="130" a="1"/>
  <c r="BW7" i="132" a="1"/>
  <c r="Q48" i="130" a="1"/>
  <c r="AP14" i="132" a="1"/>
  <c r="I48" i="130" a="1"/>
  <c r="BO9" i="132" a="1"/>
  <c r="M16" i="132" a="1"/>
  <c r="V16" i="132" a="1"/>
  <c r="D7" i="132" a="1"/>
  <c r="EZ13" i="132" a="1"/>
  <c r="BH15" i="132" a="1"/>
  <c r="BU6" i="132" a="1"/>
  <c r="U12" i="132" a="1"/>
  <c r="AR46" i="130" a="1"/>
  <c r="DB12" i="132" a="1"/>
  <c r="AP11" i="132" a="1"/>
  <c r="BQ12" i="132" a="1"/>
  <c r="DI14" i="132" a="1"/>
  <c r="DP11" i="132" a="1"/>
  <c r="F15" i="132" a="1"/>
  <c r="CK15" i="132" a="1"/>
  <c r="CA9" i="132" a="1"/>
  <c r="AS5" i="132" a="1"/>
  <c r="DS16" i="132" a="1"/>
  <c r="K15" i="132" a="1"/>
  <c r="BP5" i="132" a="1"/>
  <c r="CO11" i="132" a="1"/>
  <c r="FA15" i="132" a="1"/>
  <c r="BY16" i="132" a="1"/>
  <c r="EV13" i="132" a="1"/>
  <c r="CZ16" i="132" a="1"/>
  <c r="DP5" i="132" a="1"/>
  <c r="CS13" i="132" a="1"/>
  <c r="DV12" i="132" a="1"/>
  <c r="P48" i="130" a="1"/>
  <c r="CZ14" i="132" a="1"/>
  <c r="Z15" i="132" a="1"/>
  <c r="H5" i="132" a="1"/>
  <c r="AH11" i="132" a="1"/>
  <c r="DU13" i="132" a="1"/>
  <c r="CZ5" i="132" a="1"/>
  <c r="BL9" i="132" a="1"/>
  <c r="DY11" i="132" a="1"/>
  <c r="EL15" i="132" a="1"/>
  <c r="AD6" i="132" a="1"/>
  <c r="D6" i="132" a="1"/>
  <c r="BO12" i="132" a="1"/>
  <c r="BT12" i="132" a="1"/>
  <c r="BK14" i="132" a="1"/>
  <c r="AD16" i="132" a="1"/>
  <c r="CO6" i="132" a="1"/>
  <c r="AM16" i="132" a="1"/>
  <c r="DQ12" i="132" a="1"/>
  <c r="BT11" i="132" a="1"/>
  <c r="AF12" i="132" a="1"/>
  <c r="AC11" i="132" a="1"/>
  <c r="ES13" i="132" a="1"/>
  <c r="BB8" i="132" a="1"/>
  <c r="H13" i="132" a="1"/>
  <c r="DL9" i="132" a="1"/>
  <c r="AW16" i="132" a="1"/>
  <c r="CT16" i="132" a="1"/>
  <c r="CN5" i="132" a="1"/>
  <c r="DL14" i="132" a="1"/>
  <c r="BB12" i="132" a="1"/>
  <c r="EJ15" i="132" a="1"/>
  <c r="AX6" i="132" a="1"/>
  <c r="DN12" i="132" a="1"/>
  <c r="F6" i="132" a="1"/>
  <c r="DW5" i="132" a="1"/>
  <c r="CS6" i="132" a="1"/>
  <c r="CU9" i="132" a="1"/>
  <c r="EW11" i="132" a="1"/>
  <c r="BG7" i="132" a="1"/>
  <c r="R6" i="132" a="1"/>
  <c r="DW13" i="132" a="1"/>
  <c r="DU14" i="132" a="1"/>
  <c r="G15" i="132" a="1"/>
  <c r="DK9" i="132" a="1"/>
  <c r="L7" i="132" a="1"/>
  <c r="EQ8" i="132" a="1"/>
  <c r="DT13" i="132" a="1"/>
  <c r="DI5" i="132" a="1"/>
  <c r="AR8" i="130" a="1"/>
  <c r="CI16" i="132" a="1"/>
  <c r="BY5" i="132" a="1"/>
  <c r="BJ15" i="132" a="1"/>
  <c r="Z8" i="132" a="1"/>
  <c r="CM8" i="132" a="1"/>
  <c r="CA6" i="132" a="1"/>
  <c r="EI12" i="132" a="1"/>
  <c r="DK11" i="132" a="1"/>
  <c r="AP16" i="132" a="1"/>
  <c r="DF5" i="132" a="1"/>
  <c r="R13" i="132" a="1"/>
  <c r="BH9" i="132" a="1"/>
  <c r="DG15" i="132" a="1"/>
  <c r="CP5" i="132" a="1"/>
  <c r="CV9" i="132" a="1"/>
  <c r="BL16" i="132" a="1"/>
  <c r="EB16" i="132" a="1"/>
  <c r="DV6" i="132" a="1"/>
  <c r="BS15" i="132" a="1"/>
  <c r="AR21" i="130" a="1"/>
  <c r="R16" i="132" a="1"/>
  <c r="EO14" i="132" a="1"/>
  <c r="BN6" i="132" a="1"/>
  <c r="BY8" i="132" a="1"/>
  <c r="Y8" i="132" a="1"/>
  <c r="AR16" i="132" a="1"/>
  <c r="I14" i="132" a="1"/>
  <c r="W9" i="132" a="1"/>
  <c r="CD8" i="132" a="1"/>
  <c r="CC11" i="132" a="1"/>
  <c r="EZ8" i="132" a="1"/>
  <c r="DC16" i="132" a="1"/>
  <c r="DK12" i="132" a="1"/>
  <c r="Z9" i="132" a="1"/>
  <c r="EW16" i="132" a="1"/>
  <c r="AL16" i="132" a="1"/>
  <c r="BR16" i="132" a="1"/>
  <c r="BY15" i="132" a="1"/>
  <c r="V8" i="132" a="1"/>
  <c r="DJ12" i="132" a="1"/>
  <c r="BM5" i="132" a="1"/>
  <c r="DI7" i="132" a="1"/>
  <c r="BC16" i="132" a="1"/>
  <c r="FB14" i="132" a="1"/>
  <c r="DJ14" i="132" a="1"/>
  <c r="CE8" i="132" a="1"/>
  <c r="BL7" i="132" a="1"/>
  <c r="EW6" i="132" a="1"/>
  <c r="FC13" i="132" a="1"/>
  <c r="BC7" i="132" a="1"/>
  <c r="L8" i="132" a="1"/>
  <c r="E48" i="130" a="1"/>
  <c r="AS54" i="130" a="1"/>
  <c r="AT63" i="130" a="1"/>
  <c r="AV75" i="130" a="1"/>
  <c r="AW82" i="130" a="1"/>
  <c r="AY56" i="130" a="1"/>
  <c r="AZ73" i="130" a="1"/>
  <c r="BB78" i="130" a="1"/>
  <c r="BC57" i="130" a="1"/>
  <c r="BE56" i="130" a="1"/>
  <c r="BG68" i="130" a="1"/>
  <c r="BH54" i="130" a="1"/>
  <c r="BI81" i="130" a="1"/>
  <c r="DN8" i="132" a="1"/>
  <c r="BU16" i="132" a="1"/>
  <c r="AF11" i="132" a="1"/>
  <c r="CS9" i="132" a="1"/>
  <c r="AX16" i="132" a="1"/>
  <c r="DY6" i="132" a="1"/>
  <c r="EZ16" i="132" a="1"/>
  <c r="BE8" i="132" a="1"/>
  <c r="BH12" i="132" a="1"/>
  <c r="V9" i="132" a="1"/>
  <c r="Q12" i="132" a="1"/>
  <c r="L12" i="132" a="1"/>
  <c r="AU13" i="132" a="1"/>
  <c r="BR15" i="132" a="1"/>
  <c r="N6" i="132" a="1"/>
  <c r="CB7" i="132" a="1"/>
  <c r="CP14" i="132" a="1"/>
  <c r="AR25" i="130" a="1"/>
  <c r="AH48" i="130" a="1"/>
  <c r="BK8" i="132" a="1"/>
  <c r="FA7" i="132" a="1"/>
  <c r="BH11" i="132" a="1"/>
  <c r="EQ16" i="132" a="1"/>
  <c r="J16" i="132" a="1"/>
  <c r="DP16" i="132" a="1"/>
  <c r="BB16" i="132" a="1"/>
  <c r="V14" i="132" a="1"/>
  <c r="AY9" i="132" a="1"/>
  <c r="V48" i="130" a="1"/>
  <c r="T9" i="132" a="1"/>
  <c r="CH6" i="132" a="1"/>
  <c r="CH16" i="132" a="1"/>
  <c r="BH5" i="132" a="1"/>
  <c r="EC13" i="132" a="1"/>
  <c r="U13" i="132" a="1"/>
  <c r="BY6" i="132" a="1"/>
  <c r="CF5" i="132" a="1"/>
  <c r="AR14" i="130" a="1"/>
  <c r="AK13" i="132" a="1"/>
  <c r="H48" i="130" a="1"/>
  <c r="BF14" i="132" a="1"/>
  <c r="EC12" i="132" a="1"/>
  <c r="AN5" i="132" a="1"/>
  <c r="EN14" i="132" a="1"/>
  <c r="CP7" i="132" a="1"/>
  <c r="CX11" i="132" a="1"/>
  <c r="S8" i="132" a="1"/>
  <c r="C3" i="125" a="1"/>
  <c r="AP6" i="132" a="1"/>
  <c r="F11" i="132" a="1"/>
  <c r="DL16" i="132" a="1"/>
  <c r="CE16" i="132" a="1"/>
  <c r="DR16" i="132" a="1"/>
  <c r="DA5" i="132" a="1"/>
  <c r="CA7" i="132" a="1"/>
  <c r="CO15" i="132" a="1"/>
  <c r="AO9" i="132" a="1"/>
  <c r="DY9" i="132" a="1"/>
  <c r="DJ16" i="132" a="1"/>
  <c r="BN11" i="132" a="1"/>
  <c r="AR43" i="130" a="1"/>
  <c r="ER6" i="132" a="1"/>
  <c r="BD14" i="132" a="1"/>
  <c r="AG7" i="132" a="1"/>
  <c r="DU6" i="132" a="1"/>
  <c r="DI6" i="132" a="1"/>
  <c r="BV13" i="132" a="1"/>
  <c r="BJ8" i="132" a="1"/>
  <c r="AT12" i="132" a="1"/>
  <c r="EI11" i="132" a="1"/>
  <c r="BP16" i="132" a="1"/>
  <c r="EU8" i="132" a="1"/>
  <c r="CP16" i="132" a="1"/>
  <c r="AI9" i="132" a="1"/>
  <c r="AS13" i="132" a="1"/>
  <c r="DA14" i="132" a="1"/>
  <c r="EK11" i="132" a="1"/>
  <c r="DN14" i="132" a="1"/>
  <c r="BI6" i="132" a="1"/>
  <c r="FA6" i="132" a="1"/>
  <c r="BK11" i="132" a="1"/>
  <c r="AS16" i="132" a="1"/>
  <c r="AS14" i="132" a="1"/>
  <c r="BV16" i="132" a="1"/>
  <c r="EC16" i="132" a="1"/>
  <c r="M9" i="132" a="1"/>
  <c r="E12" i="132" a="1"/>
  <c r="X6" i="132" a="1"/>
  <c r="AR41" i="130" a="1"/>
  <c r="AU14" i="132" a="1"/>
  <c r="AB14" i="132" a="1"/>
  <c r="DK8" i="132" a="1"/>
  <c r="AP8" i="132" a="1"/>
  <c r="AR5" i="132" a="1"/>
  <c r="CB8" i="132" a="1"/>
  <c r="ES6" i="132" a="1"/>
  <c r="H9" i="132" a="1"/>
  <c r="DG14" i="132" a="1"/>
  <c r="EQ7" i="132" a="1"/>
  <c r="CO14" i="132" a="1"/>
  <c r="BO5" i="132" a="1"/>
  <c r="EQ5" i="132" a="1"/>
  <c r="CY8" i="132" a="1"/>
  <c r="V5" i="132" a="1"/>
  <c r="CH15" i="132" a="1"/>
  <c r="BB6" i="132" a="1"/>
  <c r="CM6" i="132" a="1"/>
  <c r="AS68" i="130" a="1"/>
  <c r="AT60" i="130" a="1"/>
  <c r="AV77" i="130" a="1"/>
  <c r="AX73" i="130" a="1"/>
  <c r="AY83" i="130" a="1"/>
  <c r="BA59" i="130" a="1"/>
  <c r="BB76" i="130" a="1"/>
  <c r="BD62" i="130" a="1"/>
  <c r="BE70" i="130" a="1"/>
  <c r="BG57" i="130" a="1"/>
  <c r="BH83" i="130" a="1"/>
  <c r="BI74" i="130" a="1"/>
  <c r="AG48" i="130" a="1"/>
  <c r="BG13" i="132" a="1"/>
  <c r="AR19" i="130" a="1"/>
  <c r="DK13" i="132" a="1"/>
  <c r="W13" i="132" a="1"/>
  <c r="K13" i="132" a="1"/>
  <c r="DA15" i="132" a="1"/>
  <c r="J48" i="130" a="1"/>
  <c r="EJ6" i="132" a="1"/>
  <c r="BK12" i="132" a="1"/>
  <c r="X8" i="132" a="1"/>
  <c r="AC12" i="132" a="1"/>
  <c r="O7" i="132" a="1"/>
  <c r="BF16" i="132" a="1"/>
  <c r="AR15" i="130" a="1"/>
  <c r="AO48" i="130" a="1"/>
  <c r="ES15" i="132" a="1"/>
  <c r="DR7" i="132" a="1"/>
  <c r="EC14" i="132" a="1"/>
  <c r="BS7" i="132" a="1"/>
  <c r="BD6" i="132" a="1"/>
  <c r="H8" i="132" a="1"/>
  <c r="EH6" i="132" a="1"/>
  <c r="DN9" i="132" a="1"/>
  <c r="DG6" i="132" a="1"/>
  <c r="BZ7" i="132" a="1"/>
  <c r="G6" i="132" a="1"/>
  <c r="BF12" i="132" a="1"/>
  <c r="AR35" i="130" a="1"/>
  <c r="S5" i="132" a="1"/>
  <c r="DG11" i="132" a="1"/>
  <c r="BN8" i="132" a="1"/>
  <c r="L6" i="132" a="1"/>
  <c r="N48" i="130" a="1"/>
  <c r="J15" i="132" a="1"/>
  <c r="EH12" i="132" a="1"/>
  <c r="CI12" i="132" a="1"/>
  <c r="CA8" i="132" a="1"/>
  <c r="DZ12" i="132" a="1"/>
  <c r="AK5" i="132" a="1"/>
  <c r="AU11" i="132" a="1"/>
  <c r="S9" i="132" a="1"/>
  <c r="BA9" i="132" a="1"/>
  <c r="BH14" i="132" a="1"/>
  <c r="FF11" i="132" a="1"/>
  <c r="AW9" i="132" a="1"/>
  <c r="CR8" i="132" a="1"/>
  <c r="EU6" i="132" a="1"/>
  <c r="DB16" i="132" a="1"/>
  <c r="BJ5" i="132" a="1"/>
  <c r="CY6" i="132" a="1"/>
  <c r="AW12" i="132" a="1"/>
  <c r="CT8" i="132" a="1"/>
  <c r="DD16" i="132" a="1"/>
  <c r="AS65" i="130" a="1"/>
  <c r="AU83" i="130" a="1"/>
  <c r="AV59" i="130" a="1"/>
  <c r="AX60" i="130" a="1"/>
  <c r="AY72" i="130" a="1"/>
  <c r="BA82" i="130" a="1"/>
  <c r="BB60" i="130" a="1"/>
  <c r="BD71" i="130" a="1"/>
  <c r="BE65" i="130" a="1"/>
  <c r="BG79" i="130" a="1"/>
  <c r="BH80" i="130" a="1"/>
  <c r="A3" i="3"/>
  <c r="BH7" i="132" a="1"/>
  <c r="EG16" i="132" a="1"/>
  <c r="DE8" i="132" a="1"/>
  <c r="Q5" i="132" a="1"/>
  <c r="DX5" i="132" a="1"/>
  <c r="AO5" i="132" a="1"/>
  <c r="CU8" i="132" a="1"/>
  <c r="EQ14" i="132" a="1"/>
  <c r="FA16" i="132" a="1"/>
  <c r="DT9" i="132" a="1"/>
  <c r="ED13" i="132" a="1"/>
  <c r="FF7" i="132" a="1"/>
  <c r="DM5" i="132" a="1"/>
  <c r="EX16" i="132" a="1"/>
  <c r="DC14" i="132" a="1"/>
  <c r="G14" i="132" a="1"/>
  <c r="AQ15" i="132" a="1"/>
  <c r="EH14" i="132" a="1"/>
  <c r="EU15" i="132" a="1"/>
  <c r="CK11" i="132" a="1"/>
  <c r="FA12" i="132" a="1"/>
  <c r="AE48" i="130" a="1"/>
  <c r="BG14" i="132" a="1"/>
  <c r="CC12" i="132" a="1"/>
  <c r="AZ11" i="132" a="1"/>
  <c r="BW16" i="132" a="1"/>
  <c r="DL7" i="132" a="1"/>
  <c r="DD14" i="132" a="1"/>
  <c r="DS8" i="132" a="1"/>
  <c r="DJ9" i="132" a="1"/>
  <c r="CB13" i="132" a="1"/>
  <c r="CN6" i="132" a="1"/>
  <c r="EB8" i="132" a="1"/>
  <c r="R15" i="132" a="1"/>
  <c r="CQ8" i="132" a="1"/>
  <c r="S7" i="132" a="1"/>
  <c r="BF5" i="132" a="1"/>
  <c r="P15" i="132" a="1"/>
  <c r="BV6" i="132" a="1"/>
  <c r="EM15" i="132" a="1"/>
  <c r="CW8" i="132" a="1"/>
  <c r="EB15" i="132" a="1"/>
  <c r="ED7" i="132" a="1"/>
  <c r="I12" i="132" a="1"/>
  <c r="DY16" i="132" a="1"/>
  <c r="BF11" i="132" a="1"/>
  <c r="AF14" i="132" a="1"/>
  <c r="AD7" i="132" a="1"/>
  <c r="DT15" i="132" a="1"/>
  <c r="ER16" i="132" a="1"/>
  <c r="EU13" i="132" a="1"/>
  <c r="DU5" i="132" a="1"/>
  <c r="CO5" i="132" a="1"/>
  <c r="CQ5" i="132" a="1"/>
  <c r="BU15" i="132" a="1"/>
  <c r="DE5" i="132" a="1"/>
  <c r="F12" i="132" a="1"/>
  <c r="DR15" i="132" a="1"/>
  <c r="BW11" i="132" a="1"/>
  <c r="CX9" i="132" a="1"/>
  <c r="FC12" i="132" a="1"/>
  <c r="BD9" i="132" a="1"/>
  <c r="DG16" i="132" a="1"/>
  <c r="EK12" i="132" a="1"/>
  <c r="AY12" i="132" a="1"/>
  <c r="AL8" i="132" a="1"/>
  <c r="CX7" i="132" a="1"/>
  <c r="R7" i="132" a="1"/>
  <c r="FB12" i="132" a="1"/>
  <c r="AV13" i="132" a="1"/>
  <c r="AG6" i="132" a="1"/>
  <c r="DY5" i="132" a="1"/>
  <c r="BR8" i="132" a="1"/>
  <c r="S48" i="130" a="1"/>
  <c r="DH15" i="132" a="1"/>
  <c r="CV14" i="132" a="1"/>
  <c r="DG5" i="132" a="1"/>
  <c r="U5" i="132" a="1"/>
  <c r="DN6" i="132" a="1"/>
  <c r="EZ14" i="132" a="1"/>
  <c r="Q8" i="132" a="1"/>
  <c r="BE11" i="132" a="1"/>
  <c r="EW13" i="132" a="1"/>
  <c r="BG9" i="132" a="1"/>
  <c r="DI16" i="132" a="1"/>
  <c r="EB9" i="132" a="1"/>
  <c r="BC12" i="132" a="1"/>
  <c r="FB11" i="132" a="1"/>
  <c r="C16" i="132" a="1"/>
  <c r="H11" i="132" a="1"/>
  <c r="DR9" i="132" a="1"/>
  <c r="BT5" i="132" a="1"/>
  <c r="EK6" i="132" a="1"/>
  <c r="DN5" i="132" a="1"/>
  <c r="BK7" i="132" a="1"/>
  <c r="FA9" i="132" a="1"/>
  <c r="EO11" i="132" a="1"/>
  <c r="V11" i="132" a="1"/>
  <c r="EM9" i="132" a="1"/>
  <c r="BR7" i="132" a="1"/>
  <c r="DV8" i="132" a="1"/>
  <c r="CT15" i="132" a="1"/>
  <c r="P11" i="132" a="1"/>
  <c r="CD11" i="132" a="1"/>
  <c r="AO14" i="132" a="1"/>
  <c r="AC6" i="132" a="1"/>
  <c r="EO6" i="132" a="1"/>
  <c r="CT12" i="132" a="1"/>
  <c r="AB5" i="132" a="1"/>
  <c r="EX8" i="132" a="1"/>
  <c r="DO6" i="132" a="1"/>
  <c r="AM15" i="132" a="1"/>
  <c r="AS63" i="130" a="1"/>
  <c r="AU81" i="130" a="1"/>
  <c r="AV58" i="130" a="1"/>
  <c r="AX57" i="130" a="1"/>
  <c r="AY68" i="130" a="1"/>
  <c r="BA77" i="130" a="1"/>
  <c r="BB80" i="130" a="1"/>
  <c r="BD64" i="130" a="1"/>
  <c r="BE64" i="130" a="1"/>
  <c r="BG74" i="130" a="1"/>
  <c r="BH76" i="130" a="1"/>
  <c r="I6" i="132" a="1"/>
  <c r="EN6" i="132" a="1"/>
  <c r="DQ7" i="132" a="1"/>
  <c r="K9" i="132" a="1"/>
  <c r="AR33" i="130" a="1"/>
  <c r="N11" i="132" a="1"/>
  <c r="AR32" i="130" a="1"/>
  <c r="AR11" i="130" a="1"/>
  <c r="CI5" i="132" a="1"/>
  <c r="AR6" i="130" a="1"/>
  <c r="CX14" i="132" a="1"/>
  <c r="EN8" i="132" a="1"/>
  <c r="BR6" i="132" a="1"/>
  <c r="ES8" i="132" a="1"/>
  <c r="BZ6" i="132" a="1"/>
  <c r="BN7" i="132" a="1"/>
  <c r="EW5" i="132" a="1"/>
  <c r="AR36" i="130" a="1"/>
  <c r="CU11" i="132" a="1"/>
  <c r="AB48" i="130" a="1"/>
  <c r="ET5" i="132" a="1"/>
  <c r="FC8" i="132" a="1"/>
  <c r="AJ11" i="132" a="1"/>
  <c r="DE14" i="132" a="1"/>
  <c r="BL14" i="132" a="1"/>
  <c r="BA5" i="132" a="1"/>
  <c r="AA8" i="132" a="1"/>
  <c r="BE13" i="132" a="1"/>
  <c r="BL11" i="132" a="1"/>
  <c r="AK7" i="132" a="1"/>
  <c r="EW7" i="132" a="1"/>
  <c r="AH12" i="132" a="1"/>
  <c r="AW11" i="132" a="1"/>
  <c r="ET7" i="132" a="1"/>
  <c r="AS9" i="132" a="1"/>
  <c r="EC8" i="132" a="1"/>
  <c r="AI11" i="132" a="1"/>
  <c r="BP9" i="132" a="1"/>
  <c r="BQ5" i="132" a="1"/>
  <c r="CA15" i="132" a="1"/>
  <c r="BU14" i="132" a="1"/>
  <c r="FB13" i="132" a="1"/>
  <c r="ES12" i="132" a="1"/>
  <c r="BN5" i="132" a="1"/>
  <c r="BM7" i="132" a="1"/>
  <c r="AM7" i="132" a="1"/>
  <c r="G16" i="132" a="1"/>
  <c r="BE9" i="132" a="1"/>
  <c r="U6" i="132" a="1"/>
  <c r="AQ8" i="132" a="1"/>
  <c r="AE9" i="132" a="1"/>
  <c r="AQ7" i="132" a="1"/>
  <c r="DH7" i="132" a="1"/>
  <c r="AG11" i="132" a="1"/>
  <c r="EB7" i="132" a="1"/>
  <c r="CN14" i="132" a="1"/>
  <c r="AF15" i="132" a="1"/>
  <c r="FF12" i="132" a="1"/>
  <c r="EL8" i="132" a="1"/>
  <c r="DD15" i="132" a="1"/>
  <c r="DO13" i="132" a="1"/>
  <c r="DM11" i="132" a="1"/>
  <c r="BL12" i="132" a="1"/>
  <c r="EL9" i="132" a="1"/>
  <c r="CV7" i="132" a="1"/>
  <c r="ES5" i="132" a="1"/>
  <c r="EO8" i="132" a="1"/>
  <c r="EX9" i="132" a="1"/>
  <c r="DV5" i="132" a="1"/>
  <c r="AR9" i="132" a="1"/>
  <c r="EK5" i="132" a="1"/>
  <c r="AC8" i="132" a="1"/>
  <c r="DZ5" i="132" a="1"/>
  <c r="EJ8" i="132" a="1"/>
  <c r="J8" i="132" a="1"/>
  <c r="AG8" i="132" a="1"/>
  <c r="CM11" i="132" a="1"/>
  <c r="CX5" i="132" a="1"/>
  <c r="EV9" i="132" a="1"/>
  <c r="EP7" i="132" a="1"/>
  <c r="J9" i="132" a="1"/>
  <c r="CJ11" i="132" a="1"/>
  <c r="EH5" i="132" a="1"/>
  <c r="AA12" i="132" a="1"/>
  <c r="C12" i="132" a="1"/>
  <c r="CU13" i="132" a="1"/>
  <c r="DH6" i="132" a="1"/>
  <c r="C48" i="130" a="1"/>
  <c r="DR5" i="132" a="1"/>
  <c r="BN14" i="132" a="1"/>
  <c r="DC11" i="132" a="1"/>
  <c r="S15" i="132" a="1"/>
  <c r="EY11" i="132" a="1"/>
  <c r="AX12" i="132" a="1"/>
  <c r="CH9" i="132" a="1"/>
  <c r="BJ74" i="130" a="1"/>
  <c r="AS70" i="130" a="1"/>
  <c r="AU59" i="130" a="1"/>
  <c r="AV72" i="130" a="1"/>
  <c r="AX55" i="130" a="1"/>
  <c r="AY61" i="130" a="1"/>
  <c r="BA81" i="130" a="1"/>
  <c r="BC64" i="130" a="1"/>
  <c r="BD58" i="130" a="1"/>
  <c r="BF53" i="130" a="1"/>
  <c r="BG75" i="130" a="1"/>
  <c r="BH60" i="130" a="1"/>
  <c r="EG14" i="132" a="1"/>
  <c r="BC6" i="132" a="1"/>
  <c r="BY7" i="132" a="1"/>
  <c r="CR5" i="132" a="1"/>
  <c r="DW7" i="132" a="1"/>
  <c r="V13" i="132" a="1"/>
  <c r="AR24" i="130" a="1"/>
  <c r="X7" i="132" a="1"/>
  <c r="AW5" i="132" a="1"/>
  <c r="BE14" i="132" a="1"/>
  <c r="BR11" i="132" a="1"/>
  <c r="CI15" i="132" a="1"/>
  <c r="BA11" i="132" a="1"/>
  <c r="BJ16" i="132" a="1"/>
  <c r="BY14" i="132" a="1"/>
  <c r="CC13" i="132" a="1"/>
  <c r="AR27" i="130" a="1"/>
  <c r="AK9" i="132" a="1"/>
  <c r="DF6" i="132" a="1"/>
  <c r="AG13" i="132" a="1"/>
  <c r="CM5" i="132" a="1"/>
  <c r="D13" i="132" a="1"/>
  <c r="CN11" i="132" a="1"/>
  <c r="AR15" i="132" a="1"/>
  <c r="ET11" i="132" a="1"/>
  <c r="AX14" i="132" a="1"/>
  <c r="DU12" i="132" a="1"/>
  <c r="AZ13" i="132" a="1"/>
  <c r="DF8" i="132" a="1"/>
  <c r="BD16" i="132" a="1"/>
  <c r="FB8" i="132" a="1"/>
  <c r="CR7" i="132" a="1"/>
  <c r="DS14" i="132" a="1"/>
  <c r="AR13" i="130" a="1"/>
  <c r="DB14" i="132" a="1"/>
  <c r="BQ11" i="132" a="1"/>
  <c r="CY5" i="132" a="1"/>
  <c r="BZ9" i="132" a="1"/>
  <c r="BQ13" i="132" a="1"/>
  <c r="CV6" i="132" a="1"/>
  <c r="CD7" i="132" a="1"/>
  <c r="V6" i="132" a="1"/>
  <c r="BW5" i="132" a="1"/>
  <c r="EA6" i="132" a="1"/>
  <c r="CA13" i="132" a="1"/>
  <c r="H14" i="132" a="1"/>
  <c r="CH12" i="132" a="1"/>
  <c r="EI16" i="132" a="1"/>
  <c r="CY12" i="132" a="1"/>
  <c r="EC11" i="132" a="1"/>
  <c r="AT7" i="132" a="1"/>
  <c r="AD15" i="132" a="1"/>
  <c r="EM16" i="132" a="1"/>
  <c r="AV8" i="132" a="1"/>
  <c r="DT14" i="132" a="1"/>
  <c r="DO7" i="132" a="1"/>
  <c r="ER13" i="132" a="1"/>
  <c r="DF12" i="132" a="1"/>
  <c r="AN48" i="130" a="1"/>
  <c r="EH7" i="132" a="1"/>
  <c r="Y5" i="132" a="1"/>
  <c r="DU16" i="132" a="1"/>
  <c r="EZ7" i="132" a="1"/>
  <c r="BM16" i="132" a="1"/>
  <c r="N15" i="132" a="1"/>
  <c r="AI48" i="130" a="1"/>
  <c r="EP5" i="132" a="1"/>
  <c r="DL6" i="132" a="1"/>
  <c r="DX6" i="132" a="1"/>
  <c r="L14" i="132" a="1"/>
  <c r="CL11" i="132" a="1"/>
  <c r="EP9" i="132" a="1"/>
  <c r="BU5" i="132" a="1"/>
  <c r="H7" i="132" a="1"/>
  <c r="DV14" i="132" a="1"/>
  <c r="L15" i="132" a="1"/>
  <c r="ER15" i="132" a="1"/>
  <c r="ED12" i="132" a="1"/>
  <c r="BS6" i="132" a="1"/>
  <c r="DJ13" i="132" a="1"/>
  <c r="BB7" i="132" a="1"/>
  <c r="CY13" i="132" a="1"/>
  <c r="DL5" i="132" a="1"/>
  <c r="BT16" i="132" a="1"/>
  <c r="AC9" i="132" a="1"/>
  <c r="BN16" i="132" a="1"/>
  <c r="CJ7" i="132" a="1"/>
  <c r="BA12" i="132" a="1"/>
  <c r="O8" i="132" a="1"/>
  <c r="CA16" i="132" a="1"/>
  <c r="DD6" i="132" a="1"/>
  <c r="DP9" i="132" a="1"/>
  <c r="DH16" i="132" a="1"/>
  <c r="EE15" i="132" a="1"/>
  <c r="BW12" i="132" a="1"/>
  <c r="AN11" i="132" a="1"/>
  <c r="EF14" i="132" a="1"/>
  <c r="BI15" i="132" a="1"/>
  <c r="BY12" i="132" a="1"/>
  <c r="AD9" i="132" a="1"/>
  <c r="CO16" i="132" a="1"/>
  <c r="BX15" i="132" a="1"/>
  <c r="CW5" i="132" a="1"/>
  <c r="EH15" i="132" a="1"/>
  <c r="BX11" i="132" a="1"/>
  <c r="AE12" i="132" a="1"/>
  <c r="EO13" i="132" a="1"/>
  <c r="EP15" i="132" a="1"/>
  <c r="D15" i="132" a="1"/>
  <c r="DG9" i="132" a="1"/>
  <c r="CO9" i="132" a="1"/>
  <c r="AR12" i="130" a="1"/>
  <c r="BJ77" i="130" a="1"/>
  <c r="AS56" i="130" a="1"/>
  <c r="AU82" i="130" a="1"/>
  <c r="AV57" i="130" a="1"/>
  <c r="AX68" i="130" a="1"/>
  <c r="AZ67" i="130" a="1"/>
  <c r="BA79" i="130" a="1"/>
  <c r="BC55" i="130" a="1"/>
  <c r="BD83" i="130" a="1"/>
  <c r="BF78" i="130" a="1"/>
  <c r="BG70" i="130" a="1"/>
  <c r="BH57" i="130" a="1"/>
  <c r="BI7" i="132" a="1"/>
  <c r="BB13" i="132" a="1"/>
  <c r="AJ8" i="132" a="1"/>
  <c r="BC5" i="132" a="1"/>
  <c r="DT8" i="132" a="1"/>
  <c r="O12" i="132" a="1"/>
  <c r="DO14" i="132" a="1"/>
  <c r="CJ12" i="132" a="1"/>
  <c r="AM11" i="132" a="1"/>
  <c r="BR12" i="132" a="1"/>
  <c r="BC15" i="132" a="1"/>
  <c r="CR16" i="132" a="1"/>
  <c r="F14" i="132" a="1"/>
  <c r="EB11" i="132" a="1"/>
  <c r="CT9" i="132" a="1"/>
  <c r="AA5" i="132" a="1"/>
  <c r="AB7" i="132" a="1"/>
  <c r="CM14" i="132" a="1"/>
  <c r="AT6" i="132" a="1"/>
  <c r="AC7" i="132" a="1"/>
  <c r="CJ5" i="132" a="1"/>
  <c r="BW13" i="132" a="1"/>
  <c r="DC5" i="132" a="1"/>
  <c r="AM5" i="132" a="1"/>
  <c r="CQ14" i="132" a="1"/>
  <c r="BG8" i="132" a="1"/>
  <c r="EF12" i="132" a="1"/>
  <c r="DC15" i="132" a="1"/>
  <c r="AP48" i="130" a="1"/>
  <c r="EY9" i="132" a="1"/>
  <c r="BU12" i="132" a="1"/>
  <c r="DO11" i="132" a="1"/>
  <c r="EI13" i="132" a="1"/>
  <c r="AD48" i="130" a="1"/>
  <c r="DK14" i="132" a="1"/>
  <c r="BT15" i="132" a="1"/>
  <c r="EZ6" i="132" a="1"/>
  <c r="AF6" i="132" a="1"/>
  <c r="BO13" i="132" a="1"/>
  <c r="AT5" i="132" a="1"/>
  <c r="AV9" i="132" a="1"/>
  <c r="DW15" i="132" a="1"/>
  <c r="EQ12" i="132" a="1"/>
  <c r="BT7" i="132" a="1"/>
  <c r="AR12" i="132" a="1"/>
  <c r="BZ8" i="132" a="1"/>
  <c r="EY6" i="132" a="1"/>
  <c r="AE15" i="132" a="1"/>
  <c r="CI6" i="132" a="1"/>
  <c r="DF15" i="132" a="1"/>
  <c r="DW9" i="132" a="1"/>
  <c r="M11" i="132" a="1"/>
  <c r="DD8" i="132" a="1"/>
  <c r="DV15" i="132" a="1"/>
  <c r="AW8" i="132" a="1"/>
  <c r="FF6" i="132" a="1"/>
  <c r="AJ16" i="132" a="1"/>
  <c r="EK14" i="132" a="1"/>
  <c r="EE13" i="132" a="1"/>
  <c r="O16" i="132" a="1"/>
  <c r="W8" i="132" a="1"/>
  <c r="DX15" i="132" a="1"/>
  <c r="AB8" i="132" a="1"/>
  <c r="BZ13" i="132" a="1"/>
  <c r="BB11" i="132" a="1"/>
  <c r="AR34" i="130" a="1"/>
  <c r="K12" i="132" a="1"/>
  <c r="DI12" i="132" a="1"/>
  <c r="BX14" i="132" a="1"/>
  <c r="DB7" i="132" a="1"/>
  <c r="DI8" i="132" a="1"/>
  <c r="DQ15" i="132" a="1"/>
  <c r="EZ12" i="132" a="1"/>
  <c r="CD13" i="132" a="1"/>
  <c r="AX13" i="132" a="1"/>
  <c r="EP11" i="132" a="1"/>
  <c r="DA11" i="132" a="1"/>
  <c r="AT8" i="132" a="1"/>
  <c r="EJ16" i="132" a="1"/>
  <c r="DR12" i="132" a="1"/>
  <c r="I5" i="132" a="1"/>
  <c r="V15" i="132" a="1"/>
  <c r="CD5" i="132" a="1"/>
  <c r="EG12" i="132" a="1"/>
  <c r="BI11" i="132" a="1"/>
  <c r="CL7" i="132" a="1"/>
  <c r="BN9" i="132" a="1"/>
  <c r="AI15" i="132" a="1"/>
  <c r="J7" i="132" a="1"/>
  <c r="ET13" i="132" a="1"/>
  <c r="CC16" i="132" a="1"/>
  <c r="CW7" i="132" a="1"/>
  <c r="FC14" i="132" a="1"/>
  <c r="FB7" i="132" a="1"/>
  <c r="BA14" i="132" a="1"/>
  <c r="C14" i="132" a="1"/>
  <c r="M13" i="132" a="1"/>
  <c r="EV14" i="132" a="1"/>
  <c r="DC13" i="132" a="1"/>
  <c r="DB9" i="132" a="1"/>
  <c r="EM13" i="132" a="1"/>
  <c r="O9" i="132" a="1"/>
  <c r="EH13" i="132" a="1"/>
  <c r="EA16" i="132" a="1"/>
  <c r="EB12" i="132" a="1"/>
  <c r="T13" i="132" a="1"/>
  <c r="CR9" i="132" a="1"/>
  <c r="L13" i="132" a="1"/>
  <c r="CZ6" i="132" a="1"/>
  <c r="BJ73" i="130" a="1"/>
  <c r="AS75" i="130" a="1"/>
  <c r="AU73" i="130" a="1"/>
  <c r="AV55" i="130" a="1"/>
  <c r="AX59" i="130" a="1"/>
  <c r="AZ56" i="130" a="1"/>
  <c r="BA78" i="130" a="1"/>
  <c r="BC83" i="130" a="1"/>
  <c r="BD73" i="130" a="1"/>
  <c r="BF74" i="130" a="1"/>
  <c r="BG64" i="130" a="1"/>
  <c r="BI77" i="130" a="1"/>
  <c r="W7" i="132" a="1"/>
  <c r="CF15" i="132" a="1"/>
  <c r="CF14" i="132" a="1"/>
  <c r="AS11" i="132" a="1"/>
  <c r="DZ15" i="132" a="1"/>
  <c r="AL13" i="132" a="1"/>
  <c r="AS15" i="132" a="1"/>
  <c r="EO7" i="132" a="1"/>
  <c r="CY7" i="132" a="1"/>
  <c r="AR26" i="130" a="1"/>
  <c r="AK14" i="132" a="1"/>
  <c r="FC7" i="132" a="1"/>
  <c r="AO15" i="132" a="1"/>
  <c r="CK6" i="132" a="1"/>
  <c r="AN13" i="132" a="1"/>
  <c r="BP14" i="132" a="1"/>
  <c r="DF7" i="132" a="1"/>
  <c r="BV8" i="132" a="1"/>
  <c r="BP6" i="132" a="1"/>
  <c r="EB14" i="132" a="1"/>
  <c r="EA11" i="132" a="1"/>
  <c r="CH11" i="132" a="1"/>
  <c r="DK16" i="132" a="1"/>
  <c r="BK6" i="132" a="1"/>
  <c r="U15" i="132" a="1"/>
  <c r="DE13" i="132" a="1"/>
  <c r="DE6" i="132" a="1"/>
  <c r="CQ15" i="132" a="1"/>
  <c r="U16" i="132" a="1"/>
  <c r="CU15" i="132" a="1"/>
  <c r="H12" i="132" a="1"/>
  <c r="AY8" i="132" a="1"/>
  <c r="EL13" i="132" a="1"/>
  <c r="L16" i="132" a="1"/>
  <c r="Y12" i="132" a="1"/>
  <c r="G48" i="130" a="1"/>
  <c r="O14" i="132" a="1"/>
  <c r="BU13" i="132" a="1"/>
  <c r="AN12" i="132" a="1"/>
  <c r="BT6" i="132" a="1"/>
  <c r="AR48" i="130" a="1"/>
  <c r="EZ9" i="132" a="1"/>
  <c r="BQ9" i="132" a="1"/>
  <c r="E9" i="132" a="1"/>
  <c r="CH14" i="132" a="1"/>
  <c r="CM9" i="132" a="1"/>
  <c r="AR16" i="130" a="1"/>
  <c r="CS8" i="132" a="1"/>
  <c r="CJ15" i="132" a="1"/>
  <c r="H6" i="132" a="1"/>
  <c r="DD12" i="132" a="1"/>
  <c r="L11" i="132" a="1"/>
  <c r="DJ6" i="132" a="1"/>
  <c r="CE11" i="132" a="1"/>
  <c r="FA11" i="132" a="1"/>
  <c r="DY8" i="132" a="1"/>
  <c r="AY14" i="132" a="1"/>
  <c r="ER8" i="132" a="1"/>
  <c r="CY9" i="132" a="1"/>
  <c r="EX13" i="132" a="1"/>
  <c r="AR9" i="130" a="1"/>
  <c r="BI16" i="132" a="1"/>
  <c r="FF15" i="132" a="1"/>
  <c r="CB16" i="132" a="1"/>
  <c r="AH16" i="132" a="1"/>
  <c r="CA5" i="132" a="1"/>
  <c r="G11" i="132" a="1"/>
  <c r="K6" i="132" a="1"/>
  <c r="R5" i="132" a="1"/>
  <c r="P6" i="132" a="1"/>
  <c r="AN9" i="132" a="1"/>
  <c r="BT8" i="132" a="1"/>
  <c r="ET8" i="132" a="1"/>
  <c r="AH9" i="132" a="1"/>
  <c r="C8" i="132" a="1"/>
  <c r="BE15" i="132" a="1"/>
  <c r="AK16" i="132" a="1"/>
  <c r="BJ75" i="130" a="1"/>
  <c r="AT57" i="130" a="1"/>
  <c r="AU80" i="130" a="1"/>
  <c r="AW63" i="130" a="1"/>
  <c r="AX63" i="130" a="1"/>
  <c r="AZ70" i="130" a="1"/>
  <c r="BA70" i="130" a="1"/>
  <c r="BC72" i="130" a="1"/>
  <c r="BE82" i="130" a="1"/>
  <c r="BF56" i="130" a="1"/>
  <c r="BH71" i="130" a="1"/>
  <c r="BI72" i="130" a="1"/>
  <c r="EW12" i="132" a="1"/>
  <c r="BM13" i="132" a="1"/>
  <c r="CR12" i="132" a="1"/>
  <c r="R9" i="132" a="1"/>
  <c r="EN16" i="132" a="1"/>
  <c r="DS9" i="132" a="1"/>
  <c r="AR40" i="130" a="1"/>
  <c r="DM9" i="132" a="1"/>
  <c r="T12" i="132" a="1"/>
  <c r="CU5" i="132" a="1"/>
  <c r="DJ11" i="132" a="1"/>
  <c r="AN7" i="132" a="1"/>
  <c r="BB15" i="132" a="1"/>
  <c r="EA8" i="132" a="1"/>
  <c r="AV5" i="132" a="1"/>
  <c r="O11" i="132" a="1"/>
  <c r="Z5" i="132" a="1"/>
  <c r="AQ11" i="132" a="1"/>
  <c r="T11" i="132" a="1"/>
  <c r="Z48" i="130" a="1"/>
  <c r="DD11" i="132" a="1"/>
  <c r="DU9" i="132" a="1"/>
  <c r="BD11" i="132" a="1"/>
  <c r="BU11" i="132" a="1"/>
  <c r="DP15" i="132" a="1"/>
  <c r="CH5" i="132" a="1"/>
  <c r="BV5" i="132" a="1"/>
  <c r="DN15" i="132" a="1"/>
  <c r="DA16" i="132" a="1"/>
  <c r="P12" i="132" a="1"/>
  <c r="K11" i="132" a="1"/>
  <c r="ED15" i="132" a="1"/>
  <c r="X16" i="132" a="1"/>
  <c r="H16" i="132" a="1"/>
  <c r="EV12" i="132" a="1"/>
  <c r="BM9" i="132" a="1"/>
  <c r="DM12" i="132" a="1"/>
  <c r="AN8" i="132" a="1"/>
  <c r="DG12" i="132" a="1"/>
  <c r="AE6" i="132" a="1"/>
  <c r="CD12" i="132" a="1"/>
  <c r="EX7" i="132" a="1"/>
  <c r="FC5" i="132" a="1"/>
  <c r="EX14" i="132" a="1"/>
  <c r="EP13" i="132" a="1"/>
  <c r="BL6" i="132" a="1"/>
  <c r="H15" i="132" a="1"/>
  <c r="BY9" i="132" a="1"/>
  <c r="J6" i="132" a="1"/>
  <c r="CE9" i="132" a="1"/>
  <c r="DQ9" i="132" a="1"/>
  <c r="CP12" i="132" a="1"/>
  <c r="O5" i="132" a="1"/>
  <c r="BI9" i="132" a="1"/>
  <c r="CQ7" i="132" a="1"/>
  <c r="AV14" i="132" a="1"/>
  <c r="FB6" i="132" a="1"/>
  <c r="J14" i="132" a="1"/>
  <c r="BD7" i="132" a="1"/>
  <c r="CV12" i="132" a="1"/>
  <c r="BZ16" i="132" a="1"/>
  <c r="EE6" i="132" a="1"/>
  <c r="W16" i="132" a="1"/>
  <c r="ET6" i="132" a="1"/>
  <c r="CL16" i="132" a="1"/>
  <c r="BG6" i="132" a="1"/>
  <c r="AM12" i="132" a="1"/>
  <c r="AW7" i="132" a="1"/>
  <c r="DZ6" i="132" a="1"/>
  <c r="DT12" i="132" a="1"/>
  <c r="BJ13" i="132" a="1"/>
  <c r="S16" i="132" a="1"/>
  <c r="CP13" i="132" a="1"/>
  <c r="DS15" i="132" a="1"/>
  <c r="BG5" i="132" a="1"/>
  <c r="CL6" i="132" a="1"/>
  <c r="AR42" i="130" a="1"/>
  <c r="BV7" i="132" a="1"/>
  <c r="AT15" i="132" a="1"/>
  <c r="BU9" i="132" a="1"/>
  <c r="AT16" i="132" a="1"/>
  <c r="FA13" i="132" a="1"/>
  <c r="EK7" i="132" a="1"/>
  <c r="AH6" i="132" a="1"/>
  <c r="P7" i="132" a="1"/>
  <c r="DQ8" i="132" a="1"/>
  <c r="CS7" i="132" a="1"/>
  <c r="CT6" i="132" a="1"/>
  <c r="DQ6" i="132" a="1"/>
  <c r="DL13" i="132" a="1"/>
  <c r="BU7" i="132" a="1"/>
  <c r="CZ12" i="132" a="1"/>
  <c r="AL5" i="132" a="1"/>
  <c r="DC6" i="132" a="1"/>
  <c r="AS82" i="130" a="1"/>
  <c r="AT83" i="130" a="1"/>
  <c r="AV64" i="130" a="1"/>
  <c r="AW64" i="130" a="1"/>
  <c r="AY79" i="130" a="1"/>
  <c r="AZ55" i="130" a="1"/>
  <c r="BB68" i="130" a="1"/>
  <c r="BC59" i="130" a="1"/>
  <c r="BE80" i="130" a="1"/>
  <c r="BF71" i="130" a="1"/>
  <c r="BH68" i="130" a="1"/>
  <c r="BI83" i="130" a="1"/>
  <c r="EG7" i="132" a="1"/>
  <c r="EU11" i="132" a="1"/>
  <c r="EH11" i="132" a="1"/>
  <c r="EJ13" i="132" a="1"/>
  <c r="CX6" i="132" a="1"/>
  <c r="DQ5" i="132" a="1"/>
  <c r="S11" i="132" a="1"/>
  <c r="EH8" i="132" a="1"/>
  <c r="AB11" i="132" a="1"/>
  <c r="DM8" i="132" a="1"/>
  <c r="L5" i="132" a="1"/>
  <c r="Q7" i="132" a="1"/>
  <c r="AJ6" i="132" a="1"/>
  <c r="DB5" i="132" a="1"/>
  <c r="O15" i="132" a="1"/>
  <c r="CW11" i="132" a="1"/>
  <c r="EJ5" i="132" a="1"/>
  <c r="I16" i="132" a="1"/>
  <c r="Q16" i="132" a="1"/>
  <c r="EL7" i="132" a="1"/>
  <c r="AC16" i="132" a="1"/>
  <c r="AN15" i="132" a="1"/>
  <c r="S13" i="132" a="1"/>
  <c r="CF8" i="132" a="1"/>
  <c r="AQ13" i="132" a="1"/>
  <c r="EN5" i="132" a="1"/>
  <c r="CA14" i="132" a="1"/>
  <c r="DQ16" i="132" a="1"/>
  <c r="AR47" i="130" a="1"/>
  <c r="Y48" i="130" a="1"/>
  <c r="EY8" i="132" a="1"/>
  <c r="M14" i="132" a="1"/>
  <c r="BM15" i="132" a="1"/>
  <c r="DE11" i="132" a="1"/>
  <c r="DA9" i="132" a="1"/>
  <c r="EC9" i="132" a="1"/>
  <c r="BT13" i="132" a="1"/>
  <c r="DK7" i="132" a="1"/>
  <c r="ES9" i="132" a="1"/>
  <c r="BX12" i="132" a="1"/>
  <c r="CX15" i="132" a="1"/>
  <c r="AR5" i="130" a="1"/>
  <c r="AH5" i="132" a="1"/>
  <c r="CL5" i="132" a="1"/>
  <c r="BV14" i="132" a="1"/>
  <c r="DB6" i="132" a="1"/>
  <c r="ER9" i="132" a="1"/>
  <c r="CS5" i="132" a="1"/>
  <c r="AU9" i="132" a="1"/>
  <c r="BH16" i="132" a="1"/>
  <c r="CR6" i="132" a="1"/>
  <c r="BC14" i="132" a="1"/>
  <c r="DW6" i="132" a="1"/>
  <c r="DJ8" i="132" a="1"/>
  <c r="AY15" i="132" a="1"/>
  <c r="K8" i="132" a="1"/>
  <c r="DW12" i="132" a="1"/>
  <c r="DV13" i="132" a="1"/>
  <c r="BM14" i="132" a="1"/>
  <c r="EG13" i="132" a="1"/>
  <c r="BZ15" i="132" a="1"/>
  <c r="DT6" i="132" a="1"/>
  <c r="EH16" i="132" a="1"/>
  <c r="D8" i="132" a="1"/>
  <c r="BK13" i="132" a="1"/>
  <c r="BG11" i="132" a="1"/>
  <c r="AR29" i="130" a="1"/>
  <c r="DM13" i="132" a="1"/>
  <c r="CM15" i="132" a="1"/>
  <c r="AZ5" i="132" a="1"/>
  <c r="BH13" i="132" a="1"/>
  <c r="AE8" i="132" a="1"/>
  <c r="DS13" i="132" a="1"/>
  <c r="ED14" i="132" a="1"/>
  <c r="ER7" i="132" a="1"/>
  <c r="BD12" i="132" a="1"/>
  <c r="EV15" i="132" a="1"/>
  <c r="BN13" i="132" a="1"/>
  <c r="DC9" i="132" a="1"/>
  <c r="W5" i="132" a="1"/>
  <c r="FC9" i="132" a="1"/>
  <c r="DP7" i="132" a="1"/>
  <c r="CG13" i="132" a="1"/>
  <c r="BH6" i="132" a="1"/>
  <c r="EI5" i="132" a="1"/>
  <c r="BB9" i="132" a="1"/>
  <c r="D14" i="132" a="1"/>
  <c r="DZ13" i="132" a="1"/>
  <c r="CU6" i="132" a="1"/>
  <c r="EB5" i="132" a="1"/>
  <c r="DH9" i="132" a="1"/>
  <c r="E15" i="132" a="1"/>
  <c r="CM16" i="132" a="1"/>
  <c r="AW6" i="132" a="1"/>
  <c r="CK5" i="132" a="1"/>
  <c r="CP8" i="132" a="1"/>
  <c r="O6" i="132" a="1"/>
  <c r="CI7" i="132" a="1"/>
  <c r="DN7" i="132" a="1"/>
  <c r="FB9" i="132" a="1"/>
  <c r="BY13" i="132" a="1"/>
  <c r="AY11" i="132" a="1"/>
  <c r="CT14" i="132" a="1"/>
  <c r="BC13" i="132" a="1"/>
  <c r="EM11" i="132" a="1"/>
  <c r="BY11" i="132" a="1"/>
  <c r="DK5" i="132" a="1"/>
  <c r="ED11" i="132" a="1"/>
  <c r="N16" i="132" a="1"/>
  <c r="BV11" i="132" a="1"/>
  <c r="EG8" i="132" a="1"/>
  <c r="EU9" i="132" a="1"/>
  <c r="AF9" i="132" a="1"/>
  <c r="CE5" i="132" a="1"/>
  <c r="FA5" i="132" a="1"/>
  <c r="AU67" i="130" a="1"/>
  <c r="BE74" i="130" a="1"/>
  <c r="CZ8" i="132" a="1"/>
  <c r="AR20" i="130" a="1"/>
  <c r="BX7" i="132" a="1"/>
  <c r="DO5" i="132" a="1"/>
  <c r="DW8" i="132" a="1"/>
  <c r="AL12" i="132" a="1"/>
  <c r="AV11" i="132" a="1"/>
  <c r="DF16" i="132" a="1"/>
  <c r="EF6" i="132" a="1"/>
  <c r="Z12" i="132" a="1"/>
  <c r="EI8" i="132" a="1"/>
  <c r="AQ5" i="132" a="1"/>
  <c r="AO12" i="132" a="1"/>
  <c r="AG14" i="132" a="1"/>
  <c r="EP16" i="132" a="1"/>
  <c r="T15" i="132" a="1"/>
  <c r="CX12" i="132" a="1"/>
  <c r="AH7" i="132" a="1"/>
  <c r="AF13" i="132" a="1"/>
  <c r="EL5" i="132" a="1"/>
  <c r="AO11" i="132" a="1"/>
  <c r="CE6" i="132" a="1"/>
  <c r="CT13" i="132" a="1"/>
  <c r="BT9" i="132" a="1"/>
  <c r="J11" i="132" a="1"/>
  <c r="EX6" i="132" a="1"/>
  <c r="CX13" i="132" a="1"/>
  <c r="DF13" i="132" a="1"/>
  <c r="CY14" i="132" a="1"/>
  <c r="CH8" i="132" a="1"/>
  <c r="AZ6" i="132" a="1"/>
  <c r="G9" i="132" a="1"/>
  <c r="AB9" i="132" a="1"/>
  <c r="G5" i="132" a="1"/>
  <c r="BK15" i="132" a="1"/>
  <c r="AZ8" i="132" a="1"/>
  <c r="EJ7" i="132" a="1"/>
  <c r="EW8" i="132" a="1"/>
  <c r="DD9" i="132" a="1"/>
  <c r="AA14" i="132" a="1"/>
  <c r="ED9" i="132" a="1"/>
  <c r="BA13" i="132" a="1"/>
  <c r="EB6" i="132" a="1"/>
  <c r="AO8" i="132" a="1"/>
  <c r="AG12" i="132" a="1"/>
  <c r="BH63" i="130" a="1"/>
  <c r="DP14" i="132" a="1"/>
  <c r="C13" i="132" a="1"/>
  <c r="EE16" i="132" a="1"/>
  <c r="EP14" i="132" a="1"/>
  <c r="AR13" i="132" a="1"/>
  <c r="AD13" i="132" a="1"/>
  <c r="BD15" i="132" a="1"/>
  <c r="AF5" i="132" a="1"/>
  <c r="CG9" i="132" a="1"/>
  <c r="AR11" i="132" a="1"/>
  <c r="N5" i="132" a="1"/>
  <c r="BJ11" i="132" a="1"/>
  <c r="EY14" i="132" a="1"/>
  <c r="BJ6" i="132" a="1"/>
  <c r="U11" i="132" a="1"/>
  <c r="BF9" i="132" a="1"/>
  <c r="AT58" i="130" a="1"/>
  <c r="BQ16" i="132" a="1"/>
  <c r="AY6" i="132" a="1"/>
  <c r="CG8" i="132" a="1"/>
  <c r="EH9" i="132" a="1"/>
  <c r="CF13" i="132" a="1"/>
  <c r="CL9" i="132" a="1"/>
  <c r="X9" i="132" a="1"/>
  <c r="AU65" i="130" a="1"/>
  <c r="BE66" i="130" a="1"/>
  <c r="D12" i="132" a="1"/>
  <c r="EL12" i="132" a="1"/>
  <c r="CK9" i="132" a="1"/>
  <c r="CP6" i="132" a="1"/>
  <c r="DF11" i="132" a="1"/>
  <c r="AM48" i="130" a="1"/>
  <c r="Y16" i="132" a="1"/>
  <c r="EE7" i="132" a="1"/>
  <c r="DI9" i="132" a="1"/>
  <c r="CQ13" i="132" a="1"/>
  <c r="DE15" i="132" a="1"/>
  <c r="AP5" i="132" a="1"/>
  <c r="AC14" i="132" a="1"/>
  <c r="DP8" i="132" a="1"/>
  <c r="CC7" i="132" a="1"/>
  <c r="DQ14" i="132" a="1"/>
  <c r="BO8" i="132" a="1"/>
  <c r="CG12" i="132" a="1"/>
  <c r="BB14" i="132" a="1"/>
  <c r="DH8" i="132" a="1"/>
  <c r="W12" i="132" a="1"/>
  <c r="EV11" i="132" a="1"/>
  <c r="EL11" i="132" a="1"/>
  <c r="AF16" i="132" a="1"/>
  <c r="ED16" i="132" a="1"/>
  <c r="E7" i="132" a="1"/>
  <c r="CJ16" i="132" a="1"/>
  <c r="BV12" i="132" a="1"/>
  <c r="AD8" i="132" a="1"/>
  <c r="FF8" i="132" a="1"/>
  <c r="ES16" i="132" a="1"/>
  <c r="ET16" i="132" a="1"/>
  <c r="EE8" i="132" a="1"/>
  <c r="G12" i="132" a="1"/>
  <c r="CI9" i="132" a="1"/>
  <c r="DO8" i="132" a="1"/>
  <c r="AW75" i="130" a="1"/>
  <c r="F13" i="132" a="1"/>
  <c r="AK6" i="132" a="1"/>
  <c r="CG5" i="132" a="1"/>
  <c r="FB5" i="132" a="1"/>
  <c r="BS13" i="132" a="1"/>
  <c r="U8" i="132" a="1"/>
  <c r="BI5" i="132" a="1"/>
  <c r="DD13" i="132" a="1"/>
  <c r="AX56" i="130" a="1"/>
  <c r="AW15" i="132" a="1"/>
  <c r="CK16" i="132" a="1"/>
  <c r="AP7" i="132" a="1"/>
  <c r="CW14" i="132" a="1"/>
  <c r="DQ11" i="132" a="1"/>
  <c r="AL15" i="132" a="1"/>
  <c r="AI6" i="132" a="1"/>
  <c r="EW14" i="132" a="1"/>
  <c r="AB13" i="132" a="1"/>
  <c r="BJ7" i="132" a="1"/>
  <c r="EF15" i="132" a="1"/>
  <c r="Y11" i="132" a="1"/>
  <c r="BT14" i="132" a="1"/>
  <c r="DY14" i="132" a="1"/>
  <c r="DO12" i="132" a="1"/>
  <c r="DO16" i="132" a="1"/>
  <c r="CQ9" i="132" a="1"/>
  <c r="CD16" i="132" a="1"/>
  <c r="BC61" i="130" a="1"/>
  <c r="EA12" i="132" a="1"/>
  <c r="AR8" i="132" a="1"/>
  <c r="CF16" i="132" a="1"/>
  <c r="AW57" i="130" a="1"/>
  <c r="BF68" i="130" a="1"/>
  <c r="CY11" i="132" a="1"/>
  <c r="AB15" i="132" a="1"/>
  <c r="BS9" i="132" a="1"/>
  <c r="DX7" i="132" a="1"/>
  <c r="CJ6" i="132" a="1"/>
  <c r="AQ6" i="132" a="1"/>
  <c r="DR14" i="132" a="1"/>
  <c r="U7" i="132" a="1"/>
  <c r="EY13" i="132" a="1"/>
  <c r="EN9" i="132" a="1"/>
  <c r="M12" i="132" a="1"/>
  <c r="CR13" i="132" a="1"/>
  <c r="AR7" i="132" a="1"/>
  <c r="EK16" i="132" a="1"/>
  <c r="BE12" i="132" a="1"/>
  <c r="AM9" i="132" a="1"/>
  <c r="CE12" i="132" a="1"/>
  <c r="DU7" i="132" a="1"/>
  <c r="AN14" i="132" a="1"/>
  <c r="I11" i="132" a="1"/>
  <c r="Z7" i="132" a="1"/>
  <c r="AX5" i="132" a="1"/>
  <c r="CE7" i="132" a="1"/>
  <c r="DJ15" i="132" a="1"/>
  <c r="CF9" i="132" a="1"/>
  <c r="EL14" i="132" a="1"/>
  <c r="CU7" i="132" a="1"/>
  <c r="DP12" i="132" a="1"/>
  <c r="Z13" i="132" a="1"/>
  <c r="K14" i="132" a="1"/>
  <c r="F8" i="132" a="1"/>
  <c r="DH12" i="132" a="1"/>
  <c r="BF70" i="130" a="1"/>
  <c r="AA16" i="132" a="1"/>
  <c r="T48" i="130" a="1"/>
  <c r="X12" i="132" a="1"/>
  <c r="CA11" i="132" a="1"/>
  <c r="DE16" i="132" a="1"/>
  <c r="DH5" i="132" a="1"/>
  <c r="Y15" i="132" a="1"/>
  <c r="EG5" i="132" a="1"/>
  <c r="EN11" i="132" a="1"/>
  <c r="DB13" i="132" a="1"/>
  <c r="CX16" i="132" a="1"/>
  <c r="FF9" i="132" a="1"/>
  <c r="M7" i="132" a="1"/>
  <c r="CJ14" i="132" a="1"/>
  <c r="D11" i="132" a="1"/>
  <c r="AC5" i="132" a="1"/>
  <c r="AI12" i="132" a="1"/>
  <c r="T5" i="132" a="1"/>
  <c r="Q9" i="132" a="1"/>
  <c r="K5" i="132" a="1"/>
  <c r="CB6" i="132" a="1"/>
  <c r="ED5" i="132" a="1"/>
  <c r="EY5" i="132" a="1"/>
  <c r="BE7" i="132" a="1"/>
  <c r="CP15" i="132" a="1"/>
  <c r="BJ63" i="130" a="1"/>
  <c r="CB11" i="132" a="1"/>
  <c r="DN11" i="132" a="1"/>
  <c r="BK5" i="132" a="1"/>
  <c r="CR11" i="132" a="1"/>
  <c r="AX7" i="132" a="1"/>
  <c r="EA9" i="132" a="1"/>
  <c r="BA8" i="132" a="1"/>
  <c r="AZ14" i="132" a="1"/>
  <c r="FB15" i="132" a="1"/>
  <c r="AI13" i="132" a="1"/>
  <c r="W14" i="132" a="1"/>
  <c r="Z6" i="132" a="1"/>
  <c r="AL11" i="132" a="1"/>
  <c r="EU7" i="132" a="1"/>
  <c r="EJ14" i="132" a="1"/>
  <c r="AZ12" i="132" a="1"/>
  <c r="CI11" i="132" a="1"/>
  <c r="CT11" i="132" a="1"/>
  <c r="N13" i="132" a="1"/>
  <c r="DM16" i="132" a="1"/>
  <c r="BZ11" i="132" a="1"/>
  <c r="S12" i="132" a="1"/>
  <c r="CE15" i="132" a="1"/>
  <c r="AY7" i="132" a="1"/>
  <c r="DH11" i="132" a="1"/>
  <c r="BQ15" i="132" a="1"/>
  <c r="DA13" i="132" a="1"/>
  <c r="W15" i="132" a="1"/>
  <c r="E16" i="132" a="1"/>
  <c r="DJ5" i="132" a="1"/>
  <c r="BL13" i="132" a="1"/>
  <c r="CG11" i="132" a="1"/>
  <c r="AL6" i="132" a="1"/>
  <c r="AE7" i="132" a="1"/>
  <c r="BS16" i="132" a="1"/>
  <c r="AR18" i="130" a="1"/>
  <c r="DX11" i="132" a="1"/>
  <c r="AL48" i="130" a="1"/>
  <c r="EW9" i="132" a="1"/>
  <c r="FA14" i="132" a="1"/>
  <c r="DL12" i="132" a="1"/>
  <c r="DW11" i="132" a="1"/>
  <c r="EC7" i="132" a="1"/>
  <c r="BJ14" i="132" a="1"/>
  <c r="AX54" i="130" a="1"/>
  <c r="BH56" i="130" a="1"/>
  <c r="EO15" i="132" a="1"/>
  <c r="EG15" i="132" a="1"/>
  <c r="CI14" i="132" a="1"/>
  <c r="AS8" i="132" a="1"/>
  <c r="DP6" i="132" a="1"/>
  <c r="DC12" i="132" a="1"/>
  <c r="CK8" i="132" a="1"/>
  <c r="CV8" i="132" a="1"/>
  <c r="EX5" i="132" a="1"/>
  <c r="DI13" i="132" a="1"/>
  <c r="CK14" i="132" a="1"/>
  <c r="BB5" i="132" a="1"/>
  <c r="AO16" i="132" a="1"/>
  <c r="FF13" i="132" a="1"/>
  <c r="AZ16" i="132" a="1"/>
  <c r="CK7" i="132" a="1"/>
  <c r="CF11" i="132" a="1"/>
  <c r="EE5" i="132" a="1"/>
  <c r="CJ9" i="132" a="1"/>
  <c r="DA7" i="132" a="1"/>
  <c r="AX8" i="132" a="1"/>
  <c r="CS11" i="132" a="1"/>
  <c r="CI13" i="132" a="1"/>
  <c r="CB5" i="132" a="1"/>
  <c r="BF15" i="132" a="1"/>
  <c r="BM12" i="132" a="1"/>
  <c r="DI11" i="132" a="1"/>
  <c r="AQ12" i="132" a="1"/>
  <c r="CR15" i="132" a="1"/>
  <c r="AG5" i="132" a="1"/>
  <c r="AB6" i="132" a="1"/>
  <c r="AI8" i="132" a="1"/>
  <c r="CH7" i="132" a="1"/>
  <c r="BC11" i="132" a="1"/>
  <c r="BW6" i="132" a="1"/>
  <c r="Z14" i="132" a="1"/>
  <c r="DM6" i="132" a="1"/>
  <c r="CE14" i="132" a="1"/>
  <c r="DY12" i="132" a="1"/>
  <c r="AK12" i="132" a="1"/>
  <c r="AR14" i="132" a="1"/>
  <c r="AZ69" i="130" a="1"/>
  <c r="BI68" i="130" a="1"/>
  <c r="EP12" i="132" a="1"/>
  <c r="AD11" i="132" a="1"/>
  <c r="BV9" i="132" a="1"/>
  <c r="EA13" i="132" a="1"/>
  <c r="EI14" i="132" a="1"/>
  <c r="CC6" i="132" a="1"/>
  <c r="AR7" i="130" a="1"/>
  <c r="CS12" i="132" a="1"/>
  <c r="AO13" i="132" a="1"/>
  <c r="EQ11" i="132" a="1"/>
  <c r="EA5" i="132" a="1"/>
  <c r="BQ8" i="132" a="1"/>
  <c r="P8" i="132" a="1"/>
  <c r="BI12" i="132" a="1"/>
  <c r="AV15" i="132" a="1"/>
  <c r="AS12" i="132" a="1"/>
  <c r="BJ9" i="132" a="1"/>
  <c r="I7" i="132" a="1"/>
  <c r="DX8" i="132" a="1"/>
  <c r="DA8" i="132" a="1"/>
  <c r="BQ7" i="132" a="1"/>
  <c r="DC8" i="132" a="1"/>
  <c r="CD14" i="132" a="1"/>
  <c r="I9" i="132" a="1"/>
  <c r="EF13" i="132" a="1"/>
  <c r="DS7" i="132" a="1"/>
  <c r="EI15" i="132" a="1"/>
  <c r="P13" i="132" a="1"/>
  <c r="EF9" i="132" a="1"/>
  <c r="CD6" i="132" a="1"/>
  <c r="Y6" i="132" a="1"/>
  <c r="DY7" i="132" a="1"/>
  <c r="AM13" i="132" a="1"/>
  <c r="AA7" i="132" a="1"/>
  <c r="BI60" i="130" a="1"/>
  <c r="AA6" i="132" a="1"/>
  <c r="AY16" i="132" a="1"/>
  <c r="DB15" i="132" a="1"/>
  <c r="AL14" i="132" a="1"/>
  <c r="BD8" i="132" a="1"/>
  <c r="DS6" i="132" a="1"/>
  <c r="EF16" i="132" a="1"/>
  <c r="AS7" i="132" a="1"/>
  <c r="CZ13" i="132" a="1"/>
  <c r="BI14" i="132" a="1"/>
  <c r="BL8" i="132" a="1"/>
  <c r="EY12" i="132" a="1"/>
  <c r="EE12" i="132" a="1"/>
  <c r="CW15" i="132" a="1"/>
  <c r="EJ11" i="132" a="1"/>
  <c r="CZ11" i="132" a="1"/>
  <c r="EN13" i="132" a="1"/>
  <c r="DM7" i="132" a="1"/>
  <c r="AZ7" i="132" a="1"/>
  <c r="P9" i="132" a="1"/>
  <c r="BB83" i="130" a="1"/>
  <c r="AU16" i="132" a="1"/>
  <c r="CU12" i="132" a="1"/>
  <c r="EK8" i="132" a="1"/>
  <c r="DV9" i="132" a="1"/>
  <c r="EZ15" i="132" a="1"/>
  <c r="EN7" i="132" a="1"/>
  <c r="AG9" i="132" a="1"/>
  <c r="BA15" i="132" a="1"/>
  <c r="CN15" i="132" a="1"/>
  <c r="CF7" i="132" a="1"/>
  <c r="EV7" i="132" a="1"/>
  <c r="AZ63" i="130" a="1"/>
  <c r="CF12" i="132" a="1"/>
  <c r="CG16" i="132" a="1"/>
  <c r="AH8" i="132" a="1"/>
  <c r="EI7" i="132" a="1"/>
  <c r="BJ67" i="130" a="1"/>
  <c r="BA54" i="130" a="1"/>
  <c r="M15" i="132" a="1"/>
  <c r="BR9" i="132" a="1"/>
  <c r="EQ9" i="132" a="1"/>
  <c r="BS8" i="132" a="1"/>
  <c r="BC8" i="132" a="1"/>
  <c r="FF16" i="132" a="1"/>
  <c r="DQ13" i="132" a="1"/>
  <c r="EF7" i="132" a="1"/>
  <c r="BZ14" i="132" a="1"/>
  <c r="AO7" i="132" a="1"/>
  <c r="CE13" i="132" a="1"/>
  <c r="G13" i="132" a="1"/>
  <c r="AT14" i="132" a="1"/>
  <c r="AC48" i="130" a="1"/>
  <c r="AZ9" i="132" a="1"/>
  <c r="P14" i="132" a="1"/>
  <c r="CL8" i="132" a="1"/>
  <c r="AN6" i="132" a="1"/>
  <c r="Q6" i="132" a="1"/>
  <c r="DR13" i="132" a="1"/>
  <c r="AT55" i="130" a="1"/>
  <c r="BC67" i="130" a="1"/>
  <c r="K7" i="132" a="1"/>
  <c r="C6" i="132" a="1"/>
  <c r="ER11" i="132" a="1"/>
  <c r="BK9" i="132" a="1"/>
  <c r="BI8" i="132" a="1"/>
  <c r="O13" i="132" a="1"/>
  <c r="DT11" i="132" a="1"/>
  <c r="CT7" i="132" a="1"/>
  <c r="EQ15" i="132" a="1"/>
  <c r="DZ7" i="132" a="1"/>
  <c r="CL14" i="132" a="1"/>
  <c r="BO15" i="132" a="1"/>
  <c r="J5" i="132" a="1"/>
  <c r="AF7" i="132" a="1"/>
  <c r="AZ15" i="132" a="1"/>
  <c r="EL6" i="132" a="1"/>
  <c r="U9" i="132" a="1"/>
  <c r="CP11" i="132" a="1"/>
  <c r="EI6" i="132" a="1"/>
  <c r="CL13" i="132" a="1"/>
  <c r="AM6" i="132" a="1"/>
  <c r="AT11" i="132" a="1"/>
  <c r="BE16" i="132" a="1"/>
  <c r="CK13" i="132" a="1"/>
  <c r="D9" i="132" a="1"/>
  <c r="X15" i="132" a="1"/>
  <c r="EV6" i="132" a="1"/>
  <c r="ED6" i="132" a="1"/>
  <c r="FF5" i="132" a="1"/>
  <c r="AA13" i="132" a="1"/>
  <c r="AV12" i="132" a="1"/>
  <c r="AU12" i="132" a="1"/>
  <c r="DK15" i="132" a="1"/>
  <c r="N7" i="132" a="1"/>
  <c r="EA7" i="132" a="1"/>
  <c r="EM8" i="132" a="1"/>
  <c r="Y14" i="132" a="1"/>
  <c r="T7" i="132" a="1"/>
  <c r="DL15" i="132" a="1"/>
  <c r="EK9" i="132" a="1"/>
  <c r="CS16" i="132" a="1"/>
  <c r="BK16" i="132" a="1"/>
  <c r="DY13" i="132" a="1"/>
  <c r="CQ11" i="132" a="1"/>
  <c r="AA55" i="1" l="1"/>
  <c r="AA82" i="1"/>
  <c r="AA60" i="1"/>
  <c r="AA61" i="1" s="1"/>
  <c r="BY36" i="1"/>
  <c r="BY73" i="1"/>
  <c r="BY31" i="1"/>
  <c r="BY41" i="1"/>
  <c r="BY108" i="1" s="1"/>
  <c r="BY106" i="1" s="1"/>
  <c r="BY109" i="1" s="1"/>
  <c r="BY103" i="1" s="1"/>
  <c r="BY118" i="1" s="1"/>
  <c r="BY113" i="1" s="1"/>
  <c r="BY114" i="1" s="1"/>
  <c r="BY25" i="1" s="1"/>
  <c r="BY102" i="1" s="1"/>
  <c r="BY104" i="1" s="1"/>
  <c r="BY116" i="1" s="1"/>
  <c r="JL16" i="132" s="1"/>
  <c r="IG16" i="132" s="1"/>
  <c r="S67" i="1"/>
  <c r="HV9" i="132" s="1"/>
  <c r="HX9" i="132" s="1"/>
  <c r="IT9" i="132" s="1"/>
  <c r="HT16" i="132" s="1"/>
  <c r="IY9" i="132" s="1"/>
  <c r="IS16" i="132" s="1"/>
  <c r="J67" i="1"/>
  <c r="IQ9" i="132" s="1"/>
  <c r="IP9" i="132" s="1"/>
  <c r="IS9" i="132" s="1"/>
  <c r="JP9" i="132" s="1"/>
  <c r="IB16" i="132" s="1"/>
  <c r="JM16" i="132" s="1"/>
  <c r="IR9" i="132" s="1"/>
  <c r="JI9" i="132" s="1"/>
  <c r="II16" i="132" s="1"/>
  <c r="BW54" i="1" s="1"/>
  <c r="JB9" i="132" s="1"/>
  <c r="B67" i="1"/>
  <c r="Z37" i="1"/>
  <c r="IH9" i="132" s="1"/>
  <c r="HQ9" i="132" s="1"/>
  <c r="BW72" i="1" s="1"/>
  <c r="JF16" i="132" s="1"/>
  <c r="JP8" i="132" s="1"/>
  <c r="JA16" i="132" s="1"/>
  <c r="IP16" i="132" s="1"/>
  <c r="IO16" i="132" s="1"/>
  <c r="JD9" i="132" s="1"/>
  <c r="B37" i="1"/>
  <c r="G69" i="1"/>
  <c r="HS9" i="132" s="1"/>
  <c r="IC16" i="132" s="1"/>
  <c r="IV16" i="132" s="1"/>
  <c r="IL9" i="132" s="1"/>
  <c r="JH9" i="132" s="1"/>
  <c r="BW39" i="1" s="1"/>
  <c r="IJ9" i="132" s="1"/>
  <c r="JF9" i="132" s="1"/>
  <c r="IF9" i="132" s="1"/>
  <c r="IJ16" i="132" s="1"/>
  <c r="IQ16" i="132" s="1"/>
  <c r="C69" i="1"/>
  <c r="HU9" i="132" s="1"/>
  <c r="IL16" i="132" s="1"/>
  <c r="IA9" i="132" s="1"/>
  <c r="JO9" i="132" s="1"/>
  <c r="X37" i="1"/>
  <c r="JI16" i="132" s="1"/>
  <c r="AX78" i="1" s="1"/>
  <c r="I37" i="1"/>
  <c r="O68" i="1"/>
  <c r="JM9" i="132" s="1"/>
  <c r="BH78" i="1" s="1"/>
  <c r="IU9" i="132" s="1"/>
  <c r="Q67" i="1"/>
  <c r="BW57" i="1" s="1"/>
  <c r="BZ57" i="1" s="1"/>
  <c r="CA57" i="1" s="1"/>
  <c r="CB57" i="1" s="1"/>
  <c r="CC57" i="1" s="1"/>
  <c r="CD57" i="1" s="1"/>
  <c r="CE57" i="1" s="1"/>
  <c r="CF57" i="1" s="1"/>
  <c r="CG57" i="1" s="1"/>
  <c r="CH57" i="1" s="1"/>
  <c r="CI57" i="1" s="1"/>
  <c r="CJ57" i="1" s="1"/>
  <c r="CK57" i="1" s="1"/>
  <c r="CL57" i="1" s="1"/>
  <c r="CM57" i="1" s="1"/>
  <c r="CN57" i="1" s="1"/>
  <c r="CO57" i="1" s="1"/>
  <c r="W69" i="1"/>
  <c r="BN78" i="1" s="1"/>
  <c r="I69" i="1"/>
  <c r="IR16" i="132" s="1"/>
  <c r="IY16" i="132" s="1"/>
  <c r="JH16" i="132" s="1"/>
  <c r="JP15" i="132" s="1"/>
  <c r="BQ78" i="1" s="1"/>
  <c r="IN16" i="132" s="1"/>
  <c r="BW30" i="1" s="1"/>
  <c r="IV9" i="132" s="1"/>
  <c r="AJ78" i="1" s="1"/>
  <c r="HS16" i="132" s="1"/>
  <c r="B68" i="1"/>
  <c r="IZ16" i="132" s="1"/>
  <c r="JG16" i="132" s="1"/>
  <c r="BS78" i="1" s="1"/>
  <c r="JE9" i="132" s="1"/>
  <c r="JJ9" i="132" s="1"/>
  <c r="HZ16" i="132" s="1"/>
  <c r="IX16" i="132" s="1"/>
  <c r="IX9" i="132" s="1"/>
  <c r="IA16" i="132" s="1"/>
  <c r="AW78" i="1" s="1"/>
  <c r="IH16" i="132" s="1"/>
  <c r="HX16" i="132" s="1"/>
  <c r="D37" i="1"/>
  <c r="Q37" i="1"/>
  <c r="V37" i="1"/>
  <c r="A1" i="1" s="1"/>
  <c r="IG9" i="132" s="1"/>
  <c r="W67" i="1"/>
  <c r="X68" i="1"/>
  <c r="JE16" i="132" s="1"/>
  <c r="AI78" i="1" s="1"/>
  <c r="IK9" i="132" s="1"/>
  <c r="AR51" i="130" s="1"/>
  <c r="BW32" i="1" s="1"/>
  <c r="JN9" i="132" s="1"/>
  <c r="BW78" i="1" s="1"/>
  <c r="Y69" i="1"/>
  <c r="ID9" i="132" s="1"/>
  <c r="AM78" i="1" s="1"/>
  <c r="AY78" i="1" s="1"/>
  <c r="F37" i="1"/>
  <c r="G67" i="1"/>
  <c r="BW68" i="1" s="1"/>
  <c r="BF78" i="1" s="1"/>
  <c r="M37" i="1"/>
  <c r="HY9" i="132" s="1"/>
  <c r="IN9" i="132" s="1"/>
  <c r="IE16" i="132" s="1"/>
  <c r="AL78" i="1" s="1"/>
  <c r="N37" i="1"/>
  <c r="IW9" i="132" s="1"/>
  <c r="IC9" i="132" s="1"/>
  <c r="AS78" i="1" s="1"/>
  <c r="AU78" i="1" s="1"/>
  <c r="HR16" i="132" s="1"/>
  <c r="BI78" i="1" s="1"/>
  <c r="BR78" i="1" s="1"/>
  <c r="HV16" i="132" s="1"/>
  <c r="IO9" i="132" s="1"/>
  <c r="V68" i="1"/>
  <c r="JP16" i="132" s="1"/>
  <c r="IZ9" i="132" s="1"/>
  <c r="D67" i="1"/>
  <c r="E69" i="1"/>
  <c r="K37" i="1"/>
  <c r="F67" i="1"/>
  <c r="BD78" i="1" s="1"/>
  <c r="V67" i="1"/>
  <c r="BA78" i="1" s="1"/>
  <c r="IW16" i="132" s="1"/>
  <c r="HU16" i="132" s="1"/>
  <c r="BU78" i="1" s="1"/>
  <c r="IE9" i="132" s="1"/>
  <c r="V69" i="1"/>
  <c r="IM16" i="132" s="1"/>
  <c r="IF16" i="132" s="1"/>
  <c r="IK16" i="132" s="1"/>
  <c r="JB16" i="132" s="1"/>
  <c r="Y37" i="1"/>
  <c r="E67" i="1"/>
  <c r="H67" i="1"/>
  <c r="BV78" i="1" s="1"/>
  <c r="K68" i="1"/>
  <c r="JK16" i="132" s="1"/>
  <c r="IB9" i="132" s="1"/>
  <c r="JC16" i="132" s="1"/>
  <c r="T37" i="1"/>
  <c r="E37" i="1"/>
  <c r="BJ78" i="1" s="1"/>
  <c r="D69" i="1"/>
  <c r="II9" i="132" s="1"/>
  <c r="BE78" i="1" s="1"/>
  <c r="P37" i="1"/>
  <c r="BG78" i="1" s="1"/>
  <c r="BM78" i="1" s="1"/>
  <c r="BW44" i="1" s="1"/>
  <c r="C68" i="1"/>
  <c r="Y68" i="1"/>
  <c r="I68" i="1"/>
  <c r="HQ16" i="132" s="1"/>
  <c r="P68" i="1"/>
  <c r="BW67" i="1" s="1"/>
  <c r="R67" i="1"/>
  <c r="BB78" i="1" s="1"/>
  <c r="J68" i="1"/>
  <c r="O69" i="1"/>
  <c r="R69" i="1"/>
  <c r="P69" i="1"/>
  <c r="Y67" i="1"/>
  <c r="BT78" i="1" s="1"/>
  <c r="HP16" i="132" s="1"/>
  <c r="HW16" i="132" s="1"/>
  <c r="BW50" i="1" s="1"/>
  <c r="HZ9" i="132" s="1"/>
  <c r="Z68" i="1"/>
  <c r="HP9" i="132" s="1"/>
  <c r="H37" i="1"/>
  <c r="U37" i="1"/>
  <c r="C67" i="1"/>
  <c r="N67" i="1"/>
  <c r="I67" i="1"/>
  <c r="L68" i="1"/>
  <c r="O67" i="1"/>
  <c r="X67" i="1"/>
  <c r="U67" i="1"/>
  <c r="E68" i="1"/>
  <c r="JG9" i="132" s="1"/>
  <c r="JK9" i="132" s="1"/>
  <c r="O37" i="1"/>
  <c r="D68" i="1"/>
  <c r="E39" i="1"/>
  <c r="C37" i="1"/>
  <c r="JP7" i="132" s="1"/>
  <c r="HY16" i="132" s="1"/>
  <c r="IT16" i="132" s="1"/>
  <c r="K67" i="1"/>
  <c r="Z67" i="1"/>
  <c r="N68" i="1"/>
  <c r="M68" i="1"/>
  <c r="L69" i="1"/>
  <c r="Q69" i="1"/>
  <c r="HW9" i="132" s="1"/>
  <c r="P67" i="1"/>
  <c r="AR78" i="1" s="1"/>
  <c r="L67" i="1"/>
  <c r="K69" i="1"/>
  <c r="G68" i="1"/>
  <c r="BW29" i="1" s="1"/>
  <c r="HR9" i="132" s="1"/>
  <c r="BC78" i="1" s="1"/>
  <c r="J69" i="1"/>
  <c r="W68" i="1"/>
  <c r="BW46" i="1" s="1"/>
  <c r="BO78" i="1" s="1"/>
  <c r="F68" i="1"/>
  <c r="J37" i="1"/>
  <c r="AO78" i="1" s="1"/>
  <c r="T69" i="1"/>
  <c r="U68" i="1"/>
  <c r="BW69" i="1" s="1"/>
  <c r="JD16" i="132" s="1"/>
  <c r="JA9" i="132" s="1"/>
  <c r="BW58" i="1" s="1"/>
  <c r="BV58" i="1" s="1"/>
  <c r="BU58" i="1" s="1"/>
  <c r="BT58" i="1" s="1"/>
  <c r="BS58" i="1" s="1"/>
  <c r="BR58" i="1" s="1"/>
  <c r="BQ58" i="1" s="1"/>
  <c r="BP58" i="1" s="1"/>
  <c r="BO58" i="1" s="1"/>
  <c r="BN58" i="1" s="1"/>
  <c r="BM58" i="1" s="1"/>
  <c r="BL58" i="1" s="1"/>
  <c r="BK58" i="1" s="1"/>
  <c r="BJ58" i="1" s="1"/>
  <c r="BI58" i="1" s="1"/>
  <c r="BH58" i="1" s="1"/>
  <c r="BG58" i="1" s="1"/>
  <c r="BF58" i="1" s="1"/>
  <c r="BE58" i="1" s="1"/>
  <c r="BD58" i="1" s="1"/>
  <c r="BC58" i="1" s="1"/>
  <c r="BB58" i="1" s="1"/>
  <c r="BA58" i="1" s="1"/>
  <c r="AZ58" i="1" s="1"/>
  <c r="AY58" i="1" s="1"/>
  <c r="AX58" i="1" s="1"/>
  <c r="AW58" i="1" s="1"/>
  <c r="AV58" i="1" s="1"/>
  <c r="AU58" i="1" s="1"/>
  <c r="AT58" i="1" s="1"/>
  <c r="P39" i="1"/>
  <c r="AP78" i="1" s="1"/>
  <c r="F69" i="1"/>
  <c r="BW35" i="1" s="1"/>
  <c r="T68" i="1"/>
  <c r="BP78" i="1" s="1"/>
  <c r="JN16" i="132" s="1"/>
  <c r="M67" i="1"/>
  <c r="R37" i="1"/>
  <c r="IM9" i="132" s="1"/>
  <c r="BW71" i="1" s="1"/>
  <c r="L37" i="1"/>
  <c r="AH78" i="1" s="1"/>
  <c r="JP14" i="132" s="1"/>
  <c r="JC9" i="132" s="1"/>
  <c r="Z69" i="1"/>
  <c r="Q68" i="1"/>
  <c r="X69" i="1"/>
  <c r="AZ78" i="1" s="1"/>
  <c r="AK78" i="1" s="1"/>
  <c r="JJ16" i="132" s="1"/>
  <c r="N39" i="1"/>
  <c r="AN78" i="1" s="1"/>
  <c r="H69" i="1"/>
  <c r="HT9" i="132" s="1"/>
  <c r="G37" i="1"/>
  <c r="AQ78" i="1" s="1"/>
  <c r="BK78" i="1" s="1"/>
  <c r="ID16" i="132" s="1"/>
  <c r="T67" i="1"/>
  <c r="W37" i="1"/>
  <c r="S69" i="1"/>
  <c r="JO16" i="132" s="1"/>
  <c r="AV78" i="1" s="1"/>
  <c r="IU16" i="132" s="1"/>
  <c r="N69" i="1"/>
  <c r="R68" i="1"/>
  <c r="B69" i="1"/>
  <c r="M69" i="1"/>
  <c r="AT78" i="1" s="1"/>
  <c r="BL78" i="1" s="1"/>
  <c r="S68" i="1"/>
  <c r="JL9" i="132" s="1"/>
  <c r="U69" i="1"/>
  <c r="H68" i="1"/>
  <c r="S37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49" i="1"/>
  <c r="AR74" i="130" a="1"/>
  <c r="AR69" i="130" a="1"/>
  <c r="AR67" i="130" a="1"/>
  <c r="AR82" i="130" a="1"/>
  <c r="AR83" i="130" a="1"/>
  <c r="AR76" i="130" a="1"/>
  <c r="AR60" i="130" a="1"/>
  <c r="AR70" i="130" a="1"/>
  <c r="AR75" i="130" a="1"/>
  <c r="AR61" i="130" a="1"/>
  <c r="AR65" i="130" a="1"/>
  <c r="AR59" i="130" a="1"/>
  <c r="AR58" i="130" a="1"/>
  <c r="AR62" i="130" a="1"/>
  <c r="AR57" i="130" a="1"/>
  <c r="AR80" i="130" a="1"/>
  <c r="AR81" i="130" a="1"/>
  <c r="AR79" i="130" a="1"/>
  <c r="AR71" i="130" a="1"/>
  <c r="AR73" i="130" a="1"/>
  <c r="AR78" i="130" a="1"/>
  <c r="AR53" i="130" a="1"/>
  <c r="AR54" i="130" a="1"/>
  <c r="AR64" i="130" a="1"/>
  <c r="AR68" i="130" a="1"/>
  <c r="AR55" i="130" a="1"/>
  <c r="AR56" i="130" a="1"/>
  <c r="AR66" i="130" a="1"/>
  <c r="AR77" i="130" a="1"/>
  <c r="AR63" i="130" a="1"/>
  <c r="AR72" i="130" a="1"/>
  <c r="BY64" i="1" l="1"/>
  <c r="BY65" i="1" s="1"/>
  <c r="BY96" i="1" s="1"/>
  <c r="BY4" i="1"/>
  <c r="BY117" i="1"/>
  <c r="BY33" i="1"/>
  <c r="BY42" i="1" s="1"/>
  <c r="BY45" i="1" s="1"/>
  <c r="BY47" i="1" s="1"/>
  <c r="BY51" i="1" s="1"/>
  <c r="BY110" i="1"/>
  <c r="BY80" i="1"/>
  <c r="BY81" i="1" s="1"/>
  <c r="BY79" i="1" s="1"/>
  <c r="BY76" i="1"/>
  <c r="BY75" i="1"/>
  <c r="BY97" i="1"/>
  <c r="BY98" i="1"/>
  <c r="BY120" i="1"/>
  <c r="BY123" i="1" s="1"/>
  <c r="IW21" i="132"/>
  <c r="BD88" i="1" s="1"/>
  <c r="IS21" i="132"/>
  <c r="AZ88" i="1" s="1"/>
  <c r="IP21" i="132"/>
  <c r="AW88" i="1" s="1"/>
  <c r="JP19" i="132"/>
  <c r="JD14" i="132"/>
  <c r="HX21" i="132"/>
  <c r="HV21" i="132"/>
  <c r="HU21" i="132"/>
  <c r="IT15" i="132"/>
  <c r="IT21" i="132"/>
  <c r="BA88" i="1" s="1"/>
  <c r="HT21" i="132"/>
  <c r="JL21" i="132"/>
  <c r="BS88" i="1" s="1"/>
  <c r="JP20" i="132"/>
  <c r="BW90" i="1" s="1"/>
  <c r="JP21" i="132"/>
  <c r="BW88" i="1" s="1"/>
  <c r="IQ21" i="132"/>
  <c r="AX88" i="1" s="1"/>
  <c r="JM14" i="132"/>
  <c r="JN8" i="132"/>
  <c r="IA21" i="132"/>
  <c r="AH88" i="1" s="1"/>
  <c r="AH96" i="1" s="1"/>
  <c r="IN21" i="132"/>
  <c r="AU88" i="1" s="1"/>
  <c r="HV14" i="132"/>
  <c r="HW8" i="132"/>
  <c r="IF21" i="132"/>
  <c r="AM88" i="1" s="1"/>
  <c r="IF7" i="132"/>
  <c r="HV15" i="132"/>
  <c r="IT8" i="132"/>
  <c r="JE21" i="132"/>
  <c r="BL88" i="1" s="1"/>
  <c r="IU7" i="132"/>
  <c r="HZ15" i="132"/>
  <c r="JC8" i="132"/>
  <c r="IH15" i="132"/>
  <c r="HP8" i="132"/>
  <c r="JM7" i="132"/>
  <c r="JJ21" i="132"/>
  <c r="BQ88" i="1" s="1"/>
  <c r="JD8" i="132"/>
  <c r="IJ8" i="132"/>
  <c r="Z39" i="1"/>
  <c r="BW36" i="1"/>
  <c r="BW41" i="1" s="1"/>
  <c r="HR8" i="132"/>
  <c r="IU21" i="132"/>
  <c r="BB88" i="1" s="1"/>
  <c r="HX14" i="132"/>
  <c r="IE7" i="132"/>
  <c r="IC21" i="132"/>
  <c r="AJ88" i="1" s="1"/>
  <c r="I39" i="1"/>
  <c r="IZ21" i="132"/>
  <c r="BG88" i="1" s="1"/>
  <c r="IF8" i="132"/>
  <c r="IQ7" i="132"/>
  <c r="B39" i="1"/>
  <c r="IR8" i="132"/>
  <c r="IZ15" i="132"/>
  <c r="JL8" i="132"/>
  <c r="JG21" i="132"/>
  <c r="BN88" i="1" s="1"/>
  <c r="IF15" i="132"/>
  <c r="HP14" i="132"/>
  <c r="HU14" i="132"/>
  <c r="IU8" i="132"/>
  <c r="HX15" i="132"/>
  <c r="IN8" i="132"/>
  <c r="IK14" i="132"/>
  <c r="HY21" i="132"/>
  <c r="HT7" i="132"/>
  <c r="BW31" i="1"/>
  <c r="BW33" i="1" s="1"/>
  <c r="C39" i="1"/>
  <c r="IV8" i="132"/>
  <c r="JK15" i="132"/>
  <c r="JC14" i="132"/>
  <c r="JI8" i="132"/>
  <c r="IO7" i="132"/>
  <c r="JE15" i="132"/>
  <c r="IP7" i="132"/>
  <c r="HT15" i="132"/>
  <c r="IE21" i="132"/>
  <c r="AL88" i="1" s="1"/>
  <c r="JF8" i="132"/>
  <c r="IG8" i="132"/>
  <c r="IX8" i="132"/>
  <c r="R39" i="1"/>
  <c r="ID15" i="132"/>
  <c r="IH8" i="132"/>
  <c r="IM14" i="132"/>
  <c r="II15" i="132"/>
  <c r="G39" i="1"/>
  <c r="IX15" i="132"/>
  <c r="IX20" i="132" s="1"/>
  <c r="BE90" i="1" s="1"/>
  <c r="IQ14" i="132"/>
  <c r="IQ19" i="132" s="1"/>
  <c r="AX89" i="1" s="1"/>
  <c r="T39" i="1"/>
  <c r="HW14" i="132"/>
  <c r="JH14" i="132"/>
  <c r="IY15" i="132"/>
  <c r="IM15" i="132"/>
  <c r="JN7" i="132"/>
  <c r="IU15" i="132"/>
  <c r="JA15" i="132"/>
  <c r="JH15" i="132"/>
  <c r="IR15" i="132"/>
  <c r="W39" i="1"/>
  <c r="IW8" i="132"/>
  <c r="HX8" i="132"/>
  <c r="HP15" i="132"/>
  <c r="JB21" i="132"/>
  <c r="BI88" i="1" s="1"/>
  <c r="IY21" i="132"/>
  <c r="BF88" i="1" s="1"/>
  <c r="HR14" i="132"/>
  <c r="IH21" i="132"/>
  <c r="AO88" i="1" s="1"/>
  <c r="HY14" i="132"/>
  <c r="JA14" i="132"/>
  <c r="II21" i="132"/>
  <c r="AP88" i="1" s="1"/>
  <c r="HQ21" i="132"/>
  <c r="IZ14" i="132"/>
  <c r="HX7" i="132"/>
  <c r="F39" i="1"/>
  <c r="K39" i="1"/>
  <c r="HZ7" i="132"/>
  <c r="IG14" i="132"/>
  <c r="HR21" i="132"/>
  <c r="JM8" i="132"/>
  <c r="HY15" i="132"/>
  <c r="JK14" i="132"/>
  <c r="JD21" i="132"/>
  <c r="BK88" i="1" s="1"/>
  <c r="JN21" i="132"/>
  <c r="BU88" i="1" s="1"/>
  <c r="IP14" i="132"/>
  <c r="JD7" i="132"/>
  <c r="JC7" i="132"/>
  <c r="JO21" i="132"/>
  <c r="BV88" i="1" s="1"/>
  <c r="HS14" i="132"/>
  <c r="JN15" i="132"/>
  <c r="IL14" i="132"/>
  <c r="HQ15" i="132"/>
  <c r="HU8" i="132"/>
  <c r="JH7" i="132"/>
  <c r="IM7" i="132"/>
  <c r="IB14" i="132"/>
  <c r="IB21" i="132"/>
  <c r="AI88" i="1" s="1"/>
  <c r="JA21" i="132"/>
  <c r="BH88" i="1" s="1"/>
  <c r="IO15" i="132"/>
  <c r="IC7" i="132"/>
  <c r="HZ14" i="132"/>
  <c r="IW7" i="132"/>
  <c r="IA7" i="132"/>
  <c r="IX7" i="132"/>
  <c r="JF15" i="132"/>
  <c r="IB15" i="132"/>
  <c r="JF7" i="132"/>
  <c r="JL15" i="132"/>
  <c r="HZ8" i="132"/>
  <c r="Y39" i="1"/>
  <c r="JG14" i="132"/>
  <c r="JJ7" i="132"/>
  <c r="JO8" i="132"/>
  <c r="JE7" i="132"/>
  <c r="JC21" i="132"/>
  <c r="BJ88" i="1" s="1"/>
  <c r="IT14" i="132"/>
  <c r="IN7" i="132"/>
  <c r="IJ15" i="132"/>
  <c r="JG15" i="132"/>
  <c r="JL7" i="132"/>
  <c r="JN14" i="132"/>
  <c r="IN14" i="132"/>
  <c r="IC8" i="132"/>
  <c r="IZ7" i="132"/>
  <c r="IX21" i="132"/>
  <c r="BE88" i="1" s="1"/>
  <c r="JJ8" i="132"/>
  <c r="IQ8" i="132"/>
  <c r="HS21" i="132"/>
  <c r="IR14" i="132"/>
  <c r="JI15" i="132"/>
  <c r="IL8" i="132"/>
  <c r="JI21" i="132"/>
  <c r="BP88" i="1" s="1"/>
  <c r="JK8" i="132"/>
  <c r="HT8" i="132"/>
  <c r="JB7" i="132"/>
  <c r="IR7" i="132"/>
  <c r="JO15" i="132"/>
  <c r="IS8" i="132"/>
  <c r="HQ7" i="132"/>
  <c r="S39" i="1"/>
  <c r="IW14" i="132"/>
  <c r="IY14" i="132"/>
  <c r="HV7" i="132"/>
  <c r="JO7" i="132"/>
  <c r="IY7" i="132"/>
  <c r="Q39" i="1"/>
  <c r="JE8" i="132"/>
  <c r="JA7" i="132"/>
  <c r="JI7" i="132"/>
  <c r="IL15" i="132"/>
  <c r="HW15" i="132"/>
  <c r="IB8" i="132"/>
  <c r="IO8" i="132"/>
  <c r="IK21" i="132"/>
  <c r="AR88" i="1" s="1"/>
  <c r="II14" i="132"/>
  <c r="HU7" i="132"/>
  <c r="JB14" i="132"/>
  <c r="IF14" i="132"/>
  <c r="HS7" i="132"/>
  <c r="JM21" i="132"/>
  <c r="BT88" i="1" s="1"/>
  <c r="JK21" i="132"/>
  <c r="BR88" i="1" s="1"/>
  <c r="IL21" i="132"/>
  <c r="AS88" i="1" s="1"/>
  <c r="IK7" i="132"/>
  <c r="HQ14" i="132"/>
  <c r="JI14" i="132"/>
  <c r="IP8" i="132"/>
  <c r="IO21" i="132"/>
  <c r="AV88" i="1" s="1"/>
  <c r="IW15" i="132"/>
  <c r="ID21" i="132"/>
  <c r="AK88" i="1" s="1"/>
  <c r="HS8" i="132"/>
  <c r="ID8" i="132"/>
  <c r="JB8" i="132"/>
  <c r="IP15" i="132"/>
  <c r="JE14" i="132"/>
  <c r="JL14" i="132"/>
  <c r="JF14" i="132"/>
  <c r="IA14" i="132"/>
  <c r="O39" i="1"/>
  <c r="IC15" i="132"/>
  <c r="IS7" i="132"/>
  <c r="IJ14" i="132"/>
  <c r="JB15" i="132"/>
  <c r="IY8" i="132"/>
  <c r="HP7" i="132"/>
  <c r="M39" i="1"/>
  <c r="HP21" i="132"/>
  <c r="HW7" i="132"/>
  <c r="IO14" i="132"/>
  <c r="J39" i="1"/>
  <c r="IV14" i="132"/>
  <c r="HQ8" i="132"/>
  <c r="IH7" i="132"/>
  <c r="IG15" i="132"/>
  <c r="IC14" i="132"/>
  <c r="IE14" i="132"/>
  <c r="ID7" i="132"/>
  <c r="IM8" i="132"/>
  <c r="U39" i="1"/>
  <c r="IA8" i="132"/>
  <c r="JA8" i="132"/>
  <c r="II7" i="132"/>
  <c r="JM15" i="132"/>
  <c r="BW109" i="1" s="1"/>
  <c r="BW108" i="1" s="1"/>
  <c r="BW106" i="1" s="1"/>
  <c r="BW114" i="1" s="1"/>
  <c r="BW113" i="1" s="1"/>
  <c r="BW102" i="1" s="1"/>
  <c r="BW118" i="1" s="1"/>
  <c r="BW116" i="1" s="1"/>
  <c r="IU14" i="132"/>
  <c r="JH8" i="132"/>
  <c r="HW21" i="132"/>
  <c r="IB7" i="132"/>
  <c r="IM21" i="132"/>
  <c r="AT88" i="1" s="1"/>
  <c r="IX14" i="132"/>
  <c r="IH14" i="132"/>
  <c r="IK8" i="132"/>
  <c r="IN15" i="132"/>
  <c r="HY7" i="132"/>
  <c r="HU15" i="132"/>
  <c r="IV7" i="132"/>
  <c r="JO14" i="132"/>
  <c r="IZ8" i="132"/>
  <c r="BV57" i="1"/>
  <c r="BU57" i="1" s="1"/>
  <c r="BT57" i="1" s="1"/>
  <c r="BS57" i="1" s="1"/>
  <c r="BR57" i="1" s="1"/>
  <c r="BQ57" i="1" s="1"/>
  <c r="BP57" i="1" s="1"/>
  <c r="BO57" i="1" s="1"/>
  <c r="BN57" i="1" s="1"/>
  <c r="BM57" i="1" s="1"/>
  <c r="BL57" i="1" s="1"/>
  <c r="BK57" i="1" s="1"/>
  <c r="BJ57" i="1" s="1"/>
  <c r="BI57" i="1" s="1"/>
  <c r="BH57" i="1" s="1"/>
  <c r="BG57" i="1" s="1"/>
  <c r="BF57" i="1" s="1"/>
  <c r="BE57" i="1" s="1"/>
  <c r="BD57" i="1" s="1"/>
  <c r="BC57" i="1" s="1"/>
  <c r="BB57" i="1" s="1"/>
  <c r="BA57" i="1" s="1"/>
  <c r="AZ57" i="1" s="1"/>
  <c r="AY57" i="1" s="1"/>
  <c r="AX57" i="1" s="1"/>
  <c r="AW57" i="1" s="1"/>
  <c r="AV57" i="1" s="1"/>
  <c r="AU57" i="1" s="1"/>
  <c r="AT57" i="1" s="1"/>
  <c r="BW59" i="1"/>
  <c r="BW73" i="1" s="1"/>
  <c r="IV21" i="132"/>
  <c r="BC88" i="1" s="1"/>
  <c r="HT14" i="132"/>
  <c r="IJ7" i="132"/>
  <c r="IG21" i="132"/>
  <c r="AN88" i="1" s="1"/>
  <c r="JD15" i="132"/>
  <c r="HS15" i="132"/>
  <c r="X39" i="1"/>
  <c r="HR15" i="132"/>
  <c r="IG7" i="132"/>
  <c r="IK15" i="132"/>
  <c r="HY8" i="132"/>
  <c r="HV8" i="132"/>
  <c r="IJ21" i="132"/>
  <c r="AQ88" i="1" s="1"/>
  <c r="JK7" i="132"/>
  <c r="IE8" i="132"/>
  <c r="JH21" i="132"/>
  <c r="BO88" i="1" s="1"/>
  <c r="IV15" i="132"/>
  <c r="ID14" i="132"/>
  <c r="IR21" i="132"/>
  <c r="AY88" i="1" s="1"/>
  <c r="JG7" i="132"/>
  <c r="L39" i="1"/>
  <c r="HR7" i="132"/>
  <c r="IA15" i="132"/>
  <c r="V39" i="1"/>
  <c r="IE15" i="132"/>
  <c r="JJ14" i="132"/>
  <c r="JJ15" i="132"/>
  <c r="IT7" i="132"/>
  <c r="H39" i="1"/>
  <c r="IQ15" i="132"/>
  <c r="D39" i="1"/>
  <c r="IS14" i="132"/>
  <c r="II8" i="132"/>
  <c r="JG8" i="132"/>
  <c r="HZ21" i="132"/>
  <c r="IS15" i="132"/>
  <c r="JC15" i="132"/>
  <c r="JF21" i="132"/>
  <c r="BM88" i="1" s="1"/>
  <c r="IL7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49" i="1"/>
  <c r="CB49" i="1" s="1"/>
  <c r="CC49" i="1" s="1"/>
  <c r="CD49" i="1" s="1"/>
  <c r="HP20" i="132" l="1"/>
  <c r="BW89" i="1"/>
  <c r="BY131" i="1"/>
  <c r="BY9" i="1"/>
  <c r="BY60" i="1"/>
  <c r="BY55" i="1"/>
  <c r="BY111" i="1"/>
  <c r="BY124" i="1" s="1"/>
  <c r="BY127" i="1"/>
  <c r="IH20" i="132"/>
  <c r="AO90" i="1" s="1"/>
  <c r="IH19" i="132"/>
  <c r="AO89" i="1" s="1"/>
  <c r="BW76" i="1"/>
  <c r="BW25" i="1"/>
  <c r="HX20" i="132"/>
  <c r="IF20" i="132"/>
  <c r="AM90" i="1" s="1"/>
  <c r="JM19" i="132"/>
  <c r="BT89" i="1" s="1"/>
  <c r="IR20" i="132"/>
  <c r="AY90" i="1" s="1"/>
  <c r="IU20" i="132"/>
  <c r="BB90" i="1" s="1"/>
  <c r="JN20" i="132"/>
  <c r="BU90" i="1" s="1"/>
  <c r="IT20" i="132"/>
  <c r="BA90" i="1" s="1"/>
  <c r="IM19" i="132"/>
  <c r="AT89" i="1" s="1"/>
  <c r="HZ19" i="132"/>
  <c r="JF20" i="132"/>
  <c r="BM90" i="1" s="1"/>
  <c r="HW20" i="132"/>
  <c r="JD19" i="132"/>
  <c r="BK89" i="1" s="1"/>
  <c r="IP19" i="132"/>
  <c r="AW89" i="1" s="1"/>
  <c r="HZ20" i="132"/>
  <c r="IU19" i="132"/>
  <c r="BB89" i="1" s="1"/>
  <c r="IN20" i="132"/>
  <c r="AU90" i="1" s="1"/>
  <c r="IZ20" i="132"/>
  <c r="BG90" i="1" s="1"/>
  <c r="JD20" i="132"/>
  <c r="BK90" i="1" s="1"/>
  <c r="HR20" i="132"/>
  <c r="HV20" i="132"/>
  <c r="IV20" i="132"/>
  <c r="BC90" i="1" s="1"/>
  <c r="HR19" i="132"/>
  <c r="JJ19" i="132"/>
  <c r="BQ89" i="1" s="1"/>
  <c r="JJ20" i="132"/>
  <c r="BQ90" i="1" s="1"/>
  <c r="JC20" i="132"/>
  <c r="BJ90" i="1" s="1"/>
  <c r="HV19" i="132"/>
  <c r="IF19" i="132"/>
  <c r="AM89" i="1" s="1"/>
  <c r="IW20" i="132"/>
  <c r="BD90" i="1" s="1"/>
  <c r="IJ20" i="132"/>
  <c r="AQ90" i="1" s="1"/>
  <c r="IN19" i="132"/>
  <c r="AU89" i="1" s="1"/>
  <c r="JI20" i="132"/>
  <c r="BP90" i="1" s="1"/>
  <c r="JK20" i="132"/>
  <c r="BR90" i="1" s="1"/>
  <c r="HT20" i="132"/>
  <c r="JO20" i="132"/>
  <c r="BV90" i="1" s="1"/>
  <c r="JA19" i="132"/>
  <c r="BH89" i="1" s="1"/>
  <c r="JF19" i="132"/>
  <c r="BM89" i="1" s="1"/>
  <c r="IC20" i="132"/>
  <c r="AJ90" i="1" s="1"/>
  <c r="IY20" i="132"/>
  <c r="BF90" i="1" s="1"/>
  <c r="HP19" i="132"/>
  <c r="IE19" i="132"/>
  <c r="AL89" i="1" s="1"/>
  <c r="JH20" i="132"/>
  <c r="BO90" i="1" s="1"/>
  <c r="IB19" i="132"/>
  <c r="AI89" i="1" s="1"/>
  <c r="IX19" i="132"/>
  <c r="BE89" i="1" s="1"/>
  <c r="HY19" i="132"/>
  <c r="JH19" i="132"/>
  <c r="BO89" i="1" s="1"/>
  <c r="IL20" i="132"/>
  <c r="AS90" i="1" s="1"/>
  <c r="JC19" i="132"/>
  <c r="BJ89" i="1" s="1"/>
  <c r="HX19" i="132"/>
  <c r="JE20" i="132"/>
  <c r="BL90" i="1" s="1"/>
  <c r="IG19" i="132"/>
  <c r="AN89" i="1" s="1"/>
  <c r="JL20" i="132"/>
  <c r="BS90" i="1" s="1"/>
  <c r="JN19" i="132"/>
  <c r="BU89" i="1" s="1"/>
  <c r="IZ19" i="132"/>
  <c r="BG89" i="1" s="1"/>
  <c r="IW19" i="132"/>
  <c r="BD89" i="1" s="1"/>
  <c r="IO20" i="132"/>
  <c r="AV90" i="1" s="1"/>
  <c r="HU19" i="132"/>
  <c r="JB19" i="132"/>
  <c r="BI89" i="1" s="1"/>
  <c r="HS19" i="132"/>
  <c r="IK19" i="132"/>
  <c r="AR89" i="1" s="1"/>
  <c r="ID20" i="132"/>
  <c r="AK90" i="1" s="1"/>
  <c r="BW42" i="1"/>
  <c r="BW45" i="1" s="1"/>
  <c r="BW47" i="1" s="1"/>
  <c r="BW51" i="1" s="1"/>
  <c r="BW60" i="1" s="1"/>
  <c r="IA19" i="132"/>
  <c r="AH89" i="1" s="1"/>
  <c r="AH97" i="1" s="1"/>
  <c r="HW19" i="132"/>
  <c r="IO19" i="132"/>
  <c r="AV89" i="1" s="1"/>
  <c r="HQ20" i="132"/>
  <c r="IG20" i="132"/>
  <c r="AN90" i="1" s="1"/>
  <c r="IC19" i="132"/>
  <c r="AJ89" i="1" s="1"/>
  <c r="IM20" i="132"/>
  <c r="AT90" i="1" s="1"/>
  <c r="JA20" i="132"/>
  <c r="BH90" i="1" s="1"/>
  <c r="JM20" i="132"/>
  <c r="BT90" i="1" s="1"/>
  <c r="HT19" i="132"/>
  <c r="HY20" i="132"/>
  <c r="JK19" i="132"/>
  <c r="BR89" i="1" s="1"/>
  <c r="IT19" i="132"/>
  <c r="BA89" i="1" s="1"/>
  <c r="IQ20" i="132"/>
  <c r="AX90" i="1" s="1"/>
  <c r="IS19" i="132"/>
  <c r="AZ89" i="1" s="1"/>
  <c r="II20" i="132"/>
  <c r="AP90" i="1" s="1"/>
  <c r="JG20" i="132"/>
  <c r="BN90" i="1" s="1"/>
  <c r="IL19" i="132"/>
  <c r="AS89" i="1" s="1"/>
  <c r="HU20" i="132"/>
  <c r="IV19" i="132"/>
  <c r="BC89" i="1" s="1"/>
  <c r="JL19" i="132"/>
  <c r="BS89" i="1" s="1"/>
  <c r="IK20" i="132"/>
  <c r="AR90" i="1" s="1"/>
  <c r="ID19" i="132"/>
  <c r="AK89" i="1" s="1"/>
  <c r="IA20" i="132"/>
  <c r="AH90" i="1" s="1"/>
  <c r="AH98" i="1" s="1"/>
  <c r="IR19" i="132"/>
  <c r="AY89" i="1" s="1"/>
  <c r="IY19" i="132"/>
  <c r="BF89" i="1" s="1"/>
  <c r="JO19" i="132"/>
  <c r="BV89" i="1" s="1"/>
  <c r="IP20" i="132"/>
  <c r="AW90" i="1" s="1"/>
  <c r="BW103" i="1"/>
  <c r="BW104" i="1" s="1"/>
  <c r="IS20" i="132"/>
  <c r="AZ90" i="1" s="1"/>
  <c r="JB20" i="132"/>
  <c r="BI90" i="1" s="1"/>
  <c r="IE20" i="132"/>
  <c r="AL90" i="1" s="1"/>
  <c r="BW80" i="1"/>
  <c r="BX81" i="1" s="1"/>
  <c r="BX79" i="1" s="1"/>
  <c r="JI19" i="132"/>
  <c r="BP89" i="1" s="1"/>
  <c r="HS20" i="132"/>
  <c r="IB20" i="132"/>
  <c r="AI90" i="1" s="1"/>
  <c r="HQ19" i="132"/>
  <c r="JG19" i="132"/>
  <c r="BN89" i="1" s="1"/>
  <c r="IJ19" i="132"/>
  <c r="AQ89" i="1" s="1"/>
  <c r="BW117" i="1"/>
  <c r="BW120" i="1" s="1"/>
  <c r="BW123" i="1" s="1"/>
  <c r="JE19" i="132"/>
  <c r="BL89" i="1" s="1"/>
  <c r="II19" i="132"/>
  <c r="AP89" i="1" s="1"/>
  <c r="BW75" i="1"/>
  <c r="BW110" i="1"/>
  <c r="BW131" i="1" s="1"/>
  <c r="CE49" i="1"/>
  <c r="CF49" i="1" s="1"/>
  <c r="CG49" i="1" s="1"/>
  <c r="CH49" i="1" s="1"/>
  <c r="AB49" i="1"/>
  <c r="BW64" i="1" l="1"/>
  <c r="BW65" i="1" s="1"/>
  <c r="BW97" i="1" s="1"/>
  <c r="BX4" i="1"/>
  <c r="BW55" i="1"/>
  <c r="BW127" i="1"/>
  <c r="BW9" i="1"/>
  <c r="BW111" i="1"/>
  <c r="AC49" i="1"/>
  <c r="CI49" i="1"/>
  <c r="CJ49" i="1" s="1"/>
  <c r="CK49" i="1" s="1"/>
  <c r="CL49" i="1" s="1"/>
  <c r="BW98" i="1" l="1"/>
  <c r="BW96" i="1"/>
  <c r="BW124" i="1"/>
  <c r="CM49" i="1"/>
  <c r="CN49" i="1" s="1"/>
  <c r="CO49" i="1" s="1"/>
  <c r="AD49" i="1"/>
  <c r="BZ48" i="1"/>
  <c r="AE49" i="1" l="1"/>
  <c r="CA48" i="1"/>
  <c r="CB48" i="1" s="1"/>
  <c r="CC48" i="1" s="1"/>
  <c r="CD48" i="1" s="1"/>
  <c r="CE48" i="1" l="1"/>
  <c r="CF48" i="1" s="1"/>
  <c r="CG48" i="1" s="1"/>
  <c r="CH48" i="1" s="1"/>
  <c r="AB48" i="1"/>
  <c r="AC48" i="1" l="1"/>
  <c r="CI48" i="1"/>
  <c r="CJ48" i="1" s="1"/>
  <c r="CK48" i="1" s="1"/>
  <c r="CL48" i="1" s="1"/>
  <c r="AY59" i="1" l="1"/>
  <c r="BF59" i="1"/>
  <c r="BJ59" i="1"/>
  <c r="BE59" i="1"/>
  <c r="BS59" i="1"/>
  <c r="AW59" i="1"/>
  <c r="BB59" i="1"/>
  <c r="BG59" i="1"/>
  <c r="AZ59" i="1"/>
  <c r="BV59" i="1"/>
  <c r="AD48" i="1"/>
  <c r="CM48" i="1"/>
  <c r="CN48" i="1" s="1"/>
  <c r="CO48" i="1" s="1"/>
  <c r="CA88" i="1"/>
  <c r="BI59" i="1" l="1"/>
  <c r="BH59" i="1"/>
  <c r="BD59" i="1"/>
  <c r="BA59" i="1"/>
  <c r="AV59" i="1"/>
  <c r="AE48" i="1"/>
  <c r="CB88" i="1"/>
  <c r="BX106" i="1"/>
  <c r="BL59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C10" i="130" a="1"/>
  <c r="AF26" i="130" a="1"/>
  <c r="C16" i="130" a="1"/>
  <c r="W47" i="130" a="1"/>
  <c r="AF25" i="130" a="1"/>
  <c r="J9" i="130" a="1"/>
  <c r="M22" i="130" a="1"/>
  <c r="AF13" i="130" a="1"/>
  <c r="AD41" i="130" a="1"/>
  <c r="N13" i="130" a="1"/>
  <c r="AE27" i="130" a="1"/>
  <c r="AQ42" i="130" a="1"/>
  <c r="AQ24" i="130" a="1"/>
  <c r="G33" i="130" a="1"/>
  <c r="AP11" i="130" a="1"/>
  <c r="H35" i="130" a="1"/>
  <c r="AE37" i="130" a="1"/>
  <c r="I47" i="130" a="1"/>
  <c r="AB7" i="130" a="1"/>
  <c r="S47" i="130" a="1"/>
  <c r="AI17" i="130" a="1"/>
  <c r="AL36" i="130" a="1"/>
  <c r="Z21" i="130" a="1"/>
  <c r="P26" i="130" a="1"/>
  <c r="AA43" i="130" a="1"/>
  <c r="Q42" i="130" a="1"/>
  <c r="AI39" i="130" a="1"/>
  <c r="AG16" i="130" a="1"/>
  <c r="AG37" i="130" a="1"/>
  <c r="AL11" i="130" a="1"/>
  <c r="I9" i="130" a="1"/>
  <c r="J10" i="130" a="1"/>
  <c r="AM38" i="130" a="1"/>
  <c r="AI23" i="130" a="1"/>
  <c r="H42" i="130" a="1"/>
  <c r="AC44" i="130" a="1"/>
  <c r="AJ39" i="130" a="1"/>
  <c r="W39" i="130" a="1"/>
  <c r="E22" i="130" a="1"/>
  <c r="Y7" i="130" a="1"/>
  <c r="AL8" i="130" a="1"/>
  <c r="W20" i="130" a="1"/>
  <c r="L16" i="130" a="1"/>
  <c r="AQ21" i="130" a="1"/>
  <c r="J23" i="130" a="1"/>
  <c r="O7" i="130" a="1"/>
  <c r="AJ27" i="130" a="1"/>
  <c r="N20" i="130" a="1"/>
  <c r="F34" i="130" a="1"/>
  <c r="M30" i="130" a="1"/>
  <c r="V38" i="130" a="1"/>
  <c r="I19" i="130" a="1"/>
  <c r="AF33" i="130" a="1"/>
  <c r="AI18" i="130" a="1"/>
  <c r="D33" i="130" a="1"/>
  <c r="D23" i="130" a="1"/>
  <c r="AP21" i="130" a="1"/>
  <c r="C30" i="130" a="1"/>
  <c r="H43" i="130" a="1"/>
  <c r="AQ27" i="130" a="1"/>
  <c r="V9" i="130" a="1"/>
  <c r="AG9" i="130" a="1"/>
  <c r="G14" i="130" a="1"/>
  <c r="M21" i="130" a="1"/>
  <c r="S17" i="130" a="1"/>
  <c r="AQ37" i="130" a="1"/>
  <c r="AG31" i="130" a="1"/>
  <c r="I37" i="130" a="1"/>
  <c r="AN31" i="130" a="1"/>
  <c r="AG27" i="130" a="1"/>
  <c r="E44" i="130" a="1"/>
  <c r="AO42" i="130" a="1"/>
  <c r="AM21" i="130" a="1"/>
  <c r="AF46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K36" i="130" a="1"/>
  <c r="AP46" i="130" a="1"/>
  <c r="M14" i="130" a="1"/>
  <c r="J16" i="130" a="1"/>
  <c r="S9" i="130" a="1"/>
  <c r="T33" i="130" a="1"/>
  <c r="T18" i="130" a="1"/>
  <c r="AD22" i="130" a="1"/>
  <c r="P41" i="130" a="1"/>
  <c r="Z24" i="130" a="1"/>
  <c r="J34" i="130" a="1"/>
  <c r="E10" i="130" a="1"/>
  <c r="R32" i="130" a="1"/>
  <c r="AI12" i="130" a="1"/>
  <c r="R9" i="130" a="1"/>
  <c r="AQ31" i="130" a="1"/>
  <c r="N22" i="130" a="1"/>
  <c r="AC21" i="130" a="1"/>
  <c r="J32" i="130" a="1"/>
  <c r="T44" i="130" a="1"/>
  <c r="U36" i="130" a="1"/>
  <c r="D34" i="130" a="1"/>
  <c r="AP22" i="130" a="1"/>
  <c r="AC12" i="130" a="1"/>
  <c r="AB30" i="130" a="1"/>
  <c r="L15" i="130" a="1"/>
  <c r="U12" i="130" a="1"/>
  <c r="K10" i="130" a="1"/>
  <c r="H28" i="130" a="1"/>
  <c r="Q5" i="130" a="1"/>
  <c r="AF34" i="130" a="1"/>
  <c r="AK22" i="130" a="1"/>
  <c r="Y6" i="130" a="1"/>
  <c r="H31" i="130" a="1"/>
  <c r="AL31" i="130" a="1"/>
  <c r="X26" i="130" a="1"/>
  <c r="AM25" i="130" a="1"/>
  <c r="AQ32" i="130" a="1"/>
  <c r="N39" i="130" a="1"/>
  <c r="O27" i="130" a="1"/>
  <c r="S41" i="130" a="1"/>
  <c r="R29" i="130" a="1"/>
  <c r="AH38" i="130" a="1"/>
  <c r="O32" i="130" a="1"/>
  <c r="C39" i="130" a="1"/>
  <c r="AA16" i="130" a="1"/>
  <c r="F43" i="130" a="1"/>
  <c r="AN12" i="130" a="1"/>
  <c r="AB36" i="130" a="1"/>
  <c r="AK30" i="130" a="1"/>
  <c r="R25" i="130" a="1"/>
  <c r="K47" i="130" a="1"/>
  <c r="AM40" i="130" a="1"/>
  <c r="R40" i="130" a="1"/>
  <c r="R42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AG7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C31" i="130" a="1"/>
  <c r="AL10" i="130" a="1"/>
  <c r="AN17" i="130" a="1"/>
  <c r="T9" i="130" a="1"/>
  <c r="Z22" i="130" a="1"/>
  <c r="AC8" i="130" a="1"/>
  <c r="AD29" i="130" a="1"/>
  <c r="AM43" i="130" a="1"/>
  <c r="E27" i="130" a="1"/>
  <c r="Z47" i="130" a="1"/>
  <c r="N31" i="130" a="1"/>
  <c r="AJ47" i="130" a="1"/>
  <c r="AA22" i="130" a="1"/>
  <c r="S25" i="130" a="1"/>
  <c r="E24" i="130" a="1"/>
  <c r="Y38" i="130" a="1"/>
  <c r="I14" i="130" a="1"/>
  <c r="M5" i="130" a="1"/>
  <c r="L18" i="130" a="1"/>
  <c r="AI29" i="130" a="1"/>
  <c r="H34" i="130" a="1"/>
  <c r="J5" i="130" a="1"/>
  <c r="AE15" i="130" a="1"/>
  <c r="F23" i="130" a="1"/>
  <c r="L30" i="130" a="1"/>
  <c r="AK14" i="130" a="1"/>
  <c r="Z45" i="130" a="1"/>
  <c r="E31" i="130" a="1"/>
  <c r="E37" i="130" a="1"/>
  <c r="M19" i="130" a="1"/>
  <c r="AC40" i="130" a="1"/>
  <c r="AD36" i="130" a="1"/>
  <c r="AF16" i="130" a="1"/>
  <c r="AH16" i="130" a="1"/>
  <c r="L41" i="130" a="1"/>
  <c r="AP15" i="130" a="1"/>
  <c r="AK10" i="130" a="1"/>
  <c r="M7" i="130" a="1"/>
  <c r="N37" i="130" a="1"/>
  <c r="AI36" i="130" a="1"/>
  <c r="J19" i="130" a="1"/>
  <c r="AB32" i="130" a="1"/>
  <c r="H8" i="130" a="1"/>
  <c r="AI22" i="130" a="1"/>
  <c r="M24" i="130" a="1"/>
  <c r="C13" i="130" a="1"/>
  <c r="AO20" i="130" a="1"/>
  <c r="S8" i="130" a="1"/>
  <c r="S16" i="130" a="1"/>
  <c r="AA41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E43" i="130" a="1"/>
  <c r="C14" i="130" a="1"/>
  <c r="Q21" i="130" a="1"/>
  <c r="Z23" i="130" a="1"/>
  <c r="AN43" i="130" a="1"/>
  <c r="AC19" i="130" a="1"/>
  <c r="Q22" i="130" a="1"/>
  <c r="U26" i="130" a="1"/>
  <c r="L10" i="130" a="1"/>
  <c r="AD46" i="130" a="1"/>
  <c r="C7" i="130" a="1"/>
  <c r="W42" i="130" a="1"/>
  <c r="D16" i="130" a="1"/>
  <c r="Z13" i="130" a="1"/>
  <c r="AN45" i="130" a="1"/>
  <c r="N5" i="130" a="1"/>
  <c r="Z34" i="130" a="1"/>
  <c r="Z44" i="130" a="1"/>
  <c r="L20" i="130" a="1"/>
  <c r="AQ9" i="130" a="1"/>
  <c r="AJ12" i="130" a="1"/>
  <c r="AI5" i="130" a="1"/>
  <c r="Y8" i="130" a="1"/>
  <c r="AF40" i="130" a="1"/>
  <c r="AI47" i="130" a="1"/>
  <c r="T32" i="130" a="1"/>
  <c r="X14" i="130" a="1"/>
  <c r="R19" i="130" a="1"/>
  <c r="O23" i="130" a="1"/>
  <c r="K17" i="130" a="1"/>
  <c r="O30" i="130" a="1"/>
  <c r="AA23" i="130" a="1"/>
  <c r="AJ8" i="130" a="1"/>
  <c r="AO27" i="130" a="1"/>
  <c r="V16" i="130" a="1"/>
  <c r="L6" i="130" a="1"/>
  <c r="AD34" i="130" a="1"/>
  <c r="AH17" i="130" a="1"/>
  <c r="AA11" i="130" a="1"/>
  <c r="AB41" i="130" a="1"/>
  <c r="J22" i="130" a="1"/>
  <c r="K39" i="130" a="1"/>
  <c r="AF14" i="130" a="1"/>
  <c r="AE33" i="130" a="1"/>
  <c r="AK40" i="130" a="1"/>
  <c r="Y33" i="130" a="1"/>
  <c r="J30" i="130" a="1"/>
  <c r="N36" i="130" a="1"/>
  <c r="T7" i="130" a="1"/>
  <c r="L36" i="130" a="1"/>
  <c r="AA37" i="130" a="1"/>
  <c r="AL27" i="130" a="1"/>
  <c r="H29" i="130" a="1"/>
  <c r="AP8" i="130" a="1"/>
  <c r="N42" i="130" a="1"/>
  <c r="K23" i="130" a="1"/>
  <c r="J7" i="130" a="1"/>
  <c r="AC5" i="130" a="1"/>
  <c r="AC35" i="130" a="1"/>
  <c r="AO22" i="130" a="1"/>
  <c r="V36" i="130" a="1"/>
  <c r="N12" i="130" a="1"/>
  <c r="AH41" i="130" a="1"/>
  <c r="AH44" i="130" a="1"/>
  <c r="O18" i="130" a="1"/>
  <c r="AH9" i="130" a="1"/>
  <c r="E40" i="130" a="1"/>
  <c r="Z5" i="130" a="1"/>
  <c r="AE43" i="130" a="1"/>
  <c r="AJ28" i="130" a="1"/>
  <c r="T23" i="130" a="1"/>
  <c r="C40" i="130" a="1"/>
  <c r="AH18" i="130" a="1"/>
  <c r="AL21" i="130" a="1"/>
  <c r="AH10" i="130" a="1"/>
  <c r="G6" i="130" a="1"/>
  <c r="V42" i="130" a="1"/>
  <c r="J28" i="130" a="1"/>
  <c r="F5" i="130" a="1"/>
  <c r="X10" i="130" a="1"/>
  <c r="AQ40" i="130" a="1"/>
  <c r="Q26" i="130" a="1"/>
  <c r="AF20" i="130" a="1"/>
  <c r="H18" i="130" a="1"/>
  <c r="K32" i="130" a="1"/>
  <c r="S20" i="130" a="1"/>
  <c r="AE24" i="130" a="1"/>
  <c r="AC9" i="130" a="1"/>
  <c r="T41" i="130" a="1"/>
  <c r="C42" i="130" a="1"/>
  <c r="AD45" i="130" a="1"/>
  <c r="AM19" i="130" a="1"/>
  <c r="AL7" i="130" a="1"/>
  <c r="W9" i="130" a="1"/>
  <c r="W28" i="130" a="1"/>
  <c r="Y14" i="130" a="1"/>
  <c r="V7" i="130" a="1"/>
  <c r="P12" i="130" a="1"/>
  <c r="AE11" i="130" a="1"/>
  <c r="AQ33" i="130" a="1"/>
  <c r="AG5" i="130" a="1"/>
  <c r="AK37" i="130" a="1"/>
  <c r="AP28" i="130" a="1"/>
  <c r="O12" i="130" a="1"/>
  <c r="AP44" i="130" a="1"/>
  <c r="AG44" i="130" a="1"/>
  <c r="X7" i="130" a="1"/>
  <c r="D36" i="130" a="1"/>
  <c r="Z14" i="130" a="1"/>
  <c r="I15" i="130" a="1"/>
  <c r="AG22" i="130" a="1"/>
  <c r="H44" i="130" a="1"/>
  <c r="H24" i="130" a="1"/>
  <c r="Y11" i="130" a="1"/>
  <c r="AC14" i="130" a="1"/>
  <c r="E34" i="130" a="1"/>
  <c r="X13" i="130" a="1"/>
  <c r="D44" i="130" a="1"/>
  <c r="N38" i="130" a="1"/>
  <c r="AF19" i="130" a="1"/>
  <c r="AQ18" i="130" a="1"/>
  <c r="N18" i="130" a="1"/>
  <c r="F31" i="130" a="1"/>
  <c r="AB43" i="130" a="1"/>
  <c r="D18" i="130" a="1"/>
  <c r="W13" i="130" a="1"/>
  <c r="L25" i="130" a="1"/>
  <c r="F11" i="130" a="1"/>
  <c r="R44" i="130" a="1"/>
  <c r="AA25" i="130" a="1"/>
  <c r="N23" i="130" a="1"/>
  <c r="M27" i="130" a="1"/>
  <c r="O14" i="130" a="1"/>
  <c r="U17" i="130" a="1"/>
  <c r="J25" i="130" a="1"/>
  <c r="E39" i="130" a="1"/>
  <c r="AQ8" i="130" a="1"/>
  <c r="J31" i="130" a="1"/>
  <c r="AK34" i="130" a="1"/>
  <c r="J45" i="130" a="1"/>
  <c r="AI31" i="130" a="1"/>
  <c r="R17" i="130" a="1"/>
  <c r="W32" i="130" a="1"/>
  <c r="AO46" i="130" a="1"/>
  <c r="K45" i="130" a="1"/>
  <c r="AO10" i="130" a="1"/>
  <c r="AO41" i="130" a="1"/>
  <c r="AC47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W25" i="130" a="1"/>
  <c r="H22" i="130" a="1"/>
  <c r="G17" i="130" a="1"/>
  <c r="L13" i="130" a="1"/>
  <c r="AI30" i="130" a="1"/>
  <c r="P42" i="130" a="1"/>
  <c r="U22" i="130" a="1"/>
  <c r="AI27" i="130" a="1"/>
  <c r="AJ24" i="130" a="1"/>
  <c r="AJ45" i="130" a="1"/>
  <c r="AD40" i="130" a="1"/>
  <c r="AA39" i="130" a="1"/>
  <c r="E25" i="130" a="1"/>
  <c r="X39" i="130" a="1"/>
  <c r="O15" i="130" a="1"/>
  <c r="AH33" i="130" a="1"/>
  <c r="P29" i="130" a="1"/>
  <c r="H33" i="130" a="1"/>
  <c r="W43" i="130" a="1"/>
  <c r="AO8" i="130" a="1"/>
  <c r="AI45" i="130" a="1"/>
  <c r="M33" i="130" a="1"/>
  <c r="AB9" i="130" a="1"/>
  <c r="AP9" i="130" a="1"/>
  <c r="P22" i="130" a="1"/>
  <c r="X11" i="130" a="1"/>
  <c r="R36" i="130" a="1"/>
  <c r="N6" i="130" a="1"/>
  <c r="AJ41" i="130" a="1"/>
  <c r="W6" i="130" a="1"/>
  <c r="AL28" i="130" a="1"/>
  <c r="AF31" i="130" a="1"/>
  <c r="K31" i="130" a="1"/>
  <c r="AA24" i="130" a="1"/>
  <c r="Z43" i="130" a="1"/>
  <c r="Q37" i="130" a="1"/>
  <c r="AP29" i="130" a="1"/>
  <c r="AF9" i="130" a="1"/>
  <c r="AG12" i="130" a="1"/>
  <c r="P32" i="130" a="1"/>
  <c r="O41" i="130" a="1"/>
  <c r="AJ22" i="130" a="1"/>
  <c r="AA10" i="130" a="1"/>
  <c r="AK36" i="130" a="1"/>
  <c r="O26" i="130" a="1"/>
  <c r="N33" i="130" a="1"/>
  <c r="W23" i="130" a="1"/>
  <c r="C37" i="130" a="1"/>
  <c r="AO40" i="130" a="1"/>
  <c r="L21" i="130" a="1"/>
  <c r="O46" i="130" a="1"/>
  <c r="V39" i="130" a="1"/>
  <c r="J37" i="130" a="1"/>
  <c r="Y26" i="130" a="1"/>
  <c r="E26" i="130" a="1"/>
  <c r="F45" i="130" a="1"/>
  <c r="AB39" i="130" a="1"/>
  <c r="W44" i="130" a="1"/>
  <c r="Q45" i="130" a="1"/>
  <c r="AC30" i="130" a="1"/>
  <c r="H16" i="130" a="1"/>
  <c r="T13" i="130" a="1"/>
  <c r="R16" i="130" a="1"/>
  <c r="U20" i="130" a="1"/>
  <c r="T11" i="130" a="1"/>
  <c r="AF42" i="130" a="1"/>
  <c r="AD17" i="130" a="1"/>
  <c r="T46" i="130" a="1"/>
  <c r="H10" i="130" a="1"/>
  <c r="AC32" i="130" a="1"/>
  <c r="I33" i="130" a="1"/>
  <c r="AE18" i="130" a="1"/>
  <c r="AL26" i="130" a="1"/>
  <c r="M17" i="130" a="1"/>
  <c r="Z35" i="130" a="1"/>
  <c r="J44" i="130" a="1"/>
  <c r="AB16" i="130" a="1"/>
  <c r="AH5" i="130" a="1"/>
  <c r="P16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K17" i="130" a="1"/>
  <c r="AC7" i="130" a="1"/>
  <c r="AC41" i="130" a="1"/>
  <c r="T42" i="130" a="1"/>
  <c r="T38" i="130" a="1"/>
  <c r="O22" i="130" a="1"/>
  <c r="AQ6" i="130" a="1"/>
  <c r="AO33" i="130" a="1"/>
  <c r="M34" i="130" a="1"/>
  <c r="AQ38" i="130" a="1"/>
  <c r="X43" i="130" a="1"/>
  <c r="H14" i="130" a="1"/>
  <c r="AN7" i="130" a="1"/>
  <c r="D20" i="130" a="1"/>
  <c r="H27" i="130" a="1"/>
  <c r="P27" i="130" a="1"/>
  <c r="L40" i="130" a="1"/>
  <c r="S12" i="130" a="1"/>
  <c r="AP7" i="130" a="1"/>
  <c r="AA9" i="130" a="1"/>
  <c r="K8" i="130" a="1"/>
  <c r="O37" i="130" a="1"/>
  <c r="I16" i="130" a="1"/>
  <c r="AE16" i="130" a="1"/>
  <c r="AQ34" i="130" a="1"/>
  <c r="J13" i="130" a="1"/>
  <c r="AL20" i="130" a="1"/>
  <c r="F12" i="130" a="1"/>
  <c r="T8" i="130" a="1"/>
  <c r="C46" i="130" a="1"/>
  <c r="O33" i="130" a="1"/>
  <c r="M42" i="130" a="1"/>
  <c r="AQ45" i="130" a="1"/>
  <c r="Q30" i="130" a="1"/>
  <c r="AM47" i="130" a="1"/>
  <c r="AB6" i="130" a="1"/>
  <c r="U21" i="130" a="1"/>
  <c r="AJ10" i="130" a="1"/>
  <c r="AB19" i="130" a="1"/>
  <c r="O13" i="130" a="1"/>
  <c r="U39" i="130" a="1"/>
  <c r="D11" i="130" a="1"/>
  <c r="L12" i="130" a="1"/>
  <c r="AH22" i="130" a="1"/>
  <c r="Z37" i="130" a="1"/>
  <c r="AH37" i="130" a="1"/>
  <c r="AC39" i="130" a="1"/>
  <c r="G35" i="130" a="1"/>
  <c r="AF43" i="130" a="1"/>
  <c r="AF29" i="130" a="1"/>
  <c r="AK42" i="130" a="1"/>
  <c r="AI32" i="130" a="1"/>
  <c r="AH11" i="130" a="1"/>
  <c r="D39" i="130" a="1"/>
  <c r="T19" i="130" a="1"/>
  <c r="AK29" i="130" a="1"/>
  <c r="Y41" i="130" a="1"/>
  <c r="X16" i="130" a="1"/>
  <c r="O25" i="130" a="1"/>
  <c r="M39" i="130" a="1"/>
  <c r="I40" i="130" a="1"/>
  <c r="AB37" i="130" a="1"/>
  <c r="H37" i="130" a="1"/>
  <c r="Q6" i="130" a="1"/>
  <c r="AO37" i="130" a="1"/>
  <c r="AA27" i="130" a="1"/>
  <c r="H38" i="130" a="1"/>
  <c r="G34" i="130" a="1"/>
  <c r="C47" i="130" a="1"/>
  <c r="E41" i="130" a="1"/>
  <c r="AO29" i="130" a="1"/>
  <c r="D42" i="130" a="1"/>
  <c r="G10" i="130" a="1"/>
  <c r="AO17" i="130" a="1"/>
  <c r="AI37" i="130" a="1"/>
  <c r="L42" i="130" a="1"/>
  <c r="L37" i="130" a="1"/>
  <c r="U44" i="130" a="1"/>
  <c r="X46" i="130" a="1"/>
  <c r="V28" i="130" a="1"/>
  <c r="R28" i="130" a="1"/>
  <c r="AH27" i="130" a="1"/>
  <c r="AK19" i="130" a="1"/>
  <c r="AN30" i="130" a="1"/>
  <c r="AI19" i="130" a="1"/>
  <c r="K24" i="130" a="1"/>
  <c r="V31" i="130" a="1"/>
  <c r="N29" i="130" a="1"/>
  <c r="AE7" i="130" a="1"/>
  <c r="P45" i="130" a="1"/>
  <c r="U30" i="130" a="1"/>
  <c r="AE13" i="130" a="1"/>
  <c r="AC25" i="130" a="1"/>
  <c r="AE8" i="130" a="1"/>
  <c r="I10" i="130" a="1"/>
  <c r="S19" i="130" a="1"/>
  <c r="K43" i="130" a="1"/>
  <c r="AI25" i="130" a="1"/>
  <c r="AF36" i="130" a="1"/>
  <c r="Z39" i="130" a="1"/>
  <c r="AD33" i="130" a="1"/>
  <c r="H32" i="130" a="1"/>
  <c r="AA12" i="130" a="1"/>
  <c r="F40" i="130" a="1"/>
  <c r="AH35" i="130" a="1"/>
  <c r="AL9" i="130" a="1"/>
  <c r="D37" i="130" a="1"/>
  <c r="AP36" i="130" a="1"/>
  <c r="AF17" i="130" a="1"/>
  <c r="AQ14" i="130" a="1"/>
  <c r="P39" i="130" a="1"/>
  <c r="L8" i="130" a="1"/>
  <c r="G37" i="130" a="1"/>
  <c r="AF12" i="130" a="1"/>
  <c r="AK5" i="130" a="1"/>
  <c r="AK26" i="130" a="1"/>
  <c r="E35" i="130" a="1"/>
  <c r="C22" i="130" a="1"/>
  <c r="P11" i="130" a="1"/>
  <c r="AB44" i="130" a="1"/>
  <c r="R33" i="130" a="1"/>
  <c r="V35" i="130" a="1"/>
  <c r="AH40" i="130" a="1"/>
  <c r="AQ43" i="130" a="1"/>
  <c r="U13" i="130" a="1"/>
  <c r="AH46" i="130" a="1"/>
  <c r="O43" i="130" a="1"/>
  <c r="R30" i="130" a="1"/>
  <c r="AC17" i="130" a="1"/>
  <c r="AL15" i="130" a="1"/>
  <c r="AP17" i="130" a="1"/>
  <c r="AH36" i="130" a="1"/>
  <c r="T45" i="130" a="1"/>
  <c r="AA33" i="130" a="1"/>
  <c r="Q17" i="130" a="1"/>
  <c r="V29" i="130" a="1"/>
  <c r="Q7" i="130" a="1"/>
  <c r="AE9" i="130" a="1"/>
  <c r="I24" i="130" a="1"/>
  <c r="AA20" i="130" a="1"/>
  <c r="AK38" i="130" a="1"/>
  <c r="AC42" i="130" a="1"/>
  <c r="AC11" i="130" a="1"/>
  <c r="AG20" i="130" a="1"/>
  <c r="S5" i="130" a="1"/>
  <c r="AQ26" i="130" a="1"/>
  <c r="Z36" i="130" a="1"/>
  <c r="AM37" i="130" a="1"/>
  <c r="AQ25" i="130" a="1"/>
  <c r="AH43" i="130" a="1"/>
  <c r="K5" i="130" a="1"/>
  <c r="AC20" i="130" a="1"/>
  <c r="I38" i="130" a="1"/>
  <c r="V5" i="130" a="1"/>
  <c r="D40" i="130" a="1"/>
  <c r="AN27" i="130" a="1"/>
  <c r="D41" i="130" a="1"/>
  <c r="AJ36" i="130" a="1"/>
  <c r="AJ33" i="130" a="1"/>
  <c r="AN25" i="130" a="1"/>
  <c r="G28" i="130" a="1"/>
  <c r="S13" i="130" a="1"/>
  <c r="S14" i="130" a="1"/>
  <c r="AL32" i="130" a="1"/>
  <c r="E32" i="130" a="1"/>
  <c r="AI38" i="130" a="1"/>
  <c r="AG23" i="130" a="1"/>
  <c r="V34" i="130" a="1"/>
  <c r="AP47" i="130" a="1"/>
  <c r="R15" i="130" a="1"/>
  <c r="M45" i="130" a="1"/>
  <c r="T12" i="130" a="1"/>
  <c r="S29" i="130" a="1"/>
  <c r="AD16" i="130" a="1"/>
  <c r="AA18" i="130" a="1"/>
  <c r="R31" i="130" a="1"/>
  <c r="AD18" i="130" a="1"/>
  <c r="N19" i="130" a="1"/>
  <c r="AK27" i="130" a="1"/>
  <c r="C45" i="130" a="1"/>
  <c r="AN6" i="130" a="1"/>
  <c r="Y17" i="130" a="1"/>
  <c r="U38" i="130" a="1"/>
  <c r="AG28" i="130" a="1"/>
  <c r="N34" i="130" a="1"/>
  <c r="R35" i="130" a="1"/>
  <c r="AQ5" i="130" a="1"/>
  <c r="AL40" i="130" a="1"/>
  <c r="AQ36" i="130" a="1"/>
  <c r="AM7" i="130" a="1"/>
  <c r="I7" i="130" a="1"/>
  <c r="T17" i="130" a="1"/>
  <c r="M47" i="130" a="1"/>
  <c r="Q46" i="130" a="1"/>
  <c r="D10" i="130" a="1"/>
  <c r="Y29" i="130" a="1"/>
  <c r="K25" i="130" a="1"/>
  <c r="L46" i="130" a="1"/>
  <c r="AQ15" i="130" a="1"/>
  <c r="S10" i="130" a="1"/>
  <c r="AJ42" i="130" a="1"/>
  <c r="AQ35" i="130" a="1"/>
  <c r="D9" i="130" a="1"/>
  <c r="Q35" i="130" a="1"/>
  <c r="AN46" i="130" a="1"/>
  <c r="AC34" i="130" a="1"/>
  <c r="AI10" i="130" a="1"/>
  <c r="AP39" i="130" a="1"/>
  <c r="J18" i="130" a="1"/>
  <c r="AC43" i="130" a="1"/>
  <c r="I29" i="130" a="1"/>
  <c r="AK47" i="130" a="1"/>
  <c r="AH29" i="130" a="1"/>
  <c r="AG19" i="130" a="1"/>
  <c r="L47" i="130" a="1"/>
  <c r="L5" i="130" a="1"/>
  <c r="G46" i="130" a="1"/>
  <c r="AF8" i="130" a="1"/>
  <c r="AI42" i="130" a="1"/>
  <c r="AH31" i="130" a="1"/>
  <c r="AM6" i="130" a="1"/>
  <c r="AL23" i="130" a="1"/>
  <c r="S44" i="130" a="1"/>
  <c r="M37" i="130" a="1"/>
  <c r="N24" i="130" a="1"/>
  <c r="I42" i="130" a="1"/>
  <c r="X22" i="130" a="1"/>
  <c r="E28" i="130" a="1"/>
  <c r="C43" i="130" a="1"/>
  <c r="AH34" i="130" a="1"/>
  <c r="E47" i="130" a="1"/>
  <c r="AA47" i="130" a="1"/>
  <c r="W35" i="130" a="1"/>
  <c r="C23" i="130" a="1"/>
  <c r="AL12" i="130" a="1"/>
  <c r="AN15" i="130" a="1"/>
  <c r="H40" i="130" a="1"/>
  <c r="J15" i="130" a="1"/>
  <c r="AE40" i="130" a="1"/>
  <c r="AJ16" i="130" a="1"/>
  <c r="AM46" i="130" a="1"/>
  <c r="AN33" i="130" a="1"/>
  <c r="AA29" i="130" a="1"/>
  <c r="AD27" i="130" a="1"/>
  <c r="S23" i="130" a="1"/>
  <c r="X47" i="130" a="1"/>
  <c r="S22" i="130" a="1"/>
  <c r="E30" i="130" a="1"/>
  <c r="V6" i="130" a="1"/>
  <c r="Z6" i="130" a="1"/>
  <c r="E5" i="130" a="1"/>
  <c r="O29" i="130" a="1"/>
  <c r="X40" i="130" a="1"/>
  <c r="L22" i="130" a="1"/>
  <c r="G22" i="130" a="1"/>
  <c r="AK45" i="130" a="1"/>
  <c r="AM26" i="130" a="1"/>
  <c r="C17" i="130" a="1"/>
  <c r="R24" i="130" a="1"/>
  <c r="I28" i="130" a="1"/>
  <c r="E17" i="130" a="1"/>
  <c r="C25" i="130" a="1"/>
  <c r="AI16" i="130" a="1"/>
  <c r="M32" i="130" a="1"/>
  <c r="AG6" i="130" a="1"/>
  <c r="P38" i="130" a="1"/>
  <c r="AP30" i="130" a="1"/>
  <c r="E21" i="130" a="1"/>
  <c r="W15" i="130" a="1"/>
  <c r="N8" i="130" a="1"/>
  <c r="V17" i="130" a="1"/>
  <c r="L29" i="130" a="1"/>
  <c r="AK7" i="130" a="1"/>
  <c r="V40" i="130" a="1"/>
  <c r="D38" i="130" a="1"/>
  <c r="AB22" i="130" a="1"/>
  <c r="AL42" i="130" a="1"/>
  <c r="AN18" i="130" a="1"/>
  <c r="AM29" i="130" a="1"/>
  <c r="Y5" i="130" a="1"/>
  <c r="Q13" i="130" a="1"/>
  <c r="AD8" i="130" a="1"/>
  <c r="AN37" i="130" a="1"/>
  <c r="T39" i="130" a="1"/>
  <c r="W8" i="130" a="1"/>
  <c r="O20" i="130" a="1"/>
  <c r="F36" i="130" a="1"/>
  <c r="AO34" i="130" a="1"/>
  <c r="E14" i="130" a="1"/>
  <c r="C29" i="130" a="1"/>
  <c r="U41" i="130" a="1"/>
  <c r="AD37" i="130" a="1"/>
  <c r="AF27" i="130" a="1"/>
  <c r="AC27" i="130" a="1"/>
  <c r="K28" i="130" a="1"/>
  <c r="AD38" i="130" a="1"/>
  <c r="AH32" i="130" a="1"/>
  <c r="AP19" i="130" a="1"/>
  <c r="P44" i="130" a="1"/>
  <c r="H12" i="130" a="1"/>
  <c r="AQ44" i="130" a="1"/>
  <c r="AI21" i="130" a="1"/>
  <c r="T30" i="130" a="1"/>
  <c r="K21" i="130" a="1"/>
  <c r="C9" i="130" a="1"/>
  <c r="AJ46" i="130" a="1"/>
  <c r="AE26" i="130" a="1"/>
  <c r="AO38" i="130" a="1"/>
  <c r="H11" i="130" a="1"/>
  <c r="AG46" i="130" a="1"/>
  <c r="Z12" i="130" a="1"/>
  <c r="R21" i="130" a="1"/>
  <c r="G36" i="130" a="1"/>
  <c r="N11" i="130" a="1"/>
  <c r="K20" i="130" a="1"/>
  <c r="AO15" i="130" a="1"/>
  <c r="AM45" i="130" a="1"/>
  <c r="AK9" i="130" a="1"/>
  <c r="AM14" i="130" a="1"/>
  <c r="Q28" i="130" a="1"/>
  <c r="AD9" i="130" a="1"/>
  <c r="V14" i="130" a="1"/>
  <c r="U19" i="130" a="1"/>
  <c r="AD42" i="130" a="1"/>
  <c r="AJ25" i="130" a="1"/>
  <c r="AI13" i="130" a="1"/>
  <c r="Z18" i="130" a="1"/>
  <c r="P13" i="130" a="1"/>
  <c r="T25" i="130" a="1"/>
  <c r="X41" i="130" a="1"/>
  <c r="Q18" i="130" a="1"/>
  <c r="AD5" i="130" a="1"/>
  <c r="I36" i="130" a="1"/>
  <c r="AJ35" i="130" a="1"/>
  <c r="L24" i="130" a="1"/>
  <c r="AE10" i="130" a="1"/>
  <c r="F20" i="130" a="1"/>
  <c r="X21" i="130" a="1"/>
  <c r="O9" i="130" a="1"/>
  <c r="G29" i="130" a="1"/>
  <c r="AK20" i="130" a="1"/>
  <c r="AP27" i="130" a="1"/>
  <c r="G8" i="130" a="1"/>
  <c r="AN10" i="130" a="1"/>
  <c r="E23" i="130" a="1"/>
  <c r="AC16" i="130" a="1"/>
  <c r="AC13" i="130" a="1"/>
  <c r="T29" i="130" a="1"/>
  <c r="AB38" i="130" a="1"/>
  <c r="D5" i="130" a="1"/>
  <c r="T22" i="130" a="1"/>
  <c r="U45" i="130" a="1"/>
  <c r="T5" i="130" a="1"/>
  <c r="AO25" i="130" a="1"/>
  <c r="AJ37" i="130" a="1"/>
  <c r="X31" i="130" a="1"/>
  <c r="AH28" i="130" a="1"/>
  <c r="G13" i="130" a="1"/>
  <c r="G47" i="130" a="1"/>
  <c r="AN36" i="130" a="1"/>
  <c r="Y30" i="130" a="1"/>
  <c r="G44" i="130" a="1"/>
  <c r="AO18" i="130" a="1"/>
  <c r="AJ34" i="130" a="1"/>
  <c r="W10" i="130" a="1"/>
  <c r="U46" i="130" a="1"/>
  <c r="S21" i="130" a="1"/>
  <c r="V25" i="130" a="1"/>
  <c r="AB11" i="130" a="1"/>
  <c r="U11" i="130" a="1"/>
  <c r="G24" i="130" a="1"/>
  <c r="AN35" i="130" a="1"/>
  <c r="S27" i="130" a="1"/>
  <c r="AL46" i="130" a="1"/>
  <c r="AI44" i="130" a="1"/>
  <c r="AJ23" i="130" a="1"/>
  <c r="AP32" i="130" a="1"/>
  <c r="X9" i="130" a="1"/>
  <c r="AK6" i="130" a="1"/>
  <c r="Y22" i="130" a="1"/>
  <c r="C38" i="130" a="1"/>
  <c r="AL25" i="130" a="1"/>
  <c r="L43" i="130" a="1"/>
  <c r="J14" i="130" a="1"/>
  <c r="J42" i="130" a="1"/>
  <c r="K46" i="130" a="1"/>
  <c r="AL47" i="130" a="1"/>
  <c r="AB20" i="130" a="1"/>
  <c r="P10" i="130" a="1"/>
  <c r="H15" i="130" a="1"/>
  <c r="I23" i="130" a="1"/>
  <c r="I6" i="130" a="1"/>
  <c r="AA8" i="130" a="1"/>
  <c r="G26" i="130" a="1"/>
  <c r="AD14" i="130" a="1"/>
  <c r="AL34" i="130" a="1"/>
  <c r="D7" i="130" a="1"/>
  <c r="C44" i="130" a="1"/>
  <c r="AB5" i="130" a="1"/>
  <c r="AM5" i="130" a="1"/>
  <c r="R22" i="130" a="1"/>
  <c r="AC46" i="130" a="1"/>
  <c r="L9" i="130" a="1"/>
  <c r="V23" i="130" a="1"/>
  <c r="AG13" i="130" a="1"/>
  <c r="P37" i="130" a="1"/>
  <c r="F29" i="130" a="1"/>
  <c r="P21" i="130" a="1"/>
  <c r="I27" i="130" a="1"/>
  <c r="Z20" i="130" a="1"/>
  <c r="Y20" i="130" a="1"/>
  <c r="AG18" i="130" a="1"/>
  <c r="AO24" i="130" a="1"/>
  <c r="Y46" i="130" a="1"/>
  <c r="AE21" i="130" a="1"/>
  <c r="M36" i="130" a="1"/>
  <c r="AP42" i="130" a="1"/>
  <c r="H7" i="130" a="1"/>
  <c r="U34" i="130" a="1"/>
  <c r="P7" i="130" a="1"/>
  <c r="L44" i="130" a="1"/>
  <c r="O28" i="130" a="1"/>
  <c r="S32" i="130" a="1"/>
  <c r="AB23" i="130" a="1"/>
  <c r="AE14" i="130" a="1"/>
  <c r="Y45" i="130" a="1"/>
  <c r="C32" i="130" a="1"/>
  <c r="M28" i="130" a="1"/>
  <c r="I20" i="130" a="1"/>
  <c r="L26" i="130" a="1"/>
  <c r="AP6" i="130" a="1"/>
  <c r="S28" i="130" a="1"/>
  <c r="AA13" i="130" a="1"/>
  <c r="AN20" i="130" a="1"/>
  <c r="AC10" i="130" a="1"/>
  <c r="L7" i="130" a="1"/>
  <c r="F25" i="130" a="1"/>
  <c r="I43" i="130" a="1"/>
  <c r="T6" i="130" a="1"/>
  <c r="N17" i="130" a="1"/>
  <c r="N44" i="130" a="1"/>
  <c r="AP16" i="130" a="1"/>
  <c r="M26" i="130" a="1"/>
  <c r="F47" i="130" a="1"/>
  <c r="H5" i="130" a="1"/>
  <c r="AJ20" i="130" a="1"/>
  <c r="AC37" i="130" a="1"/>
  <c r="J12" i="130" a="1"/>
  <c r="AJ13" i="130" a="1"/>
  <c r="R27" i="130" a="1"/>
  <c r="AQ19" i="130" a="1"/>
  <c r="AN19" i="130" a="1"/>
  <c r="F16" i="130" a="1"/>
  <c r="C27" i="130" a="1"/>
  <c r="U5" i="130" a="1"/>
  <c r="T10" i="130" a="1"/>
  <c r="M8" i="130" a="1"/>
  <c r="AC33" i="130" a="1"/>
  <c r="Q25" i="130" a="1"/>
  <c r="AM35" i="130" a="1"/>
  <c r="X35" i="130" a="1"/>
  <c r="V45" i="130" a="1"/>
  <c r="I5" i="130" a="1"/>
  <c r="AC38" i="130" a="1"/>
  <c r="AD7" i="130" a="1"/>
  <c r="K26" i="130" a="1"/>
  <c r="AI35" i="130" a="1"/>
  <c r="AM18" i="130" a="1"/>
  <c r="M35" i="130" a="1"/>
  <c r="Z31" i="130" a="1"/>
  <c r="AF15" i="130" a="1"/>
  <c r="AL19" i="130" a="1"/>
  <c r="E16" i="130" a="1"/>
  <c r="AO36" i="130" a="1"/>
  <c r="AK46" i="130" a="1"/>
  <c r="J46" i="130" a="1"/>
  <c r="P33" i="130" a="1"/>
  <c r="AB10" i="130" a="1"/>
  <c r="AM13" i="130" a="1"/>
  <c r="AE5" i="130" a="1"/>
  <c r="AN44" i="130" a="1"/>
  <c r="T40" i="130" a="1"/>
  <c r="AM39" i="130" a="1"/>
  <c r="AQ28" i="130" a="1"/>
  <c r="R5" i="130" a="1"/>
  <c r="AN26" i="130" a="1"/>
  <c r="AO44" i="130" a="1"/>
  <c r="F33" i="130" a="1"/>
  <c r="R8" i="130" a="1"/>
  <c r="AM33" i="130" a="1"/>
  <c r="F14" i="130" a="1"/>
  <c r="D22" i="130" a="1"/>
  <c r="X18" i="130" a="1"/>
  <c r="AE28" i="130" a="1"/>
  <c r="H23" i="130" a="1"/>
  <c r="N9" i="130" a="1"/>
  <c r="T16" i="130" a="1"/>
  <c r="S39" i="130" a="1"/>
  <c r="AM31" i="130" a="1"/>
  <c r="AG45" i="130" a="1"/>
  <c r="AB15" i="130" a="1"/>
  <c r="AF24" i="130" a="1"/>
  <c r="X36" i="130" a="1"/>
  <c r="AN29" i="130" a="1"/>
  <c r="Q29" i="130" a="1"/>
  <c r="K35" i="130" a="1"/>
  <c r="AQ13" i="130" a="1"/>
  <c r="F24" i="130" a="1"/>
  <c r="AJ40" i="130" a="1"/>
  <c r="AN42" i="130" a="1"/>
  <c r="L28" i="130" a="1"/>
  <c r="Q20" i="130" a="1"/>
  <c r="AE34" i="130" a="1"/>
  <c r="N41" i="130" a="1"/>
  <c r="Y43" i="130" a="1"/>
  <c r="D19" i="130" a="1"/>
  <c r="AA21" i="130" a="1"/>
  <c r="C6" i="130" a="1"/>
  <c r="AD35" i="130" a="1"/>
  <c r="AN41" i="130" a="1"/>
  <c r="AQ39" i="130" a="1"/>
  <c r="K34" i="130" a="1"/>
  <c r="V44" i="130" a="1"/>
  <c r="N46" i="130" a="1"/>
  <c r="AN21" i="130" a="1"/>
  <c r="AK28" i="130" a="1"/>
  <c r="G19" i="130" a="1"/>
  <c r="AC24" i="130" a="1"/>
  <c r="X23" i="130" a="1"/>
  <c r="G16" i="130" a="1"/>
  <c r="AL44" i="130" a="1"/>
  <c r="M11" i="130" a="1"/>
  <c r="W24" i="130" a="1"/>
  <c r="AP13" i="130" a="1"/>
  <c r="AM16" i="130" a="1"/>
  <c r="F15" i="130" a="1"/>
  <c r="C26" i="130" a="1"/>
  <c r="AO43" i="130" a="1"/>
  <c r="Q8" i="130" a="1"/>
  <c r="V22" i="130" a="1"/>
  <c r="AN23" i="130" a="1"/>
  <c r="AK25" i="130" a="1"/>
  <c r="AE32" i="130" a="1"/>
  <c r="Q34" i="130" a="1"/>
  <c r="S45" i="130" a="1"/>
  <c r="AO26" i="130" a="1"/>
  <c r="U27" i="130" a="1"/>
  <c r="F32" i="130" a="1"/>
  <c r="AO7" i="130" a="1"/>
  <c r="X17" i="130" a="1"/>
  <c r="M15" i="130" a="1"/>
  <c r="AN32" i="130" a="1"/>
  <c r="AM28" i="130" a="1"/>
  <c r="X25" i="130" a="1"/>
  <c r="AM36" i="130" a="1"/>
  <c r="AJ21" i="130" a="1"/>
  <c r="AC15" i="130" a="1"/>
  <c r="M40" i="130" a="1"/>
  <c r="AK11" i="130" a="1"/>
  <c r="AK23" i="130" a="1"/>
  <c r="X27" i="130" a="1"/>
  <c r="C35" i="130" a="1"/>
  <c r="AE6" i="130" a="1"/>
  <c r="K7" i="130" a="1"/>
  <c r="AE47" i="130" a="1"/>
  <c r="P31" i="130" a="1"/>
  <c r="H25" i="130" a="1"/>
  <c r="S24" i="130" a="1"/>
  <c r="D15" i="130" a="1"/>
  <c r="AF5" i="130" a="1"/>
  <c r="J39" i="130" a="1"/>
  <c r="Z11" i="130" a="1"/>
  <c r="D30" i="130" a="1"/>
  <c r="W21" i="130" a="1"/>
  <c r="F44" i="130" a="1"/>
  <c r="O42" i="130" a="1"/>
  <c r="AD11" i="130" a="1"/>
  <c r="J8" i="130" a="1"/>
  <c r="AB12" i="130" a="1"/>
  <c r="AL13" i="130" a="1"/>
  <c r="K22" i="130" a="1"/>
  <c r="P36" i="130" a="1"/>
  <c r="AM44" i="130" a="1"/>
  <c r="J17" i="130" a="1"/>
  <c r="V20" i="130" a="1"/>
  <c r="R6" i="130" a="1"/>
  <c r="G41" i="130" a="1"/>
  <c r="D47" i="130" a="1"/>
  <c r="M31" i="130" a="1"/>
  <c r="C41" i="130" a="1"/>
  <c r="P24" i="130" a="1"/>
  <c r="AA7" i="130" a="1"/>
  <c r="C36" i="130" a="1"/>
  <c r="F18" i="130" a="1"/>
  <c r="N30" i="130" a="1"/>
  <c r="AE23" i="130" a="1"/>
  <c r="Y15" i="130" a="1"/>
  <c r="U37" i="130" a="1"/>
  <c r="AH19" i="130" a="1"/>
  <c r="O21" i="130" a="1"/>
  <c r="J20" i="130" a="1"/>
  <c r="AH20" i="130" a="1"/>
  <c r="AF37" i="130" a="1"/>
  <c r="AJ9" i="130" a="1"/>
  <c r="D31" i="130" a="1"/>
  <c r="AA35" i="130" a="1"/>
  <c r="L38" i="130" a="1"/>
  <c r="AG38" i="130" a="1"/>
  <c r="AE44" i="130" a="1"/>
  <c r="R39" i="130" a="1"/>
  <c r="G38" i="130" a="1"/>
  <c r="K11" i="130" a="1"/>
  <c r="AF22" i="130" a="1"/>
  <c r="O11" i="130" a="1"/>
  <c r="P25" i="130" a="1"/>
  <c r="AD24" i="130" a="1"/>
  <c r="AG11" i="130" a="1"/>
  <c r="AI28" i="130" a="1"/>
  <c r="AF10" i="130" a="1"/>
  <c r="W17" i="130" a="1"/>
  <c r="AG42" i="130" a="1"/>
  <c r="E19" i="130" a="1"/>
  <c r="E45" i="130" a="1"/>
  <c r="G25" i="130" a="1"/>
  <c r="AL18" i="130" a="1"/>
  <c r="AG41" i="130" a="1"/>
  <c r="E38" i="130" a="1"/>
  <c r="Q32" i="130" a="1"/>
  <c r="Z8" i="130" a="1"/>
  <c r="AQ11" i="130" a="1"/>
  <c r="AE45" i="130" a="1"/>
  <c r="AJ44" i="130" a="1"/>
  <c r="P35" i="130" a="1"/>
  <c r="Q39" i="130" a="1"/>
  <c r="AL30" i="130" a="1"/>
  <c r="W7" i="130" a="1"/>
  <c r="K29" i="130" a="1"/>
  <c r="D21" i="130" a="1"/>
  <c r="L19" i="130" a="1"/>
  <c r="I39" i="130" a="1"/>
  <c r="W29" i="130" a="1"/>
  <c r="Z16" i="130" a="1"/>
  <c r="R11" i="130" a="1"/>
  <c r="K9" i="130" a="1"/>
  <c r="AA19" i="130" a="1"/>
  <c r="AI26" i="130" a="1"/>
  <c r="AO31" i="130" a="1"/>
  <c r="D43" i="130" a="1"/>
  <c r="M46" i="130" a="1"/>
  <c r="Y23" i="130" a="1"/>
  <c r="AB25" i="130" a="1"/>
  <c r="AP43" i="130" a="1"/>
  <c r="AL33" i="130" a="1"/>
  <c r="AB42" i="130" a="1"/>
  <c r="AD44" i="130" a="1"/>
  <c r="J47" i="130" a="1"/>
  <c r="Y27" i="130" a="1"/>
  <c r="AB26" i="130" a="1"/>
  <c r="P30" i="130" a="1"/>
  <c r="AN11" i="130" a="1"/>
  <c r="X38" i="130" a="1"/>
  <c r="AN47" i="130" a="1"/>
  <c r="AP5" i="130" a="1"/>
  <c r="D27" i="130" a="1"/>
  <c r="AB35" i="130" a="1"/>
  <c r="AF35" i="130" a="1"/>
  <c r="S35" i="130" a="1"/>
  <c r="AL29" i="130" a="1"/>
  <c r="G40" i="130" a="1"/>
  <c r="AI9" i="130" a="1"/>
  <c r="AJ43" i="130" a="1"/>
  <c r="N7" i="130" a="1"/>
  <c r="AP24" i="130" a="1"/>
  <c r="AL38" i="130" a="1"/>
  <c r="V27" i="130" a="1"/>
  <c r="F8" i="130" a="1"/>
  <c r="T21" i="130" a="1"/>
  <c r="AB27" i="130" a="1"/>
  <c r="AD20" i="130" a="1"/>
  <c r="K12" i="130" a="1"/>
  <c r="M38" i="130" a="1"/>
  <c r="AH39" i="130" a="1"/>
  <c r="T43" i="130" a="1"/>
  <c r="J26" i="130" a="1"/>
  <c r="AF45" i="130" a="1"/>
  <c r="U29" i="130" a="1"/>
  <c r="AI6" i="130" a="1"/>
  <c r="P19" i="130" a="1"/>
  <c r="P5" i="130" a="1"/>
  <c r="AQ17" i="130" a="1"/>
  <c r="AE42" i="130" a="1"/>
  <c r="C15" i="130" a="1"/>
  <c r="R46" i="130" a="1"/>
  <c r="P18" i="130" a="1"/>
  <c r="G23" i="130" a="1"/>
  <c r="AJ19" i="130" a="1"/>
  <c r="X37" i="130" a="1"/>
  <c r="AJ7" i="130" a="1"/>
  <c r="P14" i="130" a="1"/>
  <c r="Z25" i="130" a="1"/>
  <c r="AE41" i="130" a="1"/>
  <c r="Y25" i="130" a="1"/>
  <c r="AE46" i="130" a="1"/>
  <c r="Z46" i="130" a="1"/>
  <c r="P9" i="130" a="1"/>
  <c r="AL5" i="130" a="1"/>
  <c r="H21" i="130" a="1"/>
  <c r="G20" i="130" a="1"/>
  <c r="AL45" i="130" a="1"/>
  <c r="U25" i="130" a="1"/>
  <c r="I8" i="130" a="1"/>
  <c r="F41" i="130" a="1"/>
  <c r="AQ46" i="130" a="1"/>
  <c r="AK15" i="130" a="1"/>
  <c r="AK43" i="130" a="1"/>
  <c r="R34" i="130" a="1"/>
  <c r="E33" i="130" a="1"/>
  <c r="AD30" i="130" a="1"/>
  <c r="V33" i="130" a="1"/>
  <c r="O5" i="130" a="1"/>
  <c r="AK44" i="130" a="1"/>
  <c r="AD32" i="130" a="1"/>
  <c r="V26" i="130" a="1"/>
  <c r="AP12" i="130" a="1"/>
  <c r="Q14" i="130" a="1"/>
  <c r="S37" i="130" a="1"/>
  <c r="T31" i="130" a="1"/>
  <c r="Q33" i="130" a="1"/>
  <c r="AD47" i="130" a="1"/>
  <c r="AI33" i="130" a="1"/>
  <c r="F6" i="130" a="1"/>
  <c r="V11" i="130" a="1"/>
  <c r="Y24" i="130" a="1"/>
  <c r="AA31" i="130" a="1"/>
  <c r="P47" i="130" a="1"/>
  <c r="Z28" i="130" a="1"/>
  <c r="Z17" i="130" a="1"/>
  <c r="I31" i="130" a="1"/>
  <c r="AI41" i="130" a="1"/>
  <c r="Y10" i="130" a="1"/>
  <c r="AQ47" i="130" a="1"/>
  <c r="AK21" i="130" a="1"/>
  <c r="AH25" i="130" a="1"/>
  <c r="T28" i="130" a="1"/>
  <c r="AO6" i="130" a="1"/>
  <c r="M23" i="130" a="1"/>
  <c r="AL22" i="130" a="1"/>
  <c r="AK16" i="130" a="1"/>
  <c r="X20" i="130" a="1"/>
  <c r="AO45" i="130" a="1"/>
  <c r="W38" i="130" a="1"/>
  <c r="W30" i="130" a="1"/>
  <c r="L31" i="130" a="1"/>
  <c r="L17" i="130" a="1"/>
  <c r="Q43" i="130" a="1"/>
  <c r="AE17" i="130" a="1"/>
  <c r="U47" i="130" a="1"/>
  <c r="AH15" i="130" a="1"/>
  <c r="Q38" i="130" a="1"/>
  <c r="E42" i="130" a="1"/>
  <c r="AF38" i="130" a="1"/>
  <c r="AB29" i="130" a="1"/>
  <c r="X29" i="130" a="1"/>
  <c r="V19" i="130" a="1"/>
  <c r="AK31" i="130" a="1"/>
  <c r="AO47" i="130" a="1"/>
  <c r="H26" i="130" a="1"/>
  <c r="M41" i="130" a="1"/>
  <c r="I34" i="130" a="1"/>
  <c r="D29" i="130" a="1"/>
  <c r="X28" i="130" a="1"/>
  <c r="AO23" i="130" a="1"/>
  <c r="AL14" i="130" a="1"/>
  <c r="U8" i="130" a="1"/>
  <c r="Q27" i="130" a="1"/>
  <c r="AD10" i="130" a="1"/>
  <c r="W40" i="130" a="1"/>
  <c r="W5" i="130" a="1"/>
  <c r="E8" i="130" a="1"/>
  <c r="AO19" i="130" a="1"/>
  <c r="J11" i="130" a="1"/>
  <c r="Z30" i="130" a="1"/>
  <c r="AA6" i="130" a="1"/>
  <c r="AH7" i="130" a="1"/>
  <c r="AC36" i="130" a="1"/>
  <c r="G18" i="130" a="1"/>
  <c r="AM42" i="130" a="1"/>
  <c r="AC45" i="130" a="1"/>
  <c r="AQ22" i="130" a="1"/>
  <c r="AI43" i="130" a="1"/>
  <c r="P28" i="130" a="1"/>
  <c r="AB8" i="130" a="1"/>
  <c r="AA26" i="130" a="1"/>
  <c r="P8" i="130" a="1"/>
  <c r="O38" i="130" a="1"/>
  <c r="Z29" i="130" a="1"/>
  <c r="AG8" i="130" a="1"/>
  <c r="AP34" i="130" a="1"/>
  <c r="AN14" i="130" a="1"/>
  <c r="K14" i="130" a="1"/>
  <c r="AJ32" i="130" a="1"/>
  <c r="AM10" i="130" a="1"/>
  <c r="D35" i="130" a="1"/>
  <c r="AO9" i="130" a="1"/>
  <c r="E12" i="130" a="1"/>
  <c r="V47" i="130" a="1"/>
  <c r="AB31" i="130" a="1"/>
  <c r="O6" i="130" a="1"/>
  <c r="AM17" i="130" a="1"/>
  <c r="AL35" i="130" a="1"/>
  <c r="J43" i="130" a="1"/>
  <c r="X24" i="130" a="1"/>
  <c r="AG39" i="130" a="1"/>
  <c r="I21" i="130" a="1"/>
  <c r="L32" i="130" a="1"/>
  <c r="AJ38" i="130" a="1"/>
  <c r="Z38" i="130" a="1"/>
  <c r="AE19" i="130" a="1"/>
  <c r="AH23" i="130" a="1"/>
  <c r="AF41" i="130" a="1"/>
  <c r="Y36" i="130" a="1"/>
  <c r="M13" i="130" a="1"/>
  <c r="Z9" i="130" a="1"/>
  <c r="AN24" i="130" a="1"/>
  <c r="AH6" i="130" a="1"/>
  <c r="AN16" i="130" a="1"/>
  <c r="Y28" i="130" a="1"/>
  <c r="Y40" i="130" a="1"/>
  <c r="J6" i="130" a="1"/>
  <c r="F35" i="130" a="1"/>
  <c r="AE39" i="130" a="1"/>
  <c r="AF44" i="130" a="1"/>
  <c r="AB17" i="130" a="1"/>
  <c r="H45" i="130" a="1"/>
  <c r="D32" i="130" a="1"/>
  <c r="S33" i="130" a="1"/>
  <c r="Z41" i="130" a="1"/>
  <c r="AD12" i="130" a="1"/>
  <c r="W18" i="130" a="1"/>
  <c r="AD21" i="130" a="1"/>
  <c r="W22" i="130" a="1"/>
  <c r="AM24" i="130" a="1"/>
  <c r="K13" i="130" a="1"/>
  <c r="AO11" i="130" a="1"/>
  <c r="AP40" i="130" a="1"/>
  <c r="R37" i="130" a="1"/>
  <c r="S46" i="130" a="1"/>
  <c r="K27" i="130" a="1"/>
  <c r="M20" i="130" a="1"/>
  <c r="D13" i="130" a="1"/>
  <c r="AP41" i="130" a="1"/>
  <c r="AF23" i="130" a="1"/>
  <c r="S7" i="130" a="1"/>
  <c r="AO35" i="130" a="1"/>
  <c r="AG17" i="130" a="1"/>
  <c r="AQ12" i="130" a="1"/>
  <c r="AO39" i="130" a="1"/>
  <c r="AK32" i="130" a="1"/>
  <c r="AG43" i="130" a="1"/>
  <c r="L11" i="130" a="1"/>
  <c r="Z33" i="130" a="1"/>
  <c r="J35" i="130" a="1"/>
  <c r="L45" i="130" a="1"/>
  <c r="E36" i="130" a="1"/>
  <c r="AH26" i="130" a="1"/>
  <c r="G9" i="130" a="1"/>
  <c r="G11" i="130" a="1"/>
  <c r="I41" i="130" a="1"/>
  <c r="AE29" i="130" a="1"/>
  <c r="AM27" i="130" a="1"/>
  <c r="AB18" i="130" a="1"/>
  <c r="AI8" i="130" a="1"/>
  <c r="N16" i="130" a="1"/>
  <c r="X8" i="130" a="1"/>
  <c r="Y21" i="130" a="1"/>
  <c r="AK18" i="130" a="1"/>
  <c r="K37" i="130" a="1"/>
  <c r="N10" i="130" a="1"/>
  <c r="X12" i="130" a="1"/>
  <c r="AA42" i="130" a="1"/>
  <c r="K15" i="130" a="1"/>
  <c r="V43" i="130" a="1"/>
  <c r="AM12" i="130" a="1"/>
  <c r="AE25" i="130" a="1"/>
  <c r="N25" i="130" a="1"/>
  <c r="AF21" i="130" a="1"/>
  <c r="W26" i="130" a="1"/>
  <c r="D17" i="130" a="1"/>
  <c r="F39" i="130" a="1"/>
  <c r="I35" i="130" a="1"/>
  <c r="AB21" i="130" a="1"/>
  <c r="J36" i="130" a="1"/>
  <c r="AA34" i="130" a="1"/>
  <c r="K44" i="130" a="1"/>
  <c r="C21" i="130" a="1"/>
  <c r="D26" i="130" a="1"/>
  <c r="AI20" i="130" a="1"/>
  <c r="T26" i="130" a="1"/>
  <c r="AD6" i="130" a="1"/>
  <c r="AL24" i="130" a="1"/>
  <c r="AM11" i="130" a="1"/>
  <c r="D12" i="130" a="1"/>
  <c r="AP20" i="130" a="1"/>
  <c r="Y34" i="130" a="1"/>
  <c r="AM15" i="130" a="1"/>
  <c r="Z27" i="130" a="1"/>
  <c r="AC22" i="130" a="1"/>
  <c r="H20" i="130" a="1"/>
  <c r="T24" i="130" a="1"/>
  <c r="M25" i="130" a="1"/>
  <c r="AQ10" i="130" a="1"/>
  <c r="AL43" i="130" a="1"/>
  <c r="T34" i="130" a="1"/>
  <c r="O47" i="130" a="1"/>
  <c r="P15" i="130" a="1"/>
  <c r="L34" i="130" a="1"/>
  <c r="AH45" i="130" a="1"/>
  <c r="I32" i="130" a="1"/>
  <c r="C18" i="130" a="1"/>
  <c r="S26" i="130" a="1"/>
  <c r="P46" i="130" a="1"/>
  <c r="K40" i="130" a="1"/>
  <c r="Q36" i="130" a="1"/>
  <c r="U18" i="130" a="1"/>
  <c r="H17" i="130" a="1"/>
  <c r="U28" i="130" a="1"/>
  <c r="V8" i="130" a="1"/>
  <c r="X30" i="130" a="1"/>
  <c r="K41" i="130" a="1"/>
  <c r="E20" i="130" a="1"/>
  <c r="T37" i="130" a="1"/>
  <c r="O45" i="130" a="1"/>
  <c r="AF18" i="130" a="1"/>
  <c r="Q10" i="130" a="1"/>
  <c r="X6" i="130" a="1"/>
  <c r="AB46" i="130" a="1"/>
  <c r="R13" i="130" a="1"/>
  <c r="N21" i="130" a="1"/>
  <c r="AA46" i="130" a="1"/>
  <c r="AN34" i="130" a="1"/>
  <c r="AH13" i="130" a="1"/>
  <c r="T27" i="130" a="1"/>
  <c r="G42" i="130" a="1"/>
  <c r="W16" i="130" a="1"/>
  <c r="E15" i="130" a="1"/>
  <c r="AD23" i="130" a="1"/>
  <c r="D28" i="130" a="1"/>
  <c r="W33" i="130" a="1"/>
  <c r="M12" i="130" a="1"/>
  <c r="AM34" i="130" a="1"/>
  <c r="C33" i="130" a="1"/>
  <c r="AJ11" i="130" a="1"/>
  <c r="R12" i="130" a="1"/>
  <c r="R47" i="130" a="1"/>
  <c r="O34" i="130" a="1"/>
  <c r="V41" i="130" a="1"/>
  <c r="R23" i="130" a="1"/>
  <c r="AK35" i="130" a="1"/>
  <c r="AJ17" i="130" a="1"/>
  <c r="V37" i="130" a="1"/>
  <c r="W14" i="130" a="1"/>
  <c r="E29" i="130" a="1"/>
  <c r="AF39" i="130" a="1"/>
  <c r="D45" i="130" a="1"/>
  <c r="AH42" i="130" a="1"/>
  <c r="G7" i="130" a="1"/>
  <c r="U40" i="130" a="1"/>
  <c r="AM32" i="130" a="1"/>
  <c r="AL37" i="130" a="1"/>
  <c r="AB45" i="130" a="1"/>
  <c r="X33" i="130" a="1"/>
  <c r="T20" i="130" a="1"/>
  <c r="W45" i="130" a="1"/>
  <c r="M9" i="130" a="1"/>
  <c r="J29" i="130" a="1"/>
  <c r="S11" i="130" a="1"/>
  <c r="Y32" i="130" a="1"/>
  <c r="W37" i="130" a="1"/>
  <c r="AP23" i="130" a="1"/>
  <c r="C31" i="130" a="1"/>
  <c r="Z7" i="130" a="1"/>
  <c r="AL6" i="130" a="1"/>
  <c r="E7" i="130" a="1"/>
  <c r="AP38" i="130" a="1"/>
  <c r="AG10" i="130" a="1"/>
  <c r="AB40" i="130" a="1"/>
  <c r="U42" i="130" a="1"/>
  <c r="Y44" i="130" a="1"/>
  <c r="W11" i="130" a="1"/>
  <c r="U10" i="130" a="1"/>
  <c r="AQ23" i="130" a="1"/>
  <c r="G31" i="130" a="1"/>
  <c r="Q31" i="130" a="1"/>
  <c r="N15" i="130" a="1"/>
  <c r="G21" i="130" a="1"/>
  <c r="AG25" i="130" a="1"/>
  <c r="AG35" i="130" a="1"/>
  <c r="AG36" i="130" a="1"/>
  <c r="AO14" i="130" a="1"/>
  <c r="F10" i="130" a="1"/>
  <c r="F13" i="130" a="1"/>
  <c r="L33" i="130" a="1"/>
  <c r="AD13" i="130" a="1"/>
  <c r="V21" i="130" a="1"/>
  <c r="AI7" i="130" a="1"/>
  <c r="Z19" i="130" a="1"/>
  <c r="Z40" i="130" a="1"/>
  <c r="M18" i="130" a="1"/>
  <c r="I45" i="130" a="1"/>
  <c r="AI11" i="130" a="1"/>
  <c r="E9" i="130" a="1"/>
  <c r="AN8" i="130" a="1"/>
  <c r="G45" i="130" a="1"/>
  <c r="N27" i="130" a="1"/>
  <c r="AL39" i="130" a="1"/>
  <c r="F21" i="130" a="1"/>
  <c r="V30" i="130" a="1"/>
  <c r="O35" i="130" a="1"/>
  <c r="S6" i="130" a="1"/>
  <c r="AE12" i="130" a="1"/>
  <c r="AD25" i="130" a="1"/>
  <c r="AB14" i="130" a="1"/>
  <c r="AG33" i="130" a="1"/>
  <c r="G30" i="130" a="1"/>
  <c r="AP35" i="130" a="1"/>
  <c r="S18" i="130" a="1"/>
  <c r="X5" i="130" a="1"/>
  <c r="K42" i="130" a="1"/>
  <c r="U32" i="130" a="1"/>
  <c r="O36" i="130" a="1"/>
  <c r="AM30" i="130" a="1"/>
  <c r="AB33" i="130" a="1"/>
  <c r="AA30" i="130" a="1"/>
  <c r="D14" i="130" a="1"/>
  <c r="AI14" i="130" a="1"/>
  <c r="I11" i="130" a="1"/>
  <c r="M6" i="130" a="1"/>
  <c r="AA17" i="130" a="1"/>
  <c r="P20" i="130" a="1"/>
  <c r="U7" i="130" a="1"/>
  <c r="D24" i="130" a="1"/>
  <c r="K33" i="130" a="1"/>
  <c r="H6" i="130" a="1"/>
  <c r="AA32" i="130" a="1"/>
  <c r="F22" i="130" a="1"/>
  <c r="AQ29" i="130" a="1"/>
  <c r="F27" i="130" a="1"/>
  <c r="T14" i="130" a="1"/>
  <c r="F30" i="130" a="1"/>
  <c r="AK13" i="130" a="1"/>
  <c r="AF6" i="130" a="1"/>
  <c r="R20" i="130" a="1"/>
  <c r="J88" i="1"/>
  <c r="B48" i="1"/>
  <c r="G48" i="1"/>
  <c r="R102" i="1"/>
  <c r="F113" i="1"/>
  <c r="I32" i="1"/>
  <c r="Z108" i="1"/>
  <c r="AA129" i="1" s="1"/>
  <c r="O40" i="1"/>
  <c r="M108" i="1"/>
  <c r="F46" i="1"/>
  <c r="G106" i="1"/>
  <c r="S118" i="1"/>
  <c r="X90" i="1"/>
  <c r="X54" i="1"/>
  <c r="W108" i="1"/>
  <c r="V109" i="1"/>
  <c r="U90" i="1"/>
  <c r="L71" i="1"/>
  <c r="Y48" i="1"/>
  <c r="Q32" i="1"/>
  <c r="Z35" i="1"/>
  <c r="G88" i="1"/>
  <c r="B38" i="1"/>
  <c r="Z89" i="1"/>
  <c r="Y89" i="1"/>
  <c r="V54" i="1"/>
  <c r="E106" i="1"/>
  <c r="W102" i="1"/>
  <c r="G44" i="1"/>
  <c r="V102" i="1"/>
  <c r="X109" i="1"/>
  <c r="T35" i="1"/>
  <c r="B113" i="1"/>
  <c r="V113" i="1"/>
  <c r="L38" i="1"/>
  <c r="K48" i="1"/>
  <c r="C49" i="1"/>
  <c r="J118" i="1"/>
  <c r="F30" i="1"/>
  <c r="T106" i="1"/>
  <c r="P54" i="1"/>
  <c r="W106" i="1"/>
  <c r="N44" i="1"/>
  <c r="F108" i="1"/>
  <c r="W48" i="1"/>
  <c r="I54" i="1"/>
  <c r="G54" i="1"/>
  <c r="X32" i="1"/>
  <c r="B46" i="1"/>
  <c r="F114" i="1"/>
  <c r="S35" i="1"/>
  <c r="P89" i="1"/>
  <c r="J54" i="1"/>
  <c r="L102" i="1"/>
  <c r="V108" i="1"/>
  <c r="R71" i="1"/>
  <c r="P30" i="1"/>
  <c r="Q72" i="1"/>
  <c r="Z32" i="1"/>
  <c r="W88" i="1"/>
  <c r="R54" i="1"/>
  <c r="R88" i="1"/>
  <c r="U102" i="1"/>
  <c r="T72" i="1"/>
  <c r="I89" i="1"/>
  <c r="I29" i="1"/>
  <c r="R44" i="1"/>
  <c r="BC59" i="1" s="1"/>
  <c r="M29" i="1"/>
  <c r="U54" i="1"/>
  <c r="N113" i="1"/>
  <c r="M114" i="1"/>
  <c r="M25" i="1" s="1"/>
  <c r="H35" i="1"/>
  <c r="P32" i="1"/>
  <c r="E88" i="1"/>
  <c r="T71" i="1"/>
  <c r="V44" i="1"/>
  <c r="M72" i="1"/>
  <c r="D109" i="1"/>
  <c r="H54" i="1"/>
  <c r="D32" i="1"/>
  <c r="D15" i="1" s="1"/>
  <c r="R48" i="1"/>
  <c r="F102" i="1"/>
  <c r="X29" i="1"/>
  <c r="I108" i="1"/>
  <c r="W113" i="1"/>
  <c r="I90" i="1"/>
  <c r="V78" i="1"/>
  <c r="P88" i="1"/>
  <c r="X106" i="1"/>
  <c r="P114" i="1"/>
  <c r="V40" i="1"/>
  <c r="H46" i="1"/>
  <c r="K102" i="1"/>
  <c r="G118" i="1"/>
  <c r="O106" i="1"/>
  <c r="U32" i="1"/>
  <c r="H32" i="1"/>
  <c r="G102" i="1"/>
  <c r="Q30" i="1"/>
  <c r="T30" i="1"/>
  <c r="Y46" i="1"/>
  <c r="G113" i="1"/>
  <c r="Z29" i="1"/>
  <c r="B78" i="1"/>
  <c r="B90" i="1"/>
  <c r="Q90" i="1"/>
  <c r="Q35" i="1"/>
  <c r="Y30" i="1"/>
  <c r="D108" i="1"/>
  <c r="C48" i="1"/>
  <c r="M90" i="1"/>
  <c r="F90" i="1"/>
  <c r="Z44" i="1"/>
  <c r="E32" i="1"/>
  <c r="G32" i="1"/>
  <c r="H108" i="1"/>
  <c r="T48" i="1"/>
  <c r="U72" i="1"/>
  <c r="K40" i="1"/>
  <c r="P35" i="1"/>
  <c r="W54" i="1"/>
  <c r="V88" i="1"/>
  <c r="J29" i="1"/>
  <c r="P48" i="1"/>
  <c r="G78" i="1"/>
  <c r="C88" i="1"/>
  <c r="O29" i="1"/>
  <c r="X118" i="1"/>
  <c r="D103" i="1"/>
  <c r="U48" i="1"/>
  <c r="K88" i="1"/>
  <c r="V30" i="1"/>
  <c r="Q44" i="1"/>
  <c r="Z57" i="1"/>
  <c r="Y57" i="1" s="1"/>
  <c r="X57" i="1" s="1"/>
  <c r="W57" i="1" s="1"/>
  <c r="D106" i="1"/>
  <c r="J40" i="1"/>
  <c r="T46" i="1"/>
  <c r="R46" i="1"/>
  <c r="J114" i="1"/>
  <c r="O114" i="1"/>
  <c r="R90" i="1"/>
  <c r="L30" i="1"/>
  <c r="C30" i="1"/>
  <c r="N106" i="1"/>
  <c r="N78" i="1"/>
  <c r="R30" i="1"/>
  <c r="O113" i="1"/>
  <c r="N102" i="1"/>
  <c r="K54" i="1"/>
  <c r="T49" i="1"/>
  <c r="O32" i="1"/>
  <c r="D118" i="1"/>
  <c r="I71" i="1"/>
  <c r="W29" i="1"/>
  <c r="Y88" i="1"/>
  <c r="X108" i="1"/>
  <c r="I49" i="1"/>
  <c r="M88" i="1"/>
  <c r="T113" i="1"/>
  <c r="K108" i="1"/>
  <c r="N54" i="1"/>
  <c r="C114" i="1"/>
  <c r="Q49" i="1"/>
  <c r="Q46" i="1"/>
  <c r="P108" i="1"/>
  <c r="O35" i="1"/>
  <c r="E72" i="1"/>
  <c r="J49" i="1"/>
  <c r="R78" i="1"/>
  <c r="Q89" i="1"/>
  <c r="F88" i="1"/>
  <c r="B35" i="1"/>
  <c r="N32" i="1"/>
  <c r="Z71" i="1"/>
  <c r="E35" i="1"/>
  <c r="C78" i="1"/>
  <c r="B40" i="1"/>
  <c r="M54" i="1"/>
  <c r="B114" i="1"/>
  <c r="G38" i="1"/>
  <c r="C38" i="1"/>
  <c r="P71" i="1"/>
  <c r="X48" i="1"/>
  <c r="Y78" i="1"/>
  <c r="H72" i="1"/>
  <c r="D114" i="1"/>
  <c r="V71" i="1"/>
  <c r="W90" i="1"/>
  <c r="N108" i="1"/>
  <c r="D89" i="1"/>
  <c r="B49" i="1"/>
  <c r="F72" i="1"/>
  <c r="M102" i="1"/>
  <c r="P109" i="1"/>
  <c r="E29" i="1"/>
  <c r="J113" i="1"/>
  <c r="C40" i="1"/>
  <c r="W72" i="1"/>
  <c r="K109" i="1"/>
  <c r="C35" i="1"/>
  <c r="S109" i="1"/>
  <c r="F109" i="1"/>
  <c r="O49" i="1"/>
  <c r="F48" i="1"/>
  <c r="V38" i="1"/>
  <c r="M71" i="1"/>
  <c r="D49" i="1"/>
  <c r="U44" i="1"/>
  <c r="R114" i="1"/>
  <c r="K46" i="1"/>
  <c r="M106" i="1"/>
  <c r="K114" i="1"/>
  <c r="S54" i="1"/>
  <c r="B109" i="1"/>
  <c r="X72" i="1"/>
  <c r="H48" i="1"/>
  <c r="H40" i="1"/>
  <c r="D40" i="1"/>
  <c r="T90" i="1"/>
  <c r="V32" i="1"/>
  <c r="K72" i="1"/>
  <c r="O30" i="1"/>
  <c r="V118" i="1"/>
  <c r="Z38" i="1"/>
  <c r="S88" i="1"/>
  <c r="F29" i="1"/>
  <c r="Y54" i="1"/>
  <c r="P106" i="1"/>
  <c r="J71" i="1"/>
  <c r="U108" i="1"/>
  <c r="W44" i="1"/>
  <c r="J30" i="1"/>
  <c r="B106" i="1"/>
  <c r="L89" i="1"/>
  <c r="C109" i="1"/>
  <c r="E54" i="1"/>
  <c r="B32" i="1"/>
  <c r="BU59" i="1" s="1"/>
  <c r="C29" i="1"/>
  <c r="F44" i="1"/>
  <c r="Q109" i="1"/>
  <c r="W71" i="1"/>
  <c r="O118" i="1"/>
  <c r="X114" i="1"/>
  <c r="T44" i="1"/>
  <c r="J46" i="1"/>
  <c r="R35" i="1"/>
  <c r="X78" i="1"/>
  <c r="Y118" i="1"/>
  <c r="V106" i="1"/>
  <c r="T88" i="1"/>
  <c r="G109" i="1"/>
  <c r="X46" i="1"/>
  <c r="C108" i="1"/>
  <c r="Y29" i="1"/>
  <c r="U114" i="1"/>
  <c r="B108" i="1"/>
  <c r="L88" i="1"/>
  <c r="N46" i="1"/>
  <c r="V46" i="1"/>
  <c r="H106" i="1"/>
  <c r="Z106" i="1"/>
  <c r="M103" i="1"/>
  <c r="S72" i="1"/>
  <c r="U35" i="1"/>
  <c r="T102" i="1"/>
  <c r="L32" i="1"/>
  <c r="O48" i="1"/>
  <c r="C102" i="1"/>
  <c r="K29" i="1"/>
  <c r="U71" i="1"/>
  <c r="T32" i="1"/>
  <c r="S46" i="1"/>
  <c r="Z30" i="1"/>
  <c r="Y35" i="1"/>
  <c r="U30" i="1"/>
  <c r="N30" i="1"/>
  <c r="W32" i="1"/>
  <c r="L118" i="1"/>
  <c r="X35" i="1"/>
  <c r="Q54" i="1"/>
  <c r="E102" i="1"/>
  <c r="S102" i="1"/>
  <c r="Q102" i="1"/>
  <c r="H90" i="1"/>
  <c r="J78" i="1"/>
  <c r="L44" i="1"/>
  <c r="I114" i="1"/>
  <c r="G89" i="1"/>
  <c r="R38" i="1"/>
  <c r="Z78" i="1"/>
  <c r="Q114" i="1"/>
  <c r="I46" i="1"/>
  <c r="W49" i="1"/>
  <c r="V90" i="1"/>
  <c r="C106" i="1"/>
  <c r="B44" i="1"/>
  <c r="U46" i="1"/>
  <c r="X49" i="1"/>
  <c r="D48" i="1"/>
  <c r="D38" i="1"/>
  <c r="W109" i="1"/>
  <c r="D90" i="1"/>
  <c r="K89" i="1"/>
  <c r="V35" i="1"/>
  <c r="Q40" i="1"/>
  <c r="O71" i="1"/>
  <c r="U40" i="1"/>
  <c r="C118" i="1"/>
  <c r="H30" i="1"/>
  <c r="N109" i="1"/>
  <c r="C44" i="1"/>
  <c r="E46" i="1"/>
  <c r="O90" i="1"/>
  <c r="I88" i="1"/>
  <c r="B88" i="1"/>
  <c r="B96" i="1" s="1"/>
  <c r="I40" i="1"/>
  <c r="I30" i="1"/>
  <c r="V48" i="1"/>
  <c r="W38" i="1"/>
  <c r="G30" i="1"/>
  <c r="E113" i="1"/>
  <c r="G114" i="1"/>
  <c r="D102" i="1"/>
  <c r="U38" i="1"/>
  <c r="U109" i="1"/>
  <c r="BK59" i="1" s="1"/>
  <c r="R89" i="1"/>
  <c r="AX59" i="1" s="1"/>
  <c r="R72" i="1"/>
  <c r="T109" i="1"/>
  <c r="U49" i="1"/>
  <c r="N89" i="1"/>
  <c r="U88" i="1"/>
  <c r="M38" i="1"/>
  <c r="M46" i="1"/>
  <c r="Z48" i="1"/>
  <c r="S30" i="1"/>
  <c r="P38" i="1"/>
  <c r="S71" i="1"/>
  <c r="Z72" i="1"/>
  <c r="K35" i="1"/>
  <c r="G72" i="1"/>
  <c r="G46" i="1"/>
  <c r="T118" i="1"/>
  <c r="R118" i="1"/>
  <c r="Z118" i="1"/>
  <c r="M113" i="1"/>
  <c r="BA39" i="1"/>
  <c r="K118" i="1"/>
  <c r="I102" i="1"/>
  <c r="C71" i="1"/>
  <c r="K113" i="1"/>
  <c r="Q106" i="1"/>
  <c r="Z102" i="1"/>
  <c r="D72" i="1"/>
  <c r="M40" i="1"/>
  <c r="T114" i="1"/>
  <c r="U78" i="1"/>
  <c r="L72" i="1"/>
  <c r="X102" i="1"/>
  <c r="T78" i="1"/>
  <c r="E38" i="1"/>
  <c r="M89" i="1"/>
  <c r="P46" i="1"/>
  <c r="H78" i="1"/>
  <c r="L46" i="1"/>
  <c r="S48" i="1"/>
  <c r="L35" i="1"/>
  <c r="V89" i="1"/>
  <c r="D54" i="1"/>
  <c r="H88" i="1"/>
  <c r="Q113" i="1"/>
  <c r="P72" i="1"/>
  <c r="B54" i="1"/>
  <c r="I113" i="1"/>
  <c r="S89" i="1"/>
  <c r="Q108" i="1"/>
  <c r="I72" i="1"/>
  <c r="P118" i="1"/>
  <c r="Z40" i="1"/>
  <c r="R109" i="1"/>
  <c r="Z88" i="1"/>
  <c r="Y44" i="1"/>
  <c r="U106" i="1"/>
  <c r="X88" i="1"/>
  <c r="H102" i="1"/>
  <c r="E114" i="1"/>
  <c r="Y109" i="1"/>
  <c r="T89" i="1"/>
  <c r="Q118" i="1"/>
  <c r="Z90" i="1"/>
  <c r="D29" i="1"/>
  <c r="D12" i="1" s="1"/>
  <c r="I109" i="1"/>
  <c r="X71" i="1"/>
  <c r="F89" i="1"/>
  <c r="L29" i="1"/>
  <c r="E118" i="1"/>
  <c r="J90" i="1"/>
  <c r="W30" i="1"/>
  <c r="K30" i="1"/>
  <c r="L114" i="1"/>
  <c r="T108" i="1"/>
  <c r="F32" i="1"/>
  <c r="V114" i="1"/>
  <c r="I38" i="1"/>
  <c r="D46" i="1"/>
  <c r="D22" i="1" s="1"/>
  <c r="B102" i="1"/>
  <c r="C72" i="1"/>
  <c r="Y102" i="1"/>
  <c r="P90" i="1"/>
  <c r="G49" i="1"/>
  <c r="I35" i="1"/>
  <c r="O54" i="1"/>
  <c r="J102" i="1"/>
  <c r="R29" i="1"/>
  <c r="R49" i="1"/>
  <c r="S113" i="1"/>
  <c r="J35" i="1"/>
  <c r="Z114" i="1"/>
  <c r="AA130" i="1" s="1"/>
  <c r="K71" i="1"/>
  <c r="S44" i="1"/>
  <c r="Z49" i="1"/>
  <c r="R108" i="1"/>
  <c r="F40" i="1"/>
  <c r="H38" i="1"/>
  <c r="N90" i="1"/>
  <c r="K44" i="1"/>
  <c r="O72" i="1"/>
  <c r="N29" i="1"/>
  <c r="D35" i="1"/>
  <c r="O88" i="1"/>
  <c r="I118" i="1"/>
  <c r="U118" i="1"/>
  <c r="F54" i="1"/>
  <c r="V72" i="1"/>
  <c r="K49" i="1"/>
  <c r="U89" i="1"/>
  <c r="S40" i="1"/>
  <c r="H114" i="1"/>
  <c r="B118" i="1"/>
  <c r="W46" i="1"/>
  <c r="Y32" i="1"/>
  <c r="G29" i="1"/>
  <c r="H118" i="1"/>
  <c r="J106" i="1"/>
  <c r="R106" i="1"/>
  <c r="P40" i="1"/>
  <c r="B89" i="1"/>
  <c r="V49" i="1"/>
  <c r="N49" i="1"/>
  <c r="Q71" i="1"/>
  <c r="AU59" i="1" s="1"/>
  <c r="L108" i="1"/>
  <c r="R32" i="1"/>
  <c r="E89" i="1"/>
  <c r="T54" i="1"/>
  <c r="M49" i="1"/>
  <c r="F38" i="1"/>
  <c r="W118" i="1"/>
  <c r="C89" i="1"/>
  <c r="R103" i="1"/>
  <c r="R104" i="1" s="1"/>
  <c r="G90" i="1"/>
  <c r="Q88" i="1"/>
  <c r="D78" i="1"/>
  <c r="H71" i="1"/>
  <c r="H75" i="1" s="1"/>
  <c r="E44" i="1"/>
  <c r="B71" i="1"/>
  <c r="Q48" i="1"/>
  <c r="W40" i="1"/>
  <c r="L90" i="1"/>
  <c r="H49" i="1"/>
  <c r="E49" i="1"/>
  <c r="F118" i="1"/>
  <c r="L109" i="1"/>
  <c r="X40" i="1"/>
  <c r="U29" i="1"/>
  <c r="X38" i="1"/>
  <c r="K90" i="1"/>
  <c r="H44" i="1"/>
  <c r="F71" i="1"/>
  <c r="C46" i="1"/>
  <c r="P49" i="1"/>
  <c r="Q38" i="1"/>
  <c r="K106" i="1"/>
  <c r="V29" i="1"/>
  <c r="R40" i="1"/>
  <c r="S106" i="1"/>
  <c r="N48" i="1"/>
  <c r="H109" i="1"/>
  <c r="X89" i="1"/>
  <c r="W35" i="1"/>
  <c r="E71" i="1"/>
  <c r="Y113" i="1"/>
  <c r="G71" i="1"/>
  <c r="D30" i="1"/>
  <c r="D13" i="1" s="1"/>
  <c r="E108" i="1"/>
  <c r="D113" i="1"/>
  <c r="Z58" i="1"/>
  <c r="Y58" i="1" s="1"/>
  <c r="X58" i="1" s="1"/>
  <c r="W58" i="1" s="1"/>
  <c r="V58" i="1" s="1"/>
  <c r="U58" i="1" s="1"/>
  <c r="T58" i="1" s="1"/>
  <c r="S58" i="1" s="1"/>
  <c r="R58" i="1" s="1"/>
  <c r="Q58" i="1" s="1"/>
  <c r="P58" i="1" s="1"/>
  <c r="O58" i="1" s="1"/>
  <c r="N58" i="1" s="1"/>
  <c r="M58" i="1" s="1"/>
  <c r="L58" i="1" s="1"/>
  <c r="K58" i="1" s="1"/>
  <c r="J58" i="1" s="1"/>
  <c r="I58" i="1" s="1"/>
  <c r="H58" i="1" s="1"/>
  <c r="G58" i="1" s="1"/>
  <c r="F58" i="1" s="1"/>
  <c r="E58" i="1" s="1"/>
  <c r="D58" i="1" s="1"/>
  <c r="C58" i="1" s="1"/>
  <c r="B58" i="1" s="1"/>
  <c r="E78" i="1"/>
  <c r="M78" i="1"/>
  <c r="E90" i="1"/>
  <c r="S78" i="1"/>
  <c r="Y90" i="1"/>
  <c r="I78" i="1"/>
  <c r="W114" i="1"/>
  <c r="N35" i="1"/>
  <c r="O38" i="1"/>
  <c r="J89" i="1"/>
  <c r="G40" i="1"/>
  <c r="F78" i="1"/>
  <c r="N38" i="1"/>
  <c r="L49" i="1"/>
  <c r="K32" i="1"/>
  <c r="O109" i="1"/>
  <c r="E109" i="1"/>
  <c r="S29" i="1"/>
  <c r="J38" i="1"/>
  <c r="Q29" i="1"/>
  <c r="N88" i="1"/>
  <c r="H29" i="1"/>
  <c r="P44" i="1"/>
  <c r="Y114" i="1"/>
  <c r="P113" i="1"/>
  <c r="Y72" i="1"/>
  <c r="Z54" i="1"/>
  <c r="E40" i="1"/>
  <c r="O89" i="1"/>
  <c r="I106" i="1"/>
  <c r="B30" i="1"/>
  <c r="D44" i="1"/>
  <c r="D20" i="1" s="1"/>
  <c r="E30" i="1"/>
  <c r="Z109" i="1"/>
  <c r="N118" i="1"/>
  <c r="X44" i="1"/>
  <c r="J48" i="1"/>
  <c r="M35" i="1"/>
  <c r="G108" i="1"/>
  <c r="N71" i="1"/>
  <c r="Y38" i="1"/>
  <c r="O78" i="1"/>
  <c r="L78" i="1"/>
  <c r="S114" i="1"/>
  <c r="L48" i="1"/>
  <c r="Q78" i="1"/>
  <c r="Y71" i="1"/>
  <c r="P29" i="1"/>
  <c r="I48" i="1"/>
  <c r="O46" i="1"/>
  <c r="O44" i="1"/>
  <c r="J109" i="1"/>
  <c r="L54" i="1"/>
  <c r="B29" i="1"/>
  <c r="C54" i="1"/>
  <c r="S108" i="1"/>
  <c r="Y49" i="1"/>
  <c r="N114" i="1"/>
  <c r="U113" i="1"/>
  <c r="M44" i="1"/>
  <c r="K78" i="1"/>
  <c r="N72" i="1"/>
  <c r="C90" i="1"/>
  <c r="M109" i="1"/>
  <c r="F106" i="1"/>
  <c r="Y106" i="1"/>
  <c r="L40" i="1"/>
  <c r="H113" i="1"/>
  <c r="T29" i="1"/>
  <c r="S32" i="1"/>
  <c r="S38" i="1"/>
  <c r="K38" i="1"/>
  <c r="T40" i="1"/>
  <c r="W78" i="1"/>
  <c r="H89" i="1"/>
  <c r="J32" i="1"/>
  <c r="C32" i="1"/>
  <c r="M48" i="1"/>
  <c r="Y108" i="1"/>
  <c r="O102" i="1"/>
  <c r="E48" i="1"/>
  <c r="F49" i="1"/>
  <c r="S49" i="1"/>
  <c r="X30" i="1"/>
  <c r="R113" i="1"/>
  <c r="D71" i="1"/>
  <c r="Z46" i="1"/>
  <c r="P78" i="1"/>
  <c r="D88" i="1"/>
  <c r="Z113" i="1"/>
  <c r="S90" i="1"/>
  <c r="L106" i="1"/>
  <c r="I44" i="1"/>
  <c r="M118" i="1"/>
  <c r="O108" i="1"/>
  <c r="M30" i="1"/>
  <c r="L113" i="1"/>
  <c r="P102" i="1"/>
  <c r="J108" i="1"/>
  <c r="C113" i="1"/>
  <c r="J44" i="1"/>
  <c r="X113" i="1"/>
  <c r="J72" i="1"/>
  <c r="B72" i="1"/>
  <c r="M32" i="1"/>
  <c r="W89" i="1"/>
  <c r="N103" i="1"/>
  <c r="CC88" i="1"/>
  <c r="BZ106" i="1"/>
  <c r="CA106" i="1" s="1"/>
  <c r="CB106" i="1" s="1"/>
  <c r="CC106" i="1" s="1"/>
  <c r="BN59" i="1"/>
  <c r="BM59" i="1"/>
  <c r="U25" i="1" l="1"/>
  <c r="BU50" i="1"/>
  <c r="BN32" i="1" s="1"/>
  <c r="Z51" i="130" s="1"/>
  <c r="AR32" i="1"/>
  <c r="BM29" i="1" s="1"/>
  <c r="AI57" i="1" s="1"/>
  <c r="AL29" i="1" s="1"/>
  <c r="BB69" i="1" s="1"/>
  <c r="BT67" i="1"/>
  <c r="BB54" i="1"/>
  <c r="AQ57" i="1"/>
  <c r="BR44" i="1"/>
  <c r="BH71" i="1" s="1"/>
  <c r="BF29" i="1" s="1"/>
  <c r="BI39" i="1"/>
  <c r="AQ32" i="1" s="1"/>
  <c r="BR54" i="1"/>
  <c r="BJ39" i="1" s="1"/>
  <c r="AM46" i="1" s="1"/>
  <c r="AJ71" i="1"/>
  <c r="AU50" i="1" s="1"/>
  <c r="AS50" i="1" s="1"/>
  <c r="AO50" i="1" s="1"/>
  <c r="AQ44" i="1" s="1"/>
  <c r="BT35" i="1" s="1"/>
  <c r="BL29" i="1" s="1"/>
  <c r="W51" i="130" s="1"/>
  <c r="BS67" i="1"/>
  <c r="BK29" i="1" s="1"/>
  <c r="AL58" i="1" s="1"/>
  <c r="AJ30" i="1" s="1"/>
  <c r="AY54" i="1"/>
  <c r="BV35" i="1" s="1"/>
  <c r="BT32" i="1" s="1"/>
  <c r="BE71" i="1"/>
  <c r="BA71" i="1"/>
  <c r="BP29" i="1"/>
  <c r="BS35" i="1"/>
  <c r="AH44" i="1" s="1"/>
  <c r="AH20" i="1" s="1"/>
  <c r="BS50" i="1"/>
  <c r="AV69" i="1" s="1"/>
  <c r="BI46" i="1" s="1"/>
  <c r="AI39" i="1"/>
  <c r="AH54" i="1" s="1"/>
  <c r="BB32" i="1" s="1"/>
  <c r="BL67" i="1"/>
  <c r="BU71" i="1" s="1"/>
  <c r="BJ71" i="1" s="1"/>
  <c r="AW68" i="1" s="1"/>
  <c r="AJ58" i="1" s="1"/>
  <c r="BM30" i="1" s="1"/>
  <c r="AX29" i="1"/>
  <c r="AU68" i="1" s="1"/>
  <c r="BS46" i="1"/>
  <c r="AO29" i="1" s="1"/>
  <c r="M51" i="130" s="1"/>
  <c r="BN35" i="1"/>
  <c r="AQ72" i="1" s="1"/>
  <c r="AH30" i="1" s="1"/>
  <c r="AH13" i="1" s="1"/>
  <c r="AP72" i="1" s="1"/>
  <c r="AW71" i="1" s="1"/>
  <c r="AX50" i="1" s="1"/>
  <c r="BI68" i="1" s="1"/>
  <c r="BE30" i="1"/>
  <c r="BB71" i="1"/>
  <c r="AZ35" i="1" s="1"/>
  <c r="AP30" i="1"/>
  <c r="BR50" i="1"/>
  <c r="BQ54" i="1" s="1"/>
  <c r="AJ68" i="1" s="1"/>
  <c r="BV54" i="1"/>
  <c r="AH57" i="1"/>
  <c r="AR72" i="1"/>
  <c r="AX35" i="1"/>
  <c r="AM69" i="1" s="1"/>
  <c r="BS39" i="1" s="1"/>
  <c r="BA54" i="1" s="1"/>
  <c r="AJ69" i="1" s="1"/>
  <c r="BG44" i="1" s="1"/>
  <c r="BG35" i="1" s="1"/>
  <c r="AI71" i="1" s="1"/>
  <c r="AO39" i="1"/>
  <c r="AP32" i="1" s="1"/>
  <c r="BM50" i="1" s="1"/>
  <c r="BI29" i="1" s="1"/>
  <c r="BJ44" i="1" s="1"/>
  <c r="BR35" i="1"/>
  <c r="AY29" i="1" s="1"/>
  <c r="AL51" i="130" s="1"/>
  <c r="BS44" i="1"/>
  <c r="BG72" i="1" s="1"/>
  <c r="BG73" i="1" s="1"/>
  <c r="BS69" i="1" s="1"/>
  <c r="E51" i="130" s="1"/>
  <c r="AN68" i="1"/>
  <c r="AL72" i="1" s="1"/>
  <c r="BR71" i="1"/>
  <c r="BJ30" i="1" s="1"/>
  <c r="BF72" i="1"/>
  <c r="BF73" i="1" s="1"/>
  <c r="AP57" i="1" s="1"/>
  <c r="BH50" i="1"/>
  <c r="AO67" i="1" s="1"/>
  <c r="AL69" i="1" s="1"/>
  <c r="BI54" i="1" s="1"/>
  <c r="BD71" i="1" s="1"/>
  <c r="AX68" i="1" s="1"/>
  <c r="V51" i="130"/>
  <c r="BM72" i="1"/>
  <c r="BN67" i="1"/>
  <c r="AQ58" i="1" s="1"/>
  <c r="AP51" i="130"/>
  <c r="AX54" i="1"/>
  <c r="BO32" i="1"/>
  <c r="BH68" i="1"/>
  <c r="BD67" i="1" s="1"/>
  <c r="BF35" i="1"/>
  <c r="BP39" i="1" s="1"/>
  <c r="BK54" i="1" s="1"/>
  <c r="BP32" i="1"/>
  <c r="H51" i="130" s="1"/>
  <c r="BP35" i="1"/>
  <c r="BB46" i="1" s="1"/>
  <c r="BQ44" i="1" s="1"/>
  <c r="BD69" i="1" s="1"/>
  <c r="AQ50" i="1" s="1"/>
  <c r="AH58" i="1"/>
  <c r="AO57" i="1" s="1"/>
  <c r="BV71" i="1" s="1"/>
  <c r="BK68" i="1" s="1"/>
  <c r="D51" i="130" s="1"/>
  <c r="BT44" i="1"/>
  <c r="AN69" i="1" s="1"/>
  <c r="BB50" i="1" s="1"/>
  <c r="AS72" i="1"/>
  <c r="BC71" i="1"/>
  <c r="AV32" i="1" s="1"/>
  <c r="AN44" i="1" s="1"/>
  <c r="AU69" i="1" s="1"/>
  <c r="BC54" i="1" s="1"/>
  <c r="AL71" i="1" s="1"/>
  <c r="BT68" i="1" s="1"/>
  <c r="AI32" i="1" s="1"/>
  <c r="AR71" i="1" s="1"/>
  <c r="AS39" i="1" s="1"/>
  <c r="BI30" i="1" s="1"/>
  <c r="BN54" i="1" s="1"/>
  <c r="AK50" i="1" s="1"/>
  <c r="BE29" i="1" s="1"/>
  <c r="BD29" i="1" s="1"/>
  <c r="BU69" i="1" s="1"/>
  <c r="AU30" i="1" s="1"/>
  <c r="BK69" i="1" s="1"/>
  <c r="AH71" i="1" s="1"/>
  <c r="BD72" i="1"/>
  <c r="BD73" i="1" s="1"/>
  <c r="AI51" i="130"/>
  <c r="AN46" i="1"/>
  <c r="BM69" i="1"/>
  <c r="BT46" i="1"/>
  <c r="AM29" i="1" s="1"/>
  <c r="BU54" i="1" s="1"/>
  <c r="AU72" i="1" s="1"/>
  <c r="BB72" i="1"/>
  <c r="BB73" i="1" s="1"/>
  <c r="BB35" i="1" s="1"/>
  <c r="BC39" i="1" s="1"/>
  <c r="BL72" i="1" s="1"/>
  <c r="BL73" i="1" s="1"/>
  <c r="BO35" i="1"/>
  <c r="BG54" i="1"/>
  <c r="BO54" i="1"/>
  <c r="BK72" i="1" s="1"/>
  <c r="BP54" i="1" s="1"/>
  <c r="AW35" i="1"/>
  <c r="AR39" i="1"/>
  <c r="AR35" i="1" s="1"/>
  <c r="BH46" i="1"/>
  <c r="AR44" i="1" s="1"/>
  <c r="AF51" i="130"/>
  <c r="BA67" i="1"/>
  <c r="BU46" i="1" s="1"/>
  <c r="BQ69" i="1" s="1"/>
  <c r="T51" i="130" s="1"/>
  <c r="AV29" i="1"/>
  <c r="U51" i="130" s="1"/>
  <c r="BB44" i="1"/>
  <c r="AZ71" i="1"/>
  <c r="BJ68" i="1" s="1"/>
  <c r="AR54" i="1" s="1"/>
  <c r="AT54" i="1"/>
  <c r="BS54" i="1"/>
  <c r="AO68" i="1" s="1"/>
  <c r="AU32" i="1" s="1"/>
  <c r="BH39" i="1" s="1"/>
  <c r="BT72" i="1" s="1"/>
  <c r="AH29" i="1" s="1"/>
  <c r="BO39" i="1"/>
  <c r="BD44" i="1"/>
  <c r="BP30" i="1"/>
  <c r="AK46" i="1" s="1"/>
  <c r="AO35" i="1" s="1"/>
  <c r="BD30" i="1"/>
  <c r="BX58" i="1" s="1"/>
  <c r="AM32" i="1" s="1"/>
  <c r="BR29" i="1" s="1"/>
  <c r="BJ50" i="1" s="1"/>
  <c r="BD32" i="1" s="1"/>
  <c r="AR30" i="1"/>
  <c r="AS68" i="1" s="1"/>
  <c r="BK44" i="1" s="1"/>
  <c r="AJ50" i="1" s="1"/>
  <c r="AL30" i="1"/>
  <c r="AL31" i="1" s="1"/>
  <c r="AJ32" i="1" s="1"/>
  <c r="S51" i="130" s="1"/>
  <c r="K51" i="130"/>
  <c r="AJ39" i="1"/>
  <c r="AN54" i="1" s="1"/>
  <c r="AZ32" i="1" s="1"/>
  <c r="BA35" i="1" s="1"/>
  <c r="AM68" i="1"/>
  <c r="AV67" i="1" s="1"/>
  <c r="BI67" i="1" s="1"/>
  <c r="AU67" i="1"/>
  <c r="BH69" i="1"/>
  <c r="BC68" i="1" s="1"/>
  <c r="AH51" i="130" s="1"/>
  <c r="BR39" i="1"/>
  <c r="BO44" i="1" s="1"/>
  <c r="BN46" i="1"/>
  <c r="AY44" i="1" s="1"/>
  <c r="BL32" i="1" s="1"/>
  <c r="AW32" i="1"/>
  <c r="AP67" i="1" s="1"/>
  <c r="BE54" i="1" s="1"/>
  <c r="AS32" i="1" s="1"/>
  <c r="BM46" i="1" s="1"/>
  <c r="BC67" i="1"/>
  <c r="BR69" i="1" s="1"/>
  <c r="AS30" i="1" s="1"/>
  <c r="BF71" i="1" s="1"/>
  <c r="AV46" i="1" s="1"/>
  <c r="AQ30" i="1" s="1"/>
  <c r="BG68" i="1" s="1"/>
  <c r="BU35" i="1" s="1"/>
  <c r="BF54" i="1" s="1"/>
  <c r="BL44" i="1" s="1"/>
  <c r="BE44" i="1"/>
  <c r="AT69" i="1"/>
  <c r="AP39" i="1" s="1"/>
  <c r="BI69" i="1"/>
  <c r="AN57" i="1"/>
  <c r="BL46" i="1" s="1"/>
  <c r="AU44" i="1"/>
  <c r="Q51" i="130" s="1"/>
  <c r="BQ29" i="1"/>
  <c r="AM51" i="130" s="1"/>
  <c r="BG69" i="1"/>
  <c r="BP46" i="1" s="1"/>
  <c r="AH32" i="1"/>
  <c r="AH15" i="1" s="1"/>
  <c r="AT46" i="1"/>
  <c r="BQ67" i="1"/>
  <c r="BK50" i="1"/>
  <c r="BN44" i="1" s="1"/>
  <c r="AP68" i="1"/>
  <c r="AN35" i="1"/>
  <c r="AT35" i="1"/>
  <c r="AT71" i="1"/>
  <c r="AW44" i="1" s="1"/>
  <c r="AU54" i="1"/>
  <c r="AN72" i="1" s="1"/>
  <c r="BH44" i="1"/>
  <c r="AN71" i="1" s="1"/>
  <c r="AI54" i="1"/>
  <c r="BA46" i="1" s="1"/>
  <c r="BT29" i="1"/>
  <c r="AD51" i="130" s="1"/>
  <c r="AL32" i="1"/>
  <c r="BL35" i="1"/>
  <c r="BP71" i="1" s="1"/>
  <c r="AI69" i="1" s="1"/>
  <c r="BI32" i="1" s="1"/>
  <c r="BT30" i="1"/>
  <c r="BC44" i="1" s="1"/>
  <c r="AC51" i="130"/>
  <c r="AK29" i="1"/>
  <c r="BV69" i="1"/>
  <c r="AQ54" i="1" s="1"/>
  <c r="BO46" i="1" s="1"/>
  <c r="AS46" i="1"/>
  <c r="BH35" i="1" s="1"/>
  <c r="BD46" i="1" s="1"/>
  <c r="BQ32" i="1" s="1"/>
  <c r="BV46" i="1" s="1"/>
  <c r="AQ67" i="1"/>
  <c r="L51" i="130" s="1"/>
  <c r="AK30" i="1"/>
  <c r="AJ46" i="1" s="1"/>
  <c r="AL54" i="1" s="1"/>
  <c r="BA30" i="1" s="1"/>
  <c r="BB68" i="1" s="1"/>
  <c r="AX30" i="1"/>
  <c r="BT59" i="1" s="1"/>
  <c r="AM71" i="1"/>
  <c r="AZ67" i="1" s="1"/>
  <c r="BL69" i="1" s="1"/>
  <c r="BU39" i="1" s="1"/>
  <c r="AR46" i="1"/>
  <c r="BJ29" i="1"/>
  <c r="BN30" i="1" s="1"/>
  <c r="BR67" i="1" s="1"/>
  <c r="BR68" i="1" s="1"/>
  <c r="AR67" i="1" s="1"/>
  <c r="BM67" i="1" s="1"/>
  <c r="AL57" i="1" s="1"/>
  <c r="BE32" i="1" s="1"/>
  <c r="BD39" i="1" s="1"/>
  <c r="AM39" i="1" s="1"/>
  <c r="AR68" i="1" s="1"/>
  <c r="BP44" i="1" s="1"/>
  <c r="BH67" i="1" s="1"/>
  <c r="AN30" i="1" s="1"/>
  <c r="BN72" i="1"/>
  <c r="AP71" i="1"/>
  <c r="AK67" i="1"/>
  <c r="AY32" i="1"/>
  <c r="BT71" i="1"/>
  <c r="AW30" i="1"/>
  <c r="BG71" i="1"/>
  <c r="AI29" i="1" s="1"/>
  <c r="AJ57" i="1" s="1"/>
  <c r="AT72" i="1" s="1"/>
  <c r="AO32" i="1" s="1"/>
  <c r="AJ72" i="1" s="1"/>
  <c r="AY35" i="1"/>
  <c r="BF67" i="1" s="1"/>
  <c r="AL46" i="1"/>
  <c r="AI50" i="1"/>
  <c r="BK30" i="1" s="1"/>
  <c r="AK72" i="1" s="1"/>
  <c r="AW69" i="1" s="1"/>
  <c r="AR29" i="1" s="1"/>
  <c r="AB51" i="130" s="1"/>
  <c r="BU29" i="1"/>
  <c r="AP50" i="1" s="1"/>
  <c r="AA51" i="130"/>
  <c r="BE69" i="1"/>
  <c r="BI72" i="1"/>
  <c r="BI73" i="1" s="1"/>
  <c r="BE46" i="1"/>
  <c r="AN58" i="1"/>
  <c r="AK57" i="1" s="1"/>
  <c r="AK54" i="1"/>
  <c r="AV44" i="1" s="1"/>
  <c r="AW29" i="1"/>
  <c r="BI50" i="1" s="1"/>
  <c r="O51" i="130"/>
  <c r="AO46" i="1"/>
  <c r="BL71" i="1" s="1"/>
  <c r="AY46" i="1" s="1"/>
  <c r="AV71" i="1" s="1"/>
  <c r="BR30" i="1" s="1"/>
  <c r="AL35" i="1"/>
  <c r="AH50" i="1" s="1"/>
  <c r="BO72" i="1" s="1"/>
  <c r="BE67" i="1"/>
  <c r="BJ54" i="1" s="1"/>
  <c r="BQ35" i="1" s="1"/>
  <c r="BM71" i="1" s="1"/>
  <c r="AY68" i="1"/>
  <c r="BS68" i="1" s="1"/>
  <c r="BK35" i="1" s="1"/>
  <c r="AZ46" i="1" s="1"/>
  <c r="BC50" i="1"/>
  <c r="AU46" i="1"/>
  <c r="BV29" i="1" s="1"/>
  <c r="AS58" i="1"/>
  <c r="AS67" i="1" s="1"/>
  <c r="AX32" i="1"/>
  <c r="BL54" i="1"/>
  <c r="F51" i="130"/>
  <c r="AJ29" i="1"/>
  <c r="BD50" i="1" s="1"/>
  <c r="BP69" i="1"/>
  <c r="AU35" i="1" s="1"/>
  <c r="AS29" i="1" s="1"/>
  <c r="BA69" i="1" s="1"/>
  <c r="AS44" i="1" s="1"/>
  <c r="AZ72" i="1" s="1"/>
  <c r="AZ73" i="1" s="1"/>
  <c r="BD54" i="1"/>
  <c r="AO72" i="1"/>
  <c r="BQ68" i="1"/>
  <c r="BB67" i="1"/>
  <c r="BN39" i="1" s="1"/>
  <c r="BV72" i="1"/>
  <c r="BV73" i="1" s="1"/>
  <c r="BU68" i="1" s="1"/>
  <c r="AT30" i="1" s="1"/>
  <c r="I25" i="1"/>
  <c r="N51" i="130"/>
  <c r="I51" i="130"/>
  <c r="BR32" i="1"/>
  <c r="AQ69" i="1" s="1"/>
  <c r="AK71" i="1"/>
  <c r="BN50" i="1" s="1"/>
  <c r="AZ68" i="1" s="1"/>
  <c r="BC29" i="1" s="1"/>
  <c r="BB39" i="1" s="1"/>
  <c r="BS30" i="1" s="1"/>
  <c r="BG50" i="1" s="1"/>
  <c r="AX71" i="1" s="1"/>
  <c r="AT32" i="1"/>
  <c r="AL67" i="1" s="1"/>
  <c r="AP58" i="1" s="1"/>
  <c r="BM54" i="1" s="1"/>
  <c r="AP46" i="1" s="1"/>
  <c r="AX44" i="1"/>
  <c r="BV50" i="1" s="1"/>
  <c r="BL50" i="1"/>
  <c r="BM68" i="1" s="1"/>
  <c r="Y51" i="130" s="1"/>
  <c r="AT50" i="1"/>
  <c r="AY72" i="1"/>
  <c r="AY73" i="1" s="1"/>
  <c r="AJ35" i="1" s="1"/>
  <c r="BO69" i="1" s="1"/>
  <c r="BS71" i="1" s="1"/>
  <c r="BR59" i="1" s="1"/>
  <c r="BR72" i="1"/>
  <c r="AO69" i="1" s="1"/>
  <c r="BO71" i="1"/>
  <c r="AW67" i="1"/>
  <c r="BV67" i="1"/>
  <c r="BJ35" i="1" s="1"/>
  <c r="AV54" i="1"/>
  <c r="AJ51" i="130" s="1"/>
  <c r="AZ50" i="1"/>
  <c r="BN29" i="1"/>
  <c r="AO58" i="1"/>
  <c r="BT54" i="1"/>
  <c r="AQ68" i="1" s="1"/>
  <c r="AI72" i="1" s="1"/>
  <c r="AY69" i="1" s="1"/>
  <c r="AO30" i="1"/>
  <c r="AP44" i="1" s="1"/>
  <c r="AI30" i="1" s="1"/>
  <c r="AN32" i="1" s="1"/>
  <c r="AT29" i="1" s="1"/>
  <c r="BV39" i="1" s="1"/>
  <c r="AZ69" i="1" s="1"/>
  <c r="AN29" i="1" s="1"/>
  <c r="BH30" i="1"/>
  <c r="BD35" i="1"/>
  <c r="BO29" i="1"/>
  <c r="BC69" i="1" s="1"/>
  <c r="BE68" i="1" s="1"/>
  <c r="AP29" i="1" s="1"/>
  <c r="AR57" i="1"/>
  <c r="AM30" i="1"/>
  <c r="AL44" i="1"/>
  <c r="AU39" i="1"/>
  <c r="AV50" i="1" s="1"/>
  <c r="BU44" i="1"/>
  <c r="AZ54" i="1" s="1"/>
  <c r="AZ29" i="1" s="1"/>
  <c r="AK35" i="1" s="1"/>
  <c r="AM67" i="1"/>
  <c r="AL50" i="1"/>
  <c r="BQ71" i="1" s="1"/>
  <c r="AT39" i="1"/>
  <c r="AK68" i="1" s="1"/>
  <c r="BF32" i="1" s="1"/>
  <c r="AI67" i="1"/>
  <c r="AP69" i="1"/>
  <c r="AZ30" i="1" s="1"/>
  <c r="AY39" i="1"/>
  <c r="AW39" i="1" s="1"/>
  <c r="AO71" i="1" s="1"/>
  <c r="AJ44" i="1" s="1"/>
  <c r="BP50" i="1" s="1"/>
  <c r="AI46" i="1" s="1"/>
  <c r="AO51" i="130"/>
  <c r="BM39" i="1"/>
  <c r="BF30" i="1"/>
  <c r="AH35" i="1"/>
  <c r="BG39" i="1" s="1"/>
  <c r="G51" i="130" s="1"/>
  <c r="BA32" i="1"/>
  <c r="AO44" i="1" s="1"/>
  <c r="BT50" i="1" s="1"/>
  <c r="BU67" i="1" s="1"/>
  <c r="AM58" i="1" s="1"/>
  <c r="BL39" i="1" s="1"/>
  <c r="BG29" i="1" s="1"/>
  <c r="BA44" i="1"/>
  <c r="BN68" i="1" s="1"/>
  <c r="AU71" i="1" s="1"/>
  <c r="BH72" i="1"/>
  <c r="BH73" i="1" s="1"/>
  <c r="BF46" i="1" s="1"/>
  <c r="BO50" i="1"/>
  <c r="P51" i="130"/>
  <c r="BM32" i="1"/>
  <c r="AM54" i="1" s="1"/>
  <c r="BE39" i="1" s="1"/>
  <c r="BC32" i="1" s="1"/>
  <c r="BS32" i="1" s="1"/>
  <c r="AQ51" i="130" s="1"/>
  <c r="AX46" i="1"/>
  <c r="AS69" i="1" s="1"/>
  <c r="BU32" i="1"/>
  <c r="AH72" i="1" s="1"/>
  <c r="AN51" i="130" s="1"/>
  <c r="AO54" i="1"/>
  <c r="AJ54" i="1" s="1"/>
  <c r="AH46" i="1" s="1"/>
  <c r="AH22" i="1" s="1"/>
  <c r="BF69" i="1" s="1"/>
  <c r="BC30" i="1"/>
  <c r="AM72" i="1" s="1"/>
  <c r="BH54" i="1" s="1"/>
  <c r="AX69" i="1" s="1"/>
  <c r="BP68" i="1"/>
  <c r="BE50" i="1" s="1"/>
  <c r="AY67" i="1" s="1"/>
  <c r="AK69" i="1" s="1"/>
  <c r="BT39" i="1"/>
  <c r="AK51" i="130" s="1"/>
  <c r="AX67" i="1"/>
  <c r="J51" i="130" s="1"/>
  <c r="AM50" i="1"/>
  <c r="BI35" i="1"/>
  <c r="BK32" i="1"/>
  <c r="BO30" i="1" s="1"/>
  <c r="AI68" i="1" s="1"/>
  <c r="V25" i="1"/>
  <c r="AX39" i="1"/>
  <c r="AV39" i="1"/>
  <c r="AL39" i="1"/>
  <c r="H25" i="1"/>
  <c r="AV30" i="1"/>
  <c r="BG46" i="1" s="1"/>
  <c r="AK39" i="1" s="1"/>
  <c r="BV32" i="1"/>
  <c r="AV72" i="1"/>
  <c r="AV73" i="1" s="1"/>
  <c r="AS35" i="1"/>
  <c r="BU30" i="1" s="1"/>
  <c r="BP72" i="1"/>
  <c r="BQ50" i="1" s="1"/>
  <c r="AU29" i="1"/>
  <c r="BK39" i="1" s="1"/>
  <c r="AI35" i="1" s="1"/>
  <c r="BJ46" i="1" s="1"/>
  <c r="AG51" i="130" s="1"/>
  <c r="AS71" i="1"/>
  <c r="AS54" i="1"/>
  <c r="BN71" i="1"/>
  <c r="AV35" i="1"/>
  <c r="AT67" i="1"/>
  <c r="BF50" i="1" s="1"/>
  <c r="BQ72" i="1"/>
  <c r="E129" i="1"/>
  <c r="D80" i="1"/>
  <c r="W25" i="1"/>
  <c r="AR58" i="1"/>
  <c r="X51" i="130"/>
  <c r="AW54" i="1"/>
  <c r="BJ69" i="1" s="1"/>
  <c r="AT68" i="1"/>
  <c r="AI44" i="1"/>
  <c r="BQ30" i="1"/>
  <c r="BD68" i="1"/>
  <c r="BT69" i="1"/>
  <c r="AM44" i="1" s="1"/>
  <c r="AT59" i="1" s="1"/>
  <c r="BK67" i="1"/>
  <c r="BQ46" i="1"/>
  <c r="AW72" i="1"/>
  <c r="AW73" i="1" s="1"/>
  <c r="BA72" i="1" s="1"/>
  <c r="BA73" i="1" s="1"/>
  <c r="AN39" i="1"/>
  <c r="BI71" i="1"/>
  <c r="BF44" i="1"/>
  <c r="BJ32" i="1"/>
  <c r="AP35" i="1" s="1"/>
  <c r="AY71" i="1"/>
  <c r="BA68" i="1"/>
  <c r="BG30" i="1" s="1"/>
  <c r="Z129" i="1"/>
  <c r="AL68" i="1"/>
  <c r="AQ71" i="1" s="1"/>
  <c r="BO67" i="1"/>
  <c r="BR46" i="1"/>
  <c r="BB30" i="1" s="1"/>
  <c r="BU72" i="1"/>
  <c r="BJ67" i="1" s="1"/>
  <c r="BB29" i="1"/>
  <c r="J129" i="1"/>
  <c r="Z25" i="1"/>
  <c r="D25" i="1"/>
  <c r="K25" i="1"/>
  <c r="J25" i="1"/>
  <c r="Y25" i="1"/>
  <c r="T25" i="1"/>
  <c r="R25" i="1"/>
  <c r="Q130" i="1"/>
  <c r="Q25" i="1"/>
  <c r="P25" i="1"/>
  <c r="L25" i="1"/>
  <c r="X25" i="1"/>
  <c r="C25" i="1"/>
  <c r="O25" i="1"/>
  <c r="F25" i="1"/>
  <c r="N25" i="1"/>
  <c r="E25" i="1"/>
  <c r="G25" i="1"/>
  <c r="S25" i="1"/>
  <c r="B25" i="1"/>
  <c r="N76" i="1"/>
  <c r="F80" i="1"/>
  <c r="V110" i="1"/>
  <c r="V131" i="1" s="1"/>
  <c r="BS36" i="1"/>
  <c r="BT36" i="1"/>
  <c r="BB36" i="1"/>
  <c r="BC36" i="1"/>
  <c r="V75" i="1"/>
  <c r="S116" i="1"/>
  <c r="BI36" i="1"/>
  <c r="BK36" i="1"/>
  <c r="AM36" i="1"/>
  <c r="AV36" i="1"/>
  <c r="AS36" i="1"/>
  <c r="AP36" i="1"/>
  <c r="AQ36" i="1"/>
  <c r="AH36" i="1"/>
  <c r="G80" i="1"/>
  <c r="AN36" i="1"/>
  <c r="AK36" i="1"/>
  <c r="BP36" i="1"/>
  <c r="I129" i="1"/>
  <c r="N110" i="1"/>
  <c r="N131" i="1" s="1"/>
  <c r="B103" i="1"/>
  <c r="B104" i="1" s="1"/>
  <c r="C117" i="1"/>
  <c r="C120" i="1" s="1"/>
  <c r="I103" i="1"/>
  <c r="I104" i="1" s="1"/>
  <c r="P117" i="1"/>
  <c r="P120" i="1" s="1"/>
  <c r="W80" i="1"/>
  <c r="V103" i="1"/>
  <c r="V104" i="1" s="1"/>
  <c r="B116" i="1"/>
  <c r="Q76" i="1"/>
  <c r="BM36" i="1"/>
  <c r="AY36" i="1"/>
  <c r="AJ36" i="1"/>
  <c r="BG36" i="1"/>
  <c r="BH36" i="1"/>
  <c r="BJ36" i="1"/>
  <c r="BF36" i="1"/>
  <c r="BD36" i="1"/>
  <c r="AO36" i="1"/>
  <c r="AO41" i="1" s="1"/>
  <c r="BQ36" i="1"/>
  <c r="AX36" i="1"/>
  <c r="AU36" i="1"/>
  <c r="AR36" i="1"/>
  <c r="BO36" i="1"/>
  <c r="BV36" i="1"/>
  <c r="BE36" i="1"/>
  <c r="AI36" i="1"/>
  <c r="BU36" i="1"/>
  <c r="AZ36" i="1"/>
  <c r="AL36" i="1"/>
  <c r="AW36" i="1"/>
  <c r="BR36" i="1"/>
  <c r="BR41" i="1" s="1"/>
  <c r="BN36" i="1"/>
  <c r="BN41" i="1" s="1"/>
  <c r="BL36" i="1"/>
  <c r="AU73" i="1"/>
  <c r="AT36" i="1"/>
  <c r="BA36" i="1"/>
  <c r="BA41" i="1" s="1"/>
  <c r="P130" i="1"/>
  <c r="I75" i="1"/>
  <c r="M116" i="1"/>
  <c r="M117" i="1"/>
  <c r="M120" i="1" s="1"/>
  <c r="X76" i="1"/>
  <c r="E103" i="1"/>
  <c r="E104" i="1" s="1"/>
  <c r="B110" i="1"/>
  <c r="I116" i="1"/>
  <c r="M104" i="1"/>
  <c r="S76" i="1"/>
  <c r="AO31" i="1"/>
  <c r="AO33" i="1" s="1"/>
  <c r="AT31" i="1"/>
  <c r="AT33" i="1" s="1"/>
  <c r="AP31" i="1"/>
  <c r="AP33" i="1" s="1"/>
  <c r="S75" i="1"/>
  <c r="K80" i="1"/>
  <c r="S103" i="1"/>
  <c r="S104" i="1" s="1"/>
  <c r="S4" i="1" s="1"/>
  <c r="D76" i="1"/>
  <c r="W116" i="1"/>
  <c r="P103" i="1"/>
  <c r="P104" i="1" s="1"/>
  <c r="Z75" i="1"/>
  <c r="G31" i="1"/>
  <c r="G33" i="1" s="1"/>
  <c r="Q75" i="1"/>
  <c r="Z117" i="1"/>
  <c r="Z120" i="1" s="1"/>
  <c r="B75" i="1"/>
  <c r="H110" i="1"/>
  <c r="H131" i="1" s="1"/>
  <c r="U103" i="1"/>
  <c r="U104" i="1" s="1"/>
  <c r="E75" i="1"/>
  <c r="G75" i="1"/>
  <c r="B76" i="1"/>
  <c r="H130" i="1"/>
  <c r="I130" i="1"/>
  <c r="F116" i="1"/>
  <c r="T31" i="1"/>
  <c r="T33" i="1" s="1"/>
  <c r="H117" i="1"/>
  <c r="H120" i="1" s="1"/>
  <c r="D116" i="1"/>
  <c r="BZ58" i="1"/>
  <c r="CA58" i="1" s="1"/>
  <c r="CB58" i="1" s="1"/>
  <c r="CC58" i="1" s="1"/>
  <c r="T38" i="1"/>
  <c r="T36" i="1"/>
  <c r="D110" i="1"/>
  <c r="P75" i="1"/>
  <c r="G117" i="1"/>
  <c r="G120" i="1" s="1"/>
  <c r="I110" i="1"/>
  <c r="I131" i="1" s="1"/>
  <c r="K117" i="1"/>
  <c r="K120" i="1" s="1"/>
  <c r="K103" i="1"/>
  <c r="K104" i="1" s="1"/>
  <c r="O31" i="1"/>
  <c r="O33" i="1" s="1"/>
  <c r="J31" i="1"/>
  <c r="J33" i="1" s="1"/>
  <c r="W75" i="1"/>
  <c r="P76" i="1"/>
  <c r="N117" i="1"/>
  <c r="N120" i="1" s="1"/>
  <c r="I80" i="1"/>
  <c r="I76" i="1"/>
  <c r="T129" i="1"/>
  <c r="F103" i="1"/>
  <c r="F104" i="1" s="1"/>
  <c r="E110" i="1"/>
  <c r="E131" i="1" s="1"/>
  <c r="H31" i="1"/>
  <c r="H33" i="1" s="1"/>
  <c r="Y130" i="1"/>
  <c r="P80" i="1"/>
  <c r="J130" i="1"/>
  <c r="J76" i="1"/>
  <c r="L31" i="1"/>
  <c r="L33" i="1" s="1"/>
  <c r="P110" i="1"/>
  <c r="E76" i="1"/>
  <c r="K31" i="1"/>
  <c r="K33" i="1" s="1"/>
  <c r="L34" i="1" s="1"/>
  <c r="Y117" i="1"/>
  <c r="Y120" i="1" s="1"/>
  <c r="R76" i="1"/>
  <c r="Q80" i="1"/>
  <c r="L116" i="1"/>
  <c r="S31" i="1"/>
  <c r="S33" i="1" s="1"/>
  <c r="Q117" i="1"/>
  <c r="Q120" i="1" s="1"/>
  <c r="Q116" i="1"/>
  <c r="R36" i="1"/>
  <c r="R41" i="1" s="1"/>
  <c r="C36" i="1"/>
  <c r="C41" i="1" s="1"/>
  <c r="R80" i="1"/>
  <c r="D75" i="1"/>
  <c r="O129" i="1"/>
  <c r="L80" i="1"/>
  <c r="S130" i="1"/>
  <c r="R130" i="1"/>
  <c r="U129" i="1"/>
  <c r="U110" i="1"/>
  <c r="U131" i="1" s="1"/>
  <c r="V129" i="1"/>
  <c r="F76" i="1"/>
  <c r="M75" i="1"/>
  <c r="K130" i="1"/>
  <c r="F31" i="1"/>
  <c r="F33" i="1" s="1"/>
  <c r="G103" i="1"/>
  <c r="G104" i="1" s="1"/>
  <c r="J75" i="1"/>
  <c r="L117" i="1"/>
  <c r="L120" i="1" s="1"/>
  <c r="L123" i="1" s="1"/>
  <c r="C31" i="1"/>
  <c r="C33" i="1" s="1"/>
  <c r="C42" i="1" s="1"/>
  <c r="Q129" i="1"/>
  <c r="W110" i="1"/>
  <c r="I31" i="1"/>
  <c r="I33" i="1" s="1"/>
  <c r="G130" i="1"/>
  <c r="O117" i="1"/>
  <c r="O120" i="1" s="1"/>
  <c r="M80" i="1"/>
  <c r="T75" i="1"/>
  <c r="W36" i="1"/>
  <c r="W41" i="1" s="1"/>
  <c r="F130" i="1"/>
  <c r="X75" i="1"/>
  <c r="M130" i="1"/>
  <c r="Q103" i="1"/>
  <c r="Q104" i="1" s="1"/>
  <c r="R4" i="1" s="1"/>
  <c r="C76" i="1"/>
  <c r="R31" i="1"/>
  <c r="Y103" i="1"/>
  <c r="Y104" i="1" s="1"/>
  <c r="H103" i="1"/>
  <c r="H104" i="1" s="1"/>
  <c r="J116" i="1"/>
  <c r="W103" i="1"/>
  <c r="W104" i="1" s="1"/>
  <c r="L110" i="1"/>
  <c r="N116" i="1"/>
  <c r="E117" i="1"/>
  <c r="E120" i="1" s="1"/>
  <c r="F75" i="1"/>
  <c r="R116" i="1"/>
  <c r="Y80" i="1"/>
  <c r="S117" i="1"/>
  <c r="S120" i="1" s="1"/>
  <c r="E31" i="1"/>
  <c r="E33" i="1" s="1"/>
  <c r="X117" i="1"/>
  <c r="X120" i="1" s="1"/>
  <c r="Z110" i="1"/>
  <c r="P116" i="1"/>
  <c r="H129" i="1"/>
  <c r="AT73" i="1"/>
  <c r="T130" i="1"/>
  <c r="Y75" i="1"/>
  <c r="P31" i="1"/>
  <c r="P33" i="1" s="1"/>
  <c r="S110" i="1"/>
  <c r="D117" i="1"/>
  <c r="D120" i="1" s="1"/>
  <c r="Z116" i="1"/>
  <c r="N130" i="1"/>
  <c r="Z103" i="1"/>
  <c r="Z104" i="1" s="1"/>
  <c r="H80" i="1"/>
  <c r="C116" i="1"/>
  <c r="BG31" i="1"/>
  <c r="R117" i="1"/>
  <c r="R120" i="1" s="1"/>
  <c r="R123" i="1" s="1"/>
  <c r="W117" i="1"/>
  <c r="W120" i="1" s="1"/>
  <c r="X80" i="1"/>
  <c r="N104" i="1"/>
  <c r="AQ35" i="1"/>
  <c r="W59" i="1"/>
  <c r="W73" i="1" s="1"/>
  <c r="V57" i="1"/>
  <c r="L129" i="1"/>
  <c r="K110" i="1"/>
  <c r="C130" i="1"/>
  <c r="D130" i="1"/>
  <c r="BM35" i="1"/>
  <c r="C110" i="1"/>
  <c r="C131" i="1" s="1"/>
  <c r="C129" i="1"/>
  <c r="D129" i="1"/>
  <c r="G35" i="1"/>
  <c r="G36" i="1"/>
  <c r="BC35" i="1"/>
  <c r="AM35" i="1"/>
  <c r="Y116" i="1"/>
  <c r="E80" i="1"/>
  <c r="U80" i="1"/>
  <c r="O116" i="1"/>
  <c r="G116" i="1"/>
  <c r="T103" i="1"/>
  <c r="T104" i="1" s="1"/>
  <c r="N80" i="1"/>
  <c r="M31" i="1"/>
  <c r="M33" i="1" s="1"/>
  <c r="F110" i="1"/>
  <c r="F131" i="1" s="1"/>
  <c r="W129" i="1"/>
  <c r="M129" i="1"/>
  <c r="O36" i="1"/>
  <c r="O41" i="1" s="1"/>
  <c r="B31" i="1"/>
  <c r="B33" i="1" s="1"/>
  <c r="M76" i="1"/>
  <c r="S129" i="1"/>
  <c r="E130" i="1"/>
  <c r="Q36" i="1"/>
  <c r="Q41" i="1" s="1"/>
  <c r="Y76" i="1"/>
  <c r="V116" i="1"/>
  <c r="T116" i="1"/>
  <c r="G129" i="1"/>
  <c r="H116" i="1"/>
  <c r="X36" i="1"/>
  <c r="X41" i="1" s="1"/>
  <c r="R75" i="1"/>
  <c r="Q31" i="1"/>
  <c r="Q33" i="1" s="1"/>
  <c r="X130" i="1"/>
  <c r="H36" i="1"/>
  <c r="H41" i="1" s="1"/>
  <c r="C103" i="1"/>
  <c r="C104" i="1" s="1"/>
  <c r="L103" i="1"/>
  <c r="L104" i="1" s="1"/>
  <c r="J110" i="1"/>
  <c r="N75" i="1"/>
  <c r="E116" i="1"/>
  <c r="J103" i="1"/>
  <c r="J104" i="1" s="1"/>
  <c r="S80" i="1"/>
  <c r="U117" i="1"/>
  <c r="U120" i="1" s="1"/>
  <c r="I36" i="1"/>
  <c r="I41" i="1" s="1"/>
  <c r="L76" i="1"/>
  <c r="I117" i="1"/>
  <c r="I120" i="1" s="1"/>
  <c r="M110" i="1"/>
  <c r="M131" i="1" s="1"/>
  <c r="Z76" i="1"/>
  <c r="V36" i="1"/>
  <c r="V41" i="1" s="1"/>
  <c r="F129" i="1"/>
  <c r="M36" i="1"/>
  <c r="M41" i="1" s="1"/>
  <c r="J36" i="1"/>
  <c r="J41" i="1" s="1"/>
  <c r="D36" i="1"/>
  <c r="D41" i="1" s="1"/>
  <c r="D18" i="1" s="1"/>
  <c r="W130" i="1"/>
  <c r="F117" i="1"/>
  <c r="F120" i="1" s="1"/>
  <c r="Z80" i="1"/>
  <c r="AA81" i="1" s="1"/>
  <c r="AA79" i="1" s="1"/>
  <c r="K129" i="1"/>
  <c r="Z36" i="1"/>
  <c r="Z41" i="1" s="1"/>
  <c r="K76" i="1"/>
  <c r="S36" i="1"/>
  <c r="S41" i="1" s="1"/>
  <c r="U130" i="1"/>
  <c r="U76" i="1"/>
  <c r="U75" i="1"/>
  <c r="Q110" i="1"/>
  <c r="D31" i="1"/>
  <c r="D33" i="1" s="1"/>
  <c r="V76" i="1"/>
  <c r="L130" i="1"/>
  <c r="T110" i="1"/>
  <c r="T131" i="1" s="1"/>
  <c r="Y40" i="1"/>
  <c r="Y36" i="1"/>
  <c r="F35" i="1"/>
  <c r="F36" i="1"/>
  <c r="K36" i="1"/>
  <c r="K41" i="1" s="1"/>
  <c r="L36" i="1"/>
  <c r="L41" i="1" s="1"/>
  <c r="V130" i="1"/>
  <c r="L75" i="1"/>
  <c r="O110" i="1"/>
  <c r="C80" i="1"/>
  <c r="P36" i="1"/>
  <c r="P41" i="1" s="1"/>
  <c r="O130" i="1"/>
  <c r="W76" i="1"/>
  <c r="U31" i="1"/>
  <c r="U33" i="1" s="1"/>
  <c r="Y110" i="1"/>
  <c r="Y129" i="1"/>
  <c r="G110" i="1"/>
  <c r="G131" i="1" s="1"/>
  <c r="P129" i="1"/>
  <c r="R129" i="1"/>
  <c r="Z130" i="1"/>
  <c r="U116" i="1"/>
  <c r="D14" i="1"/>
  <c r="D17" i="1" s="1"/>
  <c r="N40" i="1"/>
  <c r="N36" i="1"/>
  <c r="D104" i="1"/>
  <c r="T76" i="1"/>
  <c r="E36" i="1"/>
  <c r="E41" i="1" s="1"/>
  <c r="T117" i="1"/>
  <c r="T120" i="1" s="1"/>
  <c r="X59" i="1"/>
  <c r="X73" i="1" s="1"/>
  <c r="N31" i="1"/>
  <c r="N33" i="1" s="1"/>
  <c r="O75" i="1"/>
  <c r="J80" i="1"/>
  <c r="N129" i="1"/>
  <c r="C75" i="1"/>
  <c r="B117" i="1"/>
  <c r="B120" i="1" s="1"/>
  <c r="O76" i="1"/>
  <c r="V80" i="1"/>
  <c r="X116" i="1"/>
  <c r="K116" i="1"/>
  <c r="B36" i="1"/>
  <c r="B41" i="1" s="1"/>
  <c r="J117" i="1"/>
  <c r="J120" i="1" s="1"/>
  <c r="U36" i="1"/>
  <c r="U41" i="1" s="1"/>
  <c r="G76" i="1"/>
  <c r="V117" i="1"/>
  <c r="V120" i="1" s="1"/>
  <c r="T80" i="1"/>
  <c r="O80" i="1"/>
  <c r="R110" i="1"/>
  <c r="R131" i="1" s="1"/>
  <c r="K75" i="1"/>
  <c r="X103" i="1"/>
  <c r="X104" i="1" s="1"/>
  <c r="O103" i="1"/>
  <c r="O104" i="1" s="1"/>
  <c r="H76" i="1"/>
  <c r="X110" i="1"/>
  <c r="X131" i="1" s="1"/>
  <c r="X129" i="1"/>
  <c r="CD88" i="1"/>
  <c r="AB88" i="1"/>
  <c r="CD106" i="1"/>
  <c r="CE106" i="1" s="1"/>
  <c r="CF106" i="1" s="1"/>
  <c r="CG106" i="1" s="1"/>
  <c r="AB106" i="1"/>
  <c r="BO59" i="1"/>
  <c r="AU31" i="1" l="1"/>
  <c r="AU33" i="1" s="1"/>
  <c r="AQ59" i="1"/>
  <c r="AQ73" i="1" s="1"/>
  <c r="BK31" i="1"/>
  <c r="BK33" i="1" s="1"/>
  <c r="BS41" i="1"/>
  <c r="AJ31" i="1"/>
  <c r="BB41" i="1"/>
  <c r="BI41" i="1"/>
  <c r="BK41" i="1"/>
  <c r="AV41" i="1"/>
  <c r="AS41" i="1"/>
  <c r="AP41" i="1"/>
  <c r="AN41" i="1"/>
  <c r="AK41" i="1"/>
  <c r="BP41" i="1"/>
  <c r="AY41" i="1"/>
  <c r="AJ41" i="1"/>
  <c r="BG41" i="1"/>
  <c r="BH41" i="1"/>
  <c r="BJ41" i="1"/>
  <c r="BD41" i="1"/>
  <c r="AX41" i="1"/>
  <c r="AU41" i="1"/>
  <c r="AR41" i="1"/>
  <c r="BO41" i="1"/>
  <c r="BV41" i="1"/>
  <c r="BF31" i="1"/>
  <c r="BF33" i="1" s="1"/>
  <c r="AI41" i="1"/>
  <c r="BU41" i="1"/>
  <c r="AL41" i="1"/>
  <c r="AW41" i="1"/>
  <c r="BL41" i="1"/>
  <c r="AT41" i="1"/>
  <c r="AN59" i="1"/>
  <c r="AN73" i="1" s="1"/>
  <c r="AV31" i="1"/>
  <c r="AV33" i="1" s="1"/>
  <c r="BU31" i="1"/>
  <c r="BU33" i="1" s="1"/>
  <c r="BY34" i="1" s="1"/>
  <c r="BI31" i="1"/>
  <c r="BI33" i="1" s="1"/>
  <c r="BD31" i="1"/>
  <c r="BD33" i="1" s="1"/>
  <c r="BJ31" i="1"/>
  <c r="BJ33" i="1" s="1"/>
  <c r="AL59" i="1"/>
  <c r="AL73" i="1" s="1"/>
  <c r="AJ59" i="1"/>
  <c r="AJ73" i="1" s="1"/>
  <c r="AR31" i="1"/>
  <c r="AR33" i="1" s="1"/>
  <c r="AO59" i="1"/>
  <c r="AO73" i="1" s="1"/>
  <c r="AZ31" i="1"/>
  <c r="AZ33" i="1" s="1"/>
  <c r="BC31" i="1"/>
  <c r="BC33" i="1" s="1"/>
  <c r="BT41" i="1"/>
  <c r="AH31" i="1"/>
  <c r="AH33" i="1" s="1"/>
  <c r="AW31" i="1"/>
  <c r="AW33" i="1" s="1"/>
  <c r="BM73" i="1"/>
  <c r="AH12" i="1"/>
  <c r="AH14" i="1" s="1"/>
  <c r="AH17" i="1" s="1"/>
  <c r="BK73" i="1"/>
  <c r="AM31" i="1"/>
  <c r="AM33" i="1" s="1"/>
  <c r="BB31" i="1"/>
  <c r="BB33" i="1" s="1"/>
  <c r="BT73" i="1"/>
  <c r="AH59" i="1"/>
  <c r="AN31" i="1"/>
  <c r="AN33" i="1" s="1"/>
  <c r="AI31" i="1"/>
  <c r="AI33" i="1" s="1"/>
  <c r="BU73" i="1"/>
  <c r="Z79" i="130" a="1"/>
  <c r="Z54" i="130" a="1"/>
  <c r="Z66" i="130" a="1"/>
  <c r="Z67" i="130" a="1"/>
  <c r="Z56" i="130" a="1"/>
  <c r="Z55" i="130" a="1"/>
  <c r="Z83" i="130" a="1"/>
  <c r="Z65" i="130" a="1"/>
  <c r="Z61" i="130" a="1"/>
  <c r="Z63" i="130" a="1"/>
  <c r="Z82" i="130" a="1"/>
  <c r="Z59" i="130" a="1"/>
  <c r="Z62" i="130" a="1"/>
  <c r="Z75" i="130" a="1"/>
  <c r="Z72" i="130" a="1"/>
  <c r="Z64" i="130" a="1"/>
  <c r="Z69" i="130" a="1"/>
  <c r="Z74" i="130" a="1"/>
  <c r="Z71" i="130" a="1"/>
  <c r="Z78" i="130" a="1"/>
  <c r="Z58" i="130" a="1"/>
  <c r="Z57" i="130" a="1"/>
  <c r="Z81" i="130" a="1"/>
  <c r="Z53" i="130" a="1"/>
  <c r="Z73" i="130" a="1"/>
  <c r="Z77" i="130" a="1"/>
  <c r="Z68" i="130" a="1"/>
  <c r="Z80" i="130" a="1"/>
  <c r="Z60" i="130" a="1"/>
  <c r="Z70" i="130" a="1"/>
  <c r="Z76" i="130" a="1"/>
  <c r="W60" i="130" a="1"/>
  <c r="W80" i="130" a="1"/>
  <c r="W58" i="130" a="1"/>
  <c r="W54" i="130" a="1"/>
  <c r="W71" i="130" a="1"/>
  <c r="W74" i="130" a="1"/>
  <c r="W59" i="130" a="1"/>
  <c r="W72" i="130" a="1"/>
  <c r="W56" i="130" a="1"/>
  <c r="W82" i="130" a="1"/>
  <c r="W79" i="130" a="1"/>
  <c r="W81" i="130" a="1"/>
  <c r="W69" i="130" a="1"/>
  <c r="W55" i="130" a="1"/>
  <c r="W70" i="130" a="1"/>
  <c r="W75" i="130" a="1"/>
  <c r="W78" i="130" a="1"/>
  <c r="W67" i="130" a="1"/>
  <c r="W63" i="130" a="1"/>
  <c r="W77" i="130" a="1"/>
  <c r="W68" i="130" a="1"/>
  <c r="W64" i="130" a="1"/>
  <c r="W62" i="130" a="1"/>
  <c r="W65" i="130" a="1"/>
  <c r="W66" i="130" a="1"/>
  <c r="W57" i="130" a="1"/>
  <c r="W83" i="130" a="1"/>
  <c r="W73" i="130" a="1"/>
  <c r="W53" i="130" a="1"/>
  <c r="W61" i="130" a="1"/>
  <c r="W76" i="130" a="1"/>
  <c r="BA29" i="1"/>
  <c r="M80" i="130" a="1"/>
  <c r="M76" i="130" a="1"/>
  <c r="M54" i="130" a="1"/>
  <c r="M73" i="130" a="1"/>
  <c r="M59" i="130" a="1"/>
  <c r="M74" i="130" a="1"/>
  <c r="M82" i="130" a="1"/>
  <c r="M70" i="130" a="1"/>
  <c r="M81" i="130" a="1"/>
  <c r="M61" i="130" a="1"/>
  <c r="M78" i="130" a="1"/>
  <c r="M62" i="130" a="1"/>
  <c r="M53" i="130" a="1"/>
  <c r="M65" i="130" a="1"/>
  <c r="M71" i="130" a="1"/>
  <c r="M57" i="130" a="1"/>
  <c r="M75" i="130" a="1"/>
  <c r="M79" i="130" a="1"/>
  <c r="M77" i="130" a="1"/>
  <c r="M63" i="130" a="1"/>
  <c r="M66" i="130" a="1"/>
  <c r="M68" i="130" a="1"/>
  <c r="M64" i="130" a="1"/>
  <c r="M60" i="130" a="1"/>
  <c r="M83" i="130" a="1"/>
  <c r="M67" i="130" a="1"/>
  <c r="M56" i="130" a="1"/>
  <c r="M58" i="130" a="1"/>
  <c r="M55" i="130" a="1"/>
  <c r="M69" i="130" a="1"/>
  <c r="M72" i="130" a="1"/>
  <c r="BC72" i="1"/>
  <c r="AL78" i="130" a="1"/>
  <c r="AL77" i="130" a="1"/>
  <c r="AL68" i="130" a="1"/>
  <c r="AL62" i="130" a="1"/>
  <c r="AL54" i="130" a="1"/>
  <c r="AL73" i="130" a="1"/>
  <c r="AL55" i="130" a="1"/>
  <c r="AL83" i="130" a="1"/>
  <c r="AL59" i="130" a="1"/>
  <c r="AL65" i="130" a="1"/>
  <c r="AL69" i="130" a="1"/>
  <c r="AL58" i="130" a="1"/>
  <c r="AL67" i="130" a="1"/>
  <c r="AL60" i="130" a="1"/>
  <c r="AL56" i="130" a="1"/>
  <c r="AL57" i="130" a="1"/>
  <c r="AL64" i="130" a="1"/>
  <c r="AL75" i="130" a="1"/>
  <c r="AL76" i="130" a="1"/>
  <c r="AL72" i="130" a="1"/>
  <c r="AL74" i="130" a="1"/>
  <c r="AL63" i="130" a="1"/>
  <c r="AL71" i="130" a="1"/>
  <c r="AL80" i="130" a="1"/>
  <c r="AL66" i="130" a="1"/>
  <c r="AL82" i="130" a="1"/>
  <c r="AL79" i="130" a="1"/>
  <c r="AL81" i="130" a="1"/>
  <c r="AL53" i="130" a="1"/>
  <c r="AL61" i="130" a="1"/>
  <c r="AL70" i="130" a="1"/>
  <c r="BK71" i="1"/>
  <c r="AT44" i="1" s="1"/>
  <c r="E75" i="130" a="1"/>
  <c r="E60" i="130" a="1"/>
  <c r="E64" i="130" a="1"/>
  <c r="E72" i="130" a="1"/>
  <c r="E54" i="130" a="1"/>
  <c r="E76" i="130" a="1"/>
  <c r="E65" i="130" a="1"/>
  <c r="E53" i="130" a="1"/>
  <c r="E79" i="130" a="1"/>
  <c r="E73" i="130" a="1"/>
  <c r="E67" i="130" a="1"/>
  <c r="E59" i="130" a="1"/>
  <c r="E77" i="130" a="1"/>
  <c r="E62" i="130" a="1"/>
  <c r="E55" i="130" a="1"/>
  <c r="E57" i="130" a="1"/>
  <c r="E66" i="130" a="1"/>
  <c r="E71" i="130" a="1"/>
  <c r="E80" i="130" a="1"/>
  <c r="E83" i="130" a="1"/>
  <c r="E82" i="130" a="1"/>
  <c r="E70" i="130" a="1"/>
  <c r="E58" i="130" a="1"/>
  <c r="E78" i="130" a="1"/>
  <c r="E69" i="130" a="1"/>
  <c r="E63" i="130" a="1"/>
  <c r="E56" i="130" a="1"/>
  <c r="E81" i="130" a="1"/>
  <c r="E68" i="130" a="1"/>
  <c r="E74" i="130" a="1"/>
  <c r="E61" i="130" a="1"/>
  <c r="AY50" i="1"/>
  <c r="BE72" i="1" s="1"/>
  <c r="BE73" i="1" s="1"/>
  <c r="BE35" i="1" s="1"/>
  <c r="V55" i="130" a="1"/>
  <c r="V63" i="130" a="1"/>
  <c r="V83" i="130" a="1"/>
  <c r="V67" i="130" a="1"/>
  <c r="V57" i="130" a="1"/>
  <c r="V77" i="130" a="1"/>
  <c r="V78" i="130" a="1"/>
  <c r="V74" i="130" a="1"/>
  <c r="V81" i="130" a="1"/>
  <c r="V64" i="130" a="1"/>
  <c r="V80" i="130" a="1"/>
  <c r="V72" i="130" a="1"/>
  <c r="V62" i="130" a="1"/>
  <c r="V82" i="130" a="1"/>
  <c r="V53" i="130" a="1"/>
  <c r="V76" i="130" a="1"/>
  <c r="V59" i="130" a="1"/>
  <c r="V71" i="130" a="1"/>
  <c r="V54" i="130" a="1"/>
  <c r="V60" i="130" a="1"/>
  <c r="V70" i="130" a="1"/>
  <c r="V56" i="130" a="1"/>
  <c r="V79" i="130" a="1"/>
  <c r="V58" i="130" a="1"/>
  <c r="V69" i="130" a="1"/>
  <c r="V68" i="130" a="1"/>
  <c r="V65" i="130" a="1"/>
  <c r="V75" i="130" a="1"/>
  <c r="V66" i="130" a="1"/>
  <c r="V73" i="130" a="1"/>
  <c r="V61" i="130" a="1"/>
  <c r="BM44" i="1"/>
  <c r="AP61" i="130" a="1"/>
  <c r="AP55" i="130" a="1"/>
  <c r="AP81" i="130" a="1"/>
  <c r="AP62" i="130" a="1"/>
  <c r="AP59" i="130" a="1"/>
  <c r="AP74" i="130" a="1"/>
  <c r="AP69" i="130" a="1"/>
  <c r="AP76" i="130" a="1"/>
  <c r="AP82" i="130" a="1"/>
  <c r="AP66" i="130" a="1"/>
  <c r="AP58" i="130" a="1"/>
  <c r="AP54" i="130" a="1"/>
  <c r="AP70" i="130" a="1"/>
  <c r="AP56" i="130" a="1"/>
  <c r="AP53" i="130" a="1"/>
  <c r="AP57" i="130" a="1"/>
  <c r="AP80" i="130" a="1"/>
  <c r="AP71" i="130" a="1"/>
  <c r="AP83" i="130" a="1"/>
  <c r="AP79" i="130" a="1"/>
  <c r="AP65" i="130" a="1"/>
  <c r="AP78" i="130" a="1"/>
  <c r="AP63" i="130" a="1"/>
  <c r="AP60" i="130" a="1"/>
  <c r="AP67" i="130" a="1"/>
  <c r="AP75" i="130" a="1"/>
  <c r="AP73" i="130" a="1"/>
  <c r="AP64" i="130" a="1"/>
  <c r="AP72" i="130" a="1"/>
  <c r="AP77" i="130" a="1"/>
  <c r="AP68" i="130" a="1"/>
  <c r="BG67" i="1"/>
  <c r="BV68" i="1" s="1"/>
  <c r="AK58" i="1" s="1"/>
  <c r="AK59" i="1" s="1"/>
  <c r="AK73" i="1" s="1"/>
  <c r="H58" i="130" a="1"/>
  <c r="H66" i="130" a="1"/>
  <c r="H61" i="130" a="1"/>
  <c r="H83" i="130" a="1"/>
  <c r="H57" i="130" a="1"/>
  <c r="H76" i="130" a="1"/>
  <c r="H67" i="130" a="1"/>
  <c r="H71" i="130" a="1"/>
  <c r="H78" i="130" a="1"/>
  <c r="H74" i="130" a="1"/>
  <c r="H62" i="130" a="1"/>
  <c r="H63" i="130" a="1"/>
  <c r="H69" i="130" a="1"/>
  <c r="H53" i="130" a="1"/>
  <c r="H75" i="130" a="1"/>
  <c r="H70" i="130" a="1"/>
  <c r="H65" i="130" a="1"/>
  <c r="H73" i="130" a="1"/>
  <c r="H79" i="130" a="1"/>
  <c r="H54" i="130" a="1"/>
  <c r="H72" i="130" a="1"/>
  <c r="H60" i="130" a="1"/>
  <c r="H68" i="130" a="1"/>
  <c r="H77" i="130" a="1"/>
  <c r="H59" i="130" a="1"/>
  <c r="H82" i="130" a="1"/>
  <c r="H56" i="130" a="1"/>
  <c r="H64" i="130" a="1"/>
  <c r="H55" i="130" a="1"/>
  <c r="H80" i="130" a="1"/>
  <c r="H81" i="130" a="1"/>
  <c r="AI58" i="1"/>
  <c r="D81" i="130" a="1"/>
  <c r="D77" i="130" a="1"/>
  <c r="D71" i="130" a="1"/>
  <c r="D56" i="130" a="1"/>
  <c r="D53" i="130" a="1"/>
  <c r="D70" i="130" a="1"/>
  <c r="D65" i="130" a="1"/>
  <c r="D57" i="130" a="1"/>
  <c r="D66" i="130" a="1"/>
  <c r="D59" i="130" a="1"/>
  <c r="D74" i="130" a="1"/>
  <c r="D76" i="130" a="1"/>
  <c r="D62" i="130" a="1"/>
  <c r="D73" i="130" a="1"/>
  <c r="D69" i="130" a="1"/>
  <c r="D67" i="130" a="1"/>
  <c r="D63" i="130" a="1"/>
  <c r="D82" i="130" a="1"/>
  <c r="D83" i="130" a="1"/>
  <c r="D79" i="130" a="1"/>
  <c r="D64" i="130" a="1"/>
  <c r="D55" i="130" a="1"/>
  <c r="D61" i="130" a="1"/>
  <c r="D68" i="130" a="1"/>
  <c r="D60" i="130" a="1"/>
  <c r="D80" i="130" a="1"/>
  <c r="D75" i="130" a="1"/>
  <c r="D78" i="130" a="1"/>
  <c r="D54" i="130" a="1"/>
  <c r="D58" i="130" a="1"/>
  <c r="D72" i="130" a="1"/>
  <c r="AI72" i="130" a="1"/>
  <c r="AI70" i="130" a="1"/>
  <c r="AI66" i="130" a="1"/>
  <c r="AI71" i="130" a="1"/>
  <c r="AI77" i="130" a="1"/>
  <c r="AI79" i="130" a="1"/>
  <c r="AI63" i="130" a="1"/>
  <c r="AI83" i="130" a="1"/>
  <c r="AI53" i="130" a="1"/>
  <c r="AI76" i="130" a="1"/>
  <c r="AI73" i="130" a="1"/>
  <c r="AI54" i="130" a="1"/>
  <c r="AI68" i="130" a="1"/>
  <c r="AI61" i="130" a="1"/>
  <c r="AI82" i="130" a="1"/>
  <c r="AI75" i="130" a="1"/>
  <c r="AI56" i="130" a="1"/>
  <c r="AI57" i="130" a="1"/>
  <c r="AI62" i="130" a="1"/>
  <c r="AI69" i="130" a="1"/>
  <c r="AI58" i="130" a="1"/>
  <c r="AI55" i="130" a="1"/>
  <c r="AI60" i="130" a="1"/>
  <c r="AI59" i="130" a="1"/>
  <c r="AI78" i="130" a="1"/>
  <c r="AI81" i="130" a="1"/>
  <c r="AI65" i="130" a="1"/>
  <c r="AI67" i="130" a="1"/>
  <c r="AI64" i="130" a="1"/>
  <c r="AI80" i="130" a="1"/>
  <c r="AI74" i="130" a="1"/>
  <c r="AF79" i="130" a="1"/>
  <c r="AF64" i="130" a="1"/>
  <c r="AF83" i="130" a="1"/>
  <c r="AF59" i="130" a="1"/>
  <c r="AF65" i="130" a="1"/>
  <c r="AF68" i="130" a="1"/>
  <c r="AF80" i="130" a="1"/>
  <c r="AF66" i="130" a="1"/>
  <c r="AF71" i="130" a="1"/>
  <c r="AF56" i="130" a="1"/>
  <c r="AF58" i="130" a="1"/>
  <c r="AF53" i="130" a="1"/>
  <c r="AF62" i="130" a="1"/>
  <c r="AF76" i="130" a="1"/>
  <c r="AF77" i="130" a="1"/>
  <c r="AF78" i="130" a="1"/>
  <c r="AF54" i="130" a="1"/>
  <c r="AF61" i="130" a="1"/>
  <c r="AF74" i="130" a="1"/>
  <c r="AF60" i="130" a="1"/>
  <c r="AF70" i="130" a="1"/>
  <c r="AF73" i="130" a="1"/>
  <c r="AF57" i="130" a="1"/>
  <c r="AF82" i="130" a="1"/>
  <c r="AF75" i="130" a="1"/>
  <c r="AF72" i="130" a="1"/>
  <c r="AF69" i="130" a="1"/>
  <c r="AF67" i="130" a="1"/>
  <c r="AF55" i="130" a="1"/>
  <c r="AF81" i="130" a="1"/>
  <c r="AF63" i="130" a="1"/>
  <c r="BS72" i="1"/>
  <c r="BS73" i="1" s="1"/>
  <c r="AR50" i="1" s="1"/>
  <c r="AZ44" i="1" s="1"/>
  <c r="AE51" i="130" s="1"/>
  <c r="T71" i="130" a="1"/>
  <c r="T79" i="130" a="1"/>
  <c r="T77" i="130" a="1"/>
  <c r="T62" i="130" a="1"/>
  <c r="T75" i="130" a="1"/>
  <c r="T67" i="130" a="1"/>
  <c r="T64" i="130" a="1"/>
  <c r="T54" i="130" a="1"/>
  <c r="T65" i="130" a="1"/>
  <c r="T55" i="130" a="1"/>
  <c r="T83" i="130" a="1"/>
  <c r="T70" i="130" a="1"/>
  <c r="T73" i="130" a="1"/>
  <c r="T66" i="130" a="1"/>
  <c r="T72" i="130" a="1"/>
  <c r="T63" i="130" a="1"/>
  <c r="T59" i="130" a="1"/>
  <c r="T61" i="130" a="1"/>
  <c r="T80" i="130" a="1"/>
  <c r="T53" i="130" a="1"/>
  <c r="T74" i="130" a="1"/>
  <c r="T60" i="130" a="1"/>
  <c r="T57" i="130" a="1"/>
  <c r="T82" i="130" a="1"/>
  <c r="T76" i="130" a="1"/>
  <c r="T78" i="130" a="1"/>
  <c r="T69" i="130" a="1"/>
  <c r="T68" i="130" a="1"/>
  <c r="T58" i="130" a="1"/>
  <c r="T56" i="130" a="1"/>
  <c r="T81" i="130" a="1"/>
  <c r="U55" i="130" a="1"/>
  <c r="U60" i="130" a="1"/>
  <c r="U73" i="130" a="1"/>
  <c r="U66" i="130" a="1"/>
  <c r="U82" i="130" a="1"/>
  <c r="U58" i="130" a="1"/>
  <c r="U62" i="130" a="1"/>
  <c r="U77" i="130" a="1"/>
  <c r="U61" i="130" a="1"/>
  <c r="U65" i="130" a="1"/>
  <c r="U68" i="130" a="1"/>
  <c r="U83" i="130" a="1"/>
  <c r="U81" i="130" a="1"/>
  <c r="U70" i="130" a="1"/>
  <c r="U63" i="130" a="1"/>
  <c r="U69" i="130" a="1"/>
  <c r="U74" i="130" a="1"/>
  <c r="U54" i="130" a="1"/>
  <c r="U79" i="130" a="1"/>
  <c r="U78" i="130" a="1"/>
  <c r="U67" i="130" a="1"/>
  <c r="U64" i="130" a="1"/>
  <c r="U59" i="130" a="1"/>
  <c r="U80" i="130" a="1"/>
  <c r="U76" i="130" a="1"/>
  <c r="U72" i="130" a="1"/>
  <c r="U57" i="130" a="1"/>
  <c r="U56" i="130" a="1"/>
  <c r="U71" i="130" a="1"/>
  <c r="U53" i="130" a="1"/>
  <c r="U75" i="130" a="1"/>
  <c r="AM57" i="1"/>
  <c r="AM59" i="1" s="1"/>
  <c r="AM73" i="1" s="1"/>
  <c r="S54" i="130" a="1"/>
  <c r="S62" i="130" a="1"/>
  <c r="S64" i="130" a="1"/>
  <c r="S81" i="130" a="1"/>
  <c r="S76" i="130" a="1"/>
  <c r="S83" i="130" a="1"/>
  <c r="S77" i="130" a="1"/>
  <c r="S68" i="130" a="1"/>
  <c r="S80" i="130" a="1"/>
  <c r="S69" i="130" a="1"/>
  <c r="S66" i="130" a="1"/>
  <c r="S75" i="130" a="1"/>
  <c r="S56" i="130" a="1"/>
  <c r="S82" i="130" a="1"/>
  <c r="S63" i="130" a="1"/>
  <c r="S59" i="130" a="1"/>
  <c r="S71" i="130" a="1"/>
  <c r="S58" i="130" a="1"/>
  <c r="S55" i="130" a="1"/>
  <c r="S73" i="130" a="1"/>
  <c r="S61" i="130" a="1"/>
  <c r="S72" i="130" a="1"/>
  <c r="S65" i="130" a="1"/>
  <c r="S78" i="130" a="1"/>
  <c r="S67" i="130" a="1"/>
  <c r="S74" i="130" a="1"/>
  <c r="S60" i="130" a="1"/>
  <c r="S79" i="130" a="1"/>
  <c r="S57" i="130" a="1"/>
  <c r="S70" i="130" a="1"/>
  <c r="S53" i="130" a="1"/>
  <c r="AN67" i="1"/>
  <c r="K81" i="130" a="1"/>
  <c r="K79" i="130" a="1"/>
  <c r="K76" i="130" a="1"/>
  <c r="K65" i="130" a="1"/>
  <c r="K62" i="130" a="1"/>
  <c r="K56" i="130" a="1"/>
  <c r="K70" i="130" a="1"/>
  <c r="K71" i="130" a="1"/>
  <c r="K63" i="130" a="1"/>
  <c r="K66" i="130" a="1"/>
  <c r="K61" i="130" a="1"/>
  <c r="K55" i="130" a="1"/>
  <c r="K60" i="130" a="1"/>
  <c r="K64" i="130" a="1"/>
  <c r="K67" i="130" a="1"/>
  <c r="K58" i="130" a="1"/>
  <c r="K82" i="130" a="1"/>
  <c r="K54" i="130" a="1"/>
  <c r="K83" i="130" a="1"/>
  <c r="K80" i="130" a="1"/>
  <c r="K74" i="130" a="1"/>
  <c r="K53" i="130" a="1"/>
  <c r="K77" i="130" a="1"/>
  <c r="K57" i="130" a="1"/>
  <c r="K59" i="130" a="1"/>
  <c r="K75" i="130" a="1"/>
  <c r="K69" i="130" a="1"/>
  <c r="K68" i="130" a="1"/>
  <c r="K73" i="130" a="1"/>
  <c r="K78" i="130" a="1"/>
  <c r="K72" i="130" a="1"/>
  <c r="AH63" i="130" a="1"/>
  <c r="AH71" i="130" a="1"/>
  <c r="AH55" i="130" a="1"/>
  <c r="AH58" i="130" a="1"/>
  <c r="AH70" i="130" a="1"/>
  <c r="AH54" i="130" a="1"/>
  <c r="AH75" i="130" a="1"/>
  <c r="AH82" i="130" a="1"/>
  <c r="AH73" i="130" a="1"/>
  <c r="AH81" i="130" a="1"/>
  <c r="AH64" i="130" a="1"/>
  <c r="AH80" i="130" a="1"/>
  <c r="AH61" i="130" a="1"/>
  <c r="AH72" i="130" a="1"/>
  <c r="AH57" i="130" a="1"/>
  <c r="AH60" i="130" a="1"/>
  <c r="AH59" i="130" a="1"/>
  <c r="AH83" i="130" a="1"/>
  <c r="AH79" i="130" a="1"/>
  <c r="AH78" i="130" a="1"/>
  <c r="AH56" i="130" a="1"/>
  <c r="AH74" i="130" a="1"/>
  <c r="AH76" i="130" a="1"/>
  <c r="AH66" i="130" a="1"/>
  <c r="AH62" i="130" a="1"/>
  <c r="AH53" i="130" a="1"/>
  <c r="AH68" i="130" a="1"/>
  <c r="AH77" i="130" a="1"/>
  <c r="AH67" i="130" a="1"/>
  <c r="AH65" i="130" a="1"/>
  <c r="AH69" i="130" a="1"/>
  <c r="BJ72" i="1"/>
  <c r="BJ73" i="1" s="1"/>
  <c r="AY30" i="1" s="1"/>
  <c r="Q83" i="130" a="1"/>
  <c r="Q74" i="130" a="1"/>
  <c r="Q53" i="130" a="1"/>
  <c r="Q81" i="130" a="1"/>
  <c r="Q70" i="130" a="1"/>
  <c r="Q79" i="130" a="1"/>
  <c r="Q54" i="130" a="1"/>
  <c r="Q59" i="130" a="1"/>
  <c r="Q55" i="130" a="1"/>
  <c r="Q76" i="130" a="1"/>
  <c r="Q80" i="130" a="1"/>
  <c r="Q82" i="130" a="1"/>
  <c r="Q73" i="130" a="1"/>
  <c r="Q78" i="130" a="1"/>
  <c r="Q62" i="130" a="1"/>
  <c r="Q66" i="130" a="1"/>
  <c r="Q71" i="130" a="1"/>
  <c r="Q67" i="130" a="1"/>
  <c r="Q61" i="130" a="1"/>
  <c r="Q58" i="130" a="1"/>
  <c r="Q72" i="130" a="1"/>
  <c r="Q77" i="130" a="1"/>
  <c r="Q56" i="130" a="1"/>
  <c r="Q65" i="130" a="1"/>
  <c r="Q68" i="130" a="1"/>
  <c r="Q57" i="130" a="1"/>
  <c r="Q69" i="130" a="1"/>
  <c r="Q63" i="130" a="1"/>
  <c r="Q64" i="130" a="1"/>
  <c r="Q60" i="130" a="1"/>
  <c r="Q75" i="130" a="1"/>
  <c r="AM61" i="130" a="1"/>
  <c r="AM57" i="130" a="1"/>
  <c r="AM69" i="130" a="1"/>
  <c r="AM55" i="130" a="1"/>
  <c r="AM53" i="130" a="1"/>
  <c r="AM74" i="130" a="1"/>
  <c r="AM65" i="130" a="1"/>
  <c r="AM60" i="130" a="1"/>
  <c r="AM83" i="130" a="1"/>
  <c r="AM62" i="130" a="1"/>
  <c r="AM56" i="130" a="1"/>
  <c r="AM80" i="130" a="1"/>
  <c r="AM75" i="130" a="1"/>
  <c r="AM73" i="130" a="1"/>
  <c r="AM77" i="130" a="1"/>
  <c r="AM59" i="130" a="1"/>
  <c r="AM71" i="130" a="1"/>
  <c r="AM82" i="130" a="1"/>
  <c r="AM64" i="130" a="1"/>
  <c r="AM68" i="130" a="1"/>
  <c r="AM63" i="130" a="1"/>
  <c r="AM78" i="130" a="1"/>
  <c r="AM76" i="130" a="1"/>
  <c r="AM70" i="130" a="1"/>
  <c r="AM66" i="130" a="1"/>
  <c r="AM81" i="130" a="1"/>
  <c r="AM72" i="130" a="1"/>
  <c r="AM54" i="130" a="1"/>
  <c r="AM67" i="130" a="1"/>
  <c r="AM79" i="130" a="1"/>
  <c r="AM58" i="130" a="1"/>
  <c r="AQ46" i="1"/>
  <c r="BL30" i="1" s="1"/>
  <c r="AD78" i="130" a="1"/>
  <c r="AD69" i="130" a="1"/>
  <c r="AD61" i="130" a="1"/>
  <c r="AD71" i="130" a="1"/>
  <c r="AD65" i="130" a="1"/>
  <c r="AD62" i="130" a="1"/>
  <c r="AD82" i="130" a="1"/>
  <c r="AD66" i="130" a="1"/>
  <c r="AD56" i="130" a="1"/>
  <c r="AD81" i="130" a="1"/>
  <c r="AD79" i="130" a="1"/>
  <c r="AD58" i="130" a="1"/>
  <c r="AD53" i="130" a="1"/>
  <c r="AD75" i="130" a="1"/>
  <c r="AD80" i="130" a="1"/>
  <c r="AD60" i="130" a="1"/>
  <c r="AD64" i="130" a="1"/>
  <c r="AD72" i="130" a="1"/>
  <c r="AD70" i="130" a="1"/>
  <c r="AD74" i="130" a="1"/>
  <c r="AD67" i="130" a="1"/>
  <c r="AD76" i="130" a="1"/>
  <c r="AD59" i="130" a="1"/>
  <c r="AD55" i="130" a="1"/>
  <c r="AD73" i="130" a="1"/>
  <c r="AD57" i="130" a="1"/>
  <c r="AD68" i="130" a="1"/>
  <c r="AD77" i="130" a="1"/>
  <c r="AD83" i="130" a="1"/>
  <c r="AD54" i="130" a="1"/>
  <c r="AD63" i="130" a="1"/>
  <c r="AC62" i="130" a="1"/>
  <c r="AC81" i="130" a="1"/>
  <c r="AC53" i="130" a="1"/>
  <c r="AC59" i="130" a="1"/>
  <c r="AC72" i="130" a="1"/>
  <c r="AC76" i="130" a="1"/>
  <c r="AC58" i="130" a="1"/>
  <c r="AC69" i="130" a="1"/>
  <c r="AC79" i="130" a="1"/>
  <c r="AC56" i="130" a="1"/>
  <c r="AC68" i="130" a="1"/>
  <c r="AC66" i="130" a="1"/>
  <c r="AC74" i="130" a="1"/>
  <c r="AC60" i="130" a="1"/>
  <c r="AC57" i="130" a="1"/>
  <c r="AC67" i="130" a="1"/>
  <c r="AC80" i="130" a="1"/>
  <c r="AC61" i="130" a="1"/>
  <c r="AC78" i="130" a="1"/>
  <c r="AC73" i="130" a="1"/>
  <c r="AC63" i="130" a="1"/>
  <c r="AC64" i="130" a="1"/>
  <c r="AC55" i="130" a="1"/>
  <c r="AC75" i="130" a="1"/>
  <c r="AC83" i="130" a="1"/>
  <c r="AC70" i="130" a="1"/>
  <c r="AC54" i="130" a="1"/>
  <c r="AC82" i="130" a="1"/>
  <c r="AC77" i="130" a="1"/>
  <c r="AC65" i="130" a="1"/>
  <c r="AC71" i="130" a="1"/>
  <c r="L80" i="130" a="1"/>
  <c r="L67" i="130" a="1"/>
  <c r="L83" i="130" a="1"/>
  <c r="L68" i="130" a="1"/>
  <c r="L70" i="130" a="1"/>
  <c r="L79" i="130" a="1"/>
  <c r="L77" i="130" a="1"/>
  <c r="L82" i="130" a="1"/>
  <c r="L56" i="130" a="1"/>
  <c r="L58" i="130" a="1"/>
  <c r="L74" i="130" a="1"/>
  <c r="L59" i="130" a="1"/>
  <c r="L53" i="130" a="1"/>
  <c r="L75" i="130" a="1"/>
  <c r="L76" i="130" a="1"/>
  <c r="L73" i="130" a="1"/>
  <c r="L65" i="130" a="1"/>
  <c r="L57" i="130" a="1"/>
  <c r="L71" i="130" a="1"/>
  <c r="L60" i="130" a="1"/>
  <c r="L61" i="130" a="1"/>
  <c r="L72" i="130" a="1"/>
  <c r="L62" i="130" a="1"/>
  <c r="L66" i="130" a="1"/>
  <c r="L63" i="130" a="1"/>
  <c r="L81" i="130" a="1"/>
  <c r="L55" i="130" a="1"/>
  <c r="L69" i="130" a="1"/>
  <c r="L54" i="130" a="1"/>
  <c r="L78" i="130" a="1"/>
  <c r="L64" i="130" a="1"/>
  <c r="AB59" i="130" a="1"/>
  <c r="AB83" i="130" a="1"/>
  <c r="AB65" i="130" a="1"/>
  <c r="AB79" i="130" a="1"/>
  <c r="AB57" i="130" a="1"/>
  <c r="AB70" i="130" a="1"/>
  <c r="AB77" i="130" a="1"/>
  <c r="AB55" i="130" a="1"/>
  <c r="AB78" i="130" a="1"/>
  <c r="AB81" i="130" a="1"/>
  <c r="AB58" i="130" a="1"/>
  <c r="AB68" i="130" a="1"/>
  <c r="AB75" i="130" a="1"/>
  <c r="AB69" i="130" a="1"/>
  <c r="AB62" i="130" a="1"/>
  <c r="AB63" i="130" a="1"/>
  <c r="AB53" i="130" a="1"/>
  <c r="AB76" i="130" a="1"/>
  <c r="AB61" i="130" a="1"/>
  <c r="AB66" i="130" a="1"/>
  <c r="AB82" i="130" a="1"/>
  <c r="AB56" i="130" a="1"/>
  <c r="AB67" i="130" a="1"/>
  <c r="AB74" i="130" a="1"/>
  <c r="AB80" i="130" a="1"/>
  <c r="AB54" i="130" a="1"/>
  <c r="AB60" i="130" a="1"/>
  <c r="AB73" i="130" a="1"/>
  <c r="AB64" i="130" a="1"/>
  <c r="AB71" i="130" a="1"/>
  <c r="AB72" i="130" a="1"/>
  <c r="AH39" i="1"/>
  <c r="AA83" i="130" a="1"/>
  <c r="AA59" i="130" a="1"/>
  <c r="AA57" i="130" a="1"/>
  <c r="AA60" i="130" a="1"/>
  <c r="AA61" i="130" a="1"/>
  <c r="AA79" i="130" a="1"/>
  <c r="AA75" i="130" a="1"/>
  <c r="AA64" i="130" a="1"/>
  <c r="AA80" i="130" a="1"/>
  <c r="AA58" i="130" a="1"/>
  <c r="AA55" i="130" a="1"/>
  <c r="AA70" i="130" a="1"/>
  <c r="AA73" i="130" a="1"/>
  <c r="AA65" i="130" a="1"/>
  <c r="AA53" i="130" a="1"/>
  <c r="AA66" i="130" a="1"/>
  <c r="AA56" i="130" a="1"/>
  <c r="AA82" i="130" a="1"/>
  <c r="AA62" i="130" a="1"/>
  <c r="AA67" i="130" a="1"/>
  <c r="AA54" i="130" a="1"/>
  <c r="AA77" i="130" a="1"/>
  <c r="AA69" i="130" a="1"/>
  <c r="AA81" i="130" a="1"/>
  <c r="AA74" i="130" a="1"/>
  <c r="AA68" i="130" a="1"/>
  <c r="AA76" i="130" a="1"/>
  <c r="AA71" i="130" a="1"/>
  <c r="AA78" i="130" a="1"/>
  <c r="AA63" i="130" a="1"/>
  <c r="AA72" i="130" a="1"/>
  <c r="O80" i="130" a="1"/>
  <c r="O60" i="130" a="1"/>
  <c r="O72" i="130" a="1"/>
  <c r="O56" i="130" a="1"/>
  <c r="O73" i="130" a="1"/>
  <c r="O71" i="130" a="1"/>
  <c r="O67" i="130" a="1"/>
  <c r="O57" i="130" a="1"/>
  <c r="O76" i="130" a="1"/>
  <c r="O63" i="130" a="1"/>
  <c r="O74" i="130" a="1"/>
  <c r="O69" i="130" a="1"/>
  <c r="O59" i="130" a="1"/>
  <c r="O62" i="130" a="1"/>
  <c r="O70" i="130" a="1"/>
  <c r="O66" i="130" a="1"/>
  <c r="O65" i="130" a="1"/>
  <c r="O54" i="130" a="1"/>
  <c r="O79" i="130" a="1"/>
  <c r="O58" i="130" a="1"/>
  <c r="O78" i="130" a="1"/>
  <c r="O68" i="130" a="1"/>
  <c r="O55" i="130" a="1"/>
  <c r="O64" i="130" a="1"/>
  <c r="O53" i="130" a="1"/>
  <c r="O61" i="130" a="1"/>
  <c r="O81" i="130" a="1"/>
  <c r="O75" i="130" a="1"/>
  <c r="O82" i="130" a="1"/>
  <c r="O83" i="130" a="1"/>
  <c r="O77" i="130" a="1"/>
  <c r="AP54" i="1"/>
  <c r="F64" i="130" a="1"/>
  <c r="F61" i="130" a="1"/>
  <c r="F67" i="130" a="1"/>
  <c r="F81" i="130" a="1"/>
  <c r="F63" i="130" a="1"/>
  <c r="F60" i="130" a="1"/>
  <c r="F65" i="130" a="1"/>
  <c r="F62" i="130" a="1"/>
  <c r="F76" i="130" a="1"/>
  <c r="F83" i="130" a="1"/>
  <c r="F71" i="130" a="1"/>
  <c r="F79" i="130" a="1"/>
  <c r="F75" i="130" a="1"/>
  <c r="F77" i="130" a="1"/>
  <c r="F54" i="130" a="1"/>
  <c r="F68" i="130" a="1"/>
  <c r="F57" i="130" a="1"/>
  <c r="F72" i="130" a="1"/>
  <c r="F82" i="130" a="1"/>
  <c r="F73" i="130" a="1"/>
  <c r="F69" i="130" a="1"/>
  <c r="F66" i="130" a="1"/>
  <c r="F59" i="130" a="1"/>
  <c r="F58" i="130" a="1"/>
  <c r="F78" i="130" a="1"/>
  <c r="F53" i="130" a="1"/>
  <c r="F55" i="130" a="1"/>
  <c r="F74" i="130" a="1"/>
  <c r="F80" i="130" a="1"/>
  <c r="F70" i="130" a="1"/>
  <c r="F56" i="130" a="1"/>
  <c r="AZ39" i="1"/>
  <c r="AZ41" i="1" s="1"/>
  <c r="N67" i="130" a="1"/>
  <c r="N70" i="130" a="1"/>
  <c r="N71" i="130" a="1"/>
  <c r="N62" i="130" a="1"/>
  <c r="N77" i="130" a="1"/>
  <c r="N79" i="130" a="1"/>
  <c r="N68" i="130" a="1"/>
  <c r="N82" i="130" a="1"/>
  <c r="N65" i="130" a="1"/>
  <c r="N63" i="130" a="1"/>
  <c r="N64" i="130" a="1"/>
  <c r="N83" i="130" a="1"/>
  <c r="N58" i="130" a="1"/>
  <c r="N74" i="130" a="1"/>
  <c r="N73" i="130" a="1"/>
  <c r="N59" i="130" a="1"/>
  <c r="N53" i="130" a="1"/>
  <c r="N60" i="130" a="1"/>
  <c r="N56" i="130" a="1"/>
  <c r="N61" i="130" a="1"/>
  <c r="N75" i="130" a="1"/>
  <c r="N72" i="130" a="1"/>
  <c r="N55" i="130" a="1"/>
  <c r="N78" i="130" a="1"/>
  <c r="N66" i="130" a="1"/>
  <c r="N80" i="130" a="1"/>
  <c r="N57" i="130" a="1"/>
  <c r="N69" i="130" a="1"/>
  <c r="N54" i="130" a="1"/>
  <c r="N81" i="130" a="1"/>
  <c r="N76" i="130" a="1"/>
  <c r="AK32" i="1"/>
  <c r="I56" i="130" a="1"/>
  <c r="I59" i="130" a="1"/>
  <c r="I61" i="130" a="1"/>
  <c r="I79" i="130" a="1"/>
  <c r="I54" i="130" a="1"/>
  <c r="I68" i="130" a="1"/>
  <c r="I69" i="130" a="1"/>
  <c r="I58" i="130" a="1"/>
  <c r="I70" i="130" a="1"/>
  <c r="I67" i="130" a="1"/>
  <c r="I57" i="130" a="1"/>
  <c r="I73" i="130" a="1"/>
  <c r="I80" i="130" a="1"/>
  <c r="I53" i="130" a="1"/>
  <c r="I55" i="130" a="1"/>
  <c r="I71" i="130" a="1"/>
  <c r="I72" i="130" a="1"/>
  <c r="I81" i="130" a="1"/>
  <c r="I82" i="130" a="1"/>
  <c r="I62" i="130" a="1"/>
  <c r="I63" i="130" a="1"/>
  <c r="I64" i="130" a="1"/>
  <c r="I60" i="130" a="1"/>
  <c r="I75" i="130" a="1"/>
  <c r="I77" i="130" a="1"/>
  <c r="I76" i="130" a="1"/>
  <c r="I74" i="130" a="1"/>
  <c r="I83" i="130" a="1"/>
  <c r="I78" i="130" a="1"/>
  <c r="I66" i="130" a="1"/>
  <c r="I65" i="130" a="1"/>
  <c r="AV68" i="1"/>
  <c r="AJ67" i="1" s="1"/>
  <c r="C51" i="130" s="1"/>
  <c r="Y63" i="130" a="1"/>
  <c r="Y75" i="130" a="1"/>
  <c r="Y68" i="130" a="1"/>
  <c r="Y80" i="130" a="1"/>
  <c r="Y69" i="130" a="1"/>
  <c r="Y60" i="130" a="1"/>
  <c r="Y62" i="130" a="1"/>
  <c r="Y71" i="130" a="1"/>
  <c r="Y55" i="130" a="1"/>
  <c r="Y59" i="130" a="1"/>
  <c r="Y66" i="130" a="1"/>
  <c r="Y70" i="130" a="1"/>
  <c r="Y74" i="130" a="1"/>
  <c r="Y65" i="130" a="1"/>
  <c r="Y53" i="130" a="1"/>
  <c r="Y56" i="130" a="1"/>
  <c r="Y67" i="130" a="1"/>
  <c r="Y64" i="130" a="1"/>
  <c r="Y58" i="130" a="1"/>
  <c r="Y77" i="130" a="1"/>
  <c r="Y73" i="130" a="1"/>
  <c r="Y76" i="130" a="1"/>
  <c r="Y81" i="130" a="1"/>
  <c r="Y54" i="130" a="1"/>
  <c r="Y82" i="130" a="1"/>
  <c r="Y57" i="130" a="1"/>
  <c r="Y61" i="130" a="1"/>
  <c r="Y79" i="130" a="1"/>
  <c r="Y78" i="130" a="1"/>
  <c r="Y83" i="130" a="1"/>
  <c r="Y72" i="130" a="1"/>
  <c r="AS57" i="1"/>
  <c r="AS59" i="1" s="1"/>
  <c r="AS73" i="1" s="1"/>
  <c r="AJ75" i="130" a="1"/>
  <c r="AJ76" i="130" a="1"/>
  <c r="AJ66" i="130" a="1"/>
  <c r="AJ57" i="130" a="1"/>
  <c r="AJ82" i="130" a="1"/>
  <c r="AJ81" i="130" a="1"/>
  <c r="AJ65" i="130" a="1"/>
  <c r="AJ79" i="130" a="1"/>
  <c r="AJ62" i="130" a="1"/>
  <c r="AJ69" i="130" a="1"/>
  <c r="AJ59" i="130" a="1"/>
  <c r="AJ67" i="130" a="1"/>
  <c r="AJ77" i="130" a="1"/>
  <c r="AJ80" i="130" a="1"/>
  <c r="AJ74" i="130" a="1"/>
  <c r="AJ54" i="130" a="1"/>
  <c r="AJ63" i="130" a="1"/>
  <c r="AJ53" i="130" a="1"/>
  <c r="AJ73" i="130" a="1"/>
  <c r="AJ68" i="130" a="1"/>
  <c r="AJ70" i="130" a="1"/>
  <c r="AJ60" i="130" a="1"/>
  <c r="AJ64" i="130" a="1"/>
  <c r="AJ83" i="130" a="1"/>
  <c r="AJ78" i="130" a="1"/>
  <c r="AJ58" i="130" a="1"/>
  <c r="AJ71" i="130" a="1"/>
  <c r="AJ61" i="130" a="1"/>
  <c r="AJ56" i="130" a="1"/>
  <c r="AJ72" i="130" a="1"/>
  <c r="AJ55" i="130" a="1"/>
  <c r="BL68" i="1"/>
  <c r="BV44" i="1" s="1"/>
  <c r="BF39" i="1" s="1"/>
  <c r="AO82" i="130" a="1"/>
  <c r="AO65" i="130" a="1"/>
  <c r="AO70" i="130" a="1"/>
  <c r="AO68" i="130" a="1"/>
  <c r="AO73" i="130" a="1"/>
  <c r="AO58" i="130" a="1"/>
  <c r="AO57" i="130" a="1"/>
  <c r="AO79" i="130" a="1"/>
  <c r="AO74" i="130" a="1"/>
  <c r="AO53" i="130" a="1"/>
  <c r="AO61" i="130" a="1"/>
  <c r="AO62" i="130" a="1"/>
  <c r="AO59" i="130" a="1"/>
  <c r="AO56" i="130" a="1"/>
  <c r="AO63" i="130" a="1"/>
  <c r="AO66" i="130" a="1"/>
  <c r="AO60" i="130" a="1"/>
  <c r="AO71" i="130" a="1"/>
  <c r="AO76" i="130" a="1"/>
  <c r="AO81" i="130" a="1"/>
  <c r="AO55" i="130" a="1"/>
  <c r="AO83" i="130" a="1"/>
  <c r="AO54" i="130" a="1"/>
  <c r="AO77" i="130" a="1"/>
  <c r="AO72" i="130" a="1"/>
  <c r="AO75" i="130" a="1"/>
  <c r="AO64" i="130" a="1"/>
  <c r="AO67" i="130" a="1"/>
  <c r="AO78" i="130" a="1"/>
  <c r="AO69" i="130" a="1"/>
  <c r="AO80" i="130" a="1"/>
  <c r="G79" i="130" a="1"/>
  <c r="G68" i="130" a="1"/>
  <c r="G72" i="130" a="1"/>
  <c r="G53" i="130" a="1"/>
  <c r="G77" i="130" a="1"/>
  <c r="G73" i="130" a="1"/>
  <c r="G81" i="130" a="1"/>
  <c r="G56" i="130" a="1"/>
  <c r="G55" i="130" a="1"/>
  <c r="G54" i="130" a="1"/>
  <c r="G75" i="130" a="1"/>
  <c r="G69" i="130" a="1"/>
  <c r="G76" i="130" a="1"/>
  <c r="G60" i="130" a="1"/>
  <c r="G64" i="130" a="1"/>
  <c r="G67" i="130" a="1"/>
  <c r="G83" i="130" a="1"/>
  <c r="G82" i="130" a="1"/>
  <c r="G61" i="130" a="1"/>
  <c r="G59" i="130" a="1"/>
  <c r="G66" i="130" a="1"/>
  <c r="G71" i="130" a="1"/>
  <c r="G57" i="130" a="1"/>
  <c r="G80" i="130" a="1"/>
  <c r="G70" i="130" a="1"/>
  <c r="G78" i="130" a="1"/>
  <c r="G63" i="130" a="1"/>
  <c r="G65" i="130" a="1"/>
  <c r="G58" i="130" a="1"/>
  <c r="G74" i="130" a="1"/>
  <c r="G62" i="130" a="1"/>
  <c r="P58" i="130" a="1"/>
  <c r="P63" i="130" a="1"/>
  <c r="P76" i="130" a="1"/>
  <c r="P55" i="130" a="1"/>
  <c r="P78" i="130" a="1"/>
  <c r="P66" i="130" a="1"/>
  <c r="P69" i="130" a="1"/>
  <c r="P72" i="130" a="1"/>
  <c r="P68" i="130" a="1"/>
  <c r="P65" i="130" a="1"/>
  <c r="P71" i="130" a="1"/>
  <c r="P67" i="130" a="1"/>
  <c r="P73" i="130" a="1"/>
  <c r="P59" i="130" a="1"/>
  <c r="P64" i="130" a="1"/>
  <c r="P75" i="130" a="1"/>
  <c r="P83" i="130" a="1"/>
  <c r="P82" i="130" a="1"/>
  <c r="P56" i="130" a="1"/>
  <c r="P61" i="130" a="1"/>
  <c r="P54" i="130" a="1"/>
  <c r="P53" i="130" a="1"/>
  <c r="P80" i="130" a="1"/>
  <c r="P62" i="130" a="1"/>
  <c r="P74" i="130" a="1"/>
  <c r="P60" i="130" a="1"/>
  <c r="P77" i="130" a="1"/>
  <c r="P70" i="130" a="1"/>
  <c r="P79" i="130" a="1"/>
  <c r="P57" i="130" a="1"/>
  <c r="P81" i="130" a="1"/>
  <c r="AQ79" i="130" a="1"/>
  <c r="AQ56" i="130" a="1"/>
  <c r="AQ61" i="130" a="1"/>
  <c r="AQ58" i="130" a="1"/>
  <c r="AQ53" i="130" a="1"/>
  <c r="AQ77" i="130" a="1"/>
  <c r="AQ55" i="130" a="1"/>
  <c r="AQ80" i="130" a="1"/>
  <c r="AQ59" i="130" a="1"/>
  <c r="AQ71" i="130" a="1"/>
  <c r="AQ81" i="130" a="1"/>
  <c r="AQ64" i="130" a="1"/>
  <c r="AQ78" i="130" a="1"/>
  <c r="AQ68" i="130" a="1"/>
  <c r="AQ83" i="130" a="1"/>
  <c r="AQ72" i="130" a="1"/>
  <c r="AQ66" i="130" a="1"/>
  <c r="AQ69" i="130" a="1"/>
  <c r="AQ57" i="130" a="1"/>
  <c r="AQ75" i="130" a="1"/>
  <c r="AQ65" i="130" a="1"/>
  <c r="AQ70" i="130" a="1"/>
  <c r="AQ62" i="130" a="1"/>
  <c r="AQ73" i="130" a="1"/>
  <c r="AQ60" i="130" a="1"/>
  <c r="AQ54" i="130" a="1"/>
  <c r="AQ76" i="130" a="1"/>
  <c r="AQ63" i="130" a="1"/>
  <c r="AQ74" i="130" a="1"/>
  <c r="AQ82" i="130" a="1"/>
  <c r="AQ67" i="130" a="1"/>
  <c r="BI44" i="1"/>
  <c r="BA50" i="1" s="1"/>
  <c r="AN74" i="130" a="1"/>
  <c r="AN66" i="130" a="1"/>
  <c r="AN68" i="130" a="1"/>
  <c r="AN62" i="130" a="1"/>
  <c r="AN79" i="130" a="1"/>
  <c r="AN76" i="130" a="1"/>
  <c r="AN69" i="130" a="1"/>
  <c r="AN64" i="130" a="1"/>
  <c r="AN82" i="130" a="1"/>
  <c r="AN63" i="130" a="1"/>
  <c r="AN56" i="130" a="1"/>
  <c r="AN60" i="130" a="1"/>
  <c r="AN78" i="130" a="1"/>
  <c r="AN55" i="130" a="1"/>
  <c r="AN54" i="130" a="1"/>
  <c r="AN73" i="130" a="1"/>
  <c r="AN77" i="130" a="1"/>
  <c r="AN65" i="130" a="1"/>
  <c r="AN59" i="130" a="1"/>
  <c r="AN53" i="130" a="1"/>
  <c r="AN72" i="130" a="1"/>
  <c r="AN80" i="130" a="1"/>
  <c r="AN75" i="130" a="1"/>
  <c r="AN58" i="130" a="1"/>
  <c r="AN81" i="130" a="1"/>
  <c r="AN57" i="130" a="1"/>
  <c r="AN70" i="130" a="1"/>
  <c r="AN71" i="130" a="1"/>
  <c r="AN67" i="130" a="1"/>
  <c r="AN83" i="130" a="1"/>
  <c r="AN61" i="130" a="1"/>
  <c r="AK65" i="130" a="1"/>
  <c r="AK64" i="130" a="1"/>
  <c r="AK66" i="130" a="1"/>
  <c r="AK55" i="130" a="1"/>
  <c r="AK80" i="130" a="1"/>
  <c r="AK72" i="130" a="1"/>
  <c r="AK53" i="130" a="1"/>
  <c r="AK77" i="130" a="1"/>
  <c r="AK75" i="130" a="1"/>
  <c r="AK74" i="130" a="1"/>
  <c r="AK61" i="130" a="1"/>
  <c r="AK59" i="130" a="1"/>
  <c r="AK69" i="130" a="1"/>
  <c r="AK56" i="130" a="1"/>
  <c r="AK81" i="130" a="1"/>
  <c r="AK82" i="130" a="1"/>
  <c r="AK78" i="130" a="1"/>
  <c r="AK76" i="130" a="1"/>
  <c r="AK62" i="130" a="1"/>
  <c r="AK54" i="130" a="1"/>
  <c r="AK73" i="130" a="1"/>
  <c r="AK83" i="130" a="1"/>
  <c r="AK70" i="130" a="1"/>
  <c r="AK71" i="130" a="1"/>
  <c r="AK63" i="130" a="1"/>
  <c r="AK68" i="130" a="1"/>
  <c r="AK67" i="130" a="1"/>
  <c r="AK58" i="130" a="1"/>
  <c r="AK60" i="130" a="1"/>
  <c r="AK57" i="130" a="1"/>
  <c r="AK79" i="130" a="1"/>
  <c r="AW50" i="1"/>
  <c r="BH32" i="1" s="1"/>
  <c r="AQ39" i="1" s="1"/>
  <c r="J58" i="130" a="1"/>
  <c r="J62" i="130" a="1"/>
  <c r="J65" i="130" a="1"/>
  <c r="J67" i="130" a="1"/>
  <c r="J59" i="130" a="1"/>
  <c r="J75" i="130" a="1"/>
  <c r="J63" i="130" a="1"/>
  <c r="J60" i="130" a="1"/>
  <c r="J69" i="130" a="1"/>
  <c r="J72" i="130" a="1"/>
  <c r="J70" i="130" a="1"/>
  <c r="J66" i="130" a="1"/>
  <c r="J61" i="130" a="1"/>
  <c r="J68" i="130" a="1"/>
  <c r="J82" i="130" a="1"/>
  <c r="J80" i="130" a="1"/>
  <c r="J83" i="130" a="1"/>
  <c r="J73" i="130" a="1"/>
  <c r="J54" i="130" a="1"/>
  <c r="J57" i="130" a="1"/>
  <c r="J81" i="130" a="1"/>
  <c r="J55" i="130" a="1"/>
  <c r="J77" i="130" a="1"/>
  <c r="J56" i="130" a="1"/>
  <c r="J76" i="130" a="1"/>
  <c r="J71" i="130" a="1"/>
  <c r="J78" i="130" a="1"/>
  <c r="J64" i="130" a="1"/>
  <c r="J74" i="130" a="1"/>
  <c r="J79" i="130" a="1"/>
  <c r="J53" i="130" a="1"/>
  <c r="AK44" i="1"/>
  <c r="BS29" i="1" s="1"/>
  <c r="AG63" i="130" a="1"/>
  <c r="AG54" i="130" a="1"/>
  <c r="AG61" i="130" a="1"/>
  <c r="AG72" i="130" a="1"/>
  <c r="AG62" i="130" a="1"/>
  <c r="AG64" i="130" a="1"/>
  <c r="AG78" i="130" a="1"/>
  <c r="AG82" i="130" a="1"/>
  <c r="AG67" i="130" a="1"/>
  <c r="AG68" i="130" a="1"/>
  <c r="AG74" i="130" a="1"/>
  <c r="AG56" i="130" a="1"/>
  <c r="AG59" i="130" a="1"/>
  <c r="AG53" i="130" a="1"/>
  <c r="AG65" i="130" a="1"/>
  <c r="AG70" i="130" a="1"/>
  <c r="AG80" i="130" a="1"/>
  <c r="AG81" i="130" a="1"/>
  <c r="AG79" i="130" a="1"/>
  <c r="AG66" i="130" a="1"/>
  <c r="AG73" i="130" a="1"/>
  <c r="AG83" i="130" a="1"/>
  <c r="AG55" i="130" a="1"/>
  <c r="AG58" i="130" a="1"/>
  <c r="AG71" i="130" a="1"/>
  <c r="AG69" i="130" a="1"/>
  <c r="AG60" i="130" a="1"/>
  <c r="AG75" i="130" a="1"/>
  <c r="AG57" i="130" a="1"/>
  <c r="AG77" i="130" a="1"/>
  <c r="AG76" i="130" a="1"/>
  <c r="X77" i="130" a="1"/>
  <c r="X81" i="130" a="1"/>
  <c r="X80" i="130" a="1"/>
  <c r="X71" i="130" a="1"/>
  <c r="X60" i="130" a="1"/>
  <c r="X66" i="130" a="1"/>
  <c r="X53" i="130" a="1"/>
  <c r="X54" i="130" a="1"/>
  <c r="X74" i="130" a="1"/>
  <c r="X61" i="130" a="1"/>
  <c r="X58" i="130" a="1"/>
  <c r="X83" i="130" a="1"/>
  <c r="X56" i="130" a="1"/>
  <c r="X79" i="130" a="1"/>
  <c r="X67" i="130" a="1"/>
  <c r="X63" i="130" a="1"/>
  <c r="X64" i="130" a="1"/>
  <c r="X75" i="130" a="1"/>
  <c r="X59" i="130" a="1"/>
  <c r="X72" i="130" a="1"/>
  <c r="X68" i="130" a="1"/>
  <c r="X57" i="130" a="1"/>
  <c r="X78" i="130" a="1"/>
  <c r="X82" i="130" a="1"/>
  <c r="X76" i="130" a="1"/>
  <c r="X55" i="130" a="1"/>
  <c r="X65" i="130" a="1"/>
  <c r="X73" i="130" a="1"/>
  <c r="X62" i="130" a="1"/>
  <c r="X70" i="130" a="1"/>
  <c r="X69" i="130" a="1"/>
  <c r="AX72" i="1"/>
  <c r="AX73" i="1" s="1"/>
  <c r="AR59" i="1"/>
  <c r="BN73" i="1"/>
  <c r="BO31" i="1"/>
  <c r="BO33" i="1" s="1"/>
  <c r="AR73" i="1"/>
  <c r="BM31" i="1"/>
  <c r="BM33" i="1" s="1"/>
  <c r="AL33" i="1"/>
  <c r="BQ31" i="1"/>
  <c r="BQ33" i="1" s="1"/>
  <c r="D81" i="1"/>
  <c r="AK31" i="1"/>
  <c r="AJ33" i="1"/>
  <c r="BR31" i="1"/>
  <c r="BR33" i="1" s="1"/>
  <c r="BE31" i="1"/>
  <c r="BE33" i="1" s="1"/>
  <c r="BP31" i="1"/>
  <c r="BP33" i="1" s="1"/>
  <c r="BN31" i="1"/>
  <c r="BN33" i="1" s="1"/>
  <c r="BT31" i="1"/>
  <c r="BT33" i="1" s="1"/>
  <c r="BX34" i="1" s="1"/>
  <c r="BR73" i="1"/>
  <c r="AS31" i="1"/>
  <c r="AS33" i="1" s="1"/>
  <c r="AP59" i="1"/>
  <c r="AP73" i="1" s="1"/>
  <c r="AX31" i="1"/>
  <c r="AX33" i="1" s="1"/>
  <c r="BO73" i="1"/>
  <c r="G81" i="1"/>
  <c r="V111" i="1"/>
  <c r="T81" i="1"/>
  <c r="T79" i="1" s="1"/>
  <c r="G41" i="1"/>
  <c r="G42" i="1" s="1"/>
  <c r="T41" i="1"/>
  <c r="T42" i="1" s="1"/>
  <c r="AT34" i="1"/>
  <c r="M123" i="1"/>
  <c r="P34" i="1"/>
  <c r="G34" i="1"/>
  <c r="G9" i="1"/>
  <c r="BC41" i="1"/>
  <c r="Q123" i="1"/>
  <c r="E123" i="1"/>
  <c r="H123" i="1"/>
  <c r="S123" i="1"/>
  <c r="F34" i="1"/>
  <c r="D123" i="1"/>
  <c r="Z123" i="1"/>
  <c r="C123" i="1"/>
  <c r="W123" i="1"/>
  <c r="AO42" i="1"/>
  <c r="AO45" i="1" s="1"/>
  <c r="AO47" i="1" s="1"/>
  <c r="AO51" i="1" s="1"/>
  <c r="N123" i="1"/>
  <c r="BK42" i="1"/>
  <c r="BK45" i="1" s="1"/>
  <c r="AM41" i="1"/>
  <c r="J4" i="1"/>
  <c r="Q81" i="1"/>
  <c r="Q79" i="1" s="1"/>
  <c r="R81" i="1"/>
  <c r="R79" i="1" s="1"/>
  <c r="J131" i="1"/>
  <c r="J111" i="1"/>
  <c r="J9" i="1"/>
  <c r="BM41" i="1"/>
  <c r="O123" i="1"/>
  <c r="T4" i="1"/>
  <c r="N81" i="1"/>
  <c r="N79" i="1" s="1"/>
  <c r="Q42" i="1"/>
  <c r="Q45" i="1" s="1"/>
  <c r="Q47" i="1" s="1"/>
  <c r="Q51" i="1" s="1"/>
  <c r="I123" i="1"/>
  <c r="F123" i="1"/>
  <c r="Z81" i="1"/>
  <c r="B123" i="1"/>
  <c r="P81" i="1"/>
  <c r="P79" i="1" s="1"/>
  <c r="W81" i="1"/>
  <c r="B131" i="1"/>
  <c r="B111" i="1"/>
  <c r="AB58" i="1"/>
  <c r="CD58" i="1"/>
  <c r="CE58" i="1" s="1"/>
  <c r="CF58" i="1" s="1"/>
  <c r="CG58" i="1" s="1"/>
  <c r="D131" i="1"/>
  <c r="D9" i="1"/>
  <c r="D111" i="1"/>
  <c r="I9" i="1"/>
  <c r="I111" i="1"/>
  <c r="P9" i="1"/>
  <c r="P131" i="1"/>
  <c r="H42" i="1"/>
  <c r="H45" i="1" s="1"/>
  <c r="H47" i="1" s="1"/>
  <c r="H51" i="1" s="1"/>
  <c r="S81" i="1"/>
  <c r="S79" i="1" s="1"/>
  <c r="G123" i="1"/>
  <c r="B42" i="1"/>
  <c r="U81" i="1"/>
  <c r="U79" i="1" s="1"/>
  <c r="V123" i="1"/>
  <c r="Y123" i="1"/>
  <c r="AW42" i="1"/>
  <c r="AW45" i="1" s="1"/>
  <c r="BJ42" i="1"/>
  <c r="BJ45" i="1" s="1"/>
  <c r="BJ47" i="1" s="1"/>
  <c r="BJ51" i="1" s="1"/>
  <c r="BJ55" i="1" s="1"/>
  <c r="O42" i="1"/>
  <c r="C34" i="1"/>
  <c r="AN42" i="1"/>
  <c r="AP42" i="1"/>
  <c r="C111" i="1"/>
  <c r="I42" i="1"/>
  <c r="BJ34" i="1"/>
  <c r="J42" i="1"/>
  <c r="J123" i="1"/>
  <c r="BB42" i="1"/>
  <c r="BB45" i="1" s="1"/>
  <c r="BB47" i="1" s="1"/>
  <c r="BB51" i="1" s="1"/>
  <c r="Q4" i="1"/>
  <c r="X123" i="1"/>
  <c r="Q111" i="1"/>
  <c r="L42" i="1"/>
  <c r="L45" i="1" s="1"/>
  <c r="L47" i="1" s="1"/>
  <c r="L51" i="1" s="1"/>
  <c r="L82" i="1" s="1"/>
  <c r="E42" i="1"/>
  <c r="E45" i="1" s="1"/>
  <c r="E47" i="1" s="1"/>
  <c r="E51" i="1" s="1"/>
  <c r="O34" i="1"/>
  <c r="K123" i="1"/>
  <c r="P123" i="1"/>
  <c r="W131" i="1"/>
  <c r="W111" i="1"/>
  <c r="R33" i="1"/>
  <c r="S34" i="1" s="1"/>
  <c r="I4" i="1"/>
  <c r="H111" i="1"/>
  <c r="H9" i="1"/>
  <c r="L131" i="1"/>
  <c r="L9" i="1"/>
  <c r="L111" i="1"/>
  <c r="U4" i="1"/>
  <c r="U111" i="1"/>
  <c r="U9" i="1"/>
  <c r="F111" i="1"/>
  <c r="F9" i="1"/>
  <c r="Z131" i="1"/>
  <c r="Z111" i="1"/>
  <c r="S9" i="1"/>
  <c r="S131" i="1"/>
  <c r="S111" i="1"/>
  <c r="S124" i="1" s="1"/>
  <c r="I81" i="1"/>
  <c r="I79" i="1" s="1"/>
  <c r="H81" i="1"/>
  <c r="H79" i="1" s="1"/>
  <c r="N4" i="1"/>
  <c r="N111" i="1"/>
  <c r="N9" i="1"/>
  <c r="U57" i="1"/>
  <c r="V59" i="1"/>
  <c r="V73" i="1" s="1"/>
  <c r="K9" i="1"/>
  <c r="K131" i="1"/>
  <c r="K111" i="1"/>
  <c r="AV34" i="1"/>
  <c r="AR42" i="1"/>
  <c r="AM34" i="1"/>
  <c r="AI42" i="1"/>
  <c r="E81" i="1"/>
  <c r="E79" i="1" s="1"/>
  <c r="F81" i="1"/>
  <c r="F79" i="1" s="1"/>
  <c r="P42" i="1"/>
  <c r="T34" i="1"/>
  <c r="T123" i="1"/>
  <c r="H34" i="1"/>
  <c r="M81" i="1"/>
  <c r="M79" i="1" s="1"/>
  <c r="L81" i="1"/>
  <c r="L79" i="1" s="1"/>
  <c r="X81" i="1"/>
  <c r="Y81" i="1"/>
  <c r="E34" i="1"/>
  <c r="K42" i="1"/>
  <c r="K45" i="1" s="1"/>
  <c r="K47" i="1" s="1"/>
  <c r="K51" i="1" s="1"/>
  <c r="U123" i="1"/>
  <c r="D19" i="1"/>
  <c r="D21" i="1" s="1"/>
  <c r="D23" i="1" s="1"/>
  <c r="AL42" i="1"/>
  <c r="BN34" i="1"/>
  <c r="BT34" i="1"/>
  <c r="BF34" i="1"/>
  <c r="I34" i="1"/>
  <c r="J34" i="1"/>
  <c r="AZ34" i="1"/>
  <c r="BD34" i="1"/>
  <c r="U34" i="1"/>
  <c r="D34" i="1"/>
  <c r="K34" i="1"/>
  <c r="Q34" i="1"/>
  <c r="BQ34" i="1"/>
  <c r="BM34" i="1"/>
  <c r="K4" i="1"/>
  <c r="M9" i="1"/>
  <c r="M111" i="1"/>
  <c r="BU34" i="1"/>
  <c r="M42" i="1"/>
  <c r="M34" i="1"/>
  <c r="N34" i="1"/>
  <c r="AW34" i="1"/>
  <c r="AS34" i="1"/>
  <c r="BB34" i="1"/>
  <c r="AX34" i="1"/>
  <c r="C45" i="1"/>
  <c r="C47" i="1" s="1"/>
  <c r="C51" i="1" s="1"/>
  <c r="AL34" i="1"/>
  <c r="AJ42" i="1"/>
  <c r="AS42" i="1"/>
  <c r="F41" i="1"/>
  <c r="F42" i="1" s="1"/>
  <c r="BU42" i="1"/>
  <c r="BY43" i="1" s="1"/>
  <c r="O81" i="1"/>
  <c r="O79" i="1" s="1"/>
  <c r="X111" i="1"/>
  <c r="M4" i="1"/>
  <c r="R9" i="1"/>
  <c r="G111" i="1"/>
  <c r="P111" i="1"/>
  <c r="L4" i="1"/>
  <c r="O4" i="1"/>
  <c r="R111" i="1"/>
  <c r="T9" i="1"/>
  <c r="T111" i="1"/>
  <c r="O9" i="1"/>
  <c r="F4" i="1"/>
  <c r="E111" i="1"/>
  <c r="AX42" i="1"/>
  <c r="V81" i="1"/>
  <c r="BP42" i="1"/>
  <c r="E9" i="1"/>
  <c r="D79" i="1"/>
  <c r="BR42" i="1"/>
  <c r="P4" i="1"/>
  <c r="D4" i="1"/>
  <c r="E4" i="1"/>
  <c r="G4" i="1"/>
  <c r="K81" i="1"/>
  <c r="K79" i="1" s="1"/>
  <c r="J81" i="1"/>
  <c r="J79" i="1" s="1"/>
  <c r="S42" i="1"/>
  <c r="O111" i="1"/>
  <c r="D42" i="1"/>
  <c r="H4" i="1"/>
  <c r="Q131" i="1"/>
  <c r="Q9" i="1"/>
  <c r="Y131" i="1"/>
  <c r="Y111" i="1"/>
  <c r="O131" i="1"/>
  <c r="N41" i="1"/>
  <c r="N42" i="1" s="1"/>
  <c r="U42" i="1"/>
  <c r="BT42" i="1"/>
  <c r="BX43" i="1" s="1"/>
  <c r="BN42" i="1"/>
  <c r="Y41" i="1"/>
  <c r="CH106" i="1"/>
  <c r="CI106" i="1" s="1"/>
  <c r="CJ106" i="1" s="1"/>
  <c r="CK106" i="1" s="1"/>
  <c r="AC106" i="1"/>
  <c r="CE88" i="1"/>
  <c r="BP59" i="1"/>
  <c r="BP73" i="1" s="1"/>
  <c r="AK33" i="1" l="1"/>
  <c r="AK42" i="1" s="1"/>
  <c r="AR34" i="1"/>
  <c r="BC42" i="1"/>
  <c r="AT42" i="1"/>
  <c r="BD42" i="1"/>
  <c r="BD45" i="1" s="1"/>
  <c r="BD47" i="1" s="1"/>
  <c r="BD51" i="1" s="1"/>
  <c r="AU42" i="1"/>
  <c r="AU45" i="1" s="1"/>
  <c r="AU47" i="1" s="1"/>
  <c r="AU51" i="1" s="1"/>
  <c r="BI42" i="1"/>
  <c r="AM42" i="1"/>
  <c r="AM45" i="1" s="1"/>
  <c r="AM47" i="1" s="1"/>
  <c r="AM51" i="1" s="1"/>
  <c r="AV42" i="1"/>
  <c r="BA31" i="1"/>
  <c r="BA33" i="1" s="1"/>
  <c r="BO68" i="1"/>
  <c r="AR69" i="1" s="1"/>
  <c r="BC73" i="1"/>
  <c r="BK46" i="1"/>
  <c r="BK47" i="1" s="1"/>
  <c r="BK51" i="1" s="1"/>
  <c r="BE41" i="1"/>
  <c r="BE42" i="1" s="1"/>
  <c r="BQ39" i="1"/>
  <c r="BQ41" i="1" s="1"/>
  <c r="BQ42" i="1" s="1"/>
  <c r="AI59" i="1"/>
  <c r="AI73" i="1" s="1"/>
  <c r="BH29" i="1"/>
  <c r="AE64" i="130" a="1"/>
  <c r="AE81" i="130" a="1"/>
  <c r="AE57" i="130" a="1"/>
  <c r="AE56" i="130" a="1"/>
  <c r="BJ103" i="1" s="1"/>
  <c r="AE66" i="130" a="1"/>
  <c r="BJ117" i="1" s="1"/>
  <c r="AE73" i="130" a="1"/>
  <c r="AE58" i="130" a="1"/>
  <c r="AE83" i="130" a="1"/>
  <c r="AE68" i="130" a="1"/>
  <c r="AE77" i="130" a="1"/>
  <c r="AE55" i="130" a="1"/>
  <c r="AE54" i="130" a="1"/>
  <c r="AE79" i="130" a="1"/>
  <c r="AE59" i="130" a="1"/>
  <c r="AE72" i="130" a="1"/>
  <c r="AE61" i="130" a="1"/>
  <c r="AE63" i="130" a="1"/>
  <c r="AE74" i="130" a="1"/>
  <c r="AE70" i="130" a="1"/>
  <c r="AE62" i="130" a="1"/>
  <c r="AE65" i="130" a="1"/>
  <c r="AE71" i="130" a="1"/>
  <c r="AE78" i="130" a="1"/>
  <c r="AE82" i="130" a="1"/>
  <c r="AE75" i="130" a="1"/>
  <c r="AE60" i="130" a="1"/>
  <c r="AE69" i="130" a="1"/>
  <c r="AE67" i="130" a="1"/>
  <c r="AE53" i="130" a="1"/>
  <c r="AE80" i="130" a="1"/>
  <c r="AE76" i="130" a="1"/>
  <c r="AY31" i="1"/>
  <c r="AY33" i="1" s="1"/>
  <c r="AQ29" i="1"/>
  <c r="BL31" i="1"/>
  <c r="BL33" i="1" s="1"/>
  <c r="BF68" i="1"/>
  <c r="AH41" i="1"/>
  <c r="BN69" i="1"/>
  <c r="C70" i="130" a="1"/>
  <c r="C82" i="130" a="1"/>
  <c r="C83" i="130" a="1"/>
  <c r="C61" i="130" a="1"/>
  <c r="C74" i="130" a="1"/>
  <c r="C64" i="130" a="1"/>
  <c r="C55" i="130" a="1"/>
  <c r="C53" i="130" a="1"/>
  <c r="C77" i="130" a="1"/>
  <c r="C56" i="130" a="1"/>
  <c r="AH103" i="1" s="1"/>
  <c r="C75" i="130" a="1"/>
  <c r="C60" i="130" a="1"/>
  <c r="C63" i="130" a="1"/>
  <c r="C80" i="130" a="1"/>
  <c r="C62" i="130" a="1"/>
  <c r="C73" i="130" a="1"/>
  <c r="C76" i="130" a="1"/>
  <c r="C58" i="130" a="1"/>
  <c r="C71" i="130" a="1"/>
  <c r="C69" i="130" a="1"/>
  <c r="C72" i="130" a="1"/>
  <c r="C59" i="130" a="1"/>
  <c r="C79" i="130" a="1"/>
  <c r="C66" i="130" a="1"/>
  <c r="AH117" i="1" s="1"/>
  <c r="C81" i="130" a="1"/>
  <c r="C54" i="130" a="1"/>
  <c r="C68" i="130" a="1"/>
  <c r="C78" i="130" a="1"/>
  <c r="C65" i="130" a="1"/>
  <c r="C57" i="130" a="1"/>
  <c r="C67" i="130" a="1"/>
  <c r="AN50" i="1"/>
  <c r="BF41" i="1"/>
  <c r="BF42" i="1" s="1"/>
  <c r="BG32" i="1"/>
  <c r="BG33" i="1" s="1"/>
  <c r="BS31" i="1"/>
  <c r="BS33" i="1" s="1"/>
  <c r="R51" i="130"/>
  <c r="BL116" i="1"/>
  <c r="BL109" i="1" s="1"/>
  <c r="BL106" i="1" s="1"/>
  <c r="BL114" i="1" s="1"/>
  <c r="BF103" i="1"/>
  <c r="BL103" i="1"/>
  <c r="AM103" i="1"/>
  <c r="BU103" i="1"/>
  <c r="BL117" i="1"/>
  <c r="BV117" i="1"/>
  <c r="AN103" i="1"/>
  <c r="BT117" i="1"/>
  <c r="AT117" i="1"/>
  <c r="AV117" i="1"/>
  <c r="BA103" i="1"/>
  <c r="BE103" i="1"/>
  <c r="BS103" i="1"/>
  <c r="AZ103" i="1"/>
  <c r="AS117" i="1"/>
  <c r="BS117" i="1"/>
  <c r="AP117" i="1"/>
  <c r="BU117" i="1"/>
  <c r="AY103" i="1"/>
  <c r="AX103" i="1"/>
  <c r="BK103" i="1"/>
  <c r="BN117" i="1"/>
  <c r="AU117" i="1"/>
  <c r="BV103" i="1"/>
  <c r="AN117" i="1"/>
  <c r="BC103" i="1"/>
  <c r="BG117" i="1"/>
  <c r="AU103" i="1"/>
  <c r="BG103" i="1"/>
  <c r="AX117" i="1"/>
  <c r="BI117" i="1"/>
  <c r="AI103" i="1"/>
  <c r="AO117" i="1"/>
  <c r="AI117" i="1"/>
  <c r="BI103" i="1"/>
  <c r="AZ42" i="1"/>
  <c r="AZ45" i="1" s="1"/>
  <c r="AZ47" i="1" s="1"/>
  <c r="AT45" i="1"/>
  <c r="AT47" i="1" s="1"/>
  <c r="AT51" i="1" s="1"/>
  <c r="AQ41" i="1"/>
  <c r="AL103" i="1"/>
  <c r="BR34" i="1"/>
  <c r="BI45" i="1"/>
  <c r="BI47" i="1" s="1"/>
  <c r="BI51" i="1" s="1"/>
  <c r="BI55" i="1" s="1"/>
  <c r="G79" i="1"/>
  <c r="BM42" i="1"/>
  <c r="AV103" i="1"/>
  <c r="BP103" i="1"/>
  <c r="AT103" i="1"/>
  <c r="AL117" i="1"/>
  <c r="AR117" i="1"/>
  <c r="BN103" i="1"/>
  <c r="AO34" i="1"/>
  <c r="BI34" i="1"/>
  <c r="BO34" i="1"/>
  <c r="AP34" i="1"/>
  <c r="AN34" i="1"/>
  <c r="BO42" i="1"/>
  <c r="BT103" i="1"/>
  <c r="AJ103" i="1"/>
  <c r="BQ103" i="1"/>
  <c r="BR103" i="1"/>
  <c r="AQ103" i="1"/>
  <c r="BC117" i="1"/>
  <c r="AJ117" i="1"/>
  <c r="BO117" i="1"/>
  <c r="BE117" i="1"/>
  <c r="BD103" i="1"/>
  <c r="AM117" i="1"/>
  <c r="BQ117" i="1"/>
  <c r="BH117" i="1"/>
  <c r="BR117" i="1"/>
  <c r="BO103" i="1"/>
  <c r="AK117" i="1"/>
  <c r="BK117" i="1"/>
  <c r="AK103" i="1"/>
  <c r="AQ117" i="1"/>
  <c r="AR103" i="1"/>
  <c r="BM117" i="1"/>
  <c r="AS103" i="1"/>
  <c r="BH103" i="1"/>
  <c r="BP117" i="1"/>
  <c r="BA117" i="1"/>
  <c r="AO103" i="1"/>
  <c r="BD117" i="1"/>
  <c r="BM103" i="1"/>
  <c r="AZ117" i="1"/>
  <c r="AY117" i="1"/>
  <c r="BB117" i="1"/>
  <c r="BF117" i="1"/>
  <c r="M124" i="1"/>
  <c r="V124" i="1"/>
  <c r="N124" i="1"/>
  <c r="BD43" i="1"/>
  <c r="W124" i="1"/>
  <c r="J5" i="1"/>
  <c r="K18" i="1" s="1"/>
  <c r="AV45" i="1"/>
  <c r="AV47" i="1" s="1"/>
  <c r="AV51" i="1" s="1"/>
  <c r="AZ43" i="1"/>
  <c r="D124" i="1"/>
  <c r="E124" i="1"/>
  <c r="Z124" i="1"/>
  <c r="AT60" i="1"/>
  <c r="AT55" i="1"/>
  <c r="BD55" i="1"/>
  <c r="BD60" i="1"/>
  <c r="U124" i="1"/>
  <c r="AM43" i="1"/>
  <c r="AI45" i="1"/>
  <c r="AI47" i="1" s="1"/>
  <c r="AI51" i="1" s="1"/>
  <c r="AM52" i="1" s="1"/>
  <c r="G5" i="1"/>
  <c r="L5" i="1"/>
  <c r="K5" i="1"/>
  <c r="B124" i="1"/>
  <c r="J124" i="1"/>
  <c r="G124" i="1"/>
  <c r="I124" i="1"/>
  <c r="L124" i="1"/>
  <c r="M5" i="1"/>
  <c r="F124" i="1"/>
  <c r="K124" i="1"/>
  <c r="L43" i="1"/>
  <c r="Y124" i="1"/>
  <c r="O43" i="1"/>
  <c r="G45" i="1"/>
  <c r="G47" i="1" s="1"/>
  <c r="G51" i="1" s="1"/>
  <c r="H43" i="1"/>
  <c r="CH58" i="1"/>
  <c r="CI58" i="1" s="1"/>
  <c r="CJ58" i="1" s="1"/>
  <c r="CK58" i="1" s="1"/>
  <c r="AC58" i="1"/>
  <c r="H55" i="1"/>
  <c r="H82" i="1"/>
  <c r="C43" i="1"/>
  <c r="B45" i="1"/>
  <c r="B47" i="1" s="1"/>
  <c r="B51" i="1" s="1"/>
  <c r="Q5" i="1"/>
  <c r="Q124" i="1"/>
  <c r="N5" i="1"/>
  <c r="U59" i="1"/>
  <c r="T57" i="1"/>
  <c r="C124" i="1"/>
  <c r="D5" i="1"/>
  <c r="R34" i="1"/>
  <c r="R42" i="1"/>
  <c r="S43" i="1" s="1"/>
  <c r="H124" i="1"/>
  <c r="I5" i="1"/>
  <c r="M43" i="1"/>
  <c r="X124" i="1"/>
  <c r="H5" i="1"/>
  <c r="P124" i="1"/>
  <c r="T5" i="1"/>
  <c r="O5" i="1"/>
  <c r="P43" i="1"/>
  <c r="O45" i="1"/>
  <c r="O47" i="1" s="1"/>
  <c r="O51" i="1" s="1"/>
  <c r="AR43" i="1"/>
  <c r="AN45" i="1"/>
  <c r="AN47" i="1" s="1"/>
  <c r="AN51" i="1" s="1"/>
  <c r="AT43" i="1"/>
  <c r="AP45" i="1"/>
  <c r="AP47" i="1" s="1"/>
  <c r="AP51" i="1" s="1"/>
  <c r="AP60" i="1" s="1"/>
  <c r="I43" i="1"/>
  <c r="I45" i="1"/>
  <c r="I47" i="1" s="1"/>
  <c r="I51" i="1" s="1"/>
  <c r="J43" i="1"/>
  <c r="J45" i="1"/>
  <c r="J47" i="1" s="1"/>
  <c r="J51" i="1" s="1"/>
  <c r="K52" i="1" s="1"/>
  <c r="K43" i="1"/>
  <c r="AR45" i="1"/>
  <c r="AR47" i="1" s="1"/>
  <c r="AR51" i="1" s="1"/>
  <c r="AV43" i="1"/>
  <c r="P45" i="1"/>
  <c r="P47" i="1" s="1"/>
  <c r="P51" i="1" s="1"/>
  <c r="Q43" i="1"/>
  <c r="AP43" i="1"/>
  <c r="AL45" i="1"/>
  <c r="AL47" i="1" s="1"/>
  <c r="AL51" i="1" s="1"/>
  <c r="BQ43" i="1"/>
  <c r="BM45" i="1"/>
  <c r="BM47" i="1" s="1"/>
  <c r="BM51" i="1" s="1"/>
  <c r="BM43" i="1"/>
  <c r="BB60" i="1"/>
  <c r="BB55" i="1"/>
  <c r="BT43" i="1"/>
  <c r="AU60" i="1"/>
  <c r="AU55" i="1"/>
  <c r="U43" i="1"/>
  <c r="T45" i="1"/>
  <c r="T47" i="1" s="1"/>
  <c r="T51" i="1" s="1"/>
  <c r="Q82" i="1"/>
  <c r="Q55" i="1"/>
  <c r="BU43" i="1"/>
  <c r="BQ45" i="1"/>
  <c r="BQ47" i="1" s="1"/>
  <c r="BQ51" i="1" s="1"/>
  <c r="L55" i="1"/>
  <c r="N43" i="1"/>
  <c r="M45" i="1"/>
  <c r="M47" i="1" s="1"/>
  <c r="M51" i="1" s="1"/>
  <c r="C55" i="1"/>
  <c r="BF45" i="1"/>
  <c r="BF47" i="1" s="1"/>
  <c r="BF51" i="1" s="1"/>
  <c r="BF55" i="1" s="1"/>
  <c r="BJ43" i="1"/>
  <c r="BF43" i="1"/>
  <c r="AJ45" i="1"/>
  <c r="AJ47" i="1" s="1"/>
  <c r="AJ51" i="1" s="1"/>
  <c r="AN43" i="1"/>
  <c r="AS45" i="1"/>
  <c r="AS47" i="1" s="1"/>
  <c r="AS51" i="1" s="1"/>
  <c r="AS52" i="1" s="1"/>
  <c r="AW43" i="1"/>
  <c r="AS43" i="1"/>
  <c r="F45" i="1"/>
  <c r="F47" i="1" s="1"/>
  <c r="F51" i="1" s="1"/>
  <c r="F52" i="1" s="1"/>
  <c r="G43" i="1"/>
  <c r="F43" i="1"/>
  <c r="BC45" i="1"/>
  <c r="S5" i="1"/>
  <c r="R5" i="1"/>
  <c r="R124" i="1"/>
  <c r="AX45" i="1"/>
  <c r="AX47" i="1" s="1"/>
  <c r="AX51" i="1" s="1"/>
  <c r="BB43" i="1"/>
  <c r="T43" i="1"/>
  <c r="E82" i="1"/>
  <c r="D43" i="1"/>
  <c r="E43" i="1"/>
  <c r="BR43" i="1"/>
  <c r="BN43" i="1"/>
  <c r="AO55" i="1"/>
  <c r="L52" i="1"/>
  <c r="BU45" i="1"/>
  <c r="BU47" i="1" s="1"/>
  <c r="BU51" i="1" s="1"/>
  <c r="BY52" i="1" s="1"/>
  <c r="T124" i="1"/>
  <c r="O124" i="1"/>
  <c r="U5" i="1"/>
  <c r="P5" i="1"/>
  <c r="S45" i="1"/>
  <c r="S47" i="1" s="1"/>
  <c r="S51" i="1" s="1"/>
  <c r="BT45" i="1"/>
  <c r="BT47" i="1" s="1"/>
  <c r="BT51" i="1" s="1"/>
  <c r="BX52" i="1" s="1"/>
  <c r="E55" i="1"/>
  <c r="F5" i="1"/>
  <c r="N45" i="1"/>
  <c r="N47" i="1" s="1"/>
  <c r="N51" i="1" s="1"/>
  <c r="BP45" i="1"/>
  <c r="BP47" i="1" s="1"/>
  <c r="BP51" i="1" s="1"/>
  <c r="BR45" i="1"/>
  <c r="BR47" i="1" s="1"/>
  <c r="BR51" i="1" s="1"/>
  <c r="E5" i="1"/>
  <c r="BN45" i="1"/>
  <c r="BN47" i="1" s="1"/>
  <c r="BN51" i="1" s="1"/>
  <c r="U45" i="1"/>
  <c r="U47" i="1" s="1"/>
  <c r="U51" i="1" s="1"/>
  <c r="D45" i="1"/>
  <c r="D47" i="1" s="1"/>
  <c r="D51" i="1" s="1"/>
  <c r="AM55" i="1"/>
  <c r="AO60" i="1"/>
  <c r="K82" i="1"/>
  <c r="K55" i="1"/>
  <c r="CL106" i="1"/>
  <c r="CM106" i="1" s="1"/>
  <c r="CN106" i="1" s="1"/>
  <c r="CO106" i="1" s="1"/>
  <c r="AE106" i="1" s="1"/>
  <c r="AD106" i="1"/>
  <c r="CF88" i="1"/>
  <c r="BQ59" i="1"/>
  <c r="BQ73" i="1" s="1"/>
  <c r="AX43" i="1" l="1"/>
  <c r="BE45" i="1"/>
  <c r="BE47" i="1" s="1"/>
  <c r="BE51" i="1" s="1"/>
  <c r="BI43" i="1"/>
  <c r="AK45" i="1"/>
  <c r="AK47" i="1" s="1"/>
  <c r="AK51" i="1" s="1"/>
  <c r="AO43" i="1"/>
  <c r="AM60" i="1"/>
  <c r="BK55" i="1"/>
  <c r="BA42" i="1"/>
  <c r="BE34" i="1"/>
  <c r="BA34" i="1"/>
  <c r="BH31" i="1"/>
  <c r="BH33" i="1" s="1"/>
  <c r="BC46" i="1"/>
  <c r="AY34" i="1"/>
  <c r="BC34" i="1"/>
  <c r="AY42" i="1"/>
  <c r="AQ31" i="1"/>
  <c r="AQ33" i="1" s="1"/>
  <c r="BV30" i="1"/>
  <c r="BL42" i="1"/>
  <c r="BP34" i="1"/>
  <c r="AH42" i="1"/>
  <c r="AH18" i="1"/>
  <c r="AH19" i="1" s="1"/>
  <c r="AH21" i="1" s="1"/>
  <c r="AH23" i="1" s="1"/>
  <c r="BK34" i="1"/>
  <c r="BG42" i="1"/>
  <c r="BG34" i="1"/>
  <c r="BS34" i="1"/>
  <c r="BS42" i="1"/>
  <c r="BW34" i="1"/>
  <c r="R64" i="130" a="1"/>
  <c r="R76" i="130" a="1"/>
  <c r="R54" i="130" a="1"/>
  <c r="R69" i="130" a="1"/>
  <c r="R82" i="130" a="1"/>
  <c r="R81" i="130" a="1"/>
  <c r="R65" i="130" a="1"/>
  <c r="R66" i="130" a="1"/>
  <c r="AW117" i="1" s="1"/>
  <c r="R68" i="130" a="1"/>
  <c r="R72" i="130" a="1"/>
  <c r="R80" i="130" a="1"/>
  <c r="R67" i="130" a="1"/>
  <c r="R53" i="130" a="1"/>
  <c r="R60" i="130" a="1"/>
  <c r="R83" i="130" a="1"/>
  <c r="R74" i="130" a="1"/>
  <c r="R71" i="130" a="1"/>
  <c r="R63" i="130" a="1"/>
  <c r="R73" i="130" a="1"/>
  <c r="R79" i="130" a="1"/>
  <c r="R57" i="130" a="1"/>
  <c r="R75" i="130" a="1"/>
  <c r="R70" i="130" a="1"/>
  <c r="R61" i="130" a="1"/>
  <c r="R56" i="130" a="1"/>
  <c r="AW103" i="1" s="1"/>
  <c r="R58" i="130" a="1"/>
  <c r="R78" i="130" a="1"/>
  <c r="R59" i="130" a="1"/>
  <c r="R62" i="130" a="1"/>
  <c r="R77" i="130" a="1"/>
  <c r="R55" i="130" a="1"/>
  <c r="BL75" i="1"/>
  <c r="BL76" i="1"/>
  <c r="BL102" i="1"/>
  <c r="BO43" i="1"/>
  <c r="BO45" i="1"/>
  <c r="BO47" i="1" s="1"/>
  <c r="BO51" i="1" s="1"/>
  <c r="AZ51" i="1"/>
  <c r="K22" i="1"/>
  <c r="K20" i="1"/>
  <c r="K13" i="1"/>
  <c r="K15" i="1"/>
  <c r="K12" i="1"/>
  <c r="K14" i="1" s="1"/>
  <c r="K17" i="1" s="1"/>
  <c r="K19" i="1" s="1"/>
  <c r="K21" i="1" s="1"/>
  <c r="K23" i="1" s="1"/>
  <c r="J7" i="1"/>
  <c r="AP52" i="1"/>
  <c r="AV60" i="1"/>
  <c r="AV55" i="1"/>
  <c r="AI60" i="1"/>
  <c r="AI55" i="1"/>
  <c r="H20" i="1"/>
  <c r="H13" i="1"/>
  <c r="H18" i="1"/>
  <c r="H12" i="1"/>
  <c r="H14" i="1" s="1"/>
  <c r="H15" i="1"/>
  <c r="H22" i="1"/>
  <c r="M22" i="1"/>
  <c r="L7" i="1"/>
  <c r="M12" i="1"/>
  <c r="M13" i="1"/>
  <c r="M15" i="1"/>
  <c r="M18" i="1"/>
  <c r="M20" i="1"/>
  <c r="R13" i="1"/>
  <c r="R20" i="1"/>
  <c r="R22" i="1"/>
  <c r="R12" i="1"/>
  <c r="R15" i="1"/>
  <c r="R18" i="1"/>
  <c r="C52" i="1"/>
  <c r="B55" i="1"/>
  <c r="AN60" i="1"/>
  <c r="AN55" i="1"/>
  <c r="BO52" i="1"/>
  <c r="BO55" i="1"/>
  <c r="O52" i="1"/>
  <c r="BM55" i="1"/>
  <c r="BM52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64" i="1"/>
  <c r="U73" i="1"/>
  <c r="T59" i="1"/>
  <c r="T64" i="1" s="1"/>
  <c r="S57" i="1"/>
  <c r="I52" i="1"/>
  <c r="J52" i="1"/>
  <c r="I55" i="1"/>
  <c r="I82" i="1"/>
  <c r="P55" i="1"/>
  <c r="Q52" i="1"/>
  <c r="P82" i="1"/>
  <c r="P52" i="1"/>
  <c r="G55" i="1"/>
  <c r="G82" i="1"/>
  <c r="H52" i="1"/>
  <c r="AD58" i="1"/>
  <c r="CL58" i="1"/>
  <c r="CM58" i="1" s="1"/>
  <c r="CN58" i="1" s="1"/>
  <c r="CO58" i="1" s="1"/>
  <c r="AE58" i="1" s="1"/>
  <c r="P22" i="1"/>
  <c r="P20" i="1"/>
  <c r="P18" i="1"/>
  <c r="P13" i="1"/>
  <c r="P15" i="1"/>
  <c r="P12" i="1"/>
  <c r="P14" i="1" s="1"/>
  <c r="P17" i="1" s="1"/>
  <c r="P19" i="1" s="1"/>
  <c r="O7" i="1"/>
  <c r="J55" i="1"/>
  <c r="J82" i="1"/>
  <c r="AR55" i="1"/>
  <c r="AR60" i="1"/>
  <c r="AV52" i="1"/>
  <c r="D7" i="1"/>
  <c r="E20" i="1"/>
  <c r="E13" i="1"/>
  <c r="E12" i="1"/>
  <c r="E15" i="1"/>
  <c r="E22" i="1"/>
  <c r="E18" i="1"/>
  <c r="R45" i="1"/>
  <c r="R47" i="1" s="1"/>
  <c r="R51" i="1" s="1"/>
  <c r="S52" i="1" s="1"/>
  <c r="R43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55" i="1"/>
  <c r="O82" i="1"/>
  <c r="AR52" i="1"/>
  <c r="BT52" i="1"/>
  <c r="AP55" i="1"/>
  <c r="AT52" i="1"/>
  <c r="AL55" i="1"/>
  <c r="AL60" i="1"/>
  <c r="AN52" i="1"/>
  <c r="AJ60" i="1"/>
  <c r="AJ55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BQ52" i="1"/>
  <c r="BQ55" i="1"/>
  <c r="M52" i="1"/>
  <c r="M82" i="1"/>
  <c r="M55" i="1"/>
  <c r="AS55" i="1"/>
  <c r="AS60" i="1"/>
  <c r="G52" i="1"/>
  <c r="F82" i="1"/>
  <c r="F55" i="1"/>
  <c r="T55" i="1"/>
  <c r="T82" i="1"/>
  <c r="U52" i="1"/>
  <c r="BF52" i="1"/>
  <c r="BJ52" i="1"/>
  <c r="BF60" i="1"/>
  <c r="N52" i="1"/>
  <c r="BU52" i="1"/>
  <c r="Q18" i="1"/>
  <c r="Q13" i="1"/>
  <c r="Q22" i="1"/>
  <c r="Q7" i="1"/>
  <c r="Q20" i="1"/>
  <c r="T52" i="1"/>
  <c r="G12" i="1"/>
  <c r="G13" i="1"/>
  <c r="G14" i="1" s="1"/>
  <c r="G18" i="1"/>
  <c r="BR52" i="1"/>
  <c r="BN52" i="1"/>
  <c r="D52" i="1"/>
  <c r="E52" i="1"/>
  <c r="BE55" i="1"/>
  <c r="BI52" i="1"/>
  <c r="AX60" i="1"/>
  <c r="BB52" i="1"/>
  <c r="AX52" i="1"/>
  <c r="BU60" i="1"/>
  <c r="BU55" i="1"/>
  <c r="G15" i="1"/>
  <c r="F7" i="1"/>
  <c r="F20" i="1"/>
  <c r="F18" i="1"/>
  <c r="U7" i="1"/>
  <c r="V12" i="1"/>
  <c r="D55" i="1"/>
  <c r="D82" i="1"/>
  <c r="N82" i="1"/>
  <c r="N55" i="1"/>
  <c r="F15" i="1"/>
  <c r="Q12" i="1"/>
  <c r="G20" i="1"/>
  <c r="S55" i="1"/>
  <c r="S82" i="1"/>
  <c r="F13" i="1"/>
  <c r="G22" i="1"/>
  <c r="U82" i="1"/>
  <c r="U60" i="1"/>
  <c r="U61" i="1" s="1"/>
  <c r="U55" i="1"/>
  <c r="BP55" i="1"/>
  <c r="E7" i="1"/>
  <c r="Q15" i="1"/>
  <c r="G7" i="1"/>
  <c r="BN55" i="1"/>
  <c r="BT55" i="1"/>
  <c r="BT60" i="1"/>
  <c r="BR55" i="1"/>
  <c r="BE60" i="1"/>
  <c r="AX55" i="1"/>
  <c r="CG88" i="1"/>
  <c r="AC88" i="1" s="1"/>
  <c r="Y59" i="1"/>
  <c r="Y73" i="1" s="1"/>
  <c r="AO52" i="1" l="1"/>
  <c r="AK60" i="1"/>
  <c r="AK55" i="1"/>
  <c r="AZ60" i="1"/>
  <c r="AZ55" i="1"/>
  <c r="BD52" i="1"/>
  <c r="AZ52" i="1"/>
  <c r="BE43" i="1"/>
  <c r="BA43" i="1"/>
  <c r="BA45" i="1"/>
  <c r="BA47" i="1" s="1"/>
  <c r="BA51" i="1" s="1"/>
  <c r="BH34" i="1"/>
  <c r="BH42" i="1"/>
  <c r="BL34" i="1"/>
  <c r="BC47" i="1"/>
  <c r="BC51" i="1" s="1"/>
  <c r="AW46" i="1"/>
  <c r="AW47" i="1" s="1"/>
  <c r="AW51" i="1" s="1"/>
  <c r="AY43" i="1"/>
  <c r="AY45" i="1"/>
  <c r="AY47" i="1" s="1"/>
  <c r="AY51" i="1" s="1"/>
  <c r="BC43" i="1"/>
  <c r="AQ42" i="1"/>
  <c r="AU34" i="1"/>
  <c r="AQ34" i="1"/>
  <c r="BV31" i="1"/>
  <c r="BV33" i="1" s="1"/>
  <c r="BP67" i="1"/>
  <c r="BP43" i="1"/>
  <c r="BL45" i="1"/>
  <c r="BL47" i="1" s="1"/>
  <c r="BL51" i="1" s="1"/>
  <c r="AL43" i="1"/>
  <c r="AH45" i="1"/>
  <c r="AH47" i="1" s="1"/>
  <c r="AH51" i="1" s="1"/>
  <c r="BG43" i="1"/>
  <c r="BG45" i="1"/>
  <c r="BG47" i="1" s="1"/>
  <c r="BG51" i="1" s="1"/>
  <c r="BK43" i="1"/>
  <c r="BS45" i="1"/>
  <c r="BS47" i="1" s="1"/>
  <c r="BS51" i="1" s="1"/>
  <c r="BW43" i="1"/>
  <c r="BS43" i="1"/>
  <c r="BL104" i="1"/>
  <c r="BL118" i="1"/>
  <c r="R14" i="1"/>
  <c r="R17" i="1" s="1"/>
  <c r="R19" i="1" s="1"/>
  <c r="R21" i="1" s="1"/>
  <c r="R23" i="1" s="1"/>
  <c r="H17" i="1"/>
  <c r="H19" i="1" s="1"/>
  <c r="H21" i="1" s="1"/>
  <c r="H23" i="1" s="1"/>
  <c r="N14" i="1"/>
  <c r="N17" i="1" s="1"/>
  <c r="N19" i="1" s="1"/>
  <c r="N21" i="1" s="1"/>
  <c r="N23" i="1" s="1"/>
  <c r="E14" i="1"/>
  <c r="E17" i="1" s="1"/>
  <c r="E19" i="1" s="1"/>
  <c r="E21" i="1" s="1"/>
  <c r="E23" i="1" s="1"/>
  <c r="I14" i="1"/>
  <c r="I17" i="1" s="1"/>
  <c r="I19" i="1" s="1"/>
  <c r="I21" i="1" s="1"/>
  <c r="I23" i="1" s="1"/>
  <c r="M14" i="1"/>
  <c r="M17" i="1" s="1"/>
  <c r="M19" i="1" s="1"/>
  <c r="M21" i="1" s="1"/>
  <c r="M23" i="1" s="1"/>
  <c r="O14" i="1"/>
  <c r="O17" i="1" s="1"/>
  <c r="O19" i="1" s="1"/>
  <c r="O21" i="1" s="1"/>
  <c r="O23" i="1" s="1"/>
  <c r="AO61" i="1"/>
  <c r="AP61" i="1"/>
  <c r="AM61" i="1"/>
  <c r="S59" i="1"/>
  <c r="R57" i="1"/>
  <c r="AN61" i="1"/>
  <c r="AL61" i="1"/>
  <c r="L14" i="1"/>
  <c r="L17" i="1" s="1"/>
  <c r="L19" i="1" s="1"/>
  <c r="L21" i="1" s="1"/>
  <c r="L23" i="1" s="1"/>
  <c r="P21" i="1"/>
  <c r="P23" i="1" s="1"/>
  <c r="U65" i="1"/>
  <c r="T73" i="1"/>
  <c r="T65" i="1" s="1"/>
  <c r="T60" i="1"/>
  <c r="T61" i="1" s="1"/>
  <c r="F14" i="1"/>
  <c r="F17" i="1" s="1"/>
  <c r="F19" i="1" s="1"/>
  <c r="F21" i="1" s="1"/>
  <c r="F23" i="1" s="1"/>
  <c r="R82" i="1"/>
  <c r="R55" i="1"/>
  <c r="R52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AV61" i="1"/>
  <c r="AU61" i="1"/>
  <c r="G17" i="1"/>
  <c r="G19" i="1" s="1"/>
  <c r="G21" i="1" s="1"/>
  <c r="G23" i="1" s="1"/>
  <c r="BX110" i="1"/>
  <c r="BX9" i="1" s="1"/>
  <c r="CH88" i="1"/>
  <c r="BE52" i="1" l="1"/>
  <c r="BA55" i="1"/>
  <c r="BA60" i="1"/>
  <c r="BH43" i="1"/>
  <c r="BL43" i="1"/>
  <c r="BH45" i="1"/>
  <c r="BH47" i="1" s="1"/>
  <c r="BH51" i="1" s="1"/>
  <c r="BG52" i="1"/>
  <c r="BC60" i="1"/>
  <c r="BC55" i="1"/>
  <c r="AW52" i="1"/>
  <c r="BA52" i="1"/>
  <c r="AW60" i="1"/>
  <c r="AW55" i="1"/>
  <c r="BC52" i="1"/>
  <c r="AY52" i="1"/>
  <c r="AY60" i="1"/>
  <c r="AY55" i="1"/>
  <c r="AU43" i="1"/>
  <c r="AQ45" i="1"/>
  <c r="AQ47" i="1" s="1"/>
  <c r="AQ51" i="1" s="1"/>
  <c r="AQ43" i="1"/>
  <c r="BV34" i="1"/>
  <c r="BV42" i="1"/>
  <c r="BP52" i="1"/>
  <c r="BL55" i="1"/>
  <c r="AH55" i="1"/>
  <c r="AL52" i="1"/>
  <c r="AH60" i="1"/>
  <c r="AK61" i="1" s="1"/>
  <c r="BK52" i="1"/>
  <c r="BG60" i="1"/>
  <c r="BG61" i="1" s="1"/>
  <c r="BG55" i="1"/>
  <c r="BW52" i="1"/>
  <c r="BS60" i="1"/>
  <c r="BS52" i="1"/>
  <c r="BS55" i="1"/>
  <c r="BL120" i="1"/>
  <c r="BL108" i="1"/>
  <c r="BX127" i="1"/>
  <c r="BX131" i="1"/>
  <c r="S60" i="1"/>
  <c r="S61" i="1" s="1"/>
  <c r="S73" i="1"/>
  <c r="S64" i="1"/>
  <c r="Q57" i="1"/>
  <c r="R59" i="1"/>
  <c r="U96" i="1"/>
  <c r="U97" i="1"/>
  <c r="U98" i="1"/>
  <c r="T96" i="1"/>
  <c r="T97" i="1"/>
  <c r="T98" i="1"/>
  <c r="CI88" i="1"/>
  <c r="Z59" i="1"/>
  <c r="Z73" i="1" s="1"/>
  <c r="BB61" i="1" l="1"/>
  <c r="BA61" i="1"/>
  <c r="BL52" i="1"/>
  <c r="BH52" i="1"/>
  <c r="BH60" i="1"/>
  <c r="BH61" i="1" s="1"/>
  <c r="BH55" i="1"/>
  <c r="BC61" i="1"/>
  <c r="BF61" i="1"/>
  <c r="BE61" i="1"/>
  <c r="BD61" i="1"/>
  <c r="AX61" i="1"/>
  <c r="AW61" i="1"/>
  <c r="AZ61" i="1"/>
  <c r="AY61" i="1"/>
  <c r="AU52" i="1"/>
  <c r="AQ52" i="1"/>
  <c r="AQ60" i="1"/>
  <c r="AQ55" i="1"/>
  <c r="BV43" i="1"/>
  <c r="BV45" i="1"/>
  <c r="BV47" i="1" s="1"/>
  <c r="BV51" i="1" s="1"/>
  <c r="BL25" i="1"/>
  <c r="BL110" i="1"/>
  <c r="BL111" i="1" s="1"/>
  <c r="BL113" i="1"/>
  <c r="AA25" i="1"/>
  <c r="S65" i="1"/>
  <c r="S98" i="1" s="1"/>
  <c r="S96" i="1"/>
  <c r="Q59" i="1"/>
  <c r="P57" i="1"/>
  <c r="R60" i="1"/>
  <c r="R61" i="1" s="1"/>
  <c r="R64" i="1"/>
  <c r="R73" i="1"/>
  <c r="BX59" i="1"/>
  <c r="BX73" i="1" s="1"/>
  <c r="CJ88" i="1"/>
  <c r="AQ61" i="1" l="1"/>
  <c r="AT61" i="1"/>
  <c r="AR61" i="1"/>
  <c r="AS61" i="1"/>
  <c r="BV55" i="1"/>
  <c r="BV52" i="1"/>
  <c r="BL123" i="1"/>
  <c r="BL124" i="1" s="1"/>
  <c r="BL131" i="1"/>
  <c r="BL80" i="1"/>
  <c r="BP114" i="1"/>
  <c r="S97" i="1"/>
  <c r="R65" i="1"/>
  <c r="Q73" i="1"/>
  <c r="Q64" i="1"/>
  <c r="Q65" i="1" s="1"/>
  <c r="Q60" i="1"/>
  <c r="Q61" i="1" s="1"/>
  <c r="P59" i="1"/>
  <c r="O57" i="1"/>
  <c r="BZ102" i="1"/>
  <c r="BZ59" i="1" s="1"/>
  <c r="CK88" i="1"/>
  <c r="AD88" i="1" s="1"/>
  <c r="V20" i="1"/>
  <c r="V15" i="1"/>
  <c r="BP76" i="1" l="1"/>
  <c r="BP130" i="1"/>
  <c r="BP75" i="1"/>
  <c r="BP113" i="1"/>
  <c r="R96" i="1"/>
  <c r="R98" i="1"/>
  <c r="R97" i="1"/>
  <c r="P60" i="1"/>
  <c r="P61" i="1" s="1"/>
  <c r="P73" i="1"/>
  <c r="P64" i="1"/>
  <c r="O59" i="1"/>
  <c r="N57" i="1"/>
  <c r="Q96" i="1"/>
  <c r="Q98" i="1"/>
  <c r="Q97" i="1"/>
  <c r="CA102" i="1"/>
  <c r="CA59" i="1" s="1"/>
  <c r="CL88" i="1"/>
  <c r="V18" i="1"/>
  <c r="BP80" i="1" l="1"/>
  <c r="BP109" i="1"/>
  <c r="BP108" i="1" s="1"/>
  <c r="P65" i="1"/>
  <c r="O60" i="1"/>
  <c r="O61" i="1" s="1"/>
  <c r="O64" i="1"/>
  <c r="O73" i="1"/>
  <c r="N59" i="1"/>
  <c r="M57" i="1"/>
  <c r="P97" i="1"/>
  <c r="P96" i="1"/>
  <c r="P98" i="1"/>
  <c r="CB102" i="1"/>
  <c r="CB59" i="1" s="1"/>
  <c r="CM88" i="1"/>
  <c r="V13" i="1"/>
  <c r="V14" i="1" s="1"/>
  <c r="V17" i="1" s="1"/>
  <c r="V31" i="1"/>
  <c r="BP25" i="1" l="1"/>
  <c r="BP110" i="1"/>
  <c r="BP129" i="1"/>
  <c r="BP106" i="1"/>
  <c r="BP102" i="1" s="1"/>
  <c r="O65" i="1"/>
  <c r="N64" i="1"/>
  <c r="N60" i="1"/>
  <c r="N61" i="1" s="1"/>
  <c r="N73" i="1"/>
  <c r="M59" i="1"/>
  <c r="M60" i="1" s="1"/>
  <c r="M61" i="1" s="1"/>
  <c r="L57" i="1"/>
  <c r="CC102" i="1"/>
  <c r="AB57" i="1" s="1"/>
  <c r="AB59" i="1" s="1"/>
  <c r="CN88" i="1"/>
  <c r="V33" i="1"/>
  <c r="V79" i="1"/>
  <c r="V19" i="1"/>
  <c r="V21" i="1" s="1"/>
  <c r="BP131" i="1" l="1"/>
  <c r="BP104" i="1"/>
  <c r="BP116" i="1"/>
  <c r="BP118" i="1" s="1"/>
  <c r="N65" i="1"/>
  <c r="O96" i="1"/>
  <c r="O98" i="1"/>
  <c r="O97" i="1"/>
  <c r="M64" i="1"/>
  <c r="M73" i="1"/>
  <c r="L59" i="1"/>
  <c r="K57" i="1"/>
  <c r="V42" i="1"/>
  <c r="V45" i="1" s="1"/>
  <c r="V34" i="1"/>
  <c r="AB102" i="1"/>
  <c r="CC59" i="1"/>
  <c r="CD102" i="1"/>
  <c r="CE102" i="1" s="1"/>
  <c r="CE59" i="1" s="1"/>
  <c r="CO88" i="1"/>
  <c r="AE88" i="1" s="1"/>
  <c r="BP120" i="1" l="1"/>
  <c r="BP123" i="1" s="1"/>
  <c r="AT106" i="1"/>
  <c r="AT116" i="1" s="1"/>
  <c r="AT109" i="1" s="1"/>
  <c r="AT102" i="1" s="1"/>
  <c r="BP111" i="1"/>
  <c r="L64" i="1"/>
  <c r="N96" i="1"/>
  <c r="N98" i="1"/>
  <c r="N97" i="1"/>
  <c r="M65" i="1"/>
  <c r="M98" i="1" s="1"/>
  <c r="L60" i="1"/>
  <c r="L61" i="1" s="1"/>
  <c r="L73" i="1"/>
  <c r="K59" i="1"/>
  <c r="K60" i="1" s="1"/>
  <c r="K61" i="1" s="1"/>
  <c r="J57" i="1"/>
  <c r="V43" i="1"/>
  <c r="CD59" i="1"/>
  <c r="CF102" i="1"/>
  <c r="CF59" i="1" s="1"/>
  <c r="V22" i="1"/>
  <c r="V23" i="1" s="1"/>
  <c r="BP124" i="1" l="1"/>
  <c r="L65" i="1"/>
  <c r="AT104" i="1"/>
  <c r="AT114" i="1"/>
  <c r="M97" i="1"/>
  <c r="M96" i="1"/>
  <c r="K64" i="1"/>
  <c r="K73" i="1"/>
  <c r="J59" i="1"/>
  <c r="J73" i="1" s="1"/>
  <c r="I57" i="1"/>
  <c r="I59" i="1" s="1"/>
  <c r="CG102" i="1"/>
  <c r="V47" i="1"/>
  <c r="V51" i="1" s="1"/>
  <c r="L97" i="1" l="1"/>
  <c r="L98" i="1"/>
  <c r="L96" i="1"/>
  <c r="AT64" i="1"/>
  <c r="AT65" i="1" s="1"/>
  <c r="AT75" i="1"/>
  <c r="AT76" i="1"/>
  <c r="AT108" i="1"/>
  <c r="K65" i="1"/>
  <c r="H57" i="1"/>
  <c r="H59" i="1" s="1"/>
  <c r="J60" i="1"/>
  <c r="J61" i="1" s="1"/>
  <c r="J64" i="1"/>
  <c r="J65" i="1" s="1"/>
  <c r="I64" i="1"/>
  <c r="I60" i="1"/>
  <c r="I61" i="1" s="1"/>
  <c r="I73" i="1"/>
  <c r="V82" i="1"/>
  <c r="V52" i="1"/>
  <c r="AC102" i="1"/>
  <c r="CH102" i="1"/>
  <c r="CH59" i="1" s="1"/>
  <c r="V55" i="1"/>
  <c r="V60" i="1"/>
  <c r="V61" i="1" s="1"/>
  <c r="V64" i="1"/>
  <c r="V65" i="1" s="1"/>
  <c r="V96" i="1" s="1"/>
  <c r="AT98" i="1" l="1"/>
  <c r="AT97" i="1"/>
  <c r="AT96" i="1"/>
  <c r="AT110" i="1"/>
  <c r="AT113" i="1"/>
  <c r="K97" i="1"/>
  <c r="K98" i="1"/>
  <c r="AT25" i="1"/>
  <c r="G57" i="1"/>
  <c r="K96" i="1"/>
  <c r="H60" i="1"/>
  <c r="H61" i="1" s="1"/>
  <c r="H64" i="1"/>
  <c r="H73" i="1"/>
  <c r="J96" i="1"/>
  <c r="J97" i="1"/>
  <c r="J98" i="1"/>
  <c r="I65" i="1"/>
  <c r="CG59" i="1"/>
  <c r="AC57" i="1"/>
  <c r="AC59" i="1" s="1"/>
  <c r="CI102" i="1"/>
  <c r="CI59" i="1" s="1"/>
  <c r="V98" i="1"/>
  <c r="V97" i="1"/>
  <c r="V4" i="1"/>
  <c r="V9" i="1"/>
  <c r="AT111" i="1" l="1"/>
  <c r="AT127" i="1"/>
  <c r="AT9" i="1"/>
  <c r="AT131" i="1"/>
  <c r="AT80" i="1"/>
  <c r="AT118" i="1"/>
  <c r="G59" i="1"/>
  <c r="F57" i="1"/>
  <c r="I97" i="1"/>
  <c r="I98" i="1"/>
  <c r="I96" i="1"/>
  <c r="H65" i="1"/>
  <c r="CJ102" i="1"/>
  <c r="CJ59" i="1" s="1"/>
  <c r="V5" i="1"/>
  <c r="V7" i="1" s="1"/>
  <c r="AT120" i="1" l="1"/>
  <c r="AT123" i="1" s="1"/>
  <c r="AT124" i="1" s="1"/>
  <c r="AL118" i="1"/>
  <c r="F59" i="1"/>
  <c r="E57" i="1"/>
  <c r="G73" i="1"/>
  <c r="G60" i="1"/>
  <c r="G61" i="1" s="1"/>
  <c r="G64" i="1"/>
  <c r="D57" i="1"/>
  <c r="H98" i="1"/>
  <c r="H97" i="1"/>
  <c r="H96" i="1"/>
  <c r="CK102" i="1"/>
  <c r="F64" i="1" l="1"/>
  <c r="F60" i="1"/>
  <c r="F61" i="1" s="1"/>
  <c r="F73" i="1"/>
  <c r="E59" i="1"/>
  <c r="AL120" i="1"/>
  <c r="AL108" i="1"/>
  <c r="G65" i="1"/>
  <c r="E60" i="1"/>
  <c r="E61" i="1" s="1"/>
  <c r="D59" i="1"/>
  <c r="C57" i="1"/>
  <c r="F65" i="1"/>
  <c r="AD102" i="1"/>
  <c r="CL102" i="1"/>
  <c r="CL59" i="1" s="1"/>
  <c r="E64" i="1" l="1"/>
  <c r="E73" i="1"/>
  <c r="G96" i="1"/>
  <c r="G97" i="1"/>
  <c r="AL114" i="1"/>
  <c r="G98" i="1"/>
  <c r="D60" i="1"/>
  <c r="D61" i="1" s="1"/>
  <c r="D64" i="1"/>
  <c r="D73" i="1"/>
  <c r="C59" i="1"/>
  <c r="B57" i="1"/>
  <c r="B59" i="1" s="1"/>
  <c r="F96" i="1"/>
  <c r="F98" i="1"/>
  <c r="F97" i="1"/>
  <c r="E65" i="1"/>
  <c r="CK59" i="1"/>
  <c r="AD57" i="1"/>
  <c r="AD59" i="1" s="1"/>
  <c r="CM102" i="1"/>
  <c r="CM59" i="1" s="1"/>
  <c r="AL76" i="1" l="1"/>
  <c r="AL25" i="1"/>
  <c r="AL75" i="1"/>
  <c r="AL102" i="1"/>
  <c r="C60" i="1"/>
  <c r="C64" i="1"/>
  <c r="C73" i="1"/>
  <c r="B60" i="1"/>
  <c r="B64" i="1"/>
  <c r="E98" i="1"/>
  <c r="E96" i="1"/>
  <c r="E97" i="1"/>
  <c r="D65" i="1"/>
  <c r="CN102" i="1"/>
  <c r="CN59" i="1" s="1"/>
  <c r="AL104" i="1" l="1"/>
  <c r="AL113" i="1"/>
  <c r="C97" i="1"/>
  <c r="C98" i="1"/>
  <c r="C61" i="1"/>
  <c r="B97" i="1"/>
  <c r="B98" i="1"/>
  <c r="B61" i="1"/>
  <c r="D97" i="1"/>
  <c r="D98" i="1"/>
  <c r="D96" i="1"/>
  <c r="C65" i="1"/>
  <c r="C96" i="1" s="1"/>
  <c r="CO102" i="1"/>
  <c r="AE102" i="1" s="1"/>
  <c r="AL64" i="1" l="1"/>
  <c r="AL65" i="1" s="1"/>
  <c r="AL80" i="1"/>
  <c r="AL106" i="1"/>
  <c r="AL109" i="1" s="1"/>
  <c r="CO59" i="1"/>
  <c r="W12" i="1"/>
  <c r="AL98" i="1" l="1"/>
  <c r="AL97" i="1"/>
  <c r="AL96" i="1"/>
  <c r="AL110" i="1"/>
  <c r="AL116" i="1"/>
  <c r="AE57" i="1"/>
  <c r="AE59" i="1" s="1"/>
  <c r="W31" i="1"/>
  <c r="W79" i="1" s="1"/>
  <c r="W13" i="1"/>
  <c r="W14" i="1" s="1"/>
  <c r="W15" i="1"/>
  <c r="AL131" i="1" l="1"/>
  <c r="AL9" i="1"/>
  <c r="AL127" i="1"/>
  <c r="AL111" i="1"/>
  <c r="AL123" i="1"/>
  <c r="BC108" i="1"/>
  <c r="W17" i="1"/>
  <c r="W33" i="1"/>
  <c r="W18" i="1"/>
  <c r="AL124" i="1" l="1"/>
  <c r="BC116" i="1"/>
  <c r="BC109" i="1" s="1"/>
  <c r="BC113" i="1" s="1"/>
  <c r="W34" i="1"/>
  <c r="W19" i="1"/>
  <c r="W42" i="1"/>
  <c r="W22" i="1"/>
  <c r="BC110" i="1" l="1"/>
  <c r="BC114" i="1"/>
  <c r="W43" i="1"/>
  <c r="W20" i="1"/>
  <c r="W21" i="1" s="1"/>
  <c r="W23" i="1" s="1"/>
  <c r="BC131" i="1" l="1"/>
  <c r="BC76" i="1"/>
  <c r="BC75" i="1"/>
  <c r="BC25" i="1"/>
  <c r="BC102" i="1"/>
  <c r="BC80" i="1"/>
  <c r="W45" i="1"/>
  <c r="W47" i="1" s="1"/>
  <c r="W51" i="1" s="1"/>
  <c r="BC104" i="1" l="1"/>
  <c r="BC106" i="1"/>
  <c r="W82" i="1"/>
  <c r="W52" i="1"/>
  <c r="W55" i="1"/>
  <c r="W60" i="1"/>
  <c r="W61" i="1" s="1"/>
  <c r="BJ60" i="1"/>
  <c r="BI60" i="1"/>
  <c r="BI61" i="1" s="1"/>
  <c r="W64" i="1"/>
  <c r="W65" i="1" s="1"/>
  <c r="W96" i="1" s="1"/>
  <c r="BC127" i="1" l="1"/>
  <c r="BC9" i="1"/>
  <c r="BC64" i="1"/>
  <c r="BC65" i="1" s="1"/>
  <c r="BC111" i="1"/>
  <c r="BC118" i="1"/>
  <c r="W97" i="1"/>
  <c r="W98" i="1"/>
  <c r="BJ61" i="1"/>
  <c r="W9" i="1"/>
  <c r="W4" i="1"/>
  <c r="BC96" i="1" l="1"/>
  <c r="BC98" i="1"/>
  <c r="BC97" i="1"/>
  <c r="BC120" i="1"/>
  <c r="BC123" i="1" s="1"/>
  <c r="BC124" i="1" s="1"/>
  <c r="BT118" i="1"/>
  <c r="W5" i="1"/>
  <c r="W7" i="1" s="1"/>
  <c r="BT120" i="1" l="1"/>
  <c r="BT113" i="1"/>
  <c r="BT116" i="1" l="1"/>
  <c r="BT102" i="1" s="1"/>
  <c r="BT104" i="1" l="1"/>
  <c r="BT106" i="1"/>
  <c r="BT108" i="1" s="1"/>
  <c r="BT64" i="1" l="1"/>
  <c r="BT65" i="1" s="1"/>
  <c r="BT129" i="1"/>
  <c r="BX129" i="1"/>
  <c r="BT98" i="1" l="1"/>
  <c r="BT96" i="1"/>
  <c r="BT97" i="1"/>
  <c r="BT114" i="1"/>
  <c r="BT80" i="1" l="1"/>
  <c r="BT123" i="1"/>
  <c r="BT76" i="1"/>
  <c r="BT75" i="1"/>
  <c r="BT25" i="1"/>
  <c r="BX130" i="1"/>
  <c r="BT130" i="1"/>
  <c r="BT109" i="1"/>
  <c r="BT110" i="1" l="1"/>
  <c r="AW114" i="1"/>
  <c r="BT9" i="1" l="1"/>
  <c r="BT111" i="1"/>
  <c r="BT127" i="1"/>
  <c r="BT131" i="1"/>
  <c r="AW75" i="1"/>
  <c r="AW76" i="1"/>
  <c r="AW109" i="1"/>
  <c r="AW118" i="1" s="1"/>
  <c r="BT124" i="1" l="1"/>
  <c r="AW120" i="1"/>
  <c r="AW106" i="1"/>
  <c r="AW113" i="1" s="1"/>
  <c r="AW80" i="1" l="1"/>
  <c r="AW108" i="1"/>
  <c r="BK60" i="1"/>
  <c r="BK61" i="1" s="1"/>
  <c r="AW25" i="1" l="1"/>
  <c r="AW110" i="1"/>
  <c r="AW116" i="1"/>
  <c r="AW131" i="1" l="1"/>
  <c r="AW123" i="1"/>
  <c r="AW102" i="1"/>
  <c r="AW104" i="1" l="1"/>
  <c r="BK113" i="1"/>
  <c r="AW127" i="1" l="1"/>
  <c r="AW9" i="1"/>
  <c r="AW111" i="1"/>
  <c r="AW64" i="1"/>
  <c r="AW65" i="1" s="1"/>
  <c r="BK108" i="1"/>
  <c r="AW124" i="1" l="1"/>
  <c r="AW97" i="1"/>
  <c r="AW96" i="1"/>
  <c r="AW98" i="1"/>
  <c r="BK118" i="1"/>
  <c r="BK120" i="1" l="1"/>
  <c r="BK102" i="1"/>
  <c r="BL60" i="1"/>
  <c r="BL61" i="1" s="1"/>
  <c r="BK104" i="1" l="1"/>
  <c r="BK64" i="1" s="1"/>
  <c r="BK65" i="1" s="1"/>
  <c r="BK109" i="1"/>
  <c r="BL4" i="1" l="1"/>
  <c r="BK98" i="1"/>
  <c r="BK97" i="1"/>
  <c r="BK96" i="1"/>
  <c r="BK110" i="1"/>
  <c r="BK114" i="1"/>
  <c r="BL127" i="1"/>
  <c r="BL9" i="1"/>
  <c r="BL64" i="1"/>
  <c r="BL65" i="1" s="1"/>
  <c r="BL96" i="1" s="1"/>
  <c r="BK131" i="1" l="1"/>
  <c r="BK127" i="1"/>
  <c r="BK9" i="1"/>
  <c r="BK80" i="1"/>
  <c r="BL81" i="1" s="1"/>
  <c r="BL79" i="1" s="1"/>
  <c r="BK75" i="1"/>
  <c r="BK76" i="1"/>
  <c r="BK25" i="1"/>
  <c r="BK116" i="1"/>
  <c r="BK106" i="1" s="1"/>
  <c r="AM118" i="1" s="1"/>
  <c r="BL98" i="1"/>
  <c r="BL97" i="1"/>
  <c r="AM120" i="1" l="1"/>
  <c r="AM108" i="1"/>
  <c r="BK111" i="1"/>
  <c r="BK123" i="1"/>
  <c r="X13" i="1"/>
  <c r="X12" i="1"/>
  <c r="X15" i="1"/>
  <c r="AM116" i="1" l="1"/>
  <c r="AM106" i="1" s="1"/>
  <c r="AM113" i="1" s="1"/>
  <c r="BL5" i="1"/>
  <c r="BK124" i="1"/>
  <c r="X14" i="1"/>
  <c r="X17" i="1" s="1"/>
  <c r="Y31" i="1"/>
  <c r="X31" i="1"/>
  <c r="AM109" i="1" l="1"/>
  <c r="BM15" i="1"/>
  <c r="BM12" i="1"/>
  <c r="BM14" i="1" s="1"/>
  <c r="BM17" i="1" s="1"/>
  <c r="BM13" i="1"/>
  <c r="X33" i="1"/>
  <c r="X79" i="1"/>
  <c r="Y33" i="1"/>
  <c r="Y79" i="1"/>
  <c r="X18" i="1"/>
  <c r="X19" i="1" s="1"/>
  <c r="BM18" i="1"/>
  <c r="BM19" i="1" l="1"/>
  <c r="AM110" i="1"/>
  <c r="AM114" i="1"/>
  <c r="X42" i="1"/>
  <c r="X45" i="1" s="1"/>
  <c r="Y34" i="1"/>
  <c r="X34" i="1"/>
  <c r="Y42" i="1"/>
  <c r="Y45" i="1" s="1"/>
  <c r="BM20" i="1"/>
  <c r="BM21" i="1" l="1"/>
  <c r="AM131" i="1"/>
  <c r="AM80" i="1"/>
  <c r="AM123" i="1"/>
  <c r="AM76" i="1"/>
  <c r="AM75" i="1"/>
  <c r="AM25" i="1"/>
  <c r="AM102" i="1" s="1"/>
  <c r="X43" i="1"/>
  <c r="Y43" i="1"/>
  <c r="BM22" i="1"/>
  <c r="X22" i="1"/>
  <c r="BN60" i="1"/>
  <c r="X20" i="1"/>
  <c r="X21" i="1" s="1"/>
  <c r="BM23" i="1" l="1"/>
  <c r="AM81" i="1"/>
  <c r="AM79" i="1" s="1"/>
  <c r="AM104" i="1"/>
  <c r="AR109" i="1"/>
  <c r="AR114" i="1" s="1"/>
  <c r="X23" i="1"/>
  <c r="X47" i="1"/>
  <c r="X51" i="1" s="1"/>
  <c r="BP60" i="1"/>
  <c r="BR60" i="1"/>
  <c r="BQ60" i="1"/>
  <c r="BO60" i="1"/>
  <c r="BM60" i="1"/>
  <c r="BM61" i="1" s="1"/>
  <c r="Y47" i="1"/>
  <c r="Y51" i="1" s="1"/>
  <c r="AM9" i="1" l="1"/>
  <c r="AM111" i="1"/>
  <c r="AM127" i="1"/>
  <c r="AM4" i="1"/>
  <c r="AM64" i="1"/>
  <c r="AM65" i="1" s="1"/>
  <c r="AR76" i="1"/>
  <c r="AR75" i="1"/>
  <c r="AR118" i="1"/>
  <c r="X82" i="1"/>
  <c r="Y52" i="1"/>
  <c r="X52" i="1"/>
  <c r="Y55" i="1"/>
  <c r="Y82" i="1"/>
  <c r="X55" i="1"/>
  <c r="X60" i="1"/>
  <c r="X61" i="1" s="1"/>
  <c r="BS61" i="1"/>
  <c r="BT61" i="1"/>
  <c r="BU61" i="1"/>
  <c r="BQ61" i="1"/>
  <c r="BO61" i="1"/>
  <c r="X64" i="1"/>
  <c r="X65" i="1" s="1"/>
  <c r="X96" i="1" s="1"/>
  <c r="BR61" i="1"/>
  <c r="BP61" i="1"/>
  <c r="BN61" i="1"/>
  <c r="Y60" i="1"/>
  <c r="Y61" i="1" s="1"/>
  <c r="AM5" i="1" l="1"/>
  <c r="AM124" i="1"/>
  <c r="AM96" i="1"/>
  <c r="AM97" i="1"/>
  <c r="AM98" i="1"/>
  <c r="AR120" i="1"/>
  <c r="AR106" i="1"/>
  <c r="AR102" i="1" s="1"/>
  <c r="X97" i="1"/>
  <c r="X98" i="1"/>
  <c r="X9" i="1"/>
  <c r="X4" i="1"/>
  <c r="AN18" i="1" l="1"/>
  <c r="AN12" i="1"/>
  <c r="AN22" i="1"/>
  <c r="AN15" i="1"/>
  <c r="AN13" i="1"/>
  <c r="AN20" i="1"/>
  <c r="AR104" i="1"/>
  <c r="AR116" i="1"/>
  <c r="AR108" i="1" s="1"/>
  <c r="X5" i="1"/>
  <c r="AR64" i="1" l="1"/>
  <c r="AR65" i="1" s="1"/>
  <c r="AR25" i="1"/>
  <c r="AR110" i="1"/>
  <c r="AR113" i="1"/>
  <c r="AN14" i="1"/>
  <c r="AN17" i="1" s="1"/>
  <c r="AN19" i="1" s="1"/>
  <c r="AN21" i="1" s="1"/>
  <c r="AN23" i="1" s="1"/>
  <c r="Y18" i="1"/>
  <c r="X7" i="1"/>
  <c r="Y13" i="1"/>
  <c r="Y12" i="1"/>
  <c r="Y15" i="1"/>
  <c r="Y20" i="1"/>
  <c r="Y22" i="1"/>
  <c r="AR96" i="1" l="1"/>
  <c r="AR98" i="1"/>
  <c r="AR97" i="1"/>
  <c r="AR127" i="1"/>
  <c r="AR111" i="1"/>
  <c r="AR9" i="1"/>
  <c r="AR131" i="1"/>
  <c r="AR123" i="1"/>
  <c r="AR80" i="1"/>
  <c r="AV109" i="1"/>
  <c r="AV108" i="1" s="1"/>
  <c r="Y14" i="1"/>
  <c r="Y17" i="1" s="1"/>
  <c r="BP127" i="1"/>
  <c r="BP64" i="1"/>
  <c r="BP65" i="1" s="1"/>
  <c r="BP96" i="1" s="1"/>
  <c r="BP9" i="1"/>
  <c r="AR124" i="1" l="1"/>
  <c r="AV129" i="1"/>
  <c r="AV110" i="1"/>
  <c r="AV114" i="1"/>
  <c r="BP98" i="1"/>
  <c r="BP97" i="1"/>
  <c r="Y19" i="1"/>
  <c r="Y21" i="1" s="1"/>
  <c r="Y23" i="1" s="1"/>
  <c r="Y9" i="1"/>
  <c r="Y64" i="1"/>
  <c r="Y65" i="1" s="1"/>
  <c r="Y96" i="1" s="1"/>
  <c r="AV130" i="1" l="1"/>
  <c r="AV75" i="1"/>
  <c r="AV25" i="1"/>
  <c r="AV76" i="1"/>
  <c r="AV113" i="1"/>
  <c r="Y97" i="1"/>
  <c r="Y98" i="1"/>
  <c r="AV80" i="1" l="1"/>
  <c r="AW81" i="1" s="1"/>
  <c r="AW79" i="1" s="1"/>
  <c r="AV118" i="1"/>
  <c r="AV131" i="1"/>
  <c r="AV120" i="1" l="1"/>
  <c r="AV106" i="1"/>
  <c r="AV102" i="1" l="1"/>
  <c r="AV104" i="1" l="1"/>
  <c r="AV116" i="1"/>
  <c r="AV111" i="1" l="1"/>
  <c r="AV9" i="1"/>
  <c r="AV127" i="1"/>
  <c r="AW4" i="1"/>
  <c r="AV64" i="1"/>
  <c r="AV65" i="1" s="1"/>
  <c r="AV123" i="1"/>
  <c r="AO118" i="1"/>
  <c r="AW5" i="1" l="1"/>
  <c r="AV124" i="1"/>
  <c r="AV96" i="1"/>
  <c r="AV98" i="1"/>
  <c r="AV97" i="1"/>
  <c r="AO120" i="1"/>
  <c r="AO114" i="1"/>
  <c r="Z31" i="1"/>
  <c r="AX20" i="1" l="1"/>
  <c r="AX15" i="1"/>
  <c r="AX12" i="1"/>
  <c r="AX13" i="1"/>
  <c r="AX18" i="1"/>
  <c r="AX22" i="1"/>
  <c r="AO75" i="1"/>
  <c r="AO76" i="1"/>
  <c r="AO116" i="1"/>
  <c r="AO102" i="1" s="1"/>
  <c r="Z33" i="1"/>
  <c r="AA34" i="1" s="1"/>
  <c r="Z79" i="1"/>
  <c r="AO104" i="1" l="1"/>
  <c r="AO113" i="1"/>
  <c r="AX14" i="1"/>
  <c r="AX17" i="1" s="1"/>
  <c r="AX19" i="1" s="1"/>
  <c r="AX21" i="1" s="1"/>
  <c r="AX23" i="1" s="1"/>
  <c r="Z34" i="1"/>
  <c r="Z42" i="1"/>
  <c r="AA43" i="1" s="1"/>
  <c r="AO64" i="1" l="1"/>
  <c r="AO65" i="1" s="1"/>
  <c r="AO123" i="1"/>
  <c r="AO80" i="1"/>
  <c r="AO108" i="1"/>
  <c r="Z43" i="1"/>
  <c r="Z45" i="1"/>
  <c r="AO98" i="1" l="1"/>
  <c r="AO96" i="1"/>
  <c r="AO97" i="1"/>
  <c r="AO25" i="1"/>
  <c r="AO109" i="1"/>
  <c r="AO106" i="1" s="1"/>
  <c r="AN102" i="1" s="1"/>
  <c r="Z47" i="1"/>
  <c r="Z51" i="1" s="1"/>
  <c r="AA52" i="1" s="1"/>
  <c r="AN104" i="1" l="1"/>
  <c r="AN113" i="1"/>
  <c r="AO110" i="1"/>
  <c r="Z82" i="1"/>
  <c r="Z52" i="1"/>
  <c r="Z55" i="1"/>
  <c r="Z60" i="1"/>
  <c r="Z61" i="1" s="1"/>
  <c r="Z9" i="1"/>
  <c r="Z64" i="1"/>
  <c r="Z65" i="1" s="1"/>
  <c r="Z96" i="1" s="1"/>
  <c r="AN4" i="1" l="1"/>
  <c r="AO4" i="1"/>
  <c r="AN64" i="1"/>
  <c r="AN65" i="1" s="1"/>
  <c r="AN108" i="1"/>
  <c r="AO111" i="1"/>
  <c r="AO127" i="1"/>
  <c r="AO9" i="1"/>
  <c r="AO131" i="1"/>
  <c r="Z97" i="1"/>
  <c r="Z98" i="1"/>
  <c r="AN98" i="1" l="1"/>
  <c r="AN96" i="1"/>
  <c r="AN97" i="1"/>
  <c r="AR129" i="1"/>
  <c r="AN114" i="1"/>
  <c r="AO124" i="1"/>
  <c r="AN80" i="1" l="1"/>
  <c r="AR130" i="1"/>
  <c r="AN75" i="1"/>
  <c r="AN76" i="1"/>
  <c r="AN25" i="1"/>
  <c r="AN116" i="1" s="1"/>
  <c r="AN118" i="1" s="1"/>
  <c r="BV60" i="1"/>
  <c r="AO81" i="1" l="1"/>
  <c r="AO79" i="1" s="1"/>
  <c r="AN81" i="1"/>
  <c r="AN79" i="1" s="1"/>
  <c r="AN120" i="1"/>
  <c r="AN123" i="1" s="1"/>
  <c r="AN109" i="1"/>
  <c r="BV61" i="1"/>
  <c r="BW61" i="1"/>
  <c r="AN110" i="1" l="1"/>
  <c r="AN106" i="1"/>
  <c r="BS113" i="1" s="1"/>
  <c r="AN127" i="1" l="1"/>
  <c r="AN111" i="1"/>
  <c r="AN9" i="1"/>
  <c r="AN131" i="1"/>
  <c r="BS106" i="1"/>
  <c r="BS108" i="1" s="1"/>
  <c r="AN5" i="1" l="1"/>
  <c r="AO5" i="1"/>
  <c r="AN124" i="1"/>
  <c r="BW129" i="1"/>
  <c r="BS114" i="1"/>
  <c r="AO22" i="1" l="1"/>
  <c r="AO13" i="1"/>
  <c r="AO20" i="1"/>
  <c r="AO18" i="1"/>
  <c r="AO15" i="1"/>
  <c r="AO12" i="1"/>
  <c r="AP12" i="1"/>
  <c r="AP18" i="1"/>
  <c r="AP13" i="1"/>
  <c r="AP15" i="1"/>
  <c r="AP22" i="1"/>
  <c r="AP20" i="1"/>
  <c r="BS80" i="1"/>
  <c r="BT81" i="1" s="1"/>
  <c r="BT79" i="1" s="1"/>
  <c r="BS75" i="1"/>
  <c r="BW130" i="1"/>
  <c r="BS76" i="1"/>
  <c r="BS25" i="1"/>
  <c r="BS118" i="1"/>
  <c r="BX60" i="1"/>
  <c r="AO14" i="1" l="1"/>
  <c r="AO17" i="1" s="1"/>
  <c r="AO19" i="1" s="1"/>
  <c r="AO21" i="1" s="1"/>
  <c r="AO23" i="1" s="1"/>
  <c r="BS120" i="1"/>
  <c r="BS102" i="1"/>
  <c r="AP14" i="1"/>
  <c r="AP17" i="1" s="1"/>
  <c r="AP19" i="1" s="1"/>
  <c r="AP21" i="1" s="1"/>
  <c r="AP23" i="1" s="1"/>
  <c r="BX61" i="1"/>
  <c r="BY61" i="1"/>
  <c r="BS104" i="1" l="1"/>
  <c r="BS116" i="1"/>
  <c r="BX64" i="1"/>
  <c r="BX65" i="1" s="1"/>
  <c r="BX111" i="1"/>
  <c r="BY5" i="1" s="1"/>
  <c r="BT4" i="1" l="1"/>
  <c r="BS64" i="1"/>
  <c r="BS65" i="1" s="1"/>
  <c r="BS123" i="1"/>
  <c r="BS109" i="1"/>
  <c r="BX124" i="1"/>
  <c r="BX5" i="1"/>
  <c r="BX96" i="1"/>
  <c r="BX98" i="1"/>
  <c r="BX97" i="1"/>
  <c r="BS96" i="1" l="1"/>
  <c r="BS98" i="1"/>
  <c r="BS97" i="1"/>
  <c r="BS110" i="1"/>
  <c r="AH106" i="1"/>
  <c r="AH108" i="1" s="1"/>
  <c r="BY15" i="1"/>
  <c r="BY13" i="1"/>
  <c r="BY20" i="1"/>
  <c r="BY22" i="1"/>
  <c r="BY12" i="1"/>
  <c r="BY18" i="1"/>
  <c r="BS111" i="1" l="1"/>
  <c r="BS9" i="1"/>
  <c r="BS127" i="1"/>
  <c r="BS131" i="1"/>
  <c r="AH113" i="1"/>
  <c r="AH118" i="1" s="1"/>
  <c r="BY14" i="1"/>
  <c r="BY17" i="1" s="1"/>
  <c r="BY19" i="1" s="1"/>
  <c r="BY21" i="1" s="1"/>
  <c r="BY23" i="1" s="1"/>
  <c r="BT5" i="1" l="1"/>
  <c r="BS124" i="1"/>
  <c r="AH120" i="1"/>
  <c r="AH102" i="1"/>
  <c r="BX7" i="1" l="1"/>
  <c r="BU20" i="1"/>
  <c r="BU22" i="1"/>
  <c r="BU13" i="1"/>
  <c r="BU12" i="1"/>
  <c r="BU14" i="1" s="1"/>
  <c r="BU17" i="1" s="1"/>
  <c r="BU19" i="1" s="1"/>
  <c r="BU21" i="1" s="1"/>
  <c r="BU23" i="1" s="1"/>
  <c r="BU18" i="1"/>
  <c r="BU15" i="1"/>
  <c r="AH104" i="1"/>
  <c r="AH114" i="1"/>
  <c r="AH64" i="1" l="1"/>
  <c r="AH4" i="1"/>
  <c r="AH25" i="1"/>
  <c r="AH109" i="1" s="1"/>
  <c r="AH110" i="1" l="1"/>
  <c r="AH116" i="1"/>
  <c r="AH9" i="1" l="1"/>
  <c r="AH111" i="1"/>
  <c r="AH123" i="1"/>
  <c r="AH124" i="1" s="1"/>
  <c r="AZ108" i="1"/>
  <c r="AH5" i="1" l="1"/>
  <c r="AZ129" i="1"/>
  <c r="AZ116" i="1"/>
  <c r="AZ113" i="1" s="1"/>
  <c r="AA9" i="1"/>
  <c r="AI18" i="1" l="1"/>
  <c r="AI12" i="1"/>
  <c r="AI15" i="1"/>
  <c r="AI13" i="1"/>
  <c r="AI20" i="1"/>
  <c r="AI22" i="1"/>
  <c r="AZ106" i="1"/>
  <c r="AZ109" i="1" s="1"/>
  <c r="AZ110" i="1" l="1"/>
  <c r="AZ118" i="1"/>
  <c r="AI14" i="1"/>
  <c r="AI17" i="1" s="1"/>
  <c r="AI19" i="1" s="1"/>
  <c r="AI21" i="1" s="1"/>
  <c r="AI23" i="1" s="1"/>
  <c r="CA98" i="1"/>
  <c r="CB98" i="1" s="1"/>
  <c r="CC98" i="1" s="1"/>
  <c r="CD98" i="1" s="1"/>
  <c r="CE98" i="1" s="1"/>
  <c r="CF98" i="1" s="1"/>
  <c r="CG98" i="1" s="1"/>
  <c r="CH98" i="1" s="1"/>
  <c r="CI98" i="1" s="1"/>
  <c r="CJ98" i="1" s="1"/>
  <c r="CK98" i="1" s="1"/>
  <c r="CL98" i="1" s="1"/>
  <c r="CM98" i="1" s="1"/>
  <c r="CN98" i="1" s="1"/>
  <c r="CO98" i="1" s="1"/>
  <c r="CA97" i="1"/>
  <c r="CB97" i="1" s="1"/>
  <c r="CC97" i="1" s="1"/>
  <c r="CD97" i="1" s="1"/>
  <c r="CE97" i="1" s="1"/>
  <c r="CF97" i="1" s="1"/>
  <c r="CG97" i="1" s="1"/>
  <c r="CH97" i="1" s="1"/>
  <c r="CI97" i="1" s="1"/>
  <c r="CJ97" i="1" s="1"/>
  <c r="CK97" i="1" s="1"/>
  <c r="CL97" i="1" s="1"/>
  <c r="CM97" i="1" s="1"/>
  <c r="CN97" i="1" s="1"/>
  <c r="CO97" i="1" s="1"/>
  <c r="AZ131" i="1" l="1"/>
  <c r="AZ120" i="1"/>
  <c r="AZ123" i="1" s="1"/>
  <c r="AZ114" i="1"/>
  <c r="AZ80" i="1" l="1"/>
  <c r="AZ75" i="1"/>
  <c r="AZ130" i="1"/>
  <c r="AZ76" i="1"/>
  <c r="AZ25" i="1"/>
  <c r="AZ102" i="1"/>
  <c r="AZ104" i="1" l="1"/>
  <c r="BJ114" i="1"/>
  <c r="AZ9" i="1" l="1"/>
  <c r="AZ111" i="1"/>
  <c r="AZ127" i="1"/>
  <c r="AZ64" i="1"/>
  <c r="AZ65" i="1" s="1"/>
  <c r="BJ76" i="1"/>
  <c r="BJ75" i="1"/>
  <c r="BJ116" i="1"/>
  <c r="BJ102" i="1" s="1"/>
  <c r="AZ124" i="1" l="1"/>
  <c r="AZ98" i="1"/>
  <c r="AZ96" i="1"/>
  <c r="AZ97" i="1"/>
  <c r="BJ104" i="1"/>
  <c r="BJ106" i="1"/>
  <c r="BJ108" i="1" s="1"/>
  <c r="BK4" i="1" l="1"/>
  <c r="BJ64" i="1"/>
  <c r="BJ65" i="1" s="1"/>
  <c r="BJ25" i="1"/>
  <c r="BJ109" i="1"/>
  <c r="BJ113" i="1" s="1"/>
  <c r="BJ98" i="1" l="1"/>
  <c r="BJ97" i="1"/>
  <c r="BJ96" i="1"/>
  <c r="BJ80" i="1"/>
  <c r="BK81" i="1" s="1"/>
  <c r="BK79" i="1" s="1"/>
  <c r="BJ118" i="1"/>
  <c r="BJ110" i="1"/>
  <c r="BJ120" i="1" l="1"/>
  <c r="BJ123" i="1" s="1"/>
  <c r="AI118" i="1"/>
  <c r="BJ111" i="1"/>
  <c r="BJ127" i="1"/>
  <c r="BJ9" i="1"/>
  <c r="BJ131" i="1"/>
  <c r="AI120" i="1" l="1"/>
  <c r="AI109" i="1"/>
  <c r="AI108" i="1" s="1"/>
  <c r="BK5" i="1"/>
  <c r="BJ124" i="1"/>
  <c r="AM129" i="1" l="1"/>
  <c r="AI110" i="1"/>
  <c r="AI113" i="1"/>
  <c r="BL18" i="1"/>
  <c r="BL22" i="1"/>
  <c r="BL20" i="1"/>
  <c r="BL15" i="1"/>
  <c r="BL13" i="1"/>
  <c r="BL12" i="1"/>
  <c r="BL14" i="1" s="1"/>
  <c r="BL17" i="1" s="1"/>
  <c r="BL19" i="1" s="1"/>
  <c r="BL21" i="1" s="1"/>
  <c r="BL23" i="1" s="1"/>
  <c r="AI131" i="1" l="1"/>
  <c r="AI102" i="1"/>
  <c r="AI104" i="1" l="1"/>
  <c r="AI106" i="1"/>
  <c r="AI127" i="1" l="1"/>
  <c r="AI9" i="1"/>
  <c r="AI4" i="1"/>
  <c r="AI64" i="1"/>
  <c r="AI65" i="1" s="1"/>
  <c r="AI111" i="1"/>
  <c r="AI116" i="1"/>
  <c r="AI114" i="1" s="1"/>
  <c r="AI98" i="1" l="1"/>
  <c r="AI96" i="1"/>
  <c r="AI97" i="1"/>
  <c r="AI5" i="1"/>
  <c r="AI80" i="1"/>
  <c r="AI123" i="1"/>
  <c r="AM130" i="1"/>
  <c r="AI25" i="1"/>
  <c r="AI76" i="1"/>
  <c r="AI75" i="1"/>
  <c r="BB114" i="1"/>
  <c r="AJ15" i="1" l="1"/>
  <c r="AJ22" i="1"/>
  <c r="AJ18" i="1"/>
  <c r="AJ12" i="1"/>
  <c r="AJ13" i="1"/>
  <c r="AJ20" i="1"/>
  <c r="AM7" i="1"/>
  <c r="AI81" i="1"/>
  <c r="AI79" i="1" s="1"/>
  <c r="BB76" i="1"/>
  <c r="BB75" i="1"/>
  <c r="BB113" i="1"/>
  <c r="AI124" i="1"/>
  <c r="BB80" i="1" l="1"/>
  <c r="BC81" i="1" s="1"/>
  <c r="BC79" i="1" s="1"/>
  <c r="BB106" i="1"/>
  <c r="BB116" i="1" s="1"/>
  <c r="BB118" i="1" s="1"/>
  <c r="AJ14" i="1"/>
  <c r="AJ17" i="1" s="1"/>
  <c r="AJ19" i="1" s="1"/>
  <c r="AJ21" i="1" s="1"/>
  <c r="AJ23" i="1" s="1"/>
  <c r="BB120" i="1" l="1"/>
  <c r="BB123" i="1" s="1"/>
  <c r="BB108" i="1"/>
  <c r="BB25" i="1" l="1"/>
  <c r="BB103" i="1"/>
  <c r="BB109" i="1" s="1"/>
  <c r="BB102" i="1" s="1"/>
  <c r="BB104" i="1" l="1"/>
  <c r="BO109" i="1"/>
  <c r="BO108" i="1" s="1"/>
  <c r="BB110" i="1"/>
  <c r="BC4" i="1" l="1"/>
  <c r="BB64" i="1"/>
  <c r="BB65" i="1" s="1"/>
  <c r="BS129" i="1"/>
  <c r="BO110" i="1"/>
  <c r="BO129" i="1"/>
  <c r="BO102" i="1"/>
  <c r="BB127" i="1"/>
  <c r="BB9" i="1"/>
  <c r="BB111" i="1"/>
  <c r="BB131" i="1"/>
  <c r="BB98" i="1" l="1"/>
  <c r="BB97" i="1"/>
  <c r="BB96" i="1"/>
  <c r="BO104" i="1"/>
  <c r="BO106" i="1"/>
  <c r="BO113" i="1" s="1"/>
  <c r="BB124" i="1"/>
  <c r="BC5" i="1"/>
  <c r="BO64" i="1" l="1"/>
  <c r="BO65" i="1" s="1"/>
  <c r="BP4" i="1"/>
  <c r="BO131" i="1"/>
  <c r="BO116" i="1"/>
  <c r="BO114" i="1" s="1"/>
  <c r="BD15" i="1"/>
  <c r="BD13" i="1"/>
  <c r="BD12" i="1"/>
  <c r="BD14" i="1" s="1"/>
  <c r="BD17" i="1" s="1"/>
  <c r="BD19" i="1" s="1"/>
  <c r="BD21" i="1" s="1"/>
  <c r="BD23" i="1" s="1"/>
  <c r="BD22" i="1"/>
  <c r="BD18" i="1"/>
  <c r="BD20" i="1"/>
  <c r="BO9" i="1"/>
  <c r="BO127" i="1"/>
  <c r="BO111" i="1"/>
  <c r="BO98" i="1" l="1"/>
  <c r="BO97" i="1"/>
  <c r="BO96" i="1"/>
  <c r="BS130" i="1"/>
  <c r="BO75" i="1"/>
  <c r="BO25" i="1"/>
  <c r="BO76" i="1"/>
  <c r="BO130" i="1"/>
  <c r="BO118" i="1"/>
  <c r="BP5" i="1"/>
  <c r="BO80" i="1"/>
  <c r="BP81" i="1" s="1"/>
  <c r="BP79" i="1" s="1"/>
  <c r="BO120" i="1" l="1"/>
  <c r="BO123" i="1" s="1"/>
  <c r="BO124" i="1" s="1"/>
  <c r="BI118" i="1"/>
  <c r="BQ22" i="1"/>
  <c r="BQ15" i="1"/>
  <c r="BP7" i="1"/>
  <c r="BQ13" i="1"/>
  <c r="BQ20" i="1"/>
  <c r="BQ18" i="1"/>
  <c r="BQ12" i="1"/>
  <c r="BQ14" i="1" s="1"/>
  <c r="BQ17" i="1" s="1"/>
  <c r="BQ19" i="1" s="1"/>
  <c r="BQ21" i="1" s="1"/>
  <c r="BQ23" i="1" s="1"/>
  <c r="BT7" i="1"/>
  <c r="BI120" i="1" l="1"/>
  <c r="BI106" i="1"/>
  <c r="BI116" i="1" s="1"/>
  <c r="BI114" i="1" s="1"/>
  <c r="BI75" i="1" l="1"/>
  <c r="BI76" i="1"/>
  <c r="BI113" i="1"/>
  <c r="BI123" i="1" l="1"/>
  <c r="BI80" i="1"/>
  <c r="BJ81" i="1" s="1"/>
  <c r="BJ79" i="1" s="1"/>
  <c r="BI102" i="1"/>
  <c r="BI104" i="1" l="1"/>
  <c r="BI108" i="1"/>
  <c r="BI64" i="1" l="1"/>
  <c r="BI65" i="1" s="1"/>
  <c r="BJ4" i="1"/>
  <c r="BI25" i="1"/>
  <c r="BI109" i="1"/>
  <c r="BU113" i="1" s="1"/>
  <c r="BI98" i="1" l="1"/>
  <c r="BI97" i="1"/>
  <c r="BI96" i="1"/>
  <c r="BU109" i="1"/>
  <c r="BU114" i="1" s="1"/>
  <c r="BI110" i="1"/>
  <c r="AB36" i="1"/>
  <c r="BU75" i="1" l="1"/>
  <c r="BU76" i="1"/>
  <c r="BY130" i="1"/>
  <c r="BI111" i="1"/>
  <c r="BI127" i="1"/>
  <c r="BI9" i="1"/>
  <c r="BI131" i="1"/>
  <c r="BU80" i="1"/>
  <c r="BU118" i="1" l="1"/>
  <c r="BJ5" i="1"/>
  <c r="BI124" i="1"/>
  <c r="BU81" i="1"/>
  <c r="BU79" i="1" s="1"/>
  <c r="BU120" i="1" l="1"/>
  <c r="BU108" i="1"/>
  <c r="BK22" i="1"/>
  <c r="BK20" i="1"/>
  <c r="BK18" i="1"/>
  <c r="BK15" i="1"/>
  <c r="BK12" i="1"/>
  <c r="BK13" i="1"/>
  <c r="BU25" i="1" l="1"/>
  <c r="BU110" i="1"/>
  <c r="BY129" i="1"/>
  <c r="BK14" i="1"/>
  <c r="BK17" i="1" s="1"/>
  <c r="BK19" i="1" s="1"/>
  <c r="BK21" i="1" s="1"/>
  <c r="BK23" i="1" s="1"/>
  <c r="BU131" i="1" l="1"/>
  <c r="BU116" i="1"/>
  <c r="BU123" i="1" l="1"/>
  <c r="BU106" i="1"/>
  <c r="BU102" i="1" l="1"/>
  <c r="BU104" i="1" l="1"/>
  <c r="AQ109" i="1"/>
  <c r="AQ114" i="1" s="1"/>
  <c r="BU111" i="1" l="1"/>
  <c r="BU127" i="1"/>
  <c r="BU9" i="1"/>
  <c r="BU4" i="1"/>
  <c r="BU64" i="1"/>
  <c r="BU65" i="1" s="1"/>
  <c r="AQ76" i="1"/>
  <c r="AQ130" i="1"/>
  <c r="AQ75" i="1"/>
  <c r="AQ118" i="1"/>
  <c r="BU5" i="1" l="1"/>
  <c r="BU124" i="1"/>
  <c r="BU98" i="1"/>
  <c r="BU97" i="1"/>
  <c r="BU96" i="1"/>
  <c r="AQ120" i="1"/>
  <c r="AQ116" i="1"/>
  <c r="AQ108" i="1" s="1"/>
  <c r="BY7" i="1" l="1"/>
  <c r="BV12" i="1"/>
  <c r="BV15" i="1"/>
  <c r="BV22" i="1"/>
  <c r="BV20" i="1"/>
  <c r="BV18" i="1"/>
  <c r="BV13" i="1"/>
  <c r="AQ25" i="1"/>
  <c r="AQ129" i="1"/>
  <c r="AQ110" i="1"/>
  <c r="AQ102" i="1"/>
  <c r="BV14" i="1" l="1"/>
  <c r="BV17" i="1" s="1"/>
  <c r="BV19" i="1" s="1"/>
  <c r="BV21" i="1" s="1"/>
  <c r="BV23" i="1" s="1"/>
  <c r="AQ104" i="1"/>
  <c r="AQ113" i="1"/>
  <c r="AQ9" i="1" l="1"/>
  <c r="AQ127" i="1"/>
  <c r="AR4" i="1"/>
  <c r="AQ64" i="1"/>
  <c r="AQ65" i="1" s="1"/>
  <c r="AQ123" i="1"/>
  <c r="AQ131" i="1"/>
  <c r="AQ80" i="1"/>
  <c r="AR81" i="1" s="1"/>
  <c r="AR79" i="1" s="1"/>
  <c r="AQ106" i="1"/>
  <c r="AQ96" i="1" l="1"/>
  <c r="AQ98" i="1"/>
  <c r="AQ97" i="1"/>
  <c r="AQ111" i="1"/>
  <c r="BH109" i="1"/>
  <c r="BH116" i="1" s="1"/>
  <c r="BH102" i="1" s="1"/>
  <c r="AQ124" i="1" l="1"/>
  <c r="AR5" i="1"/>
  <c r="BH104" i="1"/>
  <c r="BH106" i="1"/>
  <c r="BH118" i="1" s="1"/>
  <c r="AS22" i="1" l="1"/>
  <c r="AR7" i="1"/>
  <c r="AS20" i="1"/>
  <c r="AS15" i="1"/>
  <c r="AS12" i="1"/>
  <c r="AS13" i="1"/>
  <c r="AS18" i="1"/>
  <c r="BI4" i="1"/>
  <c r="BH64" i="1"/>
  <c r="BH65" i="1" s="1"/>
  <c r="BH120" i="1"/>
  <c r="BH108" i="1"/>
  <c r="AS14" i="1" l="1"/>
  <c r="AS17" i="1" s="1"/>
  <c r="AS19" i="1" s="1"/>
  <c r="AS21" i="1" s="1"/>
  <c r="AS23" i="1" s="1"/>
  <c r="BH98" i="1"/>
  <c r="BH97" i="1"/>
  <c r="BH96" i="1"/>
  <c r="BL129" i="1"/>
  <c r="BH110" i="1"/>
  <c r="BH114" i="1"/>
  <c r="BH127" i="1" l="1"/>
  <c r="BH9" i="1"/>
  <c r="BH111" i="1"/>
  <c r="BL130" i="1"/>
  <c r="BH25" i="1"/>
  <c r="BH75" i="1"/>
  <c r="BH76" i="1"/>
  <c r="BH113" i="1"/>
  <c r="BI5" i="1" l="1"/>
  <c r="BH123" i="1"/>
  <c r="BH131" i="1"/>
  <c r="BH80" i="1"/>
  <c r="BI81" i="1" s="1"/>
  <c r="BI79" i="1" s="1"/>
  <c r="BN108" i="1"/>
  <c r="BJ13" i="1" l="1"/>
  <c r="BJ20" i="1"/>
  <c r="BJ12" i="1"/>
  <c r="BJ14" i="1" s="1"/>
  <c r="BJ22" i="1"/>
  <c r="BJ15" i="1"/>
  <c r="BJ18" i="1"/>
  <c r="BN129" i="1"/>
  <c r="BN116" i="1"/>
  <c r="BN102" i="1" s="1"/>
  <c r="BH124" i="1"/>
  <c r="BJ17" i="1" l="1"/>
  <c r="BJ19" i="1" s="1"/>
  <c r="BJ21" i="1" s="1"/>
  <c r="BJ23" i="1" s="1"/>
  <c r="BN104" i="1"/>
  <c r="BN118" i="1"/>
  <c r="BO4" i="1" l="1"/>
  <c r="BN64" i="1"/>
  <c r="BN65" i="1" s="1"/>
  <c r="BN120" i="1"/>
  <c r="BN109" i="1"/>
  <c r="BN97" i="1" l="1"/>
  <c r="BN98" i="1"/>
  <c r="BN96" i="1"/>
  <c r="BN110" i="1"/>
  <c r="BN113" i="1"/>
  <c r="BN131" i="1" l="1"/>
  <c r="BN9" i="1"/>
  <c r="BN127" i="1"/>
  <c r="BN114" i="1"/>
  <c r="BN123" i="1" l="1"/>
  <c r="BN80" i="1"/>
  <c r="BO81" i="1" s="1"/>
  <c r="BO79" i="1" s="1"/>
  <c r="BN76" i="1"/>
  <c r="BN75" i="1"/>
  <c r="BN130" i="1"/>
  <c r="BN25" i="1"/>
  <c r="BN106" i="1" s="1"/>
  <c r="BN111" i="1" l="1"/>
  <c r="BD118" i="1"/>
  <c r="BN124" i="1" l="1"/>
  <c r="BO5" i="1"/>
  <c r="BD120" i="1"/>
  <c r="BD116" i="1"/>
  <c r="BD102" i="1" s="1"/>
  <c r="BP20" i="1" l="1"/>
  <c r="BP13" i="1"/>
  <c r="BP12" i="1"/>
  <c r="BO7" i="1"/>
  <c r="BP18" i="1"/>
  <c r="BP22" i="1"/>
  <c r="BP15" i="1"/>
  <c r="BD104" i="1"/>
  <c r="BD106" i="1"/>
  <c r="BD109" i="1" s="1"/>
  <c r="BD114" i="1" s="1"/>
  <c r="BP14" i="1" l="1"/>
  <c r="BP17" i="1" s="1"/>
  <c r="BP19" i="1" s="1"/>
  <c r="BP21" i="1" s="1"/>
  <c r="BP23" i="1" s="1"/>
  <c r="BD4" i="1"/>
  <c r="BD64" i="1"/>
  <c r="BD65" i="1" s="1"/>
  <c r="BH130" i="1"/>
  <c r="BD76" i="1"/>
  <c r="BD130" i="1"/>
  <c r="BD75" i="1"/>
  <c r="BD113" i="1"/>
  <c r="BD97" i="1" l="1"/>
  <c r="BD98" i="1"/>
  <c r="BD96" i="1"/>
  <c r="BD123" i="1"/>
  <c r="BD80" i="1"/>
  <c r="BD108" i="1"/>
  <c r="BD81" i="1" l="1"/>
  <c r="BD79" i="1" s="1"/>
  <c r="BD25" i="1"/>
  <c r="BH129" i="1"/>
  <c r="BD129" i="1"/>
  <c r="BD110" i="1"/>
  <c r="AS118" i="1"/>
  <c r="BD131" i="1" l="1"/>
  <c r="BD127" i="1"/>
  <c r="BD111" i="1"/>
  <c r="BD9" i="1"/>
  <c r="AS120" i="1"/>
  <c r="AS109" i="1"/>
  <c r="AS114" i="1" s="1"/>
  <c r="BD5" i="1" l="1"/>
  <c r="BD124" i="1"/>
  <c r="AW130" i="1"/>
  <c r="AS75" i="1"/>
  <c r="AS76" i="1"/>
  <c r="AS130" i="1"/>
  <c r="AS106" i="1"/>
  <c r="AS102" i="1" s="1"/>
  <c r="BE15" i="1" l="1"/>
  <c r="BE18" i="1"/>
  <c r="BE12" i="1"/>
  <c r="BE13" i="1"/>
  <c r="BE22" i="1"/>
  <c r="BE20" i="1"/>
  <c r="AS104" i="1"/>
  <c r="AS113" i="1"/>
  <c r="AS4" i="1" l="1"/>
  <c r="AS64" i="1"/>
  <c r="AS65" i="1" s="1"/>
  <c r="AT4" i="1"/>
  <c r="AS80" i="1"/>
  <c r="AS108" i="1"/>
  <c r="BE14" i="1"/>
  <c r="BE17" i="1" s="1"/>
  <c r="BE19" i="1" s="1"/>
  <c r="BE21" i="1" s="1"/>
  <c r="BE23" i="1" s="1"/>
  <c r="AS96" i="1" l="1"/>
  <c r="AS97" i="1"/>
  <c r="AS98" i="1"/>
  <c r="AS81" i="1"/>
  <c r="AS79" i="1" s="1"/>
  <c r="AT81" i="1"/>
  <c r="AT79" i="1" s="1"/>
  <c r="AS25" i="1"/>
  <c r="AW129" i="1"/>
  <c r="AS129" i="1"/>
  <c r="AS110" i="1"/>
  <c r="AS116" i="1"/>
  <c r="AS127" i="1" l="1"/>
  <c r="AS9" i="1"/>
  <c r="AS111" i="1"/>
  <c r="AS131" i="1"/>
  <c r="AS123" i="1"/>
  <c r="AK116" i="1"/>
  <c r="AK102" i="1" s="1"/>
  <c r="AS5" i="1" l="1"/>
  <c r="AT5" i="1"/>
  <c r="AS124" i="1"/>
  <c r="AK104" i="1"/>
  <c r="AK109" i="1"/>
  <c r="AK113" i="1" s="1"/>
  <c r="AW7" i="1" l="1"/>
  <c r="AS7" i="1"/>
  <c r="AT22" i="1"/>
  <c r="AT18" i="1"/>
  <c r="AT13" i="1"/>
  <c r="AT20" i="1"/>
  <c r="AT12" i="1"/>
  <c r="AT14" i="1" s="1"/>
  <c r="AT15" i="1"/>
  <c r="AU15" i="1"/>
  <c r="AU18" i="1"/>
  <c r="AU12" i="1"/>
  <c r="AU13" i="1"/>
  <c r="AU22" i="1"/>
  <c r="AU20" i="1"/>
  <c r="AL4" i="1"/>
  <c r="AK64" i="1"/>
  <c r="AK65" i="1" s="1"/>
  <c r="AK114" i="1"/>
  <c r="AC36" i="1"/>
  <c r="AK96" i="1" l="1"/>
  <c r="AK98" i="1"/>
  <c r="AK97" i="1"/>
  <c r="AO130" i="1"/>
  <c r="AK76" i="1"/>
  <c r="AK75" i="1"/>
  <c r="AK118" i="1"/>
  <c r="AT17" i="1"/>
  <c r="AT19" i="1" s="1"/>
  <c r="AT21" i="1" s="1"/>
  <c r="AT23" i="1" s="1"/>
  <c r="AU14" i="1"/>
  <c r="AU17" i="1" s="1"/>
  <c r="AU19" i="1" s="1"/>
  <c r="AU21" i="1" s="1"/>
  <c r="AU23" i="1" s="1"/>
  <c r="AK80" i="1"/>
  <c r="AL81" i="1" s="1"/>
  <c r="AL79" i="1" s="1"/>
  <c r="AK120" i="1" l="1"/>
  <c r="AK123" i="1" s="1"/>
  <c r="AK106" i="1"/>
  <c r="AK108" i="1" s="1"/>
  <c r="AK25" i="1" l="1"/>
  <c r="AO129" i="1"/>
  <c r="AK110" i="1"/>
  <c r="BG102" i="1"/>
  <c r="AK131" i="1" l="1"/>
  <c r="AK127" i="1"/>
  <c r="AK9" i="1"/>
  <c r="AK111" i="1"/>
  <c r="BG104" i="1"/>
  <c r="BG106" i="1"/>
  <c r="BG116" i="1" s="1"/>
  <c r="BG113" i="1" s="1"/>
  <c r="AK124" i="1" l="1"/>
  <c r="AL5" i="1"/>
  <c r="BG64" i="1"/>
  <c r="BG65" i="1" s="1"/>
  <c r="BH4" i="1"/>
  <c r="BG114" i="1"/>
  <c r="AM20" i="1" l="1"/>
  <c r="AM18" i="1"/>
  <c r="AM12" i="1"/>
  <c r="AM15" i="1"/>
  <c r="AM13" i="1"/>
  <c r="AM22" i="1"/>
  <c r="BG97" i="1"/>
  <c r="BG98" i="1"/>
  <c r="BG96" i="1"/>
  <c r="BK130" i="1"/>
  <c r="BG76" i="1"/>
  <c r="BG75" i="1"/>
  <c r="BG130" i="1"/>
  <c r="BG109" i="1"/>
  <c r="BG118" i="1" s="1"/>
  <c r="BG80" i="1"/>
  <c r="BH81" i="1" s="1"/>
  <c r="BH79" i="1" s="1"/>
  <c r="AM14" i="1" l="1"/>
  <c r="AM17" i="1" s="1"/>
  <c r="AM19" i="1" s="1"/>
  <c r="AM21" i="1" s="1"/>
  <c r="AM23" i="1" s="1"/>
  <c r="BG120" i="1"/>
  <c r="BG123" i="1" s="1"/>
  <c r="BG108" i="1"/>
  <c r="BG25" i="1" l="1"/>
  <c r="BK129" i="1"/>
  <c r="BG129" i="1"/>
  <c r="BG110" i="1"/>
  <c r="BR114" i="1"/>
  <c r="BG131" i="1" l="1"/>
  <c r="BG111" i="1"/>
  <c r="BG9" i="1"/>
  <c r="BG127" i="1"/>
  <c r="BR76" i="1"/>
  <c r="BR130" i="1"/>
  <c r="BR75" i="1"/>
  <c r="BR116" i="1"/>
  <c r="BR118" i="1" s="1"/>
  <c r="BH5" i="1" l="1"/>
  <c r="BG124" i="1"/>
  <c r="BR120" i="1"/>
  <c r="BR113" i="1"/>
  <c r="BR123" i="1" l="1"/>
  <c r="BL7" i="1"/>
  <c r="BI20" i="1"/>
  <c r="BI22" i="1"/>
  <c r="BI18" i="1"/>
  <c r="BI15" i="1"/>
  <c r="BI12" i="1"/>
  <c r="BI13" i="1"/>
  <c r="BH7" i="1"/>
  <c r="BR80" i="1"/>
  <c r="BS81" i="1" s="1"/>
  <c r="BS79" i="1" s="1"/>
  <c r="BR108" i="1"/>
  <c r="BR25" i="1" l="1"/>
  <c r="BR129" i="1"/>
  <c r="BR106" i="1"/>
  <c r="BR109" i="1" s="1"/>
  <c r="BR102" i="1" s="1"/>
  <c r="BI14" i="1"/>
  <c r="BI17" i="1" s="1"/>
  <c r="BI19" i="1" s="1"/>
  <c r="BI21" i="1" s="1"/>
  <c r="BI23" i="1" s="1"/>
  <c r="BR104" i="1" l="1"/>
  <c r="AX109" i="1"/>
  <c r="AX113" i="1" s="1"/>
  <c r="BR110" i="1"/>
  <c r="BR64" i="1" l="1"/>
  <c r="BR65" i="1" s="1"/>
  <c r="BS4" i="1"/>
  <c r="AX108" i="1"/>
  <c r="BR131" i="1"/>
  <c r="BR111" i="1"/>
  <c r="BR9" i="1"/>
  <c r="BR127" i="1"/>
  <c r="BR98" i="1" l="1"/>
  <c r="BR97" i="1"/>
  <c r="BR96" i="1"/>
  <c r="BB129" i="1"/>
  <c r="AX110" i="1"/>
  <c r="AX129" i="1"/>
  <c r="AX114" i="1"/>
  <c r="BS5" i="1"/>
  <c r="BR124" i="1"/>
  <c r="AX131" i="1" l="1"/>
  <c r="AX80" i="1"/>
  <c r="BB130" i="1"/>
  <c r="AX75" i="1"/>
  <c r="AX130" i="1"/>
  <c r="AX76" i="1"/>
  <c r="AX25" i="1"/>
  <c r="AX116" i="1"/>
  <c r="AX106" i="1" s="1"/>
  <c r="AX102" i="1" s="1"/>
  <c r="BT18" i="1"/>
  <c r="BS7" i="1"/>
  <c r="BT15" i="1"/>
  <c r="BT12" i="1"/>
  <c r="BT22" i="1"/>
  <c r="BT20" i="1"/>
  <c r="BT13" i="1"/>
  <c r="BT14" i="1" l="1"/>
  <c r="BT17" i="1" s="1"/>
  <c r="BT19" i="1" s="1"/>
  <c r="BT21" i="1" s="1"/>
  <c r="BT23" i="1" s="1"/>
  <c r="AX81" i="1"/>
  <c r="AX79" i="1" s="1"/>
  <c r="AX104" i="1"/>
  <c r="AX118" i="1"/>
  <c r="AX111" i="1" l="1"/>
  <c r="AX9" i="1"/>
  <c r="AX127" i="1"/>
  <c r="AX4" i="1"/>
  <c r="AX64" i="1"/>
  <c r="AX65" i="1" s="1"/>
  <c r="AX120" i="1"/>
  <c r="AX123" i="1" s="1"/>
  <c r="AJ118" i="1"/>
  <c r="AX124" i="1" l="1"/>
  <c r="AX5" i="1"/>
  <c r="AX98" i="1"/>
  <c r="AX96" i="1"/>
  <c r="AX97" i="1"/>
  <c r="AJ120" i="1"/>
  <c r="AJ116" i="1"/>
  <c r="AJ108" i="1" s="1"/>
  <c r="AY12" i="1"/>
  <c r="AX7" i="1"/>
  <c r="AY22" i="1" l="1"/>
  <c r="AY18" i="1"/>
  <c r="AY15" i="1"/>
  <c r="AY13" i="1"/>
  <c r="AY14" i="1" s="1"/>
  <c r="AY17" i="1" s="1"/>
  <c r="AY19" i="1" s="1"/>
  <c r="AY21" i="1" s="1"/>
  <c r="AY23" i="1" s="1"/>
  <c r="AY20" i="1"/>
  <c r="AN129" i="1"/>
  <c r="AJ102" i="1"/>
  <c r="AJ104" i="1" l="1"/>
  <c r="AJ109" i="1"/>
  <c r="AJ4" i="1" l="1"/>
  <c r="AK4" i="1"/>
  <c r="AJ64" i="1"/>
  <c r="AJ65" i="1" s="1"/>
  <c r="AJ110" i="1"/>
  <c r="AJ114" i="1"/>
  <c r="AJ98" i="1" l="1"/>
  <c r="AJ96" i="1"/>
  <c r="AJ97" i="1"/>
  <c r="AJ9" i="1"/>
  <c r="AJ127" i="1"/>
  <c r="AN130" i="1"/>
  <c r="AJ75" i="1"/>
  <c r="AJ25" i="1"/>
  <c r="AJ76" i="1"/>
  <c r="AJ113" i="1"/>
  <c r="AJ131" i="1" l="1"/>
  <c r="AJ123" i="1"/>
  <c r="AJ80" i="1"/>
  <c r="AJ106" i="1"/>
  <c r="AJ81" i="1" l="1"/>
  <c r="AJ79" i="1" s="1"/>
  <c r="AK81" i="1"/>
  <c r="AK79" i="1" s="1"/>
  <c r="AJ111" i="1"/>
  <c r="BE114" i="1"/>
  <c r="AJ124" i="1" l="1"/>
  <c r="AK5" i="1"/>
  <c r="AJ5" i="1"/>
  <c r="BI130" i="1"/>
  <c r="BE75" i="1"/>
  <c r="BE76" i="1"/>
  <c r="BE106" i="1"/>
  <c r="BE108" i="1" s="1"/>
  <c r="AO7" i="1" l="1"/>
  <c r="AL18" i="1"/>
  <c r="AL20" i="1"/>
  <c r="AL15" i="1"/>
  <c r="AL12" i="1"/>
  <c r="AL13" i="1"/>
  <c r="AL22" i="1"/>
  <c r="AK22" i="1"/>
  <c r="AK20" i="1"/>
  <c r="AK12" i="1"/>
  <c r="AK14" i="1" s="1"/>
  <c r="AK17" i="1" s="1"/>
  <c r="AK19" i="1" s="1"/>
  <c r="AK21" i="1" s="1"/>
  <c r="AK23" i="1" s="1"/>
  <c r="AK15" i="1"/>
  <c r="AK13" i="1"/>
  <c r="AK18" i="1"/>
  <c r="AN7" i="1"/>
  <c r="BI129" i="1"/>
  <c r="BE102" i="1"/>
  <c r="BE25" i="1"/>
  <c r="AL14" i="1" l="1"/>
  <c r="AL17" i="1" s="1"/>
  <c r="AL19" i="1" s="1"/>
  <c r="AL21" i="1" s="1"/>
  <c r="AL23" i="1" s="1"/>
  <c r="BE104" i="1"/>
  <c r="BE113" i="1"/>
  <c r="BE4" i="1" l="1"/>
  <c r="BE64" i="1"/>
  <c r="BE65" i="1" s="1"/>
  <c r="BE80" i="1"/>
  <c r="BE116" i="1"/>
  <c r="BE109" i="1" s="1"/>
  <c r="BE97" i="1" l="1"/>
  <c r="BE98" i="1"/>
  <c r="BE96" i="1"/>
  <c r="BE81" i="1"/>
  <c r="BE79" i="1" s="1"/>
  <c r="BE110" i="1"/>
  <c r="BE118" i="1"/>
  <c r="BE131" i="1" l="1"/>
  <c r="BE111" i="1"/>
  <c r="BE127" i="1"/>
  <c r="BE9" i="1"/>
  <c r="BE120" i="1"/>
  <c r="BE123" i="1" s="1"/>
  <c r="BV102" i="1"/>
  <c r="BE5" i="1" l="1"/>
  <c r="BE124" i="1"/>
  <c r="BV104" i="1"/>
  <c r="BV109" i="1"/>
  <c r="BZ109" i="1" s="1"/>
  <c r="CA109" i="1" s="1"/>
  <c r="CB109" i="1" s="1"/>
  <c r="CC109" i="1" s="1"/>
  <c r="BF18" i="1" l="1"/>
  <c r="BF22" i="1"/>
  <c r="BF20" i="1"/>
  <c r="BF12" i="1"/>
  <c r="BF13" i="1"/>
  <c r="BF15" i="1"/>
  <c r="BI7" i="1"/>
  <c r="BV4" i="1"/>
  <c r="BV64" i="1"/>
  <c r="BV65" i="1" s="1"/>
  <c r="BW4" i="1"/>
  <c r="AB109" i="1"/>
  <c r="CD109" i="1"/>
  <c r="CE109" i="1" s="1"/>
  <c r="CF109" i="1" s="1"/>
  <c r="CG109" i="1" s="1"/>
  <c r="BV118" i="1"/>
  <c r="BF14" i="1" l="1"/>
  <c r="BF17" i="1" s="1"/>
  <c r="BF19" i="1" s="1"/>
  <c r="BF21" i="1" s="1"/>
  <c r="BF23" i="1" s="1"/>
  <c r="BV97" i="1"/>
  <c r="BV98" i="1"/>
  <c r="BV96" i="1"/>
  <c r="AC109" i="1"/>
  <c r="CH109" i="1"/>
  <c r="CI109" i="1" s="1"/>
  <c r="CJ109" i="1" s="1"/>
  <c r="CK109" i="1" s="1"/>
  <c r="BV120" i="1"/>
  <c r="BV106" i="1"/>
  <c r="BV113" i="1" s="1"/>
  <c r="AA4" i="1"/>
  <c r="AD109" i="1" l="1"/>
  <c r="CL109" i="1"/>
  <c r="CM109" i="1" s="1"/>
  <c r="CN109" i="1" s="1"/>
  <c r="CO109" i="1" s="1"/>
  <c r="AE109" i="1" s="1"/>
  <c r="BV114" i="1"/>
  <c r="BV80" i="1" l="1"/>
  <c r="BV81" i="1"/>
  <c r="BV79" i="1" s="1"/>
  <c r="BV76" i="1"/>
  <c r="BZ76" i="1" s="1"/>
  <c r="BV75" i="1"/>
  <c r="BV130" i="1"/>
  <c r="BZ130" i="1" s="1"/>
  <c r="BV116" i="1"/>
  <c r="BW81" i="1" l="1"/>
  <c r="BW79" i="1" s="1"/>
  <c r="CA130" i="1"/>
  <c r="CB130" i="1"/>
  <c r="CA76" i="1"/>
  <c r="BV123" i="1"/>
  <c r="BV108" i="1"/>
  <c r="BZ114" i="1"/>
  <c r="AD36" i="1"/>
  <c r="CA114" i="1" l="1"/>
  <c r="CB114" i="1"/>
  <c r="CC130" i="1"/>
  <c r="CA72" i="1"/>
  <c r="CA73" i="1" s="1"/>
  <c r="CB76" i="1"/>
  <c r="BV25" i="1"/>
  <c r="BV129" i="1"/>
  <c r="BZ129" i="1" s="1"/>
  <c r="BV110" i="1"/>
  <c r="BF109" i="1"/>
  <c r="BF106" i="1" s="1"/>
  <c r="BF118" i="1" s="1"/>
  <c r="BZ72" i="1"/>
  <c r="BZ73" i="1" s="1"/>
  <c r="CE114" i="1" l="1"/>
  <c r="CC114" i="1"/>
  <c r="CD130" i="1"/>
  <c r="CE130" i="1"/>
  <c r="CA129" i="1"/>
  <c r="CB72" i="1"/>
  <c r="CB73" i="1" s="1"/>
  <c r="CC76" i="1"/>
  <c r="BV127" i="1"/>
  <c r="BV9" i="1"/>
  <c r="BV111" i="1"/>
  <c r="BV131" i="1"/>
  <c r="BZ131" i="1" s="1"/>
  <c r="BF120" i="1"/>
  <c r="BF108" i="1"/>
  <c r="BZ108" i="1"/>
  <c r="AB114" i="1" l="1"/>
  <c r="CD114" i="1"/>
  <c r="CA108" i="1"/>
  <c r="CF130" i="1"/>
  <c r="CB129" i="1"/>
  <c r="CC72" i="1"/>
  <c r="CC73" i="1" s="1"/>
  <c r="CD76" i="1"/>
  <c r="BV124" i="1"/>
  <c r="BV5" i="1"/>
  <c r="BW5" i="1"/>
  <c r="CA131" i="1"/>
  <c r="CB131" i="1" s="1"/>
  <c r="BJ129" i="1"/>
  <c r="BF110" i="1"/>
  <c r="BF129" i="1"/>
  <c r="BF102" i="1"/>
  <c r="BZ110" i="1"/>
  <c r="BZ25" i="1"/>
  <c r="AB130" i="1" l="1"/>
  <c r="CA25" i="1"/>
  <c r="CA110" i="1"/>
  <c r="CF114" i="1"/>
  <c r="CB108" i="1"/>
  <c r="CC129" i="1"/>
  <c r="CH130" i="1"/>
  <c r="CG130" i="1"/>
  <c r="CC131" i="1"/>
  <c r="CD72" i="1"/>
  <c r="CD73" i="1" s="1"/>
  <c r="CE76" i="1"/>
  <c r="BW15" i="1"/>
  <c r="BZ15" i="1" s="1"/>
  <c r="BW20" i="1"/>
  <c r="BZ20" i="1" s="1"/>
  <c r="BW18" i="1"/>
  <c r="BZ18" i="1" s="1"/>
  <c r="BW22" i="1"/>
  <c r="BW13" i="1"/>
  <c r="BZ13" i="1" s="1"/>
  <c r="BW12" i="1"/>
  <c r="BZ12" i="1" s="1"/>
  <c r="AA5" i="1"/>
  <c r="BW7" i="1"/>
  <c r="BX18" i="1"/>
  <c r="BX22" i="1"/>
  <c r="BX20" i="1"/>
  <c r="BX13" i="1"/>
  <c r="BX12" i="1"/>
  <c r="BX15" i="1"/>
  <c r="CA113" i="1"/>
  <c r="CA80" i="1" s="1"/>
  <c r="BF104" i="1"/>
  <c r="BF116" i="1"/>
  <c r="BF113" i="1" s="1"/>
  <c r="BZ113" i="1"/>
  <c r="BZ80" i="1" s="1"/>
  <c r="CB25" i="1" l="1"/>
  <c r="CB110" i="1"/>
  <c r="CB113" i="1" s="1"/>
  <c r="CB80" i="1" s="1"/>
  <c r="CD129" i="1"/>
  <c r="CC108" i="1"/>
  <c r="CH114" i="1"/>
  <c r="CG114" i="1"/>
  <c r="CI130" i="1"/>
  <c r="CD131" i="1"/>
  <c r="CA15" i="1"/>
  <c r="CA20" i="1"/>
  <c r="CA18" i="1"/>
  <c r="CA13" i="1"/>
  <c r="CB15" i="1"/>
  <c r="BZ32" i="1"/>
  <c r="CB20" i="1"/>
  <c r="BZ44" i="1"/>
  <c r="CC20" i="1"/>
  <c r="CB18" i="1"/>
  <c r="CC18" i="1"/>
  <c r="BZ35" i="1"/>
  <c r="CD18" i="1"/>
  <c r="CB13" i="1"/>
  <c r="CC13" i="1"/>
  <c r="CD13" i="1"/>
  <c r="BZ30" i="1"/>
  <c r="BZ14" i="1"/>
  <c r="BZ17" i="1" s="1"/>
  <c r="BZ19" i="1" s="1"/>
  <c r="BZ21" i="1" s="1"/>
  <c r="BZ29" i="1"/>
  <c r="CE72" i="1"/>
  <c r="CE73" i="1" s="1"/>
  <c r="CF76" i="1"/>
  <c r="CA12" i="1"/>
  <c r="BW14" i="1"/>
  <c r="BW17" i="1" s="1"/>
  <c r="BW19" i="1" s="1"/>
  <c r="BW21" i="1" s="1"/>
  <c r="BW23" i="1" s="1"/>
  <c r="CB12" i="1"/>
  <c r="BX14" i="1"/>
  <c r="BX17" i="1" s="1"/>
  <c r="BX19" i="1" s="1"/>
  <c r="BX21" i="1" s="1"/>
  <c r="BX23" i="1" s="1"/>
  <c r="CC15" i="1"/>
  <c r="BF4" i="1"/>
  <c r="BG4" i="1"/>
  <c r="BF64" i="1"/>
  <c r="BF65" i="1" s="1"/>
  <c r="BF131" i="1"/>
  <c r="BF114" i="1"/>
  <c r="CA81" i="1"/>
  <c r="BZ81" i="1"/>
  <c r="BF111" i="1"/>
  <c r="BF9" i="1"/>
  <c r="BF127" i="1"/>
  <c r="CB81" i="1" l="1"/>
  <c r="CD108" i="1"/>
  <c r="CC25" i="1"/>
  <c r="CC110" i="1"/>
  <c r="CC113" i="1" s="1"/>
  <c r="AB108" i="1"/>
  <c r="AC114" i="1"/>
  <c r="AC130" i="1" s="1"/>
  <c r="CI114" i="1"/>
  <c r="CE131" i="1"/>
  <c r="CF131" i="1"/>
  <c r="BZ41" i="1"/>
  <c r="BZ31" i="1"/>
  <c r="CJ130" i="1"/>
  <c r="CD15" i="1"/>
  <c r="CD20" i="1"/>
  <c r="CC12" i="1"/>
  <c r="CE18" i="1"/>
  <c r="CE13" i="1"/>
  <c r="CE129" i="1"/>
  <c r="CK130" i="1"/>
  <c r="CF72" i="1"/>
  <c r="CF73" i="1" s="1"/>
  <c r="CG76" i="1"/>
  <c r="CA14" i="1"/>
  <c r="CA17" i="1" s="1"/>
  <c r="CA19" i="1" s="1"/>
  <c r="CA21" i="1" s="1"/>
  <c r="CB14" i="1"/>
  <c r="CB17" i="1" s="1"/>
  <c r="CB19" i="1" s="1"/>
  <c r="CB21" i="1" s="1"/>
  <c r="BF96" i="1"/>
  <c r="BF97" i="1"/>
  <c r="BF98" i="1"/>
  <c r="BJ130" i="1"/>
  <c r="BF76" i="1"/>
  <c r="BF130" i="1"/>
  <c r="BF25" i="1"/>
  <c r="BF75" i="1"/>
  <c r="AP109" i="1"/>
  <c r="AP114" i="1" s="1"/>
  <c r="BG5" i="1"/>
  <c r="BF5" i="1"/>
  <c r="BF123" i="1"/>
  <c r="BF124" i="1" s="1"/>
  <c r="BF80" i="1"/>
  <c r="CD110" i="1" l="1"/>
  <c r="CD113" i="1" s="1"/>
  <c r="CD80" i="1" s="1"/>
  <c r="CD25" i="1"/>
  <c r="AB113" i="1"/>
  <c r="CC80" i="1"/>
  <c r="AB25" i="1"/>
  <c r="AB129" i="1"/>
  <c r="AB110" i="1"/>
  <c r="CM114" i="1"/>
  <c r="CI131" i="1"/>
  <c r="BZ79" i="1"/>
  <c r="BZ33" i="1"/>
  <c r="CJ114" i="1"/>
  <c r="CD12" i="1"/>
  <c r="CC14" i="1"/>
  <c r="CC17" i="1" s="1"/>
  <c r="CC19" i="1" s="1"/>
  <c r="CC21" i="1" s="1"/>
  <c r="CE108" i="1"/>
  <c r="CF129" i="1"/>
  <c r="CE15" i="1"/>
  <c r="CE20" i="1"/>
  <c r="CF18" i="1"/>
  <c r="CF13" i="1"/>
  <c r="CK114" i="1"/>
  <c r="CG131" i="1"/>
  <c r="CH131" i="1" s="1"/>
  <c r="CG13" i="1"/>
  <c r="CL130" i="1"/>
  <c r="CM130" i="1"/>
  <c r="CG72" i="1"/>
  <c r="CG73" i="1" s="1"/>
  <c r="CH76" i="1"/>
  <c r="AT130" i="1"/>
  <c r="AP76" i="1"/>
  <c r="AP130" i="1"/>
  <c r="AP75" i="1"/>
  <c r="AP108" i="1"/>
  <c r="BK7" i="1"/>
  <c r="BH15" i="1"/>
  <c r="BG7" i="1"/>
  <c r="BH18" i="1"/>
  <c r="BH22" i="1"/>
  <c r="BH13" i="1"/>
  <c r="BH12" i="1"/>
  <c r="BH14" i="1" s="1"/>
  <c r="BH20" i="1"/>
  <c r="BG12" i="1"/>
  <c r="BG13" i="1"/>
  <c r="BG20" i="1"/>
  <c r="BG15" i="1"/>
  <c r="BG22" i="1"/>
  <c r="BG18" i="1"/>
  <c r="BJ7" i="1"/>
  <c r="BG81" i="1"/>
  <c r="BG79" i="1" s="1"/>
  <c r="BF81" i="1"/>
  <c r="BF79" i="1" s="1"/>
  <c r="CC81" i="1" l="1"/>
  <c r="CD81" i="1"/>
  <c r="BZ42" i="1"/>
  <c r="BZ34" i="1"/>
  <c r="CN114" i="1"/>
  <c r="CD14" i="1"/>
  <c r="CD17" i="1" s="1"/>
  <c r="CD19" i="1" s="1"/>
  <c r="CD21" i="1" s="1"/>
  <c r="CE110" i="1"/>
  <c r="CE113" i="1" s="1"/>
  <c r="CE80" i="1" s="1"/>
  <c r="CE25" i="1"/>
  <c r="CF108" i="1"/>
  <c r="CF15" i="1"/>
  <c r="CF20" i="1"/>
  <c r="AD114" i="1"/>
  <c r="AD130" i="1" s="1"/>
  <c r="CL114" i="1"/>
  <c r="AB131" i="1"/>
  <c r="CN130" i="1"/>
  <c r="CG20" i="1"/>
  <c r="CH20" i="1"/>
  <c r="CG129" i="1"/>
  <c r="CH13" i="1"/>
  <c r="CE12" i="1"/>
  <c r="CF12" i="1"/>
  <c r="CG15" i="1"/>
  <c r="CJ131" i="1"/>
  <c r="CH129" i="1"/>
  <c r="CG18" i="1"/>
  <c r="CK131" i="1"/>
  <c r="CH72" i="1"/>
  <c r="CH73" i="1" s="1"/>
  <c r="CI76" i="1"/>
  <c r="AT129" i="1"/>
  <c r="AP110" i="1"/>
  <c r="AP129" i="1"/>
  <c r="AP118" i="1"/>
  <c r="AP25" i="1"/>
  <c r="BG14" i="1"/>
  <c r="BG17" i="1" s="1"/>
  <c r="BG19" i="1" s="1"/>
  <c r="BG21" i="1" s="1"/>
  <c r="BG23" i="1" s="1"/>
  <c r="BH17" i="1"/>
  <c r="BH19" i="1" s="1"/>
  <c r="BH21" i="1" s="1"/>
  <c r="BH23" i="1" s="1"/>
  <c r="BZ45" i="1" l="1"/>
  <c r="BZ43" i="1"/>
  <c r="CF25" i="1"/>
  <c r="CF110" i="1"/>
  <c r="CF113" i="1" s="1"/>
  <c r="CF80" i="1" s="1"/>
  <c r="CG108" i="1"/>
  <c r="CI13" i="1"/>
  <c r="CJ13" i="1"/>
  <c r="CG12" i="1"/>
  <c r="CE14" i="1"/>
  <c r="CE17" i="1" s="1"/>
  <c r="CE19" i="1" s="1"/>
  <c r="CE21" i="1" s="1"/>
  <c r="CF14" i="1"/>
  <c r="CF17" i="1" s="1"/>
  <c r="CF19" i="1" s="1"/>
  <c r="CF21" i="1" s="1"/>
  <c r="CH108" i="1"/>
  <c r="CH18" i="1"/>
  <c r="CH15" i="1"/>
  <c r="CI15" i="1"/>
  <c r="CI20" i="1"/>
  <c r="CO130" i="1"/>
  <c r="CO114" i="1" s="1"/>
  <c r="CE81" i="1"/>
  <c r="CI18" i="1"/>
  <c r="CI129" i="1"/>
  <c r="CI108" i="1" s="1"/>
  <c r="CL131" i="1"/>
  <c r="CI72" i="1"/>
  <c r="CI73" i="1" s="1"/>
  <c r="CJ76" i="1"/>
  <c r="AP120" i="1"/>
  <c r="AP113" i="1"/>
  <c r="BZ46" i="1" l="1"/>
  <c r="CF81" i="1"/>
  <c r="CG110" i="1"/>
  <c r="CG113" i="1" s="1"/>
  <c r="CK108" i="1"/>
  <c r="AC108" i="1"/>
  <c r="CG25" i="1"/>
  <c r="CH12" i="1"/>
  <c r="CG14" i="1"/>
  <c r="CG17" i="1" s="1"/>
  <c r="CG19" i="1" s="1"/>
  <c r="CG21" i="1" s="1"/>
  <c r="CH110" i="1"/>
  <c r="CH113" i="1" s="1"/>
  <c r="CH80" i="1" s="1"/>
  <c r="CH25" i="1"/>
  <c r="CJ18" i="1"/>
  <c r="CL20" i="1"/>
  <c r="CM20" i="1"/>
  <c r="CN20" i="1" s="1"/>
  <c r="AE114" i="1"/>
  <c r="AE130" i="1" s="1"/>
  <c r="CI110" i="1"/>
  <c r="CI113" i="1" s="1"/>
  <c r="CI80" i="1" s="1"/>
  <c r="CI25" i="1"/>
  <c r="CK13" i="1"/>
  <c r="CL13" i="1"/>
  <c r="CJ20" i="1"/>
  <c r="CK20" i="1"/>
  <c r="CM131" i="1"/>
  <c r="CJ129" i="1"/>
  <c r="CK129" i="1"/>
  <c r="CM13" i="1"/>
  <c r="CN131" i="1"/>
  <c r="CL129" i="1"/>
  <c r="CM129" i="1" s="1"/>
  <c r="CM108" i="1" s="1"/>
  <c r="CJ15" i="1"/>
  <c r="CJ72" i="1"/>
  <c r="CJ73" i="1" s="1"/>
  <c r="CK76" i="1"/>
  <c r="AP131" i="1"/>
  <c r="AP80" i="1"/>
  <c r="AP102" i="1"/>
  <c r="BZ22" i="1" l="1"/>
  <c r="BZ23" i="1" s="1"/>
  <c r="AC113" i="1"/>
  <c r="AC131" i="1" s="1"/>
  <c r="CG80" i="1"/>
  <c r="CG81" i="1" s="1"/>
  <c r="CK25" i="1"/>
  <c r="AD108" i="1"/>
  <c r="CK110" i="1"/>
  <c r="CK113" i="1" s="1"/>
  <c r="AC110" i="1"/>
  <c r="AC129" i="1"/>
  <c r="CI12" i="1"/>
  <c r="CH14" i="1"/>
  <c r="CH17" i="1" s="1"/>
  <c r="CH19" i="1" s="1"/>
  <c r="CH21" i="1" s="1"/>
  <c r="CI81" i="1"/>
  <c r="CM18" i="1"/>
  <c r="CN18" i="1"/>
  <c r="CO18" i="1" s="1"/>
  <c r="CN13" i="1"/>
  <c r="CJ108" i="1"/>
  <c r="CN129" i="1"/>
  <c r="CM110" i="1"/>
  <c r="CM113" i="1" s="1"/>
  <c r="CM80" i="1" s="1"/>
  <c r="CM25" i="1"/>
  <c r="CL108" i="1"/>
  <c r="CK15" i="1"/>
  <c r="CK18" i="1"/>
  <c r="CL18" i="1" s="1"/>
  <c r="CO20" i="1"/>
  <c r="CO131" i="1"/>
  <c r="CO129" i="1"/>
  <c r="BZ47" i="1"/>
  <c r="BZ51" i="1" s="1"/>
  <c r="CK72" i="1"/>
  <c r="CK73" i="1" s="1"/>
  <c r="CL76" i="1"/>
  <c r="AP81" i="1"/>
  <c r="AP79" i="1" s="1"/>
  <c r="AQ81" i="1"/>
  <c r="AQ79" i="1" s="1"/>
  <c r="AP106" i="1"/>
  <c r="AD110" i="1" l="1"/>
  <c r="AD129" i="1"/>
  <c r="CK80" i="1"/>
  <c r="AD113" i="1"/>
  <c r="AD131" i="1" s="1"/>
  <c r="CI14" i="1"/>
  <c r="CI17" i="1" s="1"/>
  <c r="CI19" i="1" s="1"/>
  <c r="CI21" i="1" s="1"/>
  <c r="CN108" i="1"/>
  <c r="CJ110" i="1"/>
  <c r="CJ113" i="1" s="1"/>
  <c r="CJ80" i="1" s="1"/>
  <c r="CJ25" i="1"/>
  <c r="CL110" i="1"/>
  <c r="CL113" i="1" s="1"/>
  <c r="CL80" i="1" s="1"/>
  <c r="CM81" i="1" s="1"/>
  <c r="CL25" i="1"/>
  <c r="CL15" i="1"/>
  <c r="BZ103" i="1"/>
  <c r="BZ60" i="1"/>
  <c r="BZ61" i="1" s="1"/>
  <c r="BZ52" i="1"/>
  <c r="CO108" i="1"/>
  <c r="CJ12" i="1"/>
  <c r="CH81" i="1"/>
  <c r="CO13" i="1"/>
  <c r="CK12" i="1"/>
  <c r="CL72" i="1"/>
  <c r="CL73" i="1" s="1"/>
  <c r="CM76" i="1"/>
  <c r="AP103" i="1"/>
  <c r="CN25" i="1" l="1"/>
  <c r="CN110" i="1"/>
  <c r="CN113" i="1" s="1"/>
  <c r="CN80" i="1" s="1"/>
  <c r="CN81" i="1" s="1"/>
  <c r="CJ81" i="1"/>
  <c r="CK81" i="1"/>
  <c r="BZ104" i="1"/>
  <c r="AE108" i="1"/>
  <c r="CO110" i="1"/>
  <c r="CO113" i="1" s="1"/>
  <c r="CO25" i="1"/>
  <c r="CJ14" i="1"/>
  <c r="CJ17" i="1" s="1"/>
  <c r="CJ19" i="1" s="1"/>
  <c r="CJ21" i="1" s="1"/>
  <c r="CL12" i="1"/>
  <c r="CL14" i="1" s="1"/>
  <c r="CL17" i="1" s="1"/>
  <c r="CL19" i="1" s="1"/>
  <c r="CL21" i="1" s="1"/>
  <c r="CK14" i="1"/>
  <c r="CK17" i="1" s="1"/>
  <c r="CK19" i="1" s="1"/>
  <c r="CK21" i="1" s="1"/>
  <c r="CL81" i="1"/>
  <c r="CM12" i="1"/>
  <c r="CM14" i="1" s="1"/>
  <c r="CM15" i="1"/>
  <c r="CN15" i="1" s="1"/>
  <c r="CO15" i="1"/>
  <c r="CM72" i="1"/>
  <c r="CM73" i="1" s="1"/>
  <c r="CN76" i="1"/>
  <c r="AP104" i="1"/>
  <c r="AP116" i="1"/>
  <c r="BZ127" i="1" l="1"/>
  <c r="BZ111" i="1"/>
  <c r="BZ9" i="1"/>
  <c r="BZ64" i="1"/>
  <c r="BZ65" i="1" s="1"/>
  <c r="BZ4" i="1"/>
  <c r="AE129" i="1"/>
  <c r="AE110" i="1"/>
  <c r="AE113" i="1"/>
  <c r="CO80" i="1"/>
  <c r="CO81" i="1" s="1"/>
  <c r="CN12" i="1"/>
  <c r="CN14" i="1" s="1"/>
  <c r="CN17" i="1" s="1"/>
  <c r="CN19" i="1" s="1"/>
  <c r="CN21" i="1" s="1"/>
  <c r="CO12" i="1"/>
  <c r="CO14" i="1" s="1"/>
  <c r="CO17" i="1" s="1"/>
  <c r="CO19" i="1" s="1"/>
  <c r="CO21" i="1" s="1"/>
  <c r="CM17" i="1"/>
  <c r="CM19" i="1" s="1"/>
  <c r="CM21" i="1" s="1"/>
  <c r="CN72" i="1"/>
  <c r="CN73" i="1" s="1"/>
  <c r="CO76" i="1"/>
  <c r="CO72" i="1" s="1"/>
  <c r="CO73" i="1" s="1"/>
  <c r="AP111" i="1"/>
  <c r="AP64" i="1"/>
  <c r="AP65" i="1" s="1"/>
  <c r="AQ4" i="1"/>
  <c r="AP4" i="1"/>
  <c r="AP127" i="1"/>
  <c r="AP9" i="1"/>
  <c r="AP123" i="1"/>
  <c r="BA113" i="1"/>
  <c r="BZ120" i="1" l="1"/>
  <c r="BZ123" i="1" s="1"/>
  <c r="BZ124" i="1" s="1"/>
  <c r="BZ5" i="1"/>
  <c r="BZ89" i="1"/>
  <c r="BZ96" i="1"/>
  <c r="BZ90" i="1"/>
  <c r="AE131" i="1"/>
  <c r="AP5" i="1"/>
  <c r="AQ5" i="1"/>
  <c r="AP124" i="1"/>
  <c r="AP97" i="1"/>
  <c r="AP98" i="1"/>
  <c r="AP96" i="1"/>
  <c r="BA108" i="1"/>
  <c r="CA35" i="1" l="1"/>
  <c r="BZ7" i="1"/>
  <c r="CA29" i="1"/>
  <c r="CA30" i="1"/>
  <c r="CA44" i="1"/>
  <c r="CA32" i="1"/>
  <c r="BZ92" i="1"/>
  <c r="BZ93" i="1"/>
  <c r="AT7" i="1"/>
  <c r="AQ15" i="1"/>
  <c r="AQ22" i="1"/>
  <c r="AP7" i="1"/>
  <c r="AQ18" i="1"/>
  <c r="AQ12" i="1"/>
  <c r="AQ13" i="1"/>
  <c r="AQ20" i="1"/>
  <c r="AR13" i="1"/>
  <c r="AR12" i="1"/>
  <c r="AR20" i="1"/>
  <c r="AQ7" i="1"/>
  <c r="AR15" i="1"/>
  <c r="AR22" i="1"/>
  <c r="AR18" i="1"/>
  <c r="BE129" i="1"/>
  <c r="BA129" i="1"/>
  <c r="BA114" i="1"/>
  <c r="CA41" i="1" l="1"/>
  <c r="CA31" i="1"/>
  <c r="AQ14" i="1"/>
  <c r="AQ17" i="1" s="1"/>
  <c r="AQ19" i="1" s="1"/>
  <c r="AQ21" i="1" s="1"/>
  <c r="AQ23" i="1" s="1"/>
  <c r="BA80" i="1"/>
  <c r="BE130" i="1"/>
  <c r="BA130" i="1"/>
  <c r="BA75" i="1"/>
  <c r="BA25" i="1"/>
  <c r="BA76" i="1"/>
  <c r="BA106" i="1"/>
  <c r="BA109" i="1" s="1"/>
  <c r="AR14" i="1"/>
  <c r="AR17" i="1" s="1"/>
  <c r="AR19" i="1" s="1"/>
  <c r="AR21" i="1" s="1"/>
  <c r="AR23" i="1" s="1"/>
  <c r="CA33" i="1" l="1"/>
  <c r="CA79" i="1"/>
  <c r="BB81" i="1"/>
  <c r="BB79" i="1" s="1"/>
  <c r="BA81" i="1"/>
  <c r="BA79" i="1" s="1"/>
  <c r="BA110" i="1"/>
  <c r="BA102" i="1"/>
  <c r="CA42" i="1" l="1"/>
  <c r="CA34" i="1"/>
  <c r="BA131" i="1"/>
  <c r="BA104" i="1"/>
  <c r="BA118" i="1"/>
  <c r="CA45" i="1" l="1"/>
  <c r="CA43" i="1"/>
  <c r="BA4" i="1"/>
  <c r="BA64" i="1"/>
  <c r="BA65" i="1" s="1"/>
  <c r="BB4" i="1"/>
  <c r="BA120" i="1"/>
  <c r="BA116" i="1"/>
  <c r="BQ109" i="1" s="1"/>
  <c r="BQ116" i="1" s="1"/>
  <c r="BQ118" i="1" s="1"/>
  <c r="BA9" i="1"/>
  <c r="BA111" i="1"/>
  <c r="BA127" i="1"/>
  <c r="CA46" i="1" l="1"/>
  <c r="BA96" i="1"/>
  <c r="BA98" i="1"/>
  <c r="BA97" i="1"/>
  <c r="BQ120" i="1"/>
  <c r="BQ102" i="1"/>
  <c r="BB5" i="1"/>
  <c r="BA5" i="1"/>
  <c r="BA123" i="1"/>
  <c r="BA124" i="1" s="1"/>
  <c r="CA22" i="1" l="1"/>
  <c r="CA23" i="1" s="1"/>
  <c r="CA47" i="1"/>
  <c r="CA51" i="1" s="1"/>
  <c r="BQ104" i="1"/>
  <c r="BQ114" i="1"/>
  <c r="BF7" i="1"/>
  <c r="BC22" i="1"/>
  <c r="BC18" i="1"/>
  <c r="BC15" i="1"/>
  <c r="BC13" i="1"/>
  <c r="BB7" i="1"/>
  <c r="BC12" i="1"/>
  <c r="BC14" i="1" s="1"/>
  <c r="BC20" i="1"/>
  <c r="BE7" i="1"/>
  <c r="BB15" i="1"/>
  <c r="BB13" i="1"/>
  <c r="BA7" i="1"/>
  <c r="BB18" i="1"/>
  <c r="BB20" i="1"/>
  <c r="BB12" i="1"/>
  <c r="BB22" i="1"/>
  <c r="CA60" i="1" l="1"/>
  <c r="CA61" i="1" s="1"/>
  <c r="CA52" i="1"/>
  <c r="CA103" i="1"/>
  <c r="BC17" i="1"/>
  <c r="BB14" i="1"/>
  <c r="BB17" i="1" s="1"/>
  <c r="BB19" i="1" s="1"/>
  <c r="BB21" i="1" s="1"/>
  <c r="BB23" i="1" s="1"/>
  <c r="BR4" i="1"/>
  <c r="Z4" i="1" s="1"/>
  <c r="BQ64" i="1"/>
  <c r="BQ65" i="1" s="1"/>
  <c r="BQ4" i="1"/>
  <c r="BU130" i="1"/>
  <c r="BQ75" i="1"/>
  <c r="BQ76" i="1"/>
  <c r="BQ106" i="1"/>
  <c r="BQ108" i="1" s="1"/>
  <c r="CA104" i="1" l="1"/>
  <c r="BC19" i="1"/>
  <c r="BC21" i="1" s="1"/>
  <c r="BC23" i="1" s="1"/>
  <c r="BQ25" i="1"/>
  <c r="BQ97" i="1"/>
  <c r="BQ98" i="1"/>
  <c r="BQ96" i="1"/>
  <c r="BU129" i="1"/>
  <c r="BQ110" i="1"/>
  <c r="BQ113" i="1"/>
  <c r="CA4" i="1" l="1"/>
  <c r="CA9" i="1"/>
  <c r="CA64" i="1"/>
  <c r="CA65" i="1" s="1"/>
  <c r="CA111" i="1"/>
  <c r="CA127" i="1"/>
  <c r="BQ9" i="1"/>
  <c r="BQ127" i="1"/>
  <c r="BQ111" i="1"/>
  <c r="BQ123" i="1"/>
  <c r="BQ131" i="1"/>
  <c r="BQ80" i="1"/>
  <c r="AU109" i="1"/>
  <c r="AU114" i="1" s="1"/>
  <c r="CA96" i="1" l="1"/>
  <c r="CA90" i="1"/>
  <c r="CA89" i="1"/>
  <c r="CA5" i="1"/>
  <c r="CA120" i="1"/>
  <c r="CA123" i="1" s="1"/>
  <c r="CA124" i="1" s="1"/>
  <c r="BR5" i="1"/>
  <c r="BQ5" i="1"/>
  <c r="BQ124" i="1"/>
  <c r="BQ81" i="1"/>
  <c r="BQ79" i="1" s="1"/>
  <c r="BR81" i="1"/>
  <c r="BR79" i="1" s="1"/>
  <c r="AU75" i="1"/>
  <c r="AU130" i="1"/>
  <c r="AU76" i="1"/>
  <c r="AU118" i="1"/>
  <c r="CA93" i="1" l="1"/>
  <c r="CA92" i="1"/>
  <c r="CB44" i="1"/>
  <c r="CB29" i="1"/>
  <c r="CB30" i="1"/>
  <c r="CB35" i="1"/>
  <c r="CB32" i="1"/>
  <c r="CA7" i="1"/>
  <c r="BV7" i="1"/>
  <c r="Z5" i="1"/>
  <c r="BS18" i="1"/>
  <c r="BS20" i="1"/>
  <c r="BS15" i="1"/>
  <c r="BS13" i="1"/>
  <c r="BS22" i="1"/>
  <c r="BS12" i="1"/>
  <c r="BU7" i="1"/>
  <c r="BR13" i="1"/>
  <c r="BR20" i="1"/>
  <c r="BR22" i="1"/>
  <c r="BR12" i="1"/>
  <c r="BR15" i="1"/>
  <c r="BR18" i="1"/>
  <c r="AU120" i="1"/>
  <c r="AU106" i="1"/>
  <c r="AU113" i="1" s="1"/>
  <c r="CB31" i="1" l="1"/>
  <c r="CB41" i="1"/>
  <c r="BS14" i="1"/>
  <c r="BS17" i="1" s="1"/>
  <c r="BS19" i="1" s="1"/>
  <c r="BS21" i="1" s="1"/>
  <c r="BS23" i="1" s="1"/>
  <c r="AA7" i="1"/>
  <c r="AA22" i="1"/>
  <c r="AA12" i="1"/>
  <c r="AA18" i="1"/>
  <c r="AA20" i="1"/>
  <c r="AA13" i="1"/>
  <c r="AA15" i="1"/>
  <c r="AU80" i="1"/>
  <c r="AU102" i="1"/>
  <c r="BR14" i="1"/>
  <c r="BR17" i="1" s="1"/>
  <c r="BR19" i="1" s="1"/>
  <c r="BR21" i="1" s="1"/>
  <c r="BR23" i="1" s="1"/>
  <c r="CB33" i="1" l="1"/>
  <c r="CB79" i="1"/>
  <c r="AA14" i="1"/>
  <c r="AA17" i="1" s="1"/>
  <c r="AA19" i="1" s="1"/>
  <c r="AA21" i="1" s="1"/>
  <c r="AU81" i="1"/>
  <c r="AU79" i="1" s="1"/>
  <c r="AV81" i="1"/>
  <c r="AV79" i="1" s="1"/>
  <c r="AU104" i="1"/>
  <c r="AU116" i="1"/>
  <c r="CB34" i="1" l="1"/>
  <c r="CB42" i="1"/>
  <c r="AA23" i="1"/>
  <c r="AU4" i="1"/>
  <c r="AU64" i="1"/>
  <c r="AU65" i="1" s="1"/>
  <c r="AV4" i="1"/>
  <c r="AU123" i="1"/>
  <c r="AU108" i="1"/>
  <c r="CB43" i="1" l="1"/>
  <c r="CB45" i="1"/>
  <c r="AU96" i="1"/>
  <c r="AU98" i="1"/>
  <c r="AU97" i="1"/>
  <c r="AU25" i="1"/>
  <c r="AU129" i="1"/>
  <c r="AU110" i="1"/>
  <c r="BM113" i="1"/>
  <c r="CB46" i="1" l="1"/>
  <c r="AU131" i="1"/>
  <c r="AU9" i="1"/>
  <c r="AU111" i="1"/>
  <c r="AU127" i="1"/>
  <c r="BM116" i="1"/>
  <c r="BM106" i="1" s="1"/>
  <c r="BM109" i="1" s="1"/>
  <c r="BM102" i="1" s="1"/>
  <c r="CB22" i="1" l="1"/>
  <c r="CB23" i="1" s="1"/>
  <c r="CB47" i="1"/>
  <c r="CB51" i="1" s="1"/>
  <c r="AU124" i="1"/>
  <c r="AU5" i="1"/>
  <c r="AV5" i="1"/>
  <c r="BM104" i="1"/>
  <c r="BM118" i="1"/>
  <c r="CB52" i="1" l="1"/>
  <c r="CB60" i="1"/>
  <c r="CB61" i="1" s="1"/>
  <c r="CB103" i="1"/>
  <c r="AU7" i="1"/>
  <c r="AV13" i="1"/>
  <c r="AV22" i="1"/>
  <c r="AV15" i="1"/>
  <c r="AV18" i="1"/>
  <c r="AV12" i="1"/>
  <c r="AV20" i="1"/>
  <c r="AW20" i="1"/>
  <c r="AW15" i="1"/>
  <c r="AW13" i="1"/>
  <c r="AV7" i="1"/>
  <c r="AW12" i="1"/>
  <c r="AW22" i="1"/>
  <c r="AW18" i="1"/>
  <c r="BM4" i="1"/>
  <c r="BM64" i="1"/>
  <c r="BM65" i="1" s="1"/>
  <c r="BN4" i="1"/>
  <c r="Y4" i="1" s="1"/>
  <c r="BM120" i="1"/>
  <c r="BM114" i="1"/>
  <c r="CB104" i="1" l="1"/>
  <c r="BM123" i="1"/>
  <c r="AV14" i="1"/>
  <c r="AV17" i="1" s="1"/>
  <c r="AV19" i="1" s="1"/>
  <c r="AV21" i="1" s="1"/>
  <c r="AV23" i="1" s="1"/>
  <c r="BM97" i="1"/>
  <c r="BM98" i="1"/>
  <c r="BM96" i="1"/>
  <c r="BM80" i="1"/>
  <c r="BQ130" i="1"/>
  <c r="BM75" i="1"/>
  <c r="BM76" i="1"/>
  <c r="BM130" i="1"/>
  <c r="BM108" i="1"/>
  <c r="AW14" i="1"/>
  <c r="AW17" i="1" s="1"/>
  <c r="AW19" i="1" s="1"/>
  <c r="AW21" i="1" s="1"/>
  <c r="AW23" i="1" s="1"/>
  <c r="CB4" i="1" l="1"/>
  <c r="CB9" i="1"/>
  <c r="CB64" i="1"/>
  <c r="CB65" i="1" s="1"/>
  <c r="CB111" i="1"/>
  <c r="CB127" i="1"/>
  <c r="BN81" i="1"/>
  <c r="BN79" i="1" s="1"/>
  <c r="BM81" i="1"/>
  <c r="BM79" i="1" s="1"/>
  <c r="BQ129" i="1"/>
  <c r="BM129" i="1"/>
  <c r="BM110" i="1"/>
  <c r="AY106" i="1"/>
  <c r="AY116" i="1" s="1"/>
  <c r="AY108" i="1" s="1"/>
  <c r="BM25" i="1"/>
  <c r="CB96" i="1" l="1"/>
  <c r="CB90" i="1"/>
  <c r="CB89" i="1"/>
  <c r="CB5" i="1"/>
  <c r="CB120" i="1"/>
  <c r="CB123" i="1" s="1"/>
  <c r="CB124" i="1" s="1"/>
  <c r="BM127" i="1"/>
  <c r="BM9" i="1"/>
  <c r="BM111" i="1"/>
  <c r="BM131" i="1"/>
  <c r="BC129" i="1"/>
  <c r="AY129" i="1"/>
  <c r="AY118" i="1"/>
  <c r="CB93" i="1" l="1"/>
  <c r="CB92" i="1"/>
  <c r="CC32" i="1"/>
  <c r="AB32" i="1" s="1"/>
  <c r="AB15" i="1" s="1"/>
  <c r="CC29" i="1"/>
  <c r="CC30" i="1"/>
  <c r="AB30" i="1" s="1"/>
  <c r="AB13" i="1" s="1"/>
  <c r="CC35" i="1"/>
  <c r="CC44" i="1"/>
  <c r="AB44" i="1" s="1"/>
  <c r="AB20" i="1" s="1"/>
  <c r="CB7" i="1"/>
  <c r="BN5" i="1"/>
  <c r="BM5" i="1"/>
  <c r="BM124" i="1"/>
  <c r="AY120" i="1"/>
  <c r="AY109" i="1"/>
  <c r="AB29" i="1" l="1"/>
  <c r="CC31" i="1"/>
  <c r="AB35" i="1"/>
  <c r="AB41" i="1" s="1"/>
  <c r="AB18" i="1" s="1"/>
  <c r="CC41" i="1"/>
  <c r="BR7" i="1"/>
  <c r="Y5" i="1"/>
  <c r="BO22" i="1"/>
  <c r="BO18" i="1"/>
  <c r="BO15" i="1"/>
  <c r="BO12" i="1"/>
  <c r="BO20" i="1"/>
  <c r="BO13" i="1"/>
  <c r="BN7" i="1"/>
  <c r="BQ7" i="1"/>
  <c r="BN20" i="1"/>
  <c r="BN18" i="1"/>
  <c r="BN15" i="1"/>
  <c r="BN12" i="1"/>
  <c r="BM7" i="1"/>
  <c r="BN22" i="1"/>
  <c r="BN13" i="1"/>
  <c r="AY110" i="1"/>
  <c r="AY102" i="1"/>
  <c r="AE36" i="1"/>
  <c r="AB31" i="1" l="1"/>
  <c r="AB33" i="1" s="1"/>
  <c r="AB12" i="1"/>
  <c r="AB14" i="1" s="1"/>
  <c r="AB17" i="1" s="1"/>
  <c r="AB19" i="1" s="1"/>
  <c r="AB21" i="1" s="1"/>
  <c r="CC33" i="1"/>
  <c r="CC79" i="1"/>
  <c r="BO14" i="1"/>
  <c r="BO17" i="1" s="1"/>
  <c r="BO19" i="1" s="1"/>
  <c r="BO21" i="1" s="1"/>
  <c r="BO23" i="1" s="1"/>
  <c r="Z7" i="1"/>
  <c r="Z22" i="1"/>
  <c r="Z18" i="1"/>
  <c r="Z13" i="1"/>
  <c r="Z12" i="1"/>
  <c r="Z15" i="1"/>
  <c r="Z20" i="1"/>
  <c r="Y7" i="1"/>
  <c r="AY104" i="1"/>
  <c r="AY113" i="1"/>
  <c r="BN14" i="1"/>
  <c r="BN17" i="1" s="1"/>
  <c r="BN19" i="1" s="1"/>
  <c r="BN21" i="1" s="1"/>
  <c r="BN23" i="1" s="1"/>
  <c r="AB42" i="1" l="1"/>
  <c r="AB34" i="1"/>
  <c r="CC34" i="1"/>
  <c r="CC42" i="1"/>
  <c r="Z14" i="1"/>
  <c r="AY4" i="1"/>
  <c r="AZ4" i="1"/>
  <c r="AY64" i="1"/>
  <c r="AY65" i="1" s="1"/>
  <c r="AY131" i="1"/>
  <c r="AY114" i="1"/>
  <c r="Z17" i="1"/>
  <c r="Z19" i="1" s="1"/>
  <c r="Z21" i="1" s="1"/>
  <c r="Z23" i="1" s="1"/>
  <c r="AY9" i="1"/>
  <c r="AY127" i="1"/>
  <c r="AY111" i="1"/>
  <c r="AB45" i="1" l="1"/>
  <c r="AB43" i="1"/>
  <c r="CC43" i="1"/>
  <c r="CC45" i="1"/>
  <c r="AY98" i="1"/>
  <c r="AY96" i="1"/>
  <c r="AY97" i="1"/>
  <c r="BC130" i="1"/>
  <c r="AY76" i="1"/>
  <c r="AY130" i="1"/>
  <c r="AY25" i="1"/>
  <c r="AY75" i="1"/>
  <c r="AZ5" i="1"/>
  <c r="AY5" i="1"/>
  <c r="AY123" i="1"/>
  <c r="AY80" i="1"/>
  <c r="CC46" i="1" l="1"/>
  <c r="BD7" i="1"/>
  <c r="BA13" i="1"/>
  <c r="BA22" i="1"/>
  <c r="BA12" i="1"/>
  <c r="BA15" i="1"/>
  <c r="BA20" i="1"/>
  <c r="AZ7" i="1"/>
  <c r="BA18" i="1"/>
  <c r="AZ22" i="1"/>
  <c r="AZ12" i="1"/>
  <c r="AZ14" i="1" s="1"/>
  <c r="AZ17" i="1" s="1"/>
  <c r="AZ19" i="1" s="1"/>
  <c r="AZ21" i="1" s="1"/>
  <c r="AZ13" i="1"/>
  <c r="AZ20" i="1"/>
  <c r="AY7" i="1"/>
  <c r="AZ18" i="1"/>
  <c r="AZ15" i="1"/>
  <c r="BC7" i="1"/>
  <c r="AZ81" i="1"/>
  <c r="AZ79" i="1" s="1"/>
  <c r="AY81" i="1"/>
  <c r="AY79" i="1" s="1"/>
  <c r="AY124" i="1"/>
  <c r="AB46" i="1" l="1"/>
  <c r="CC22" i="1"/>
  <c r="CC23" i="1" s="1"/>
  <c r="CC47" i="1"/>
  <c r="CC51" i="1" s="1"/>
  <c r="AZ23" i="1"/>
  <c r="BA14" i="1"/>
  <c r="BA17" i="1" s="1"/>
  <c r="BA19" i="1" s="1"/>
  <c r="BA21" i="1" s="1"/>
  <c r="BA23" i="1" s="1"/>
  <c r="AB47" i="1" l="1"/>
  <c r="AB51" i="1" s="1"/>
  <c r="AB22" i="1"/>
  <c r="AB23" i="1" s="1"/>
  <c r="CC52" i="1"/>
  <c r="CC60" i="1"/>
  <c r="CC61" i="1" s="1"/>
  <c r="CC63" i="1" s="1"/>
  <c r="CC103" i="1"/>
  <c r="AB52" i="1" l="1"/>
  <c r="AB60" i="1"/>
  <c r="AB61" i="1" s="1"/>
  <c r="AB82" i="1"/>
  <c r="AB103" i="1"/>
  <c r="AB104" i="1" s="1"/>
  <c r="CC104" i="1"/>
  <c r="AB9" i="1" l="1"/>
  <c r="AB111" i="1"/>
  <c r="AB64" i="1"/>
  <c r="AB65" i="1" s="1"/>
  <c r="AB96" i="1" s="1"/>
  <c r="CC4" i="1"/>
  <c r="AB4" i="1" s="1"/>
  <c r="CC9" i="1"/>
  <c r="CC64" i="1"/>
  <c r="CC65" i="1" s="1"/>
  <c r="CC111" i="1"/>
  <c r="CC127" i="1"/>
  <c r="CC96" i="1" l="1"/>
  <c r="CC89" i="1"/>
  <c r="CC90" i="1"/>
  <c r="CC5" i="1"/>
  <c r="CC120" i="1"/>
  <c r="AB89" i="1" l="1"/>
  <c r="AB97" i="1" s="1"/>
  <c r="CC92" i="1"/>
  <c r="AB90" i="1"/>
  <c r="AB98" i="1" s="1"/>
  <c r="CC93" i="1"/>
  <c r="AB5" i="1"/>
  <c r="AB7" i="1" s="1"/>
  <c r="CD29" i="1"/>
  <c r="CD44" i="1"/>
  <c r="CD32" i="1"/>
  <c r="CD30" i="1"/>
  <c r="CD35" i="1"/>
  <c r="CC7" i="1"/>
  <c r="AB120" i="1"/>
  <c r="AB123" i="1" s="1"/>
  <c r="AB124" i="1" s="1"/>
  <c r="CC123" i="1"/>
  <c r="CC124" i="1" s="1"/>
  <c r="CD31" i="1" l="1"/>
  <c r="CD41" i="1"/>
  <c r="CD33" i="1" l="1"/>
  <c r="CD79" i="1"/>
  <c r="CD34" i="1" l="1"/>
  <c r="CD42" i="1"/>
  <c r="CD43" i="1" l="1"/>
  <c r="CD45" i="1"/>
  <c r="CD46" i="1" l="1"/>
  <c r="CD22" i="1" l="1"/>
  <c r="CD23" i="1" s="1"/>
  <c r="CD47" i="1"/>
  <c r="CD51" i="1" s="1"/>
  <c r="CD52" i="1" l="1"/>
  <c r="CD60" i="1"/>
  <c r="CD61" i="1" s="1"/>
  <c r="CD103" i="1"/>
  <c r="CD104" i="1" l="1"/>
  <c r="CD4" i="1" l="1"/>
  <c r="CD9" i="1"/>
  <c r="CD64" i="1"/>
  <c r="CD65" i="1" s="1"/>
  <c r="CD111" i="1"/>
  <c r="CD127" i="1"/>
  <c r="CD96" i="1" l="1"/>
  <c r="CD90" i="1"/>
  <c r="CD89" i="1"/>
  <c r="CD5" i="1"/>
  <c r="CD120" i="1"/>
  <c r="CD123" i="1" s="1"/>
  <c r="CD124" i="1" s="1"/>
  <c r="CD93" i="1" l="1"/>
  <c r="CD92" i="1"/>
  <c r="CE44" i="1"/>
  <c r="CE35" i="1"/>
  <c r="CE30" i="1"/>
  <c r="CE29" i="1"/>
  <c r="CE32" i="1"/>
  <c r="CD7" i="1"/>
  <c r="CE41" i="1" l="1"/>
  <c r="CE31" i="1"/>
  <c r="CE79" i="1" l="1"/>
  <c r="CE33" i="1"/>
  <c r="CE34" i="1" l="1"/>
  <c r="CE42" i="1"/>
  <c r="CE45" i="1" l="1"/>
  <c r="CE43" i="1"/>
  <c r="CE46" i="1" l="1"/>
  <c r="CE22" i="1" l="1"/>
  <c r="CE23" i="1" s="1"/>
  <c r="CE47" i="1"/>
  <c r="CE51" i="1" s="1"/>
  <c r="CE60" i="1" l="1"/>
  <c r="CE61" i="1" s="1"/>
  <c r="CE52" i="1"/>
  <c r="CE103" i="1"/>
  <c r="CE104" i="1" l="1"/>
  <c r="CE4" i="1" l="1"/>
  <c r="CE9" i="1"/>
  <c r="CE64" i="1"/>
  <c r="CE65" i="1" s="1"/>
  <c r="CE127" i="1"/>
  <c r="CE111" i="1"/>
  <c r="CE96" i="1" l="1"/>
  <c r="CE89" i="1"/>
  <c r="CE90" i="1"/>
  <c r="CE5" i="1"/>
  <c r="CE120" i="1"/>
  <c r="CE123" i="1" s="1"/>
  <c r="CE124" i="1" s="1"/>
  <c r="CE92" i="1" l="1"/>
  <c r="CE93" i="1"/>
  <c r="CF29" i="1"/>
  <c r="CF30" i="1"/>
  <c r="CF32" i="1"/>
  <c r="CF44" i="1"/>
  <c r="CE7" i="1"/>
  <c r="CF35" i="1"/>
  <c r="CF31" i="1" l="1"/>
  <c r="CF41" i="1"/>
  <c r="CF79" i="1" l="1"/>
  <c r="CF33" i="1"/>
  <c r="CF34" i="1" l="1"/>
  <c r="CF42" i="1"/>
  <c r="CF43" i="1" l="1"/>
  <c r="CF45" i="1"/>
  <c r="CF46" i="1" l="1"/>
  <c r="CF47" i="1"/>
  <c r="CF51" i="1" s="1"/>
  <c r="CF22" i="1" l="1"/>
  <c r="CF23" i="1" s="1"/>
  <c r="CF103" i="1"/>
  <c r="CF52" i="1"/>
  <c r="CF60" i="1"/>
  <c r="CF61" i="1" s="1"/>
  <c r="CF104" i="1" l="1"/>
  <c r="CF4" i="1" l="1"/>
  <c r="CF9" i="1"/>
  <c r="CF127" i="1"/>
  <c r="CF64" i="1"/>
  <c r="CF65" i="1" s="1"/>
  <c r="CF111" i="1"/>
  <c r="CF96" i="1" l="1"/>
  <c r="CF90" i="1"/>
  <c r="CF89" i="1"/>
  <c r="CF5" i="1"/>
  <c r="CF120" i="1"/>
  <c r="CF123" i="1" s="1"/>
  <c r="CF124" i="1" s="1"/>
  <c r="CF93" i="1" l="1"/>
  <c r="CF92" i="1"/>
  <c r="CG29" i="1"/>
  <c r="CG44" i="1"/>
  <c r="AC44" i="1" s="1"/>
  <c r="AC20" i="1" s="1"/>
  <c r="CG35" i="1"/>
  <c r="CG30" i="1"/>
  <c r="AC30" i="1" s="1"/>
  <c r="AC13" i="1" s="1"/>
  <c r="CG32" i="1"/>
  <c r="AC32" i="1" s="1"/>
  <c r="AC15" i="1" s="1"/>
  <c r="CF7" i="1"/>
  <c r="AC29" i="1" l="1"/>
  <c r="CG31" i="1"/>
  <c r="AC35" i="1"/>
  <c r="AC41" i="1" s="1"/>
  <c r="AC18" i="1" s="1"/>
  <c r="CG41" i="1"/>
  <c r="AC12" i="1" l="1"/>
  <c r="AC14" i="1" s="1"/>
  <c r="AC17" i="1" s="1"/>
  <c r="AC19" i="1" s="1"/>
  <c r="AC21" i="1" s="1"/>
  <c r="AC31" i="1"/>
  <c r="AC33" i="1" s="1"/>
  <c r="CG79" i="1"/>
  <c r="CG33" i="1"/>
  <c r="AC34" i="1" l="1"/>
  <c r="AC42" i="1"/>
  <c r="CG34" i="1"/>
  <c r="CG42" i="1"/>
  <c r="AC43" i="1" l="1"/>
  <c r="AC45" i="1"/>
  <c r="CG43" i="1"/>
  <c r="CG45" i="1"/>
  <c r="CG47" i="1" l="1"/>
  <c r="CG51" i="1" s="1"/>
  <c r="CG46" i="1"/>
  <c r="CG103" i="1" l="1"/>
  <c r="CG52" i="1"/>
  <c r="CG60" i="1"/>
  <c r="CG61" i="1" s="1"/>
  <c r="CG63" i="1" s="1"/>
  <c r="AC46" i="1"/>
  <c r="CG22" i="1"/>
  <c r="CG23" i="1" s="1"/>
  <c r="CG104" i="1" l="1"/>
  <c r="AC103" i="1"/>
  <c r="AC104" i="1" s="1"/>
  <c r="AC47" i="1"/>
  <c r="AC51" i="1" s="1"/>
  <c r="AC22" i="1"/>
  <c r="AC23" i="1" s="1"/>
  <c r="CG4" i="1" l="1"/>
  <c r="AC4" i="1" s="1"/>
  <c r="CG64" i="1"/>
  <c r="CG65" i="1" s="1"/>
  <c r="CG111" i="1"/>
  <c r="CG9" i="1"/>
  <c r="CG127" i="1"/>
  <c r="AC9" i="1"/>
  <c r="AC64" i="1"/>
  <c r="AC65" i="1" s="1"/>
  <c r="AC96" i="1" s="1"/>
  <c r="AC111" i="1"/>
  <c r="AC52" i="1"/>
  <c r="AC60" i="1"/>
  <c r="AC61" i="1" s="1"/>
  <c r="AC82" i="1"/>
  <c r="CG89" i="1" l="1"/>
  <c r="CG96" i="1"/>
  <c r="CG90" i="1"/>
  <c r="CG5" i="1"/>
  <c r="CG120" i="1"/>
  <c r="AC89" i="1" l="1"/>
  <c r="AC97" i="1" s="1"/>
  <c r="CG92" i="1"/>
  <c r="AC90" i="1"/>
  <c r="AC98" i="1" s="1"/>
  <c r="CG93" i="1"/>
  <c r="AC5" i="1"/>
  <c r="AC7" i="1" s="1"/>
  <c r="CG7" i="1"/>
  <c r="CH35" i="1"/>
  <c r="CH44" i="1"/>
  <c r="CH29" i="1"/>
  <c r="CH32" i="1"/>
  <c r="CH30" i="1"/>
  <c r="AC120" i="1"/>
  <c r="AC123" i="1" s="1"/>
  <c r="AC124" i="1" s="1"/>
  <c r="CG123" i="1"/>
  <c r="CG124" i="1" s="1"/>
  <c r="CH41" i="1" l="1"/>
  <c r="CH31" i="1"/>
  <c r="CH33" i="1" l="1"/>
  <c r="CH79" i="1"/>
  <c r="CH34" i="1" l="1"/>
  <c r="CH42" i="1"/>
  <c r="CH43" i="1" l="1"/>
  <c r="CH45" i="1"/>
  <c r="CH46" i="1" l="1"/>
  <c r="CH22" i="1" l="1"/>
  <c r="CH23" i="1" s="1"/>
  <c r="CH47" i="1"/>
  <c r="CH51" i="1" s="1"/>
  <c r="CH60" i="1" l="1"/>
  <c r="CH61" i="1" s="1"/>
  <c r="CH52" i="1"/>
  <c r="CH103" i="1"/>
  <c r="CH104" i="1" l="1"/>
  <c r="CH4" i="1" l="1"/>
  <c r="CH9" i="1"/>
  <c r="CH64" i="1"/>
  <c r="CH65" i="1" s="1"/>
  <c r="CH111" i="1"/>
  <c r="CH127" i="1"/>
  <c r="CH96" i="1" l="1"/>
  <c r="CH90" i="1"/>
  <c r="CH89" i="1"/>
  <c r="CH5" i="1"/>
  <c r="CH120" i="1"/>
  <c r="CH123" i="1" s="1"/>
  <c r="CH124" i="1" s="1"/>
  <c r="CH93" i="1" l="1"/>
  <c r="CH92" i="1"/>
  <c r="CI44" i="1"/>
  <c r="CI30" i="1"/>
  <c r="CI32" i="1"/>
  <c r="CH7" i="1"/>
  <c r="CI35" i="1"/>
  <c r="CI29" i="1"/>
  <c r="CI41" i="1" l="1"/>
  <c r="CI31" i="1"/>
  <c r="CI79" i="1" l="1"/>
  <c r="CI33" i="1"/>
  <c r="CI34" i="1" l="1"/>
  <c r="CI42" i="1"/>
  <c r="CI43" i="1" l="1"/>
  <c r="CI45" i="1"/>
  <c r="CI47" i="1" l="1"/>
  <c r="CI51" i="1" s="1"/>
  <c r="CI46" i="1"/>
  <c r="CI103" i="1" l="1"/>
  <c r="CI52" i="1"/>
  <c r="CI60" i="1"/>
  <c r="CI61" i="1" s="1"/>
  <c r="CI22" i="1"/>
  <c r="CI23" i="1" s="1"/>
  <c r="CI104" i="1" l="1"/>
  <c r="CI4" i="1" l="1"/>
  <c r="CI9" i="1"/>
  <c r="CI111" i="1"/>
  <c r="CI64" i="1"/>
  <c r="CI65" i="1" s="1"/>
  <c r="CI127" i="1"/>
  <c r="CI5" i="1" l="1"/>
  <c r="CI120" i="1"/>
  <c r="CI123" i="1" s="1"/>
  <c r="CI124" i="1" s="1"/>
  <c r="CI96" i="1"/>
  <c r="CI90" i="1"/>
  <c r="CI89" i="1"/>
  <c r="CJ29" i="1" l="1"/>
  <c r="CJ30" i="1"/>
  <c r="CJ35" i="1"/>
  <c r="CJ32" i="1"/>
  <c r="CI7" i="1"/>
  <c r="CJ44" i="1"/>
  <c r="CI93" i="1"/>
  <c r="CI92" i="1"/>
  <c r="CJ31" i="1" l="1"/>
  <c r="CJ41" i="1"/>
  <c r="CJ33" i="1" l="1"/>
  <c r="CJ79" i="1"/>
  <c r="CJ34" i="1" l="1"/>
  <c r="CJ42" i="1"/>
  <c r="CJ43" i="1" l="1"/>
  <c r="CJ45" i="1"/>
  <c r="CJ47" i="1" l="1"/>
  <c r="CJ51" i="1" s="1"/>
  <c r="CJ46" i="1"/>
  <c r="CJ103" i="1" l="1"/>
  <c r="CJ52" i="1"/>
  <c r="CJ60" i="1"/>
  <c r="CJ61" i="1" s="1"/>
  <c r="CJ22" i="1"/>
  <c r="CJ23" i="1" s="1"/>
  <c r="CJ104" i="1" l="1"/>
  <c r="CJ4" i="1" l="1"/>
  <c r="CJ64" i="1"/>
  <c r="CJ65" i="1" s="1"/>
  <c r="CJ9" i="1"/>
  <c r="CJ111" i="1"/>
  <c r="CJ127" i="1"/>
  <c r="CJ90" i="1" l="1"/>
  <c r="CJ96" i="1"/>
  <c r="CJ89" i="1"/>
  <c r="CJ5" i="1"/>
  <c r="CJ120" i="1"/>
  <c r="CJ123" i="1" s="1"/>
  <c r="CJ124" i="1" s="1"/>
  <c r="CJ93" i="1" l="1"/>
  <c r="CJ92" i="1"/>
  <c r="CK32" i="1"/>
  <c r="AD32" i="1" s="1"/>
  <c r="AD15" i="1" s="1"/>
  <c r="CJ7" i="1"/>
  <c r="CK29" i="1"/>
  <c r="CK44" i="1"/>
  <c r="AD44" i="1" s="1"/>
  <c r="AD20" i="1" s="1"/>
  <c r="CK35" i="1"/>
  <c r="CK30" i="1"/>
  <c r="AD30" i="1" s="1"/>
  <c r="AD13" i="1" s="1"/>
  <c r="AD29" i="1" l="1"/>
  <c r="CK31" i="1"/>
  <c r="AD35" i="1"/>
  <c r="AD41" i="1" s="1"/>
  <c r="AD18" i="1" s="1"/>
  <c r="CK41" i="1"/>
  <c r="AD12" i="1" l="1"/>
  <c r="AD14" i="1" s="1"/>
  <c r="AD17" i="1" s="1"/>
  <c r="AD19" i="1" s="1"/>
  <c r="AD21" i="1" s="1"/>
  <c r="AD31" i="1"/>
  <c r="AD33" i="1" s="1"/>
  <c r="CK33" i="1"/>
  <c r="CK79" i="1"/>
  <c r="AD34" i="1" l="1"/>
  <c r="AD42" i="1"/>
  <c r="CK34" i="1"/>
  <c r="CK42" i="1"/>
  <c r="AD45" i="1" l="1"/>
  <c r="AD43" i="1"/>
  <c r="CK43" i="1"/>
  <c r="CK45" i="1"/>
  <c r="CK47" i="1" l="1"/>
  <c r="CK51" i="1" s="1"/>
  <c r="CK46" i="1"/>
  <c r="CK103" i="1" l="1"/>
  <c r="CK52" i="1"/>
  <c r="CK60" i="1"/>
  <c r="CK61" i="1" s="1"/>
  <c r="CK63" i="1" s="1"/>
  <c r="AD46" i="1"/>
  <c r="CK22" i="1"/>
  <c r="CK23" i="1" s="1"/>
  <c r="CK104" i="1" l="1"/>
  <c r="AD103" i="1"/>
  <c r="AD104" i="1" s="1"/>
  <c r="AD47" i="1"/>
  <c r="AD51" i="1" s="1"/>
  <c r="AD22" i="1"/>
  <c r="AD23" i="1" s="1"/>
  <c r="CK4" i="1" l="1"/>
  <c r="AD4" i="1" s="1"/>
  <c r="CK111" i="1"/>
  <c r="CK127" i="1"/>
  <c r="CK64" i="1"/>
  <c r="CK65" i="1" s="1"/>
  <c r="CK9" i="1"/>
  <c r="AD111" i="1"/>
  <c r="AD9" i="1"/>
  <c r="AD64" i="1"/>
  <c r="AD65" i="1" s="1"/>
  <c r="AD96" i="1" s="1"/>
  <c r="AD52" i="1"/>
  <c r="AD60" i="1"/>
  <c r="AD61" i="1" s="1"/>
  <c r="AD82" i="1"/>
  <c r="CK5" i="1" l="1"/>
  <c r="CK120" i="1"/>
  <c r="CK90" i="1"/>
  <c r="CK89" i="1"/>
  <c r="CK96" i="1"/>
  <c r="AD5" i="1" l="1"/>
  <c r="AD7" i="1" s="1"/>
  <c r="CL29" i="1"/>
  <c r="CL35" i="1"/>
  <c r="CL32" i="1"/>
  <c r="CL44" i="1"/>
  <c r="CL30" i="1"/>
  <c r="CK7" i="1"/>
  <c r="AD120" i="1"/>
  <c r="AD123" i="1" s="1"/>
  <c r="AD124" i="1" s="1"/>
  <c r="CK123" i="1"/>
  <c r="CK124" i="1" s="1"/>
  <c r="AD90" i="1"/>
  <c r="AD98" i="1" s="1"/>
  <c r="CK93" i="1"/>
  <c r="AD89" i="1"/>
  <c r="AD97" i="1" s="1"/>
  <c r="CK92" i="1"/>
  <c r="CL31" i="1" l="1"/>
  <c r="CL41" i="1"/>
  <c r="CL79" i="1" l="1"/>
  <c r="CL33" i="1"/>
  <c r="CL34" i="1" l="1"/>
  <c r="CL42" i="1"/>
  <c r="CL43" i="1" l="1"/>
  <c r="CL45" i="1"/>
  <c r="CL46" i="1" l="1"/>
  <c r="CL22" i="1" l="1"/>
  <c r="CL23" i="1" s="1"/>
  <c r="CL47" i="1"/>
  <c r="CL51" i="1" s="1"/>
  <c r="CL60" i="1" l="1"/>
  <c r="CL61" i="1" s="1"/>
  <c r="CL52" i="1"/>
  <c r="CL103" i="1"/>
  <c r="CL104" i="1" l="1"/>
  <c r="CL4" i="1" l="1"/>
  <c r="CL111" i="1"/>
  <c r="CL9" i="1"/>
  <c r="CL127" i="1"/>
  <c r="CL64" i="1"/>
  <c r="CL65" i="1" s="1"/>
  <c r="CL5" i="1" l="1"/>
  <c r="CL120" i="1"/>
  <c r="CL123" i="1" s="1"/>
  <c r="CL124" i="1" s="1"/>
  <c r="CL89" i="1"/>
  <c r="CL90" i="1"/>
  <c r="CL96" i="1"/>
  <c r="CM35" i="1" l="1"/>
  <c r="CM30" i="1"/>
  <c r="CM32" i="1"/>
  <c r="CM44" i="1"/>
  <c r="CL7" i="1"/>
  <c r="CM29" i="1"/>
  <c r="CL92" i="1"/>
  <c r="CL93" i="1"/>
  <c r="CM41" i="1" l="1"/>
  <c r="CM31" i="1"/>
  <c r="CM79" i="1" l="1"/>
  <c r="CM33" i="1"/>
  <c r="CM34" i="1" l="1"/>
  <c r="CM42" i="1"/>
  <c r="CM43" i="1" l="1"/>
  <c r="CM45" i="1"/>
  <c r="CM46" i="1" l="1"/>
  <c r="CM47" i="1"/>
  <c r="CM51" i="1" s="1"/>
  <c r="CM22" i="1" l="1"/>
  <c r="CM23" i="1" s="1"/>
  <c r="CM103" i="1"/>
  <c r="CM52" i="1"/>
  <c r="CM60" i="1"/>
  <c r="CM61" i="1" s="1"/>
  <c r="CM104" i="1" l="1"/>
  <c r="CM4" i="1" l="1"/>
  <c r="CM64" i="1"/>
  <c r="CM65" i="1" s="1"/>
  <c r="CM127" i="1"/>
  <c r="CM111" i="1"/>
  <c r="CM9" i="1"/>
  <c r="CM89" i="1" l="1"/>
  <c r="CM96" i="1"/>
  <c r="CM90" i="1"/>
  <c r="CM5" i="1"/>
  <c r="CM120" i="1"/>
  <c r="CM123" i="1" s="1"/>
  <c r="CM124" i="1" s="1"/>
  <c r="CM92" i="1" l="1"/>
  <c r="CM93" i="1"/>
  <c r="CN35" i="1"/>
  <c r="CN30" i="1"/>
  <c r="CM7" i="1"/>
  <c r="CN32" i="1"/>
  <c r="CN44" i="1"/>
  <c r="CN29" i="1"/>
  <c r="CN41" i="1" l="1"/>
  <c r="CN31" i="1"/>
  <c r="CN33" i="1" l="1"/>
  <c r="CN79" i="1"/>
  <c r="CN34" i="1" l="1"/>
  <c r="CN42" i="1"/>
  <c r="CN43" i="1" l="1"/>
  <c r="CN45" i="1"/>
  <c r="CN47" i="1" l="1"/>
  <c r="CN51" i="1" s="1"/>
  <c r="CN46" i="1"/>
  <c r="CN103" i="1" l="1"/>
  <c r="CN52" i="1"/>
  <c r="CN60" i="1"/>
  <c r="CN61" i="1" s="1"/>
  <c r="CN22" i="1"/>
  <c r="CN23" i="1" s="1"/>
  <c r="CN104" i="1" l="1"/>
  <c r="CN4" i="1" l="1"/>
  <c r="CN9" i="1"/>
  <c r="CN111" i="1"/>
  <c r="CN127" i="1"/>
  <c r="CN64" i="1"/>
  <c r="CN65" i="1" s="1"/>
  <c r="CN5" i="1" l="1"/>
  <c r="CN120" i="1"/>
  <c r="CN123" i="1" s="1"/>
  <c r="CN124" i="1" s="1"/>
  <c r="CN96" i="1"/>
  <c r="CN90" i="1"/>
  <c r="CN89" i="1"/>
  <c r="CO32" i="1" l="1"/>
  <c r="AE32" i="1" s="1"/>
  <c r="AE15" i="1" s="1"/>
  <c r="CO29" i="1"/>
  <c r="CO30" i="1"/>
  <c r="AE30" i="1" s="1"/>
  <c r="AE13" i="1" s="1"/>
  <c r="CO35" i="1"/>
  <c r="CN7" i="1"/>
  <c r="CO44" i="1"/>
  <c r="AE44" i="1" s="1"/>
  <c r="AE20" i="1" s="1"/>
  <c r="CN93" i="1"/>
  <c r="CN92" i="1"/>
  <c r="AE29" i="1" l="1"/>
  <c r="CO31" i="1"/>
  <c r="AE35" i="1"/>
  <c r="AE41" i="1" s="1"/>
  <c r="AE18" i="1" s="1"/>
  <c r="CO41" i="1"/>
  <c r="AE12" i="1" l="1"/>
  <c r="AE14" i="1" s="1"/>
  <c r="AE17" i="1" s="1"/>
  <c r="AE19" i="1" s="1"/>
  <c r="AE21" i="1" s="1"/>
  <c r="AE31" i="1"/>
  <c r="AE33" i="1" s="1"/>
  <c r="CO79" i="1"/>
  <c r="CO33" i="1"/>
  <c r="AE34" i="1" l="1"/>
  <c r="AE42" i="1"/>
  <c r="CO34" i="1"/>
  <c r="CO42" i="1"/>
  <c r="AE43" i="1" l="1"/>
  <c r="AE45" i="1"/>
  <c r="CO43" i="1"/>
  <c r="CO45" i="1"/>
  <c r="CO46" i="1" l="1"/>
  <c r="AE46" i="1" l="1"/>
  <c r="CO22" i="1"/>
  <c r="CO23" i="1" s="1"/>
  <c r="CO47" i="1"/>
  <c r="CO51" i="1" s="1"/>
  <c r="AE47" i="1" l="1"/>
  <c r="AE51" i="1" s="1"/>
  <c r="AE22" i="1"/>
  <c r="AE23" i="1" s="1"/>
  <c r="CO60" i="1"/>
  <c r="CO61" i="1" s="1"/>
  <c r="CO52" i="1"/>
  <c r="CO103" i="1"/>
  <c r="AE60" i="1" l="1"/>
  <c r="AE61" i="1" s="1"/>
  <c r="AE52" i="1"/>
  <c r="AE103" i="1"/>
  <c r="AE104" i="1" s="1"/>
  <c r="CO104" i="1"/>
  <c r="AE9" i="1" l="1"/>
  <c r="AE64" i="1"/>
  <c r="AE65" i="1" s="1"/>
  <c r="AE96" i="1" s="1"/>
  <c r="AE111" i="1"/>
  <c r="CO4" i="1"/>
  <c r="AE4" i="1" s="1"/>
  <c r="CO9" i="1"/>
  <c r="CO64" i="1"/>
  <c r="CO65" i="1" s="1"/>
  <c r="CO127" i="1"/>
  <c r="CO111" i="1"/>
  <c r="AE82" i="1"/>
  <c r="CO90" i="1" l="1"/>
  <c r="CO96" i="1"/>
  <c r="CO89" i="1"/>
  <c r="CO5" i="1"/>
  <c r="CO120" i="1"/>
  <c r="AE90" i="1" l="1"/>
  <c r="AE98" i="1" s="1"/>
  <c r="CO93" i="1"/>
  <c r="AE89" i="1"/>
  <c r="AE97" i="1" s="1"/>
  <c r="CO92" i="1"/>
  <c r="AE5" i="1"/>
  <c r="AE7" i="1" s="1"/>
  <c r="CO7" i="1"/>
  <c r="AE120" i="1"/>
  <c r="AE123" i="1" s="1"/>
  <c r="AE124" i="1" s="1"/>
  <c r="CO123" i="1"/>
  <c r="CO12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<sst xmlns="http://schemas.openxmlformats.org/spreadsheetml/2006/main" count="509" uniqueCount="399">
  <si>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</si>
  <si>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</si>
  <si>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</si>
  <si>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</si>
  <si>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</si>
  <si>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</si>
  <si>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</si>
  <si>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</si>
  <si>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</si>
  <si>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</si>
  <si>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</si>
  <si>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</si>
  <si>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</si>
  <si>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</si>
  <si>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</si>
  <si>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</si>
  <si>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</si>
  <si>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</si>
  <si>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</si>
  <si>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</si>
  <si>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</si>
  <si>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</si>
  <si>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</si>
  <si>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</si>
  <si>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</si>
  <si>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</si>
  <si>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</si>
  <si>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</si>
  <si>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</si>
  <si>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</si>
  <si>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</si>
  <si>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</si>
  <si>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</si>
  <si>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</si>
  <si>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</si>
  <si>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</si>
  <si>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</si>
  <si>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</si>
  <si>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</si>
  <si>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</si>
  <si>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</si>
  <si>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</si>
  <si>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</si>
  <si>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</si>
  <si>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</si>
  <si>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</si>
  <si>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</si>
  <si>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</si>
  <si>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</si>
  <si>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</si>
  <si>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</si>
  <si>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</si>
  <si>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</si>
  <si>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</si>
  <si>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</si>
  <si>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</si>
  <si>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</si>
  <si>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</si>
  <si>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</si>
  <si>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</si>
  <si>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</si>
  <si>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</si>
  <si>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</si>
  <si>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</si>
  <si>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</si>
  <si>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</si>
  <si>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</si>
  <si>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</si>
  <si>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</si>
  <si>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</si>
  <si>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</si>
  <si>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</si>
  <si>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</si>
  <si>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</si>
  <si>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</si>
  <si>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</si>
  <si>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</si>
  <si>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</si>
  <si>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</si>
  <si>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</si>
  <si>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</si>
  <si>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</si>
  <si>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</si>
  <si>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</si>
  <si>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</si>
  <si>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</si>
  <si>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</si>
  <si>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</si>
  <si>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</si>
  <si>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</si>
  <si>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</si>
  <si>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</si>
  <si>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</si>
  <si>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</si>
  <si>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</si>
  <si>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</si>
  <si>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</si>
  <si>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</si>
  <si>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</si>
  <si>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</si>
  <si>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</si>
  <si>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</si>
  <si>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</si>
  <si>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</si>
  <si>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</si>
  <si>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</si>
  <si>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</si>
  <si>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</si>
  <si>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</si>
  <si>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</si>
  <si>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</si>
  <si>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</si>
  <si>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</si>
  <si>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</si>
  <si>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</si>
  <si>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</si>
  <si>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</si>
  <si>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</si>
  <si>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</si>
  <si>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</si>
  <si>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</si>
  <si>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</si>
  <si>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</si>
  <si>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</si>
  <si>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</si>
  <si>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</si>
  <si>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</si>
  <si>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</si>
  <si>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</si>
  <si>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</si>
  <si>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</si>
  <si>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</si>
  <si>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</si>
  <si>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</si>
  <si>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</si>
  <si>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</si>
  <si>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</si>
  <si>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</si>
  <si>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</si>
  <si>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</si>
  <si>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</si>
  <si>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</si>
  <si>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</si>
  <si>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</si>
  <si>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</si>
  <si>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</si>
  <si>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</si>
  <si>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</si>
  <si>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</si>
  <si>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</si>
  <si>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</si>
  <si>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</si>
  <si>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</si>
  <si>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</si>
  <si>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</si>
  <si>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</si>
  <si>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</si>
  <si>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</si>
  <si>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</si>
  <si>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</si>
  <si>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</si>
  <si>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</si>
  <si>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</si>
  <si>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</si>
  <si>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</si>
  <si>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</si>
  <si>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</si>
  <si>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</si>
  <si>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</si>
  <si>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</si>
  <si>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</si>
  <si>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</si>
  <si>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</si>
  <si>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</si>
  <si>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</si>
  <si>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</si>
  <si>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</si>
  <si>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</si>
  <si>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</si>
  <si>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</si>
  <si>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</si>
  <si>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</si>
  <si>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</si>
  <si>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</si>
  <si>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</si>
  <si>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</si>
  <si>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</si>
  <si>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</si>
  <si>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</si>
  <si>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</si>
  <si>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</si>
  <si>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</si>
  <si>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</si>
  <si>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</si>
  <si>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</si>
  <si>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</si>
  <si>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</si>
  <si>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</si>
  <si>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</si>
  <si>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</si>
  <si>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</si>
  <si>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</si>
  <si>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</si>
  <si>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</si>
  <si>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</si>
  <si>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</si>
  <si>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</si>
  <si>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</si>
  <si>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</si>
  <si>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</si>
  <si>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</si>
  <si>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</si>
  <si>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</si>
  <si>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</si>
  <si>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</si>
  <si>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</si>
  <si>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</si>
  <si>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</si>
  <si>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</si>
  <si>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</si>
  <si>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</si>
  <si>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</si>
  <si>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</si>
  <si>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</si>
  <si>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</si>
  <si>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</si>
  <si>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</si>
  <si>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</si>
  <si>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</si>
  <si>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</si>
  <si>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</si>
  <si>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</si>
  <si>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</si>
  <si>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</si>
  <si>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</si>
  <si>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</si>
  <si>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</si>
  <si>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</si>
  <si>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</si>
  <si>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</si>
  <si>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</si>
  <si>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</si>
  <si>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</si>
  <si>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</si>
  <si>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</si>
  <si>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</si>
  <si>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</si>
  <si>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</si>
  <si>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</si>
  <si>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</si>
  <si>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</si>
  <si>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</si>
  <si>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</si>
  <si>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</si>
  <si>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</si>
  <si>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</si>
  <si>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</si>
  <si>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</si>
  <si>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</si>
  <si>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</si>
  <si>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</si>
  <si>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</si>
  <si>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</si>
  <si>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</si>
  <si>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</si>
  <si>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</si>
  <si>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</si>
  <si>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</si>
  <si>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</si>
  <si>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</si>
  <si>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</si>
  <si>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</si>
  <si>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</si>
  <si>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</si>
  <si>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</si>
  <si>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</si>
  <si>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</si>
  <si>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</si>
  <si>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</si>
  <si>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</si>
  <si>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</si>
  <si>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</si>
  <si>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</si>
  <si>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</si>
  <si>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</si>
  <si>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</si>
  <si>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</si>
  <si>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</si>
  <si>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</si>
  <si>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</si>
  <si>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</si>
  <si>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</si>
  <si>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</si>
  <si>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</si>
  <si>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</si>
  <si>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</si>
  <si>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</si>
  <si>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</si>
  <si>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</si>
  <si>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</si>
  <si>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</si>
  <si>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</si>
  <si>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</si>
  <si>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</si>
  <si>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</si>
  <si>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</si>
  <si>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</si>
  <si>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</si>
  <si>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</si>
  <si>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</si>
  <si>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</si>
  <si>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</si>
  <si>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</si>
  <si>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</si>
  <si>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</si>
  <si>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</si>
  <si>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</si>
  <si>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</si>
  <si>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</si>
  <si>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</si>
  <si>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</si>
  <si>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</si>
  <si>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</si>
  <si>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</si>
  <si>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</si>
  <si>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</si>
  <si>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</si>
  <si>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</si>
  <si>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</si>
  <si>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</si>
  <si>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</si>
  <si>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</si>
  <si>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</si>
  <si>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</si>
  <si>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</si>
  <si>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</si>
  <si>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</si>
  <si>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</si>
  <si>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</si>
  <si>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</si>
  <si>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</si>
  <si>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</si>
  <si>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</si>
  <si>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</si>
  <si>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</si>
  <si>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</si>
  <si>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</si>
  <si>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</si>
  <si>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</si>
  <si>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</si>
  <si>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</si>
  <si>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</si>
  <si>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</si>
  <si>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</si>
  <si>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</si>
  <si>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</si>
  <si>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</si>
  <si>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</si>
  <si>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</si>
  <si>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</si>
  <si>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</si>
  <si>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</si>
  <si>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</si>
  <si>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</si>
  <si>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</si>
  <si>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</si>
  <si>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</si>
  <si>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</si>
  <si>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</si>
  <si>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</si>
  <si>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</si>
  <si>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</si>
  <si>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</si>
  <si>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</si>
  <si>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</si>
  <si>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</si>
  <si>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</si>
  <si>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</si>
  <si>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</si>
  <si>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</si>
  <si>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</si>
  <si>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</si>
  <si>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</si>
  <si>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</si>
  <si>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</si>
  <si>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</si>
  <si>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</si>
  <si>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</si>
  <si>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</si>
  <si>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Canara Bank</t>
  </si>
  <si>
    <t>DATE</t>
  </si>
  <si>
    <t>ADJCLOSE</t>
  </si>
  <si>
    <t>ADJHIGH</t>
  </si>
  <si>
    <t>ADJLOW</t>
  </si>
  <si>
    <t>ADJOPEN</t>
  </si>
  <si>
    <t>CLOSE</t>
  </si>
  <si>
    <t>VOLUME</t>
  </si>
  <si>
    <t xml:space="preserve">CD Ratio % 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</si>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</sst>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(* #,##0.0_);_(* \(#,##0.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7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165" fontId="8" fillId="0" borderId="0" xfId="2" applyNumberFormat="1" applyFont="1"/>
    <xf numFmtId="165" fontId="5" fillId="0" borderId="0" xfId="2" applyNumberFormat="1" applyFont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9" fontId="4" fillId="4" borderId="0" xfId="2" applyFont="1" applyFill="1"/>
    <xf numFmtId="9" fontId="4" fillId="3" borderId="0" xfId="2" applyFont="1" applyFill="1"/>
    <xf numFmtId="9" fontId="5" fillId="4" borderId="0" xfId="0" applyNumberFormat="1" applyFont="1" applyFill="1"/>
    <xf numFmtId="43" fontId="5" fillId="4" borderId="0" xfId="0" applyNumberFormat="1" applyFont="1" applyFill="1"/>
    <xf numFmtId="4" fontId="9" fillId="0" borderId="0" xfId="1" applyNumberFormat="1" applyFont="1"/>
    <xf numFmtId="9" fontId="9" fillId="0" borderId="0" xfId="1" applyNumberFormat="1" applyFont="1" applyFill="1"/>
    <xf numFmtId="10" fontId="9" fillId="0" borderId="0" xfId="1" applyNumberFormat="1" applyFont="1"/>
    <xf numFmtId="9" fontId="9" fillId="0" borderId="0" xfId="1" applyNumberFormat="1" applyFont="1"/>
    <xf numFmtId="167" fontId="13" fillId="3" borderId="0" xfId="1" applyNumberFormat="1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31"/>
  <sheetViews>
    <sheetView tabSelected="1" zoomScale="110" zoomScaleNormal="110" workbookViewId="0">
      <pane xSplit="1" ySplit="1" topLeftCell="CN5" activePane="bottomRight" state="frozen"/>
      <selection pane="topRight" activeCell="B1" sqref="B1"/>
      <selection pane="bottomLeft" activeCell="A2" sqref="A2"/>
      <selection pane="bottomRight" activeCell="CX28" sqref="CX28:CX131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hidden="1" customWidth="1"/>
    <col min="31" max="31" width="12.28515625" style="49" hidden="1" customWidth="1"/>
    <col min="32" max="32" width="9.140625" style="47"/>
    <col min="33" max="33" width="9.140625" style="63"/>
    <col min="34" max="45" width="11.28515625" style="47" customWidth="1"/>
    <col min="46" max="77" width="11.28515625" style="47" bestFit="1" customWidth="1"/>
    <col min="78" max="93" width="12.28515625" style="49" bestFit="1" customWidth="1"/>
    <col min="94" max="16384" width="9.140625" style="47"/>
  </cols>
  <sheetData>
    <row r="1" spans="1:102" s="4" customFormat="1" x14ac:dyDescent="0.2">
      <c r="A1" s="1" t="str">
        <f>+'Annual Raw'!C3</f>
        <v>Canara Bank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40</v>
      </c>
      <c r="AH1" s="99">
        <v>42185</v>
      </c>
      <c r="AI1" s="99">
        <f t="shared" ref="AI1" si="1">+EOMONTH(AH1,3)</f>
        <v>42277</v>
      </c>
      <c r="AJ1" s="99">
        <f t="shared" ref="AJ1" si="2">+EOMONTH(AI1,3)</f>
        <v>42369</v>
      </c>
      <c r="AK1" s="99">
        <f t="shared" ref="AK1" si="3">+EOMONTH(AJ1,3)</f>
        <v>42460</v>
      </c>
      <c r="AL1" s="99">
        <f t="shared" ref="AL1" si="4">+EOMONTH(AK1,3)</f>
        <v>42551</v>
      </c>
      <c r="AM1" s="99">
        <f t="shared" ref="AM1" si="5">+EOMONTH(AL1,3)</f>
        <v>42643</v>
      </c>
      <c r="AN1" s="99">
        <f t="shared" ref="AN1" si="6">+EOMONTH(AM1,3)</f>
        <v>42735</v>
      </c>
      <c r="AO1" s="99">
        <f t="shared" ref="AO1" si="7">+EOMONTH(AN1,3)</f>
        <v>42825</v>
      </c>
      <c r="AP1" s="99">
        <f t="shared" ref="AP1" si="8">+EOMONTH(AO1,3)</f>
        <v>42916</v>
      </c>
      <c r="AQ1" s="99">
        <f t="shared" ref="AQ1" si="9">+EOMONTH(AP1,3)</f>
        <v>43008</v>
      </c>
      <c r="AR1" s="99">
        <f t="shared" ref="AR1" si="10">+EOMONTH(AQ1,3)</f>
        <v>43100</v>
      </c>
      <c r="AS1" s="99">
        <f t="shared" ref="AS1" si="11">+EOMONTH(AR1,3)</f>
        <v>43190</v>
      </c>
      <c r="AT1" s="99">
        <f t="shared" ref="AT1" si="12">+EOMONTH(AS1,3)</f>
        <v>43281</v>
      </c>
      <c r="AU1" s="99">
        <f t="shared" ref="AU1" si="13">+EOMONTH(AT1,3)</f>
        <v>43373</v>
      </c>
      <c r="AV1" s="99">
        <f t="shared" ref="AV1:CC1" si="14">+EOMONTH(AU1,3)</f>
        <v>43465</v>
      </c>
      <c r="AW1" s="99">
        <f t="shared" si="14"/>
        <v>43555</v>
      </c>
      <c r="AX1" s="99">
        <f t="shared" si="14"/>
        <v>43646</v>
      </c>
      <c r="AY1" s="99">
        <f t="shared" si="14"/>
        <v>43738</v>
      </c>
      <c r="AZ1" s="99">
        <f t="shared" si="14"/>
        <v>43830</v>
      </c>
      <c r="BA1" s="99">
        <f t="shared" si="14"/>
        <v>43921</v>
      </c>
      <c r="BB1" s="99">
        <f t="shared" si="14"/>
        <v>44012</v>
      </c>
      <c r="BC1" s="99">
        <f t="shared" si="14"/>
        <v>44104</v>
      </c>
      <c r="BD1" s="99">
        <f t="shared" si="14"/>
        <v>44196</v>
      </c>
      <c r="BE1" s="99">
        <f t="shared" si="14"/>
        <v>44286</v>
      </c>
      <c r="BF1" s="99">
        <f t="shared" si="14"/>
        <v>44377</v>
      </c>
      <c r="BG1" s="99">
        <f t="shared" si="14"/>
        <v>44469</v>
      </c>
      <c r="BH1" s="99">
        <f t="shared" si="14"/>
        <v>44561</v>
      </c>
      <c r="BI1" s="99">
        <f t="shared" si="14"/>
        <v>44651</v>
      </c>
      <c r="BJ1" s="99">
        <f t="shared" si="14"/>
        <v>44742</v>
      </c>
      <c r="BK1" s="99">
        <f t="shared" si="14"/>
        <v>44834</v>
      </c>
      <c r="BL1" s="99">
        <f t="shared" si="14"/>
        <v>44926</v>
      </c>
      <c r="BM1" s="99">
        <f t="shared" si="14"/>
        <v>45016</v>
      </c>
      <c r="BN1" s="99">
        <f t="shared" si="14"/>
        <v>45107</v>
      </c>
      <c r="BO1" s="99">
        <f t="shared" si="14"/>
        <v>45199</v>
      </c>
      <c r="BP1" s="99">
        <f t="shared" si="14"/>
        <v>45291</v>
      </c>
      <c r="BQ1" s="99">
        <f t="shared" si="14"/>
        <v>45382</v>
      </c>
      <c r="BR1" s="99">
        <f t="shared" si="14"/>
        <v>45473</v>
      </c>
      <c r="BS1" s="99">
        <f t="shared" si="14"/>
        <v>45565</v>
      </c>
      <c r="BT1" s="99">
        <f t="shared" si="14"/>
        <v>45657</v>
      </c>
      <c r="BU1" s="99">
        <f t="shared" si="14"/>
        <v>45747</v>
      </c>
      <c r="BV1" s="99">
        <f t="shared" si="14"/>
        <v>45838</v>
      </c>
      <c r="BW1" s="99">
        <f t="shared" si="14"/>
        <v>45930</v>
      </c>
      <c r="BX1" s="99">
        <f t="shared" si="14"/>
        <v>46022</v>
      </c>
      <c r="BY1" s="99">
        <f t="shared" si="14"/>
        <v>46112</v>
      </c>
      <c r="BZ1" s="100">
        <f t="shared" si="14"/>
        <v>46203</v>
      </c>
      <c r="CA1" s="100">
        <f t="shared" si="14"/>
        <v>46295</v>
      </c>
      <c r="CB1" s="100">
        <f t="shared" si="14"/>
        <v>46387</v>
      </c>
      <c r="CC1" s="100">
        <f t="shared" si="14"/>
        <v>46477</v>
      </c>
      <c r="CD1" s="100">
        <f t="shared" ref="CD1" si="15">+EOMONTH(CC1,3)</f>
        <v>46568</v>
      </c>
      <c r="CE1" s="100">
        <f t="shared" ref="CE1" si="16">+EOMONTH(CD1,3)</f>
        <v>46660</v>
      </c>
      <c r="CF1" s="100">
        <f t="shared" ref="CF1" si="17">+EOMONTH(CE1,3)</f>
        <v>46752</v>
      </c>
      <c r="CG1" s="100">
        <f t="shared" ref="CG1" si="18">+EOMONTH(CF1,3)</f>
        <v>46843</v>
      </c>
      <c r="CH1" s="100">
        <f t="shared" ref="CH1" si="19">+EOMONTH(CG1,3)</f>
        <v>46934</v>
      </c>
      <c r="CI1" s="100">
        <f t="shared" ref="CI1" si="20">+EOMONTH(CH1,3)</f>
        <v>47026</v>
      </c>
      <c r="CJ1" s="100">
        <f t="shared" ref="CJ1" si="21">+EOMONTH(CI1,3)</f>
        <v>47118</v>
      </c>
      <c r="CK1" s="100">
        <f t="shared" ref="CK1" si="22">+EOMONTH(CJ1,3)</f>
        <v>47208</v>
      </c>
      <c r="CL1" s="100">
        <f t="shared" ref="CL1" si="23">+EOMONTH(CK1,3)</f>
        <v>47299</v>
      </c>
      <c r="CM1" s="100">
        <f t="shared" ref="CM1" si="24">+EOMONTH(CL1,3)</f>
        <v>47391</v>
      </c>
      <c r="CN1" s="100">
        <f t="shared" ref="CN1" si="25">+EOMONTH(CM1,3)</f>
        <v>47483</v>
      </c>
      <c r="CO1" s="100">
        <f t="shared" ref="CO1" si="26">+EOMONTH(CN1,3)</f>
        <v>47573</v>
      </c>
      <c r="CS1" s="99">
        <v>46022</v>
      </c>
      <c r="CW1" s="4" t="s">
        <v>398</v>
      </c>
      <c r="CX1" s="146">
        <v>46082</v>
      </c>
    </row>
    <row r="2" spans="1:102" s="4" customFormat="1" x14ac:dyDescent="0.2">
      <c r="A2" s="118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102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S3" s="139"/>
    </row>
    <row r="4" spans="1:102" s="83" customFormat="1" x14ac:dyDescent="0.2">
      <c r="A4" s="81" t="s">
        <v>32</v>
      </c>
      <c r="B4" s="81"/>
      <c r="C4" s="81"/>
      <c r="D4" s="81">
        <f t="shared" ref="D4:O4" si="27">AVERAGE(C104:D104)</f>
        <v>3810.16165</v>
      </c>
      <c r="E4" s="81">
        <f t="shared" si="27"/>
        <v>4700.2356500000005</v>
      </c>
      <c r="F4" s="81">
        <f t="shared" si="27"/>
        <v>5680.3001000000004</v>
      </c>
      <c r="G4" s="81">
        <f t="shared" si="27"/>
        <v>6620.5964999999997</v>
      </c>
      <c r="H4" s="81">
        <f t="shared" si="27"/>
        <v>8743.1109500000002</v>
      </c>
      <c r="I4" s="81">
        <f t="shared" si="27"/>
        <v>10427.2392</v>
      </c>
      <c r="J4" s="81">
        <f t="shared" si="27"/>
        <v>11354.13075</v>
      </c>
      <c r="K4" s="81">
        <f t="shared" si="27"/>
        <v>13439.776300000001</v>
      </c>
      <c r="L4" s="81">
        <f t="shared" si="27"/>
        <v>17355.801100000001</v>
      </c>
      <c r="M4" s="81">
        <f t="shared" si="27"/>
        <v>21364.887200000001</v>
      </c>
      <c r="N4" s="81">
        <f t="shared" si="27"/>
        <v>23783.87225</v>
      </c>
      <c r="O4" s="81">
        <f t="shared" si="27"/>
        <v>27248.95105</v>
      </c>
      <c r="P4" s="81">
        <f>AVERAGE(O104:P104)</f>
        <v>30739.672850000003</v>
      </c>
      <c r="Q4" s="81">
        <f t="shared" ref="Q4:T4" si="28">AVERAGE(P104:Q104)</f>
        <v>31731.216500000002</v>
      </c>
      <c r="R4" s="81">
        <f t="shared" si="28"/>
        <v>32644.369000000002</v>
      </c>
      <c r="S4" s="81">
        <f t="shared" si="28"/>
        <v>34645.1872</v>
      </c>
      <c r="T4" s="81">
        <f t="shared" si="28"/>
        <v>35891.034400000004</v>
      </c>
      <c r="U4" s="81">
        <f t="shared" ref="U4" si="29">AVERAGE(T104:U104)</f>
        <v>37735.098249999995</v>
      </c>
      <c r="V4" s="81">
        <f t="shared" ref="V4" si="30">AVERAGE(U104:V104)</f>
        <v>49088.948349999999</v>
      </c>
      <c r="W4" s="81">
        <f>AVERAGE(V104:W104)</f>
        <v>62498.121849999996</v>
      </c>
      <c r="X4" s="81">
        <f>AVERAGE(W104:X104)</f>
        <v>69859.245800000004</v>
      </c>
      <c r="Y4" s="81">
        <f>+AVERAGE(BN4:BQ4)</f>
        <v>80625.27625000001</v>
      </c>
      <c r="Z4" s="81">
        <f>+AVERAGE(BR4:BU4)</f>
        <v>95347.747499999998</v>
      </c>
      <c r="AA4" s="82">
        <f>+AVERAGE(BV4:BY4)</f>
        <v>108156.53750000001</v>
      </c>
      <c r="AB4" s="82">
        <f>+AVERAGE(BZ4:CC4)</f>
        <v>123100.66445682537</v>
      </c>
      <c r="AC4" s="82">
        <f>+AVERAGE(CD4:CG4)</f>
        <v>143148.06727387989</v>
      </c>
      <c r="AD4" s="82">
        <f>+AVERAGE(CH4:CK4)</f>
        <v>164224.27328101714</v>
      </c>
      <c r="AE4" s="82">
        <f>+AVERAGE(CL4:CO4)</f>
        <v>186884.59113729221</v>
      </c>
      <c r="AG4" s="84"/>
      <c r="AH4" s="81">
        <f>AVERAGE(AG104:AH104)</f>
        <v>33892.789999999994</v>
      </c>
      <c r="AI4" s="81">
        <f t="shared" ref="AI4:AL4" si="31">AVERAGE(AH104:AI104)</f>
        <v>34686.459999999992</v>
      </c>
      <c r="AJ4" s="81">
        <f t="shared" si="31"/>
        <v>35506.175000000003</v>
      </c>
      <c r="AK4" s="81">
        <f t="shared" si="31"/>
        <v>33567.71</v>
      </c>
      <c r="AL4" s="81">
        <f t="shared" si="31"/>
        <v>31705.9</v>
      </c>
      <c r="AM4" s="81">
        <f t="shared" ref="AM4:AS4" si="32">AVERAGE(AL104:AM104)</f>
        <v>31962.705000000002</v>
      </c>
      <c r="AN4" s="81">
        <f t="shared" si="32"/>
        <v>32272.755000000001</v>
      </c>
      <c r="AO4" s="81">
        <f t="shared" si="32"/>
        <v>33057.120000000003</v>
      </c>
      <c r="AP4" s="81">
        <f t="shared" si="32"/>
        <v>33775.135000000002</v>
      </c>
      <c r="AQ4" s="81">
        <f t="shared" si="32"/>
        <v>33996.535000000003</v>
      </c>
      <c r="AR4" s="81">
        <f t="shared" si="32"/>
        <v>34174.28</v>
      </c>
      <c r="AS4" s="81">
        <f t="shared" si="32"/>
        <v>34912.524999999994</v>
      </c>
      <c r="AT4" s="81">
        <f t="shared" ref="AT4" si="33">AVERAGE(AS104:AT104)</f>
        <v>35760.009999999995</v>
      </c>
      <c r="AU4" s="81">
        <f t="shared" ref="AU4" si="34">AVERAGE(AT104:AU104)</f>
        <v>36107.759999999995</v>
      </c>
      <c r="AV4" s="81">
        <f t="shared" ref="AV4" si="35">AVERAGE(AU104:AV104)</f>
        <v>36417.544999999998</v>
      </c>
      <c r="AW4" s="81">
        <f t="shared" ref="AW4:BB4" si="36">AVERAGE(AV104:AW104)</f>
        <v>36355.994999999995</v>
      </c>
      <c r="AX4" s="81">
        <f t="shared" si="36"/>
        <v>36391.434999999998</v>
      </c>
      <c r="AY4" s="81">
        <f t="shared" si="36"/>
        <v>40095.31</v>
      </c>
      <c r="AZ4" s="81">
        <f t="shared" si="36"/>
        <v>43823.09</v>
      </c>
      <c r="BA4" s="81">
        <f t="shared" si="36"/>
        <v>41677.08</v>
      </c>
      <c r="BB4" s="81">
        <f t="shared" si="36"/>
        <v>46009.26</v>
      </c>
      <c r="BC4" s="81">
        <f t="shared" ref="BC4" si="37">AVERAGE(BB104:BC104)</f>
        <v>53586.729999999996</v>
      </c>
      <c r="BD4" s="81">
        <f t="shared" ref="BD4" si="38">AVERAGE(BC104:BD104)</f>
        <v>55594.6</v>
      </c>
      <c r="BE4" s="81">
        <f t="shared" ref="BE4" si="39">AVERAGE(BD104:BE104)</f>
        <v>57813.114999999998</v>
      </c>
      <c r="BF4" s="81">
        <f t="shared" ref="BF4:BH4" si="40">AVERAGE(BE104:BF104)</f>
        <v>59450.91</v>
      </c>
      <c r="BG4" s="81">
        <f t="shared" si="40"/>
        <v>61956.804999999993</v>
      </c>
      <c r="BH4" s="81">
        <f t="shared" si="40"/>
        <v>64628.639999999999</v>
      </c>
      <c r="BI4" s="81">
        <f t="shared" ref="BI4" si="41">AVERAGE(BH104:BI104)</f>
        <v>65735.934999999998</v>
      </c>
      <c r="BJ4" s="81">
        <f t="shared" ref="BJ4:BK4" si="42">AVERAGE(BI104:BJ104)</f>
        <v>67101.044999999998</v>
      </c>
      <c r="BK4" s="81">
        <f t="shared" si="42"/>
        <v>69313.705000000002</v>
      </c>
      <c r="BL4" s="81">
        <f t="shared" ref="BL4" si="43">AVERAGE(BK104:BL104)</f>
        <v>71589.505000000005</v>
      </c>
      <c r="BM4" s="81">
        <f t="shared" ref="BM4" si="44">AVERAGE(BL104:BM104)</f>
        <v>73124.78</v>
      </c>
      <c r="BN4" s="81">
        <f t="shared" ref="BN4" si="45">AVERAGE(BM104:BN104)</f>
        <v>75361.875</v>
      </c>
      <c r="BO4" s="81">
        <f t="shared" ref="BO4" si="46">AVERAGE(BN104:BO104)</f>
        <v>78920.205000000016</v>
      </c>
      <c r="BP4" s="81">
        <f t="shared" ref="BP4" si="47">AVERAGE(BO104:BP104)</f>
        <v>82551.825000000012</v>
      </c>
      <c r="BQ4" s="81">
        <f t="shared" ref="BQ4" si="48">AVERAGE(BP104:BQ104)</f>
        <v>85667.200000000012</v>
      </c>
      <c r="BR4" s="81">
        <f t="shared" ref="BR4" si="49">AVERAGE(BQ104:BR104)</f>
        <v>89810.06</v>
      </c>
      <c r="BS4" s="81">
        <f t="shared" ref="BS4" si="50">AVERAGE(BR104:BS104)</f>
        <v>94870.89</v>
      </c>
      <c r="BT4" s="81">
        <f t="shared" ref="BT4:BU4" si="51">AVERAGE(BS104:BT104)</f>
        <v>97649.054999999993</v>
      </c>
      <c r="BU4" s="81">
        <f t="shared" si="51"/>
        <v>99060.985000000001</v>
      </c>
      <c r="BV4" s="81">
        <f t="shared" ref="BV4:BY4" si="52">AVERAGE(BU104:BV104)</f>
        <v>102177.435</v>
      </c>
      <c r="BW4" s="81">
        <f t="shared" si="52"/>
        <v>106372.785</v>
      </c>
      <c r="BX4" s="81">
        <f t="shared" si="52"/>
        <v>110765.015</v>
      </c>
      <c r="BY4" s="81">
        <f t="shared" si="52"/>
        <v>113310.91500000001</v>
      </c>
      <c r="BZ4" s="85">
        <f t="shared" ref="BZ4" si="53">AVERAGE(BY104:BZ104)</f>
        <v>115806.47887518279</v>
      </c>
      <c r="CA4" s="85">
        <f t="shared" ref="CA4" si="54">AVERAGE(BZ104:CA104)</f>
        <v>120697.73094434562</v>
      </c>
      <c r="CB4" s="85">
        <f t="shared" ref="CB4" si="55">AVERAGE(CA104:CB104)</f>
        <v>125568.27800274565</v>
      </c>
      <c r="CC4" s="85">
        <f t="shared" ref="CC4" si="56">AVERAGE(CB104:CC104)</f>
        <v>130330.17000502744</v>
      </c>
      <c r="CD4" s="85">
        <f t="shared" ref="CD4" si="57">AVERAGE(CC104:CD104)</f>
        <v>135278.71106770134</v>
      </c>
      <c r="CE4" s="85">
        <f t="shared" ref="CE4" si="58">AVERAGE(CD104:CE104)</f>
        <v>140524.95639101276</v>
      </c>
      <c r="CF4" s="85">
        <f t="shared" ref="CF4" si="59">AVERAGE(CE104:CF104)</f>
        <v>145780.15977827055</v>
      </c>
      <c r="CG4" s="85">
        <f t="shared" ref="CG4" si="60">AVERAGE(CF104:CG104)</f>
        <v>151008.44185853488</v>
      </c>
      <c r="CH4" s="85">
        <f t="shared" ref="CH4" si="61">AVERAGE(CG104:CH104)</f>
        <v>156226.34810798382</v>
      </c>
      <c r="CI4" s="85">
        <f t="shared" ref="CI4" si="62">AVERAGE(CH104:CI104)</f>
        <v>161420.99382930272</v>
      </c>
      <c r="CJ4" s="85">
        <f t="shared" ref="CJ4" si="63">AVERAGE(CI104:CJ104)</f>
        <v>166819.38252488477</v>
      </c>
      <c r="CK4" s="85">
        <f t="shared" ref="CK4" si="64">AVERAGE(CJ104:CK104)</f>
        <v>172430.3686618972</v>
      </c>
      <c r="CL4" s="85">
        <f t="shared" ref="CL4" si="65">AVERAGE(CK104:CL104)</f>
        <v>178074.90806674177</v>
      </c>
      <c r="CM4" s="85">
        <f t="shared" ref="CM4" si="66">AVERAGE(CL104:CM104)</f>
        <v>183813.14712546021</v>
      </c>
      <c r="CN4" s="85">
        <f t="shared" ref="CN4" si="67">AVERAGE(CM104:CN104)</f>
        <v>189765.54259755893</v>
      </c>
      <c r="CO4" s="85">
        <f t="shared" ref="CO4" si="68">AVERAGE(CN104:CO104)</f>
        <v>195884.766759408</v>
      </c>
      <c r="CS4" s="83">
        <v>110653.26991477465</v>
      </c>
    </row>
    <row r="5" spans="1:102" s="83" customFormat="1" x14ac:dyDescent="0.2">
      <c r="A5" s="81" t="s">
        <v>25</v>
      </c>
      <c r="B5" s="81"/>
      <c r="C5" s="81"/>
      <c r="D5" s="81">
        <f t="shared" ref="D5:O5" si="69">AVERAGE(C111:D111)</f>
        <v>72053.187949999992</v>
      </c>
      <c r="E5" s="81">
        <f t="shared" si="69"/>
        <v>84344.284799999994</v>
      </c>
      <c r="F5" s="81">
        <f t="shared" si="69"/>
        <v>97685.068250000011</v>
      </c>
      <c r="G5" s="81">
        <f t="shared" si="69"/>
        <v>113490.16584999999</v>
      </c>
      <c r="H5" s="81">
        <f t="shared" si="69"/>
        <v>139135.54069999998</v>
      </c>
      <c r="I5" s="81">
        <f t="shared" si="69"/>
        <v>160699.9682</v>
      </c>
      <c r="J5" s="81">
        <f t="shared" si="69"/>
        <v>190095.68650000001</v>
      </c>
      <c r="K5" s="81">
        <f t="shared" si="69"/>
        <v>235432.50510000001</v>
      </c>
      <c r="L5" s="81">
        <f t="shared" si="69"/>
        <v>292750.94504999998</v>
      </c>
      <c r="M5" s="81">
        <f t="shared" si="69"/>
        <v>346503.59025000001</v>
      </c>
      <c r="N5" s="81">
        <f t="shared" si="69"/>
        <v>383143.11414999998</v>
      </c>
      <c r="O5" s="81">
        <f t="shared" si="69"/>
        <v>439295.36100000003</v>
      </c>
      <c r="P5" s="81">
        <f>AVERAGE(O111:P111)</f>
        <v>504472.23554999998</v>
      </c>
      <c r="Q5" s="81">
        <f t="shared" ref="Q5:T5" si="70">AVERAGE(P111:Q111)</f>
        <v>534819.49105000007</v>
      </c>
      <c r="R5" s="81">
        <f t="shared" si="70"/>
        <v>553366.20885000005</v>
      </c>
      <c r="S5" s="81">
        <f t="shared" si="70"/>
        <v>583824.77379999997</v>
      </c>
      <c r="T5" s="81">
        <f t="shared" si="70"/>
        <v>637694.005</v>
      </c>
      <c r="U5" s="81">
        <f t="shared" ref="U5" si="71">AVERAGE(T111:U111)</f>
        <v>691804.35330000008</v>
      </c>
      <c r="V5" s="81">
        <f t="shared" ref="V5" si="72">AVERAGE(U111:V111)</f>
        <v>913574.49045000016</v>
      </c>
      <c r="W5" s="81">
        <f>AVERAGE(V111:W111)</f>
        <v>1159274.29935</v>
      </c>
      <c r="X5" s="81">
        <f>AVERAGE(W111:X111)</f>
        <v>1254860.5495499999</v>
      </c>
      <c r="Y5" s="81">
        <f>+AVERAGE(BN5:BQ5)</f>
        <v>1392055.0550000002</v>
      </c>
      <c r="Z5" s="81">
        <f>+AVERAGE(BR5:BU5)</f>
        <v>1537863.1312499999</v>
      </c>
      <c r="AA5" s="82">
        <f>+AVERAGE(BV5:BY5)</f>
        <v>1735857.6487499999</v>
      </c>
      <c r="AB5" s="82">
        <f>+AVERAGE(BZ5:CC5)</f>
        <v>1936531.8236955374</v>
      </c>
      <c r="AC5" s="82">
        <f>+AVERAGE(CD5:CG5)</f>
        <v>2122534.5829211776</v>
      </c>
      <c r="AD5" s="82">
        <f>+AVERAGE(CH5:CK5)</f>
        <v>2326382.2728677979</v>
      </c>
      <c r="AE5" s="82">
        <f>+AVERAGE(CL5:CO5)</f>
        <v>2550111.4041832155</v>
      </c>
      <c r="AG5" s="84"/>
      <c r="AH5" s="81">
        <f>AVERAGE(AG111:AH111)</f>
        <v>529674.32999999996</v>
      </c>
      <c r="AI5" s="81">
        <f t="shared" ref="AI5:AL5" si="73">AVERAGE(AH111:AI111)</f>
        <v>537262.42500000005</v>
      </c>
      <c r="AJ5" s="81">
        <f t="shared" si="73"/>
        <v>548170.78500000003</v>
      </c>
      <c r="AK5" s="81">
        <f t="shared" si="73"/>
        <v>544879.56499999994</v>
      </c>
      <c r="AL5" s="81">
        <f t="shared" si="73"/>
        <v>531967.85</v>
      </c>
      <c r="AM5" s="81">
        <f t="shared" ref="AM5:AS5" si="74">AVERAGE(AL111:AM111)</f>
        <v>533800.94999999995</v>
      </c>
      <c r="AN5" s="81">
        <f t="shared" si="74"/>
        <v>558001.03</v>
      </c>
      <c r="AO5" s="81">
        <f t="shared" si="74"/>
        <v>571266.06000000006</v>
      </c>
      <c r="AP5" s="81">
        <f t="shared" si="74"/>
        <v>566100.07000000007</v>
      </c>
      <c r="AQ5" s="81">
        <f t="shared" si="74"/>
        <v>562297.5149999999</v>
      </c>
      <c r="AR5" s="81">
        <f t="shared" si="74"/>
        <v>573052.61</v>
      </c>
      <c r="AS5" s="81">
        <f t="shared" si="74"/>
        <v>592215.59499999997</v>
      </c>
      <c r="AT5" s="81">
        <f t="shared" ref="AT5" si="75">AVERAGE(AS111:AT111)</f>
        <v>601443.75</v>
      </c>
      <c r="AU5" s="81">
        <f t="shared" ref="AU5" si="76">AVERAGE(AT111:AU111)</f>
        <v>620609.19999999995</v>
      </c>
      <c r="AV5" s="81">
        <f t="shared" ref="AV5" si="77">AVERAGE(AU111:AV111)</f>
        <v>645741.17500000005</v>
      </c>
      <c r="AW5" s="81">
        <f t="shared" ref="AW5:BB5" si="78">AVERAGE(AV111:AW111)</f>
        <v>665084.52500000002</v>
      </c>
      <c r="AX5" s="81">
        <f t="shared" si="78"/>
        <v>681069.03500000003</v>
      </c>
      <c r="AY5" s="81">
        <f t="shared" si="78"/>
        <v>687290.58000000007</v>
      </c>
      <c r="AZ5" s="81">
        <f t="shared" si="78"/>
        <v>695834.53499999992</v>
      </c>
      <c r="BA5" s="81">
        <f t="shared" si="78"/>
        <v>705214.54499999993</v>
      </c>
      <c r="BB5" s="81">
        <f t="shared" si="78"/>
        <v>862972.92000000016</v>
      </c>
      <c r="BC5" s="81">
        <f t="shared" ref="BC5:BH5" si="79">AVERAGE(BB111:BC111)</f>
        <v>1036277.6850000001</v>
      </c>
      <c r="BD5" s="81">
        <f t="shared" si="79"/>
        <v>1070323.96</v>
      </c>
      <c r="BE5" s="81">
        <f t="shared" si="79"/>
        <v>1103187.7749999999</v>
      </c>
      <c r="BF5" s="81">
        <f t="shared" si="79"/>
        <v>1126650.3599999999</v>
      </c>
      <c r="BG5" s="81">
        <f t="shared" si="79"/>
        <v>1152552.095</v>
      </c>
      <c r="BH5" s="81">
        <f t="shared" si="79"/>
        <v>1167136.585</v>
      </c>
      <c r="BI5" s="81">
        <f t="shared" ref="BI5" si="80">AVERAGE(BH111:BI111)</f>
        <v>1180766.0750000002</v>
      </c>
      <c r="BJ5" s="81">
        <f t="shared" ref="BJ5:BK5" si="81">AVERAGE(BI111:BJ111)</f>
        <v>1220096.9450000001</v>
      </c>
      <c r="BK5" s="81">
        <f t="shared" si="81"/>
        <v>1254197.175</v>
      </c>
      <c r="BL5" s="81">
        <f t="shared" ref="BL5" si="82">AVERAGE(BK111:BL111)</f>
        <v>1279283.04</v>
      </c>
      <c r="BM5" s="81">
        <f t="shared" ref="BM5" si="83">AVERAGE(BL111:BM111)</f>
        <v>1301237.8400000001</v>
      </c>
      <c r="BN5" s="81">
        <f t="shared" ref="BN5" si="84">AVERAGE(BM111:BN111)</f>
        <v>1332708.2250000001</v>
      </c>
      <c r="BO5" s="81">
        <f t="shared" ref="BO5" si="85">AVERAGE(BN111:BO111)</f>
        <v>1374252.58</v>
      </c>
      <c r="BP5" s="81">
        <f t="shared" ref="BP5" si="86">AVERAGE(BO111:BP111)</f>
        <v>1414902.4100000001</v>
      </c>
      <c r="BQ5" s="81">
        <f t="shared" ref="BQ5" si="87">AVERAGE(BP111:BQ111)</f>
        <v>1446357.0050000004</v>
      </c>
      <c r="BR5" s="81">
        <f t="shared" ref="BR5" si="88">AVERAGE(BQ111:BR111)</f>
        <v>1478650.3149999999</v>
      </c>
      <c r="BS5" s="81">
        <f t="shared" ref="BS5" si="89">AVERAGE(BR111:BS111)</f>
        <v>1519796.1149999998</v>
      </c>
      <c r="BT5" s="81">
        <f t="shared" ref="BT5:BU5" si="90">AVERAGE(BS111:BT111)</f>
        <v>1549692.2149999999</v>
      </c>
      <c r="BU5" s="81">
        <f t="shared" si="90"/>
        <v>1603313.88</v>
      </c>
      <c r="BV5" s="81">
        <f t="shared" ref="BV5:BY5" si="91">AVERAGE(BU111:BV111)</f>
        <v>1669113.7050000001</v>
      </c>
      <c r="BW5" s="81">
        <f t="shared" si="91"/>
        <v>1709561.135</v>
      </c>
      <c r="BX5" s="81">
        <f t="shared" si="91"/>
        <v>1754876.585</v>
      </c>
      <c r="BY5" s="81">
        <f t="shared" si="91"/>
        <v>1809879.17</v>
      </c>
      <c r="BZ5" s="82">
        <f t="shared" ref="BZ5" si="92">AVERAGE(BY111:BZ111)</f>
        <v>1866864.7687607598</v>
      </c>
      <c r="CA5" s="82">
        <f t="shared" ref="CA5" si="93">AVERAGE(BZ111:CA111)</f>
        <v>1933314.4675118616</v>
      </c>
      <c r="CB5" s="82">
        <f t="shared" ref="CB5" si="94">AVERAGE(CA111:CB111)</f>
        <v>1964284.0102947617</v>
      </c>
      <c r="CC5" s="82">
        <f t="shared" ref="CC5" si="95">AVERAGE(CB111:CC111)</f>
        <v>1981664.048214766</v>
      </c>
      <c r="CD5" s="82">
        <f t="shared" ref="CD5" si="96">AVERAGE(CC111:CD111)</f>
        <v>2043415.8649269352</v>
      </c>
      <c r="CE5" s="82">
        <f t="shared" ref="CE5" si="97">AVERAGE(CD111:CE111)</f>
        <v>2121709.5744650625</v>
      </c>
      <c r="CF5" s="82">
        <f t="shared" ref="CF5" si="98">AVERAGE(CE111:CF111)</f>
        <v>2153727.5678128637</v>
      </c>
      <c r="CG5" s="82">
        <f t="shared" ref="CG5" si="99">AVERAGE(CF111:CG111)</f>
        <v>2171285.3244798495</v>
      </c>
      <c r="CH5" s="82">
        <f t="shared" ref="CH5" si="100">AVERAGE(CG111:CH111)</f>
        <v>2239769.3728556889</v>
      </c>
      <c r="CI5" s="82">
        <f t="shared" ref="CI5" si="101">AVERAGE(CH111:CI111)</f>
        <v>2326061.3976506023</v>
      </c>
      <c r="CJ5" s="82">
        <f t="shared" ref="CJ5" si="102">AVERAGE(CI111:CJ111)</f>
        <v>2360344.8048357167</v>
      </c>
      <c r="CK5" s="82">
        <f t="shared" ref="CK5" si="103">AVERAGE(CJ111:CK111)</f>
        <v>2379353.5161291845</v>
      </c>
      <c r="CL5" s="82">
        <f t="shared" ref="CL5" si="104">AVERAGE(CK111:CL111)</f>
        <v>2454823.3385635642</v>
      </c>
      <c r="CM5" s="82">
        <f t="shared" ref="CM5" si="105">AVERAGE(CL111:CM111)</f>
        <v>2549848.8835404962</v>
      </c>
      <c r="CN5" s="82">
        <f t="shared" ref="CN5" si="106">AVERAGE(CM111:CN111)</f>
        <v>2587457.0826103603</v>
      </c>
      <c r="CO5" s="82">
        <f t="shared" ref="CO5" si="107">AVERAGE(CN111:CO111)</f>
        <v>2608316.312018442</v>
      </c>
      <c r="CS5" s="83">
        <v>1723696.6546003583</v>
      </c>
    </row>
    <row r="6" spans="1:102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S6" s="140"/>
    </row>
    <row r="7" spans="1:102" s="37" customFormat="1" x14ac:dyDescent="0.2">
      <c r="A7" s="35" t="s">
        <v>46</v>
      </c>
      <c r="B7" s="35"/>
      <c r="C7" s="35"/>
      <c r="D7" s="35" t="e">
        <f t="shared" ref="D7" si="108">+D5/C5-1</f>
        <v>#DIV/0!</v>
      </c>
      <c r="E7" s="35">
        <f t="shared" ref="E7" si="109">+E5/D5-1</f>
        <v>0.17058366464686037</v>
      </c>
      <c r="F7" s="35">
        <f t="shared" ref="F7" si="110">+F5/E5-1</f>
        <v>0.15817056818531494</v>
      </c>
      <c r="G7" s="35">
        <f t="shared" ref="G7" si="111">+G5/F5-1</f>
        <v>0.16179645347179217</v>
      </c>
      <c r="H7" s="35">
        <f t="shared" ref="H7" si="112">+H5/G5-1</f>
        <v>0.22597001826480279</v>
      </c>
      <c r="I7" s="35">
        <f t="shared" ref="I7" si="113">+I5/H5-1</f>
        <v>0.15498863476224689</v>
      </c>
      <c r="J7" s="35">
        <f t="shared" ref="J7" si="114">+J5/I5-1</f>
        <v>0.18292298765993165</v>
      </c>
      <c r="K7" s="35">
        <f t="shared" ref="K7" si="115">+K5/J5-1</f>
        <v>0.2384947256549137</v>
      </c>
      <c r="L7" s="35">
        <f t="shared" ref="L7" si="116">+L5/K5-1</f>
        <v>0.24346017949243648</v>
      </c>
      <c r="M7" s="35">
        <f t="shared" ref="M7" si="117">+M5/L5-1</f>
        <v>0.18361220043480797</v>
      </c>
      <c r="N7" s="35">
        <f t="shared" ref="N7" si="118">+N5/M5-1</f>
        <v>0.10574067608813165</v>
      </c>
      <c r="O7" s="35">
        <f t="shared" ref="O7" si="119">+O5/N5-1</f>
        <v>0.14655684723598217</v>
      </c>
      <c r="P7" s="35">
        <f t="shared" ref="P7" si="120">+P5/O5-1</f>
        <v>0.14836686279052236</v>
      </c>
      <c r="Q7" s="35">
        <f t="shared" ref="Q7" si="121">+Q5/P5-1</f>
        <v>6.0156443430259499E-2</v>
      </c>
      <c r="R7" s="35">
        <f t="shared" ref="R7" si="122">+R5/Q5-1</f>
        <v>3.4678462753082506E-2</v>
      </c>
      <c r="S7" s="35">
        <f t="shared" ref="S7" si="123">+S5/R5-1</f>
        <v>5.5042329045169813E-2</v>
      </c>
      <c r="T7" s="35">
        <f t="shared" ref="T7" si="124">+T5/S5-1</f>
        <v>9.2269519241836573E-2</v>
      </c>
      <c r="U7" s="35">
        <f t="shared" ref="U7:V7" si="125">+U5/T5-1</f>
        <v>8.4853155080233389E-2</v>
      </c>
      <c r="V7" s="35">
        <f t="shared" si="125"/>
        <v>0.32056770977535276</v>
      </c>
      <c r="W7" s="35">
        <f>+W5/V5-1</f>
        <v>0.26894337732544971</v>
      </c>
      <c r="X7" s="35">
        <f t="shared" ref="X7:Z7" si="126">+X5/W5-1</f>
        <v>8.2453523082151259E-2</v>
      </c>
      <c r="Y7" s="35">
        <f t="shared" si="126"/>
        <v>0.10933047939007956</v>
      </c>
      <c r="Z7" s="35">
        <f t="shared" si="126"/>
        <v>0.10474303852156175</v>
      </c>
      <c r="AA7" s="36">
        <f t="shared" ref="AA7" si="127">+AA5/Z5-1</f>
        <v>0.12874651422267136</v>
      </c>
      <c r="AB7" s="36">
        <f t="shared" ref="AB7" si="128">+AB5/AA5-1</f>
        <v>0.11560520247155281</v>
      </c>
      <c r="AC7" s="36">
        <f t="shared" ref="AC7" si="129">+AC5/AB5-1</f>
        <v>9.6049420386330686E-2</v>
      </c>
      <c r="AD7" s="36">
        <f t="shared" ref="AD7" si="130">+AD5/AC5-1</f>
        <v>9.6039749640296046E-2</v>
      </c>
      <c r="AE7" s="36">
        <f t="shared" ref="AE7" si="131">+AE5/AD5-1</f>
        <v>9.6170407557146786E-2</v>
      </c>
      <c r="AG7" s="59"/>
      <c r="AH7" s="35"/>
      <c r="AI7" s="35"/>
      <c r="AJ7" s="35"/>
      <c r="AK7" s="35"/>
      <c r="AL7" s="35"/>
      <c r="AM7" s="35">
        <f t="shared" ref="AM7" si="132">AM5/AI5-1</f>
        <v>-6.4428012065055329E-3</v>
      </c>
      <c r="AN7" s="35">
        <f t="shared" ref="AN7" si="133">AN5/AJ5-1</f>
        <v>1.7932814496854244E-2</v>
      </c>
      <c r="AO7" s="35">
        <f t="shared" ref="AO7" si="134">AO5/AK5-1</f>
        <v>4.8426288477161128E-2</v>
      </c>
      <c r="AP7" s="35">
        <f t="shared" ref="AP7" si="135">AP5/AL5-1</f>
        <v>6.4162185741112099E-2</v>
      </c>
      <c r="AQ7" s="35">
        <f t="shared" ref="AQ7" si="136">AQ5/AM5-1</f>
        <v>5.3384253062869202E-2</v>
      </c>
      <c r="AR7" s="35">
        <f t="shared" ref="AR7:AS7" si="137">AR5/AN5-1</f>
        <v>2.697410791517707E-2</v>
      </c>
      <c r="AS7" s="35">
        <f t="shared" si="137"/>
        <v>3.6672115616320555E-2</v>
      </c>
      <c r="AT7" s="35">
        <f t="shared" ref="AT7" si="138">AT5/AP5-1</f>
        <v>6.2433625913524304E-2</v>
      </c>
      <c r="AU7" s="35">
        <f t="shared" ref="AU7" si="139">AU5/AQ5-1</f>
        <v>0.10370254792963118</v>
      </c>
      <c r="AV7" s="35">
        <f t="shared" ref="AV7" si="140">AV5/AR5-1</f>
        <v>0.12684448815266736</v>
      </c>
      <c r="AW7" s="35">
        <f t="shared" ref="AW7" si="141">AW5/AS5-1</f>
        <v>0.12304459831051906</v>
      </c>
      <c r="AX7" s="35">
        <f t="shared" ref="AX7" si="142">AX5/AT5-1</f>
        <v>0.13239024430796742</v>
      </c>
      <c r="AY7" s="35">
        <f t="shared" ref="AY7" si="143">AY5/AU5-1</f>
        <v>0.10744503948700745</v>
      </c>
      <c r="AZ7" s="35">
        <f t="shared" ref="AZ7" si="144">AZ5/AV5-1</f>
        <v>7.7574981957747813E-2</v>
      </c>
      <c r="BA7" s="35">
        <f t="shared" ref="BA7:BB7" si="145">BA5/AW5-1</f>
        <v>6.0338225430820014E-2</v>
      </c>
      <c r="BB7" s="35">
        <f t="shared" si="145"/>
        <v>0.26708582486061805</v>
      </c>
      <c r="BC7" s="35">
        <f t="shared" ref="BC7" si="146">BC5/AY5-1</f>
        <v>0.50777228024862486</v>
      </c>
      <c r="BD7" s="35">
        <f t="shared" ref="BD7" si="147">BD5/AZ5-1</f>
        <v>0.5381874657888317</v>
      </c>
      <c r="BE7" s="35">
        <f t="shared" ref="BE7" si="148">BE5/BA5-1</f>
        <v>0.56432929924892572</v>
      </c>
      <c r="BF7" s="35">
        <f t="shared" ref="BF7:BH7" si="149">BF5/BB5-1</f>
        <v>0.30554543936326484</v>
      </c>
      <c r="BG7" s="35">
        <f t="shared" si="149"/>
        <v>0.11220391183083311</v>
      </c>
      <c r="BH7" s="35">
        <f t="shared" si="149"/>
        <v>9.045170305259731E-2</v>
      </c>
      <c r="BI7" s="35">
        <f t="shared" ref="BI7" si="150">BI5/BE5-1</f>
        <v>7.0321935900713006E-2</v>
      </c>
      <c r="BJ7" s="35">
        <f t="shared" ref="BJ7:BK7" si="151">BJ5/BF5-1</f>
        <v>8.2941956367013736E-2</v>
      </c>
      <c r="BK7" s="35">
        <f t="shared" si="151"/>
        <v>8.819131077975273E-2</v>
      </c>
      <c r="BL7" s="35">
        <f t="shared" ref="BL7" si="152">BL5/BH5-1</f>
        <v>9.6086830317293259E-2</v>
      </c>
      <c r="BM7" s="35">
        <f t="shared" ref="BM7" si="153">BM5/BI5-1</f>
        <v>0.10202847757122413</v>
      </c>
      <c r="BN7" s="35">
        <f t="shared" ref="BN7" si="154">BN5/BJ5-1</f>
        <v>9.2296993662253746E-2</v>
      </c>
      <c r="BO7" s="35">
        <f t="shared" ref="BO7" si="155">BO5/BK5-1</f>
        <v>9.572291135163824E-2</v>
      </c>
      <c r="BP7" s="35">
        <f t="shared" ref="BP7" si="156">BP5/BL5-1</f>
        <v>0.10601201279116479</v>
      </c>
      <c r="BQ7" s="35">
        <f t="shared" ref="BQ7" si="157">BQ5/BM5-1</f>
        <v>0.11152393554740181</v>
      </c>
      <c r="BR7" s="35">
        <f t="shared" ref="BR7" si="158">BR5/BN5-1</f>
        <v>0.10950790822950007</v>
      </c>
      <c r="BS7" s="35">
        <f t="shared" ref="BS7" si="159">BS5/BO5-1</f>
        <v>0.10590741259514291</v>
      </c>
      <c r="BT7" s="35">
        <f t="shared" ref="BT7:BU7" si="160">BT5/BP5-1</f>
        <v>9.5264382933661018E-2</v>
      </c>
      <c r="BU7" s="35">
        <f t="shared" si="160"/>
        <v>0.1085187643558303</v>
      </c>
      <c r="BV7" s="35">
        <f t="shared" ref="BV7:BY7" si="161">BV5/BR5-1</f>
        <v>0.12880894696187872</v>
      </c>
      <c r="BW7" s="35">
        <f t="shared" si="161"/>
        <v>0.12486215626363828</v>
      </c>
      <c r="BX7" s="35">
        <f t="shared" si="161"/>
        <v>0.13240330435550396</v>
      </c>
      <c r="BY7" s="35">
        <f t="shared" si="161"/>
        <v>0.12883646338794241</v>
      </c>
      <c r="BZ7" s="87">
        <f t="shared" ref="BZ7" si="162">BZ5/BV5-1</f>
        <v>0.1184766880580852</v>
      </c>
      <c r="CA7" s="87">
        <f t="shared" ref="CA7" si="163">CA5/BW5-1</f>
        <v>0.13088349280463807</v>
      </c>
      <c r="CB7" s="87">
        <f t="shared" ref="CB7" si="164">CB5/BX5-1</f>
        <v>0.11932886169015799</v>
      </c>
      <c r="CC7" s="87">
        <f t="shared" ref="CC7" si="165">CC5/BY5-1</f>
        <v>9.4915108733344855E-2</v>
      </c>
      <c r="CD7" s="87">
        <f t="shared" ref="CD7" si="166">CD5/BZ5-1</f>
        <v>9.4570907931039505E-2</v>
      </c>
      <c r="CE7" s="87">
        <f t="shared" ref="CE7" si="167">CE5/CA5-1</f>
        <v>9.7446695878535383E-2</v>
      </c>
      <c r="CF7" s="87">
        <f t="shared" ref="CF7" si="168">CF5/CB5-1</f>
        <v>9.6444076582221872E-2</v>
      </c>
      <c r="CG7" s="87">
        <f t="shared" ref="CG7" si="169">CG5/CC5-1</f>
        <v>9.5687902516023771E-2</v>
      </c>
      <c r="CH7" s="87">
        <f t="shared" ref="CH7" si="170">CH5/CD5-1</f>
        <v>9.6090820913624642E-2</v>
      </c>
      <c r="CI7" s="87">
        <f t="shared" ref="CI7" si="171">CI5/CE5-1</f>
        <v>9.6314700958571198E-2</v>
      </c>
      <c r="CJ7" s="87">
        <f t="shared" ref="CJ7" si="172">CJ5/CF5-1</f>
        <v>9.5934713429273399E-2</v>
      </c>
      <c r="CK7" s="87">
        <f t="shared" ref="CK7" si="173">CK5/CG5-1</f>
        <v>9.5827199356758763E-2</v>
      </c>
      <c r="CL7" s="87">
        <f t="shared" ref="CL7" si="174">CL5/CH5-1</f>
        <v>9.6016120371216207E-2</v>
      </c>
      <c r="CM7" s="87">
        <f t="shared" ref="CM7" si="175">CM5/CI5-1</f>
        <v>9.6208761349088512E-2</v>
      </c>
      <c r="CN7" s="87">
        <f t="shared" ref="CN7" si="176">CN5/CJ5-1</f>
        <v>9.6219957910111731E-2</v>
      </c>
      <c r="CO7" s="87">
        <f t="shared" ref="CO7" si="177">CO5/CK5-1</f>
        <v>9.6228994278135804E-2</v>
      </c>
      <c r="CS7" s="37">
        <v>0.11228322496306697</v>
      </c>
    </row>
    <row r="8" spans="1:102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102" s="78" customFormat="1" x14ac:dyDescent="0.2">
      <c r="A9" s="77" t="s">
        <v>26</v>
      </c>
      <c r="B9" s="77"/>
      <c r="C9" s="77"/>
      <c r="D9" s="77">
        <f t="shared" ref="D9:O9" si="178">D110/D104</f>
        <v>17.399766772705441</v>
      </c>
      <c r="E9" s="77">
        <f t="shared" si="178"/>
        <v>16.585181723129313</v>
      </c>
      <c r="F9" s="77">
        <f t="shared" si="178"/>
        <v>15.863604806398055</v>
      </c>
      <c r="G9" s="77">
        <f t="shared" si="178"/>
        <v>16.380425321888541</v>
      </c>
      <c r="H9" s="77">
        <f t="shared" si="178"/>
        <v>13.903418665010568</v>
      </c>
      <c r="I9" s="77">
        <f t="shared" si="178"/>
        <v>14.912601231087041</v>
      </c>
      <c r="J9" s="77">
        <f t="shared" si="178"/>
        <v>16.456197181381835</v>
      </c>
      <c r="K9" s="77">
        <f t="shared" si="178"/>
        <v>16.568674296268579</v>
      </c>
      <c r="L9" s="77">
        <f t="shared" si="178"/>
        <v>15.354344790782237</v>
      </c>
      <c r="M9" s="77">
        <f t="shared" si="178"/>
        <v>15.098271884674819</v>
      </c>
      <c r="N9" s="77">
        <f t="shared" si="178"/>
        <v>15.119485361498505</v>
      </c>
      <c r="O9" s="77">
        <f t="shared" si="178"/>
        <v>15.123286389060796</v>
      </c>
      <c r="P9" s="77">
        <f t="shared" ref="P9:Z9" si="179">P110/P104</f>
        <v>15.678710107030984</v>
      </c>
      <c r="Q9" s="77">
        <f t="shared" si="179"/>
        <v>16.032074931777874</v>
      </c>
      <c r="R9" s="77">
        <f t="shared" si="179"/>
        <v>15.875620248007024</v>
      </c>
      <c r="S9" s="77">
        <f t="shared" si="179"/>
        <v>15.828758704410747</v>
      </c>
      <c r="T9" s="77">
        <f t="shared" si="179"/>
        <v>17.691391396918903</v>
      </c>
      <c r="U9" s="77">
        <f t="shared" si="179"/>
        <v>17.003373191647647</v>
      </c>
      <c r="V9" s="77">
        <f t="shared" si="179"/>
        <v>18.015782738756016</v>
      </c>
      <c r="W9" s="77">
        <f t="shared" si="179"/>
        <v>17.133137798766651</v>
      </c>
      <c r="X9" s="77">
        <f t="shared" si="179"/>
        <v>16.809615526637479</v>
      </c>
      <c r="Y9" s="77">
        <f t="shared" si="179"/>
        <v>15.754877084649564</v>
      </c>
      <c r="Z9" s="77">
        <f t="shared" si="179"/>
        <v>15.480947344211502</v>
      </c>
      <c r="AA9" s="15">
        <f>AA110/AA104</f>
        <v>15.204851685819177</v>
      </c>
      <c r="AB9" s="15">
        <f>AB110/AB104</f>
        <v>14.110592833343679</v>
      </c>
      <c r="AC9" s="15">
        <f>AC110/AC104</f>
        <v>13.297970023505551</v>
      </c>
      <c r="AD9" s="15">
        <f>AD110/AD104</f>
        <v>12.736508292117124</v>
      </c>
      <c r="AE9" s="15">
        <f>AE110/AE104</f>
        <v>12.264107921540653</v>
      </c>
      <c r="AG9" s="79"/>
      <c r="AH9" s="14">
        <f t="shared" ref="AH9:BU9" si="180">AH110/AH104</f>
        <v>14.627935321937205</v>
      </c>
      <c r="AI9" s="14">
        <f t="shared" si="180"/>
        <v>14.356497284536445</v>
      </c>
      <c r="AJ9" s="14">
        <f t="shared" si="180"/>
        <v>14.520872323766993</v>
      </c>
      <c r="AK9" s="14">
        <f t="shared" si="180"/>
        <v>16.032075232887809</v>
      </c>
      <c r="AL9" s="14">
        <f t="shared" si="180"/>
        <v>15.525959017372658</v>
      </c>
      <c r="AM9" s="14">
        <f t="shared" si="180"/>
        <v>15.8738514192412</v>
      </c>
      <c r="AN9" s="14">
        <f t="shared" si="180"/>
        <v>16.70246047482631</v>
      </c>
      <c r="AO9" s="14">
        <f t="shared" si="180"/>
        <v>15.875619034161247</v>
      </c>
      <c r="AP9" s="14">
        <f t="shared" si="180"/>
        <v>15.646694067839901</v>
      </c>
      <c r="AQ9" s="14">
        <f t="shared" si="180"/>
        <v>15.433826843028402</v>
      </c>
      <c r="AR9" s="14">
        <f t="shared" si="180"/>
        <v>16.102344461841565</v>
      </c>
      <c r="AS9" s="14">
        <f t="shared" si="180"/>
        <v>15.828761715755983</v>
      </c>
      <c r="AT9" s="14">
        <f t="shared" si="180"/>
        <v>15.809107789768067</v>
      </c>
      <c r="AU9" s="14">
        <f t="shared" si="180"/>
        <v>16.562267340269361</v>
      </c>
      <c r="AV9" s="14">
        <f t="shared" si="180"/>
        <v>16.899837031911531</v>
      </c>
      <c r="AW9" s="14">
        <f t="shared" si="180"/>
        <v>17.691392348170385</v>
      </c>
      <c r="AX9" s="14">
        <f t="shared" si="180"/>
        <v>17.738513245499874</v>
      </c>
      <c r="AY9" s="14">
        <f t="shared" si="180"/>
        <v>14.800073557450299</v>
      </c>
      <c r="AZ9" s="14">
        <f t="shared" si="180"/>
        <v>14.9556067469792</v>
      </c>
      <c r="BA9" s="14">
        <f t="shared" si="180"/>
        <v>17.003375413814585</v>
      </c>
      <c r="BB9" s="14">
        <f t="shared" si="180"/>
        <v>18.317764097716555</v>
      </c>
      <c r="BC9" s="14">
        <f t="shared" si="180"/>
        <v>18.358238609753545</v>
      </c>
      <c r="BD9" s="14">
        <f t="shared" si="180"/>
        <v>18.150644768449087</v>
      </c>
      <c r="BE9" s="14">
        <f t="shared" si="180"/>
        <v>18.015783325207313</v>
      </c>
      <c r="BF9" s="14">
        <f t="shared" si="180"/>
        <v>17.887310722031749</v>
      </c>
      <c r="BG9" s="14">
        <f t="shared" si="180"/>
        <v>17.335002798265705</v>
      </c>
      <c r="BH9" s="14">
        <f t="shared" si="180"/>
        <v>16.789422703844643</v>
      </c>
      <c r="BI9" s="14">
        <f t="shared" si="180"/>
        <v>17.133138187701924</v>
      </c>
      <c r="BJ9" s="14">
        <f t="shared" si="180"/>
        <v>17.23137244132025</v>
      </c>
      <c r="BK9" s="14">
        <f t="shared" si="180"/>
        <v>16.962383232655142</v>
      </c>
      <c r="BL9" s="14">
        <f t="shared" si="180"/>
        <v>16.77970518036441</v>
      </c>
      <c r="BM9" s="14">
        <f t="shared" si="180"/>
        <v>16.809615583697134</v>
      </c>
      <c r="BN9" s="14">
        <f t="shared" si="180"/>
        <v>16.564329819129661</v>
      </c>
      <c r="BO9" s="14">
        <f t="shared" si="180"/>
        <v>16.268805473079574</v>
      </c>
      <c r="BP9" s="14">
        <f t="shared" si="180"/>
        <v>16.015925136593697</v>
      </c>
      <c r="BQ9" s="14">
        <f t="shared" si="180"/>
        <v>15.754877229597655</v>
      </c>
      <c r="BR9" s="14">
        <f t="shared" si="180"/>
        <v>15.191426844480358</v>
      </c>
      <c r="BS9" s="14">
        <f t="shared" si="180"/>
        <v>14.855629775563022</v>
      </c>
      <c r="BT9" s="14">
        <f t="shared" si="180"/>
        <v>14.884237480332789</v>
      </c>
      <c r="BU9" s="14">
        <f t="shared" si="180"/>
        <v>15.480946917876265</v>
      </c>
      <c r="BV9" s="14">
        <f>BV110/BV104</f>
        <v>15.196284401017243</v>
      </c>
      <c r="BW9" s="14">
        <f t="shared" ref="BW9:BX9" si="181">BW110/BW104</f>
        <v>14.950968230822172</v>
      </c>
      <c r="BX9" s="14">
        <f t="shared" si="181"/>
        <v>14.740217037877867</v>
      </c>
      <c r="BY9" s="14">
        <f t="shared" ref="BY9" si="182">BY110/BY104</f>
        <v>15.204852225574978</v>
      </c>
      <c r="BZ9" s="80">
        <f t="shared" ref="BZ9:CO9" si="183">BZ110/BZ104</f>
        <v>15.039715129025799</v>
      </c>
      <c r="CA9" s="80">
        <f t="shared" si="183"/>
        <v>14.996801133878179</v>
      </c>
      <c r="CB9" s="80">
        <f t="shared" si="183"/>
        <v>14.302790642306405</v>
      </c>
      <c r="CC9" s="80">
        <f t="shared" si="183"/>
        <v>14.110592833343679</v>
      </c>
      <c r="CD9" s="80">
        <f t="shared" si="183"/>
        <v>14.100066035556495</v>
      </c>
      <c r="CE9" s="80">
        <f t="shared" si="183"/>
        <v>14.096901564463673</v>
      </c>
      <c r="CF9" s="80">
        <f t="shared" si="183"/>
        <v>13.462024979654915</v>
      </c>
      <c r="CG9" s="80">
        <f t="shared" si="183"/>
        <v>13.297970023505551</v>
      </c>
      <c r="CH9" s="80">
        <f t="shared" si="183"/>
        <v>13.374156032456407</v>
      </c>
      <c r="CI9" s="80">
        <f t="shared" si="183"/>
        <v>13.444520507033653</v>
      </c>
      <c r="CJ9" s="80">
        <f t="shared" si="183"/>
        <v>12.863413907378712</v>
      </c>
      <c r="CK9" s="80">
        <f t="shared" si="183"/>
        <v>12.736508292117124</v>
      </c>
      <c r="CL9" s="80">
        <f t="shared" si="183"/>
        <v>12.832648242038832</v>
      </c>
      <c r="CM9" s="80">
        <f t="shared" si="183"/>
        <v>12.910048163889195</v>
      </c>
      <c r="CN9" s="80">
        <f t="shared" si="183"/>
        <v>12.368665429132633</v>
      </c>
      <c r="CO9" s="80">
        <f t="shared" si="183"/>
        <v>12.264107921540653</v>
      </c>
      <c r="CS9" s="78">
        <v>14.219563168727944</v>
      </c>
    </row>
    <row r="10" spans="1:102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102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102" s="95" customFormat="1" x14ac:dyDescent="0.2">
      <c r="A12" s="27" t="s">
        <v>7</v>
      </c>
      <c r="B12" s="27"/>
      <c r="C12" s="27"/>
      <c r="D12" s="93" t="e">
        <f t="shared" ref="D12" si="184">D29/C5</f>
        <v>#DIV/0!</v>
      </c>
      <c r="E12" s="93">
        <f t="shared" ref="E12" si="185">E29/D5</f>
        <v>9.7246504968833941E-2</v>
      </c>
      <c r="F12" s="93">
        <f t="shared" ref="F12" si="186">F29/E5</f>
        <v>8.9774533247331534E-2</v>
      </c>
      <c r="G12" s="93">
        <f t="shared" ref="G12" si="187">G29/F5</f>
        <v>8.9179569161021696E-2</v>
      </c>
      <c r="H12" s="93">
        <f t="shared" ref="H12" si="188">H29/G5</f>
        <v>0.10013692477126644</v>
      </c>
      <c r="I12" s="93">
        <f t="shared" ref="I12" si="189">I29/H5</f>
        <v>0.10206405156119827</v>
      </c>
      <c r="J12" s="93">
        <f t="shared" ref="J12" si="190">J29/I5</f>
        <v>0.10652804534904695</v>
      </c>
      <c r="K12" s="93">
        <f t="shared" ref="K12" si="191">K29/J5</f>
        <v>9.8644859571813584E-2</v>
      </c>
      <c r="L12" s="93">
        <f t="shared" ref="L12" si="192">L29/K5</f>
        <v>9.743798499810466E-2</v>
      </c>
      <c r="M12" s="93">
        <f t="shared" ref="M12" si="193">M29/L5</f>
        <v>0.1053817998597098</v>
      </c>
      <c r="N12" s="93">
        <f t="shared" ref="N12" si="194">N29/M5</f>
        <v>9.8347999728986932E-2</v>
      </c>
      <c r="O12" s="93">
        <f t="shared" ref="O12" si="195">O29/N5</f>
        <v>0.10321890264878195</v>
      </c>
      <c r="P12" s="93">
        <f t="shared" ref="P12:Z12" si="196">P29/O5</f>
        <v>9.9591405883295903E-2</v>
      </c>
      <c r="Q12" s="93">
        <f t="shared" si="196"/>
        <v>8.7263742774674094E-2</v>
      </c>
      <c r="R12" s="93">
        <f t="shared" si="196"/>
        <v>7.7386194019863574E-2</v>
      </c>
      <c r="S12" s="93">
        <f t="shared" si="196"/>
        <v>7.4547536405827272E-2</v>
      </c>
      <c r="T12" s="93">
        <f t="shared" si="196"/>
        <v>8.017875208569987E-2</v>
      </c>
      <c r="U12" s="93">
        <f t="shared" si="196"/>
        <v>7.6737416090339447E-2</v>
      </c>
      <c r="V12" s="93">
        <f t="shared" si="196"/>
        <v>0.10014458837895837</v>
      </c>
      <c r="W12" s="93">
        <f t="shared" si="196"/>
        <v>7.5976551475086113E-2</v>
      </c>
      <c r="X12" s="93">
        <f t="shared" si="196"/>
        <v>7.2825544607809045E-2</v>
      </c>
      <c r="Y12" s="93">
        <f t="shared" si="196"/>
        <v>8.6613549002696841E-2</v>
      </c>
      <c r="Z12" s="93">
        <f t="shared" si="196"/>
        <v>8.6027537897917394E-2</v>
      </c>
      <c r="AA12" s="94">
        <f t="shared" ref="AA12" si="197">AA29/Z5</f>
        <v>8.2169970481890384E-2</v>
      </c>
      <c r="AB12" s="94">
        <f t="shared" ref="AB12" si="198">AB29/AA5</f>
        <v>8.315057769802317E-2</v>
      </c>
      <c r="AC12" s="94">
        <f t="shared" ref="AC12" si="199">AC29/AB5</f>
        <v>8.2310959564855471E-2</v>
      </c>
      <c r="AD12" s="94">
        <f t="shared" ref="AD12" si="200">AD29/AC5</f>
        <v>8.1530136717914897E-2</v>
      </c>
      <c r="AE12" s="94">
        <f t="shared" ref="AE12" si="201">AE29/AD5</f>
        <v>8.1566123863972245E-2</v>
      </c>
      <c r="AG12" s="65"/>
      <c r="AH12" s="93" t="e">
        <f>AH29/AG5</f>
        <v>#DIV/0!</v>
      </c>
      <c r="AI12" s="93">
        <f t="shared" ref="AI12:BY12" si="202">AI29/AH5</f>
        <v>2.1272505314728015E-2</v>
      </c>
      <c r="AJ12" s="93">
        <f t="shared" si="202"/>
        <v>2.0254664189478723E-2</v>
      </c>
      <c r="AK12" s="93">
        <f t="shared" si="202"/>
        <v>1.9579500209957374E-2</v>
      </c>
      <c r="AL12" s="93">
        <f t="shared" si="202"/>
        <v>1.8722853003305423E-2</v>
      </c>
      <c r="AM12" s="93">
        <f t="shared" si="202"/>
        <v>1.956011063450545E-2</v>
      </c>
      <c r="AN12" s="93">
        <f t="shared" si="202"/>
        <v>1.9272483497828171E-2</v>
      </c>
      <c r="AO12" s="93">
        <f t="shared" si="202"/>
        <v>1.8804481418251143E-2</v>
      </c>
      <c r="AP12" s="93">
        <f t="shared" si="202"/>
        <v>1.7847358199435125E-2</v>
      </c>
      <c r="AQ12" s="93">
        <f t="shared" si="202"/>
        <v>1.7767971659144999E-2</v>
      </c>
      <c r="AR12" s="93">
        <f t="shared" si="202"/>
        <v>1.916181329736092E-2</v>
      </c>
      <c r="AS12" s="93">
        <f t="shared" si="202"/>
        <v>1.7840264264741765E-2</v>
      </c>
      <c r="AT12" s="93">
        <f t="shared" si="202"/>
        <v>1.9181443541688565E-2</v>
      </c>
      <c r="AU12" s="93">
        <f t="shared" si="202"/>
        <v>1.8495079548170548E-2</v>
      </c>
      <c r="AV12" s="93">
        <f t="shared" si="202"/>
        <v>1.9639670182137164E-2</v>
      </c>
      <c r="AW12" s="93">
        <f t="shared" si="202"/>
        <v>1.8797748184479639E-2</v>
      </c>
      <c r="AX12" s="93">
        <f t="shared" si="202"/>
        <v>1.8344314957561222E-2</v>
      </c>
      <c r="AY12" s="93">
        <f t="shared" si="202"/>
        <v>1.8195130542089613E-2</v>
      </c>
      <c r="AZ12" s="93">
        <f t="shared" si="202"/>
        <v>1.7888925525503346E-2</v>
      </c>
      <c r="BA12" s="93">
        <f t="shared" si="202"/>
        <v>1.7313656327793508E-2</v>
      </c>
      <c r="BB12" s="93">
        <f t="shared" si="202"/>
        <v>2.5574926280058509E-2</v>
      </c>
      <c r="BC12" s="93">
        <f t="shared" si="202"/>
        <v>2.0499449739396224E-2</v>
      </c>
      <c r="BD12" s="93">
        <f t="shared" si="202"/>
        <v>1.6609389789185702E-2</v>
      </c>
      <c r="BE12" s="93">
        <f t="shared" si="202"/>
        <v>1.5264004741143981E-2</v>
      </c>
      <c r="BF12" s="93">
        <f t="shared" si="202"/>
        <v>1.5214427117813194E-2</v>
      </c>
      <c r="BG12" s="93">
        <f t="shared" si="202"/>
        <v>1.5145506188805551E-2</v>
      </c>
      <c r="BH12" s="93">
        <f t="shared" si="202"/>
        <v>1.5357743981195052E-2</v>
      </c>
      <c r="BI12" s="93">
        <f t="shared" si="202"/>
        <v>1.5303770123871149E-2</v>
      </c>
      <c r="BJ12" s="93">
        <f t="shared" si="202"/>
        <v>1.5393938210834858E-2</v>
      </c>
      <c r="BK12" s="93">
        <f t="shared" si="202"/>
        <v>1.6479772433165136E-2</v>
      </c>
      <c r="BL12" s="93">
        <f t="shared" si="202"/>
        <v>1.7725617983472174E-2</v>
      </c>
      <c r="BM12" s="93">
        <f t="shared" si="202"/>
        <v>1.8689999986242292E-2</v>
      </c>
      <c r="BN12" s="93">
        <f t="shared" si="202"/>
        <v>1.9215603198259282E-2</v>
      </c>
      <c r="BO12" s="93">
        <f t="shared" si="202"/>
        <v>2.0137701183618042E-2</v>
      </c>
      <c r="BP12" s="93">
        <f t="shared" si="202"/>
        <v>2.0402966971326333E-2</v>
      </c>
      <c r="BQ12" s="93">
        <f t="shared" si="202"/>
        <v>2.0359955426183771E-2</v>
      </c>
      <c r="BR12" s="93">
        <f t="shared" si="202"/>
        <v>1.9843890478478371E-2</v>
      </c>
      <c r="BS12" s="93">
        <f t="shared" si="202"/>
        <v>2.0112983913982394E-2</v>
      </c>
      <c r="BT12" s="93">
        <f t="shared" si="202"/>
        <v>1.9944523940304982E-2</v>
      </c>
      <c r="BU12" s="93">
        <f t="shared" si="202"/>
        <v>2.0005288598549231E-2</v>
      </c>
      <c r="BV12" s="93">
        <f t="shared" si="202"/>
        <v>1.9336719020981722E-2</v>
      </c>
      <c r="BW12" s="93">
        <f t="shared" si="202"/>
        <v>1.8898586660397711E-2</v>
      </c>
      <c r="BX12" s="93">
        <f t="shared" si="202"/>
        <v>1.8707491265002346E-2</v>
      </c>
      <c r="BY12" s="93">
        <f t="shared" si="202"/>
        <v>1.8142500887035312E-2</v>
      </c>
      <c r="BZ12" s="16">
        <f>+AVERAGE(BV12:BY12)*1.02</f>
        <v>1.9146750947521361E-2</v>
      </c>
      <c r="CA12" s="16">
        <f>+AVERAGE(BW12:BZ12)*1.02</f>
        <v>1.9098309088788967E-2</v>
      </c>
      <c r="CB12" s="16">
        <f t="shared" ref="CB12:CC12" si="203">+AVERAGE(BX12:CA12)*1.01</f>
        <v>1.8961500677557867E-2</v>
      </c>
      <c r="CC12" s="16">
        <f t="shared" si="203"/>
        <v>1.9025638054228133E-2</v>
      </c>
      <c r="CD12" s="16">
        <f>+AVERAGE(BZ12:CC12)*1.01</f>
        <v>1.9248630188944321E-2</v>
      </c>
      <c r="CE12" s="16">
        <f>+AVERAGE(CA12:CD12)*1.01</f>
        <v>1.9274354697403621E-2</v>
      </c>
      <c r="CF12" s="16">
        <f>+AVERAGE(CB12:CE12)</f>
        <v>1.9127530904533487E-2</v>
      </c>
      <c r="CG12" s="16">
        <f>+AVERAGE(CC12:CF12)</f>
        <v>1.9169038461277391E-2</v>
      </c>
      <c r="CH12" s="16">
        <f>+AVERAGE(CD12:CG12)*0.99</f>
        <v>1.9012839677409309E-2</v>
      </c>
      <c r="CI12" s="16">
        <f>+AVERAGE(CE12:CH12)*0.99</f>
        <v>1.8954481525804392E-2</v>
      </c>
      <c r="CJ12" s="16">
        <f t="shared" ref="CJ12:CO12" si="204">+AVERAGE(CF12:CI12)</f>
        <v>1.9065972642256145E-2</v>
      </c>
      <c r="CK12" s="16">
        <f t="shared" si="204"/>
        <v>1.9050583076686813E-2</v>
      </c>
      <c r="CL12" s="16">
        <f t="shared" si="204"/>
        <v>1.9020969230539163E-2</v>
      </c>
      <c r="CM12" s="16">
        <f t="shared" si="204"/>
        <v>1.9023001618821627E-2</v>
      </c>
      <c r="CN12" s="16">
        <f t="shared" si="204"/>
        <v>1.9040131642075936E-2</v>
      </c>
      <c r="CO12" s="16">
        <f t="shared" si="204"/>
        <v>1.9033671392030885E-2</v>
      </c>
      <c r="CS12" s="95">
        <v>1.8898586660397711E-2</v>
      </c>
    </row>
    <row r="13" spans="1:102" s="95" customFormat="1" x14ac:dyDescent="0.2">
      <c r="A13" s="27" t="s">
        <v>27</v>
      </c>
      <c r="B13" s="27"/>
      <c r="C13" s="27"/>
      <c r="D13" s="93" t="e">
        <f t="shared" ref="D13" si="205">D30/C5</f>
        <v>#DIV/0!</v>
      </c>
      <c r="E13" s="93">
        <f t="shared" ref="E13" si="206">E30/D5</f>
        <v>6.0019072341406375E-2</v>
      </c>
      <c r="F13" s="93">
        <f t="shared" ref="F13" si="207">F30/E5</f>
        <v>5.2422037965991514E-2</v>
      </c>
      <c r="G13" s="93">
        <f t="shared" ref="G13" si="208">G30/F5</f>
        <v>5.2515773310113846E-2</v>
      </c>
      <c r="H13" s="93">
        <f t="shared" ref="H13" si="209">H30/G5</f>
        <v>6.4655209947426476E-2</v>
      </c>
      <c r="I13" s="93">
        <f t="shared" ref="I13" si="210">I30/H5</f>
        <v>7.6637100386817286E-2</v>
      </c>
      <c r="J13" s="93">
        <f t="shared" ref="J13" si="211">J30/I5</f>
        <v>7.7170185152531975E-2</v>
      </c>
      <c r="K13" s="93">
        <f t="shared" ref="K13" si="212">K30/J5</f>
        <v>6.8762361948702083E-2</v>
      </c>
      <c r="L13" s="93">
        <f t="shared" ref="L13" si="213">L30/K5</f>
        <v>6.4735053018811037E-2</v>
      </c>
      <c r="M13" s="93">
        <f t="shared" ref="M13" si="214">M30/L5</f>
        <v>7.9116095068605841E-2</v>
      </c>
      <c r="N13" s="93">
        <f t="shared" ref="N13" si="215">N30/M5</f>
        <v>7.5609442548914538E-2</v>
      </c>
      <c r="O13" s="93">
        <f t="shared" ref="O13" si="216">O30/N5</f>
        <v>7.9873979904070275E-2</v>
      </c>
      <c r="P13" s="93">
        <f t="shared" ref="P13:Z13" si="217">P30/O5</f>
        <v>7.7593294685395039E-2</v>
      </c>
      <c r="Q13" s="93">
        <f t="shared" si="217"/>
        <v>6.7910129013640214E-2</v>
      </c>
      <c r="R13" s="93">
        <f t="shared" si="217"/>
        <v>5.8928046990444467E-2</v>
      </c>
      <c r="S13" s="93">
        <f t="shared" si="217"/>
        <v>5.2566929521142912E-2</v>
      </c>
      <c r="T13" s="93">
        <f t="shared" si="217"/>
        <v>5.5380007068826446E-2</v>
      </c>
      <c r="U13" s="93">
        <f t="shared" si="217"/>
        <v>5.6157158635982474E-2</v>
      </c>
      <c r="V13" s="93">
        <f t="shared" si="217"/>
        <v>6.5304046562437254E-2</v>
      </c>
      <c r="W13" s="93">
        <f t="shared" si="217"/>
        <v>4.7096611223028481E-2</v>
      </c>
      <c r="X13" s="93">
        <f t="shared" si="217"/>
        <v>4.5709188092680889E-2</v>
      </c>
      <c r="Y13" s="93">
        <f t="shared" si="217"/>
        <v>5.747410636653081E-2</v>
      </c>
      <c r="Z13" s="93">
        <f t="shared" si="217"/>
        <v>5.9396438742144425E-2</v>
      </c>
      <c r="AA13" s="94">
        <f t="shared" ref="AA13" si="218">AA30/Z5</f>
        <v>5.7973903001063969E-2</v>
      </c>
      <c r="AB13" s="94">
        <f t="shared" ref="AB13" si="219">AB30/AA5</f>
        <v>5.8016004783245693E-2</v>
      </c>
      <c r="AC13" s="94">
        <f t="shared" ref="AC13" si="220">AC30/AB5</f>
        <v>5.6922399275373639E-2</v>
      </c>
      <c r="AD13" s="94">
        <f t="shared" ref="AD13" si="221">AD30/AC5</f>
        <v>5.6908408685752788E-2</v>
      </c>
      <c r="AE13" s="94">
        <f t="shared" ref="AE13" si="222">AE30/AD5</f>
        <v>5.6908294245224457E-2</v>
      </c>
      <c r="AG13" s="65"/>
      <c r="AH13" s="93" t="e">
        <f>AH30/AG5</f>
        <v>#DIV/0!</v>
      </c>
      <c r="AI13" s="93">
        <f t="shared" ref="AI13:BY13" si="223">AI30/AH5</f>
        <v>1.6276038901111182E-2</v>
      </c>
      <c r="AJ13" s="93">
        <f t="shared" si="223"/>
        <v>1.6110320761776702E-2</v>
      </c>
      <c r="AK13" s="93">
        <f t="shared" si="223"/>
        <v>1.5249170931281935E-2</v>
      </c>
      <c r="AL13" s="93">
        <f t="shared" si="223"/>
        <v>1.4488155745022298E-2</v>
      </c>
      <c r="AM13" s="93">
        <f t="shared" si="223"/>
        <v>1.4968949721303648E-2</v>
      </c>
      <c r="AN13" s="93">
        <f t="shared" si="223"/>
        <v>1.4750573223970472E-2</v>
      </c>
      <c r="AO13" s="93">
        <f t="shared" si="223"/>
        <v>1.3951049516879923E-2</v>
      </c>
      <c r="AP13" s="93">
        <f t="shared" si="223"/>
        <v>1.309783745948429E-2</v>
      </c>
      <c r="AQ13" s="93">
        <f t="shared" si="223"/>
        <v>1.2851226109193025E-2</v>
      </c>
      <c r="AR13" s="93">
        <f t="shared" si="223"/>
        <v>1.26187824251722E-2</v>
      </c>
      <c r="AS13" s="93">
        <f t="shared" si="223"/>
        <v>1.262679878554257E-2</v>
      </c>
      <c r="AT13" s="93">
        <f t="shared" si="223"/>
        <v>1.2624878613674468E-2</v>
      </c>
      <c r="AU13" s="93">
        <f t="shared" si="223"/>
        <v>1.3039423886273653E-2</v>
      </c>
      <c r="AV13" s="93">
        <f t="shared" si="223"/>
        <v>1.3494418065346117E-2</v>
      </c>
      <c r="AW13" s="93">
        <f t="shared" si="223"/>
        <v>1.3377387619737892E-2</v>
      </c>
      <c r="AX13" s="93">
        <f t="shared" si="223"/>
        <v>1.3471836530852977E-2</v>
      </c>
      <c r="AY13" s="93">
        <f t="shared" si="223"/>
        <v>1.3599766725556682E-2</v>
      </c>
      <c r="AZ13" s="93">
        <f t="shared" si="223"/>
        <v>1.2891010378754208E-2</v>
      </c>
      <c r="BA13" s="93">
        <f t="shared" si="223"/>
        <v>1.2544534024888547E-2</v>
      </c>
      <c r="BB13" s="93">
        <f t="shared" si="223"/>
        <v>1.6931386461973782E-2</v>
      </c>
      <c r="BC13" s="93">
        <f t="shared" si="223"/>
        <v>1.3193449917292883E-2</v>
      </c>
      <c r="BD13" s="93">
        <f t="shared" si="223"/>
        <v>1.0735983376888018E-2</v>
      </c>
      <c r="BE13" s="93">
        <f t="shared" si="223"/>
        <v>1.0021554595489014E-2</v>
      </c>
      <c r="BF13" s="93">
        <f t="shared" si="223"/>
        <v>9.6312162269927264E-3</v>
      </c>
      <c r="BG13" s="93">
        <f t="shared" si="223"/>
        <v>9.5769551788897501E-3</v>
      </c>
      <c r="BH13" s="93">
        <f t="shared" si="223"/>
        <v>9.3320033399444738E-3</v>
      </c>
      <c r="BI13" s="93">
        <f t="shared" si="223"/>
        <v>9.3011564709026742E-3</v>
      </c>
      <c r="BJ13" s="93">
        <f t="shared" si="223"/>
        <v>9.6478974465793298E-3</v>
      </c>
      <c r="BK13" s="93">
        <f t="shared" si="223"/>
        <v>1.0386961504931888E-2</v>
      </c>
      <c r="BL13" s="93">
        <f t="shared" si="223"/>
        <v>1.0868681792398392E-2</v>
      </c>
      <c r="BM13" s="93">
        <f t="shared" si="223"/>
        <v>1.19543599983941E-2</v>
      </c>
      <c r="BN13" s="93">
        <f t="shared" si="223"/>
        <v>1.2556059697741343E-2</v>
      </c>
      <c r="BO13" s="93">
        <f t="shared" si="223"/>
        <v>1.3457326715305593E-2</v>
      </c>
      <c r="BP13" s="93">
        <f t="shared" si="223"/>
        <v>1.3550442088309559E-2</v>
      </c>
      <c r="BQ13" s="93">
        <f t="shared" si="223"/>
        <v>1.3589029083638354E-2</v>
      </c>
      <c r="BR13" s="93">
        <f t="shared" si="223"/>
        <v>1.3506402591108546E-2</v>
      </c>
      <c r="BS13" s="93">
        <f t="shared" si="223"/>
        <v>1.3813184762348628E-2</v>
      </c>
      <c r="BT13" s="93">
        <f t="shared" si="223"/>
        <v>1.3924920448951144E-2</v>
      </c>
      <c r="BU13" s="93">
        <f t="shared" si="223"/>
        <v>1.3912517460765588E-2</v>
      </c>
      <c r="BV13" s="93">
        <f t="shared" si="223"/>
        <v>1.3717881616542858E-2</v>
      </c>
      <c r="BW13" s="93">
        <f t="shared" si="223"/>
        <v>1.3421913637693125E-2</v>
      </c>
      <c r="BX13" s="93">
        <f t="shared" si="223"/>
        <v>1.3295388819189551E-2</v>
      </c>
      <c r="BY13" s="93">
        <f t="shared" si="223"/>
        <v>1.2553520964552617E-2</v>
      </c>
      <c r="BZ13" s="16">
        <f t="shared" ref="BZ13:CC13" si="224">+AVERAGE(BV13:BY13)*1.01</f>
        <v>1.3379648022089482E-2</v>
      </c>
      <c r="CA13" s="16">
        <f t="shared" si="224"/>
        <v>1.3294244039490007E-2</v>
      </c>
      <c r="CB13" s="16">
        <f t="shared" si="224"/>
        <v>1.3262007465943717E-2</v>
      </c>
      <c r="CC13" s="16">
        <f t="shared" si="224"/>
        <v>1.3253578674249145E-2</v>
      </c>
      <c r="CD13" s="16">
        <f>+AVERAGE(BZ13:CC13)</f>
        <v>1.3297369550443087E-2</v>
      </c>
      <c r="CE13" s="16">
        <f t="shared" ref="CE13:CG13" si="225">+AVERAGE(CA13:CD13)</f>
        <v>1.3276799932531488E-2</v>
      </c>
      <c r="CF13" s="16">
        <f t="shared" si="225"/>
        <v>1.3272438905791859E-2</v>
      </c>
      <c r="CG13" s="16">
        <f t="shared" si="225"/>
        <v>1.3275046765753893E-2</v>
      </c>
      <c r="CH13" s="16">
        <f t="shared" ref="CH13" si="226">+AVERAGE(CD13:CG13)</f>
        <v>1.3280413788630083E-2</v>
      </c>
      <c r="CI13" s="16">
        <f t="shared" ref="CI13" si="227">+AVERAGE(CE13:CH13)</f>
        <v>1.3276174848176831E-2</v>
      </c>
      <c r="CJ13" s="16">
        <f t="shared" ref="CJ13" si="228">+AVERAGE(CF13:CI13)</f>
        <v>1.3276018577088166E-2</v>
      </c>
      <c r="CK13" s="16">
        <f t="shared" ref="CK13" si="229">+AVERAGE(CG13:CJ13)</f>
        <v>1.3276913494912244E-2</v>
      </c>
      <c r="CL13" s="16">
        <f t="shared" ref="CL13" si="230">+AVERAGE(CH13:CK13)</f>
        <v>1.327738017720183E-2</v>
      </c>
      <c r="CM13" s="16">
        <f t="shared" ref="CM13" si="231">+AVERAGE(CI13:CL13)</f>
        <v>1.3276621774344768E-2</v>
      </c>
      <c r="CN13" s="16">
        <f t="shared" ref="CN13" si="232">+AVERAGE(CJ13:CM13)</f>
        <v>1.3276733505886752E-2</v>
      </c>
      <c r="CO13" s="16">
        <f t="shared" ref="CO13" si="233">+AVERAGE(CK13:CN13)</f>
        <v>1.3276912238086396E-2</v>
      </c>
      <c r="CS13" s="95">
        <v>1.3421913637693125E-2</v>
      </c>
    </row>
    <row r="14" spans="1:102" s="30" customFormat="1" x14ac:dyDescent="0.2">
      <c r="A14" s="32" t="s">
        <v>8</v>
      </c>
      <c r="B14" s="32"/>
      <c r="C14" s="32"/>
      <c r="D14" s="28" t="e">
        <f t="shared" ref="D14:O14" si="234">D12-D13</f>
        <v>#DIV/0!</v>
      </c>
      <c r="E14" s="28">
        <f t="shared" si="234"/>
        <v>3.7227432627427566E-2</v>
      </c>
      <c r="F14" s="28">
        <f t="shared" si="234"/>
        <v>3.735249528134002E-2</v>
      </c>
      <c r="G14" s="28">
        <f t="shared" si="234"/>
        <v>3.666379585090785E-2</v>
      </c>
      <c r="H14" s="28">
        <f t="shared" si="234"/>
        <v>3.5481714823839966E-2</v>
      </c>
      <c r="I14" s="28">
        <f t="shared" si="234"/>
        <v>2.5426951174380985E-2</v>
      </c>
      <c r="J14" s="28">
        <f t="shared" si="234"/>
        <v>2.935786019651497E-2</v>
      </c>
      <c r="K14" s="28">
        <f t="shared" si="234"/>
        <v>2.9882497623111501E-2</v>
      </c>
      <c r="L14" s="28">
        <f t="shared" si="234"/>
        <v>3.2702931979293623E-2</v>
      </c>
      <c r="M14" s="28">
        <f t="shared" si="234"/>
        <v>2.6265704791103961E-2</v>
      </c>
      <c r="N14" s="28">
        <f t="shared" si="234"/>
        <v>2.2738557180072394E-2</v>
      </c>
      <c r="O14" s="28">
        <f t="shared" si="234"/>
        <v>2.3344922744711671E-2</v>
      </c>
      <c r="P14" s="28">
        <f>P12-P13</f>
        <v>2.1998111197900863E-2</v>
      </c>
      <c r="Q14" s="28">
        <f t="shared" ref="Q14:T14" si="235">Q12-Q13</f>
        <v>1.935361376103388E-2</v>
      </c>
      <c r="R14" s="28">
        <f t="shared" si="235"/>
        <v>1.8458147029419107E-2</v>
      </c>
      <c r="S14" s="28">
        <f t="shared" si="235"/>
        <v>2.198060688468436E-2</v>
      </c>
      <c r="T14" s="28">
        <f t="shared" si="235"/>
        <v>2.4798745016873423E-2</v>
      </c>
      <c r="U14" s="28">
        <f t="shared" ref="U14:W14" si="236">U12-U13</f>
        <v>2.0580257454356973E-2</v>
      </c>
      <c r="V14" s="28">
        <f t="shared" si="236"/>
        <v>3.4840541816521117E-2</v>
      </c>
      <c r="W14" s="28">
        <f t="shared" si="236"/>
        <v>2.8879940252057631E-2</v>
      </c>
      <c r="X14" s="28">
        <f t="shared" ref="X14:Y14" si="237">X12-X13</f>
        <v>2.7116356515128157E-2</v>
      </c>
      <c r="Y14" s="28">
        <f t="shared" si="237"/>
        <v>2.9139442636166031E-2</v>
      </c>
      <c r="Z14" s="28">
        <f t="shared" ref="Z14:AB14" si="238">Z12-Z13</f>
        <v>2.6631099155772969E-2</v>
      </c>
      <c r="AA14" s="29">
        <f t="shared" si="238"/>
        <v>2.4196067480826415E-2</v>
      </c>
      <c r="AB14" s="29">
        <f t="shared" si="238"/>
        <v>2.5134572914777477E-2</v>
      </c>
      <c r="AC14" s="29">
        <f t="shared" ref="AC14:AE14" si="239">AC12-AC13</f>
        <v>2.5388560289481832E-2</v>
      </c>
      <c r="AD14" s="29">
        <f t="shared" si="239"/>
        <v>2.4621728032162109E-2</v>
      </c>
      <c r="AE14" s="29">
        <f t="shared" si="239"/>
        <v>2.4657829618747788E-2</v>
      </c>
      <c r="AG14" s="58"/>
      <c r="AH14" s="28" t="e">
        <f t="shared" ref="AH14:AL14" si="240">AH12-AH13</f>
        <v>#DIV/0!</v>
      </c>
      <c r="AI14" s="28">
        <f t="shared" si="240"/>
        <v>4.9964664136168332E-3</v>
      </c>
      <c r="AJ14" s="28">
        <f t="shared" si="240"/>
        <v>4.1443434277020214E-3</v>
      </c>
      <c r="AK14" s="28">
        <f t="shared" si="240"/>
        <v>4.3303292786754394E-3</v>
      </c>
      <c r="AL14" s="28">
        <f t="shared" si="240"/>
        <v>4.2346972582831249E-3</v>
      </c>
      <c r="AM14" s="28">
        <f t="shared" ref="AM14" si="241">AM12-AM13</f>
        <v>4.5911609132018028E-3</v>
      </c>
      <c r="AN14" s="28">
        <f t="shared" ref="AN14" si="242">AN12-AN13</f>
        <v>4.5219102738576992E-3</v>
      </c>
      <c r="AO14" s="28">
        <f t="shared" ref="AO14" si="243">AO12-AO13</f>
        <v>4.8534319013712208E-3</v>
      </c>
      <c r="AP14" s="28">
        <f t="shared" ref="AP14" si="244">AP12-AP13</f>
        <v>4.7495207399508351E-3</v>
      </c>
      <c r="AQ14" s="28">
        <f t="shared" ref="AQ14" si="245">AQ12-AQ13</f>
        <v>4.9167455499519747E-3</v>
      </c>
      <c r="AR14" s="28">
        <f t="shared" ref="AR14" si="246">AR12-AR13</f>
        <v>6.5430308721887206E-3</v>
      </c>
      <c r="AS14" s="28">
        <f t="shared" ref="AS14:AW14" si="247">AS12-AS13</f>
        <v>5.2134654791991947E-3</v>
      </c>
      <c r="AT14" s="28">
        <f t="shared" si="247"/>
        <v>6.556564928014097E-3</v>
      </c>
      <c r="AU14" s="28">
        <f t="shared" si="247"/>
        <v>5.4556556618968952E-3</v>
      </c>
      <c r="AV14" s="28">
        <f t="shared" si="247"/>
        <v>6.1452521167910477E-3</v>
      </c>
      <c r="AW14" s="28">
        <f t="shared" si="247"/>
        <v>5.4203605647417472E-3</v>
      </c>
      <c r="AX14" s="28">
        <f t="shared" ref="AX14" si="248">AX12-AX13</f>
        <v>4.8724784267082447E-3</v>
      </c>
      <c r="AY14" s="28">
        <f t="shared" ref="AY14" si="249">AY12-AY13</f>
        <v>4.5953638165329314E-3</v>
      </c>
      <c r="AZ14" s="28">
        <f t="shared" ref="AZ14:BA14" si="250">AZ12-AZ13</f>
        <v>4.9979151467491375E-3</v>
      </c>
      <c r="BA14" s="28">
        <f t="shared" si="250"/>
        <v>4.7691223029049604E-3</v>
      </c>
      <c r="BB14" s="28">
        <f t="shared" ref="BB14:BF14" si="251">BB12-BB13</f>
        <v>8.6435398180847271E-3</v>
      </c>
      <c r="BC14" s="28">
        <f t="shared" si="251"/>
        <v>7.3059998221033408E-3</v>
      </c>
      <c r="BD14" s="28">
        <f t="shared" si="251"/>
        <v>5.8734064122976833E-3</v>
      </c>
      <c r="BE14" s="28">
        <f t="shared" si="251"/>
        <v>5.2424501456549664E-3</v>
      </c>
      <c r="BF14" s="28">
        <f t="shared" si="251"/>
        <v>5.5832108908204676E-3</v>
      </c>
      <c r="BG14" s="28">
        <f t="shared" ref="BG14:BH14" si="252">BG12-BG13</f>
        <v>5.5685510099158005E-3</v>
      </c>
      <c r="BH14" s="28">
        <f t="shared" si="252"/>
        <v>6.0257406412505786E-3</v>
      </c>
      <c r="BI14" s="28">
        <f t="shared" ref="BI14:BJ14" si="253">BI12-BI13</f>
        <v>6.0026136529684748E-3</v>
      </c>
      <c r="BJ14" s="28">
        <f t="shared" si="253"/>
        <v>5.7460407642555278E-3</v>
      </c>
      <c r="BK14" s="28">
        <f t="shared" ref="BK14:BR14" si="254">BK12-BK13</f>
        <v>6.0928109282332478E-3</v>
      </c>
      <c r="BL14" s="28">
        <f t="shared" si="254"/>
        <v>6.8569361910737828E-3</v>
      </c>
      <c r="BM14" s="28">
        <f t="shared" si="254"/>
        <v>6.735639987848192E-3</v>
      </c>
      <c r="BN14" s="28">
        <f t="shared" si="254"/>
        <v>6.6595435005179383E-3</v>
      </c>
      <c r="BO14" s="28">
        <f t="shared" si="254"/>
        <v>6.6803744683124489E-3</v>
      </c>
      <c r="BP14" s="28">
        <f t="shared" si="254"/>
        <v>6.8525248830167747E-3</v>
      </c>
      <c r="BQ14" s="28">
        <f t="shared" si="254"/>
        <v>6.7709263425454174E-3</v>
      </c>
      <c r="BR14" s="28">
        <f t="shared" si="254"/>
        <v>6.3374878873698245E-3</v>
      </c>
      <c r="BS14" s="28">
        <f t="shared" ref="BS14:BT14" si="255">BS12-BS13</f>
        <v>6.2997991516337663E-3</v>
      </c>
      <c r="BT14" s="28">
        <f t="shared" si="255"/>
        <v>6.0196034913538379E-3</v>
      </c>
      <c r="BU14" s="28">
        <f t="shared" ref="BU14:BV14" si="256">BU12-BU13</f>
        <v>6.0927711377836424E-3</v>
      </c>
      <c r="BV14" s="28">
        <f t="shared" si="256"/>
        <v>5.6188374044388641E-3</v>
      </c>
      <c r="BW14" s="28">
        <f t="shared" ref="BW14:BX14" si="257">BW12-BW13</f>
        <v>5.4766730227045861E-3</v>
      </c>
      <c r="BX14" s="28">
        <f t="shared" si="257"/>
        <v>5.4121024458127949E-3</v>
      </c>
      <c r="BY14" s="28">
        <f t="shared" ref="BY14" si="258">BY12-BY13</f>
        <v>5.5889799224826953E-3</v>
      </c>
      <c r="BZ14" s="29">
        <f t="shared" ref="BZ14:CC14" si="259">BZ12-BZ13</f>
        <v>5.7671029254318783E-3</v>
      </c>
      <c r="CA14" s="29">
        <f t="shared" si="259"/>
        <v>5.8040650492989596E-3</v>
      </c>
      <c r="CB14" s="29">
        <f t="shared" si="259"/>
        <v>5.6994932116141497E-3</v>
      </c>
      <c r="CC14" s="29">
        <f t="shared" si="259"/>
        <v>5.7720593799789888E-3</v>
      </c>
      <c r="CD14" s="29">
        <f t="shared" ref="CD14:CO14" si="260">CD12-CD13</f>
        <v>5.9512606385012344E-3</v>
      </c>
      <c r="CE14" s="29">
        <f t="shared" si="260"/>
        <v>5.9975547648721331E-3</v>
      </c>
      <c r="CF14" s="29">
        <f t="shared" si="260"/>
        <v>5.8550919987416274E-3</v>
      </c>
      <c r="CG14" s="29">
        <f t="shared" si="260"/>
        <v>5.8939916955234976E-3</v>
      </c>
      <c r="CH14" s="29">
        <f t="shared" si="260"/>
        <v>5.7324258887792266E-3</v>
      </c>
      <c r="CI14" s="29">
        <f t="shared" si="260"/>
        <v>5.678306677627561E-3</v>
      </c>
      <c r="CJ14" s="29">
        <f t="shared" si="260"/>
        <v>5.7899540651679786E-3</v>
      </c>
      <c r="CK14" s="29">
        <f t="shared" si="260"/>
        <v>5.7736695817745681E-3</v>
      </c>
      <c r="CL14" s="29">
        <f t="shared" si="260"/>
        <v>5.7435890533373331E-3</v>
      </c>
      <c r="CM14" s="29">
        <f t="shared" si="260"/>
        <v>5.7463798444768593E-3</v>
      </c>
      <c r="CN14" s="29">
        <f t="shared" si="260"/>
        <v>5.7633981361891844E-3</v>
      </c>
      <c r="CO14" s="29">
        <f t="shared" si="260"/>
        <v>5.7567591539444893E-3</v>
      </c>
      <c r="CS14" s="30">
        <v>5.4766730227045861E-3</v>
      </c>
    </row>
    <row r="15" spans="1:102" s="30" customFormat="1" x14ac:dyDescent="0.2">
      <c r="A15" s="27" t="s">
        <v>28</v>
      </c>
      <c r="B15" s="27"/>
      <c r="C15" s="27"/>
      <c r="D15" s="28" t="e">
        <f t="shared" ref="D15" si="261">D32/C5</f>
        <v>#DIV/0!</v>
      </c>
      <c r="E15" s="28">
        <f t="shared" ref="E15" si="262">E32/D5</f>
        <v>2.8769208677324042E-2</v>
      </c>
      <c r="F15" s="28">
        <f t="shared" ref="F15" si="263">F32/E5</f>
        <v>1.8303875640901753E-2</v>
      </c>
      <c r="G15" s="28">
        <f t="shared" ref="G15" si="264">G32/F5</f>
        <v>1.4101591212227052E-2</v>
      </c>
      <c r="H15" s="28">
        <f t="shared" ref="H15" si="265">H32/G5</f>
        <v>1.2784805530355122E-2</v>
      </c>
      <c r="I15" s="28">
        <f t="shared" ref="I15" si="266">I32/H5</f>
        <v>1.5904436701556588E-2</v>
      </c>
      <c r="J15" s="28">
        <f t="shared" ref="J15" si="267">J32/I5</f>
        <v>1.438216277133028E-2</v>
      </c>
      <c r="K15" s="28">
        <f t="shared" ref="K15" si="268">K32/J5</f>
        <v>1.503402024853415E-2</v>
      </c>
      <c r="L15" s="28">
        <f t="shared" ref="L15" si="269">L32/K5</f>
        <v>1.1941690459462388E-2</v>
      </c>
      <c r="M15" s="28">
        <f t="shared" ref="M15" si="270">M32/L5</f>
        <v>1.0000297350022168E-2</v>
      </c>
      <c r="N15" s="28">
        <f t="shared" ref="N15" si="271">N32/M5</f>
        <v>9.0994953262248327E-3</v>
      </c>
      <c r="O15" s="28">
        <f t="shared" ref="O15" si="272">O32/N5</f>
        <v>1.0264457469697163E-2</v>
      </c>
      <c r="P15" s="28">
        <f t="shared" ref="P15:Z15" si="273">P32/O5</f>
        <v>1.0358065902726433E-2</v>
      </c>
      <c r="Q15" s="28">
        <f t="shared" si="273"/>
        <v>9.6640188625738525E-3</v>
      </c>
      <c r="R15" s="28">
        <f t="shared" si="273"/>
        <v>1.4125136847889753E-2</v>
      </c>
      <c r="S15" s="28">
        <f t="shared" si="273"/>
        <v>1.2546578177277149E-2</v>
      </c>
      <c r="T15" s="28">
        <f t="shared" si="273"/>
        <v>1.1261866222642299E-2</v>
      </c>
      <c r="U15" s="28">
        <f t="shared" si="273"/>
        <v>1.2252200175537168E-2</v>
      </c>
      <c r="V15" s="28">
        <f t="shared" si="273"/>
        <v>2.1573022240766519E-2</v>
      </c>
      <c r="W15" s="28">
        <f t="shared" si="273"/>
        <v>1.8057535945289045E-2</v>
      </c>
      <c r="X15" s="28">
        <f t="shared" si="273"/>
        <v>1.6184437635268792E-2</v>
      </c>
      <c r="Y15" s="28">
        <f t="shared" si="273"/>
        <v>1.5114377854018498E-2</v>
      </c>
      <c r="Z15" s="28">
        <f t="shared" si="273"/>
        <v>1.6129249069103804E-2</v>
      </c>
      <c r="AA15" s="29">
        <f t="shared" ref="AA15" si="274">AA32/Z5</f>
        <v>1.7451512201990052E-2</v>
      </c>
      <c r="AB15" s="29">
        <f t="shared" ref="AB15" si="275">AB32/AA5</f>
        <v>1.4805423237670902E-2</v>
      </c>
      <c r="AC15" s="29">
        <f t="shared" ref="AC15" si="276">AC32/AB5</f>
        <v>1.361005090540374E-2</v>
      </c>
      <c r="AD15" s="29">
        <f t="shared" ref="AD15" si="277">AD32/AC5</f>
        <v>1.3492136269241175E-2</v>
      </c>
      <c r="AE15" s="29">
        <f t="shared" ref="AE15" si="278">AE32/AD5</f>
        <v>1.3468626735978611E-2</v>
      </c>
      <c r="AG15" s="58"/>
      <c r="AH15" s="28" t="e">
        <f>AH32/AG5</f>
        <v>#DIV/0!</v>
      </c>
      <c r="AI15" s="28">
        <f t="shared" ref="AI15:BY15" si="279">AI32/AH5</f>
        <v>2.2852721595928581E-3</v>
      </c>
      <c r="AJ15" s="28">
        <f t="shared" si="279"/>
        <v>2.1750264779823378E-3</v>
      </c>
      <c r="AK15" s="28">
        <f t="shared" si="279"/>
        <v>2.5233559282076662E-3</v>
      </c>
      <c r="AL15" s="28">
        <f t="shared" si="279"/>
        <v>2.9082573504110036E-3</v>
      </c>
      <c r="AM15" s="28">
        <f t="shared" si="279"/>
        <v>3.3493941410181085E-3</v>
      </c>
      <c r="AN15" s="28">
        <f t="shared" si="279"/>
        <v>3.3564945884790955E-3</v>
      </c>
      <c r="AO15" s="28">
        <f t="shared" si="279"/>
        <v>4.2944006752102231E-3</v>
      </c>
      <c r="AP15" s="28">
        <f t="shared" si="279"/>
        <v>3.6909421855028462E-3</v>
      </c>
      <c r="AQ15" s="28">
        <f t="shared" si="279"/>
        <v>3.4202256855400139E-3</v>
      </c>
      <c r="AR15" s="28">
        <f t="shared" si="279"/>
        <v>2.7858028147252265E-3</v>
      </c>
      <c r="AS15" s="28">
        <f t="shared" si="279"/>
        <v>2.3238704034521367E-3</v>
      </c>
      <c r="AT15" s="28">
        <f t="shared" si="279"/>
        <v>3.0950046156754791E-3</v>
      </c>
      <c r="AU15" s="28">
        <f t="shared" si="279"/>
        <v>2.5859608650019225E-3</v>
      </c>
      <c r="AV15" s="28">
        <f t="shared" si="279"/>
        <v>2.1346605883380398E-3</v>
      </c>
      <c r="AW15" s="28">
        <f t="shared" si="279"/>
        <v>2.8834308111140659E-3</v>
      </c>
      <c r="AX15" s="28">
        <f t="shared" si="279"/>
        <v>2.7994486866161857E-3</v>
      </c>
      <c r="AY15" s="28">
        <f t="shared" si="279"/>
        <v>3.0387374754161302E-3</v>
      </c>
      <c r="AZ15" s="28">
        <f t="shared" si="279"/>
        <v>2.4832873455067576E-3</v>
      </c>
      <c r="BA15" s="28">
        <f t="shared" si="279"/>
        <v>3.1256712488407896E-3</v>
      </c>
      <c r="BB15" s="28">
        <f t="shared" si="279"/>
        <v>3.7578635023757206E-3</v>
      </c>
      <c r="BC15" s="28">
        <f t="shared" si="279"/>
        <v>3.5962310381651365E-3</v>
      </c>
      <c r="BD15" s="28">
        <f t="shared" si="279"/>
        <v>4.0080473217948328E-3</v>
      </c>
      <c r="BE15" s="28">
        <f t="shared" si="279"/>
        <v>4.3941836077368577E-3</v>
      </c>
      <c r="BF15" s="28">
        <f t="shared" si="279"/>
        <v>3.7671827898926821E-3</v>
      </c>
      <c r="BG15" s="28">
        <f t="shared" si="279"/>
        <v>3.7880429914387997E-3</v>
      </c>
      <c r="BH15" s="28">
        <f t="shared" si="279"/>
        <v>3.1336284196333878E-3</v>
      </c>
      <c r="BI15" s="28">
        <f t="shared" si="279"/>
        <v>3.8226202976920655E-3</v>
      </c>
      <c r="BJ15" s="28">
        <f t="shared" si="279"/>
        <v>4.3830188803485048E-3</v>
      </c>
      <c r="BK15" s="28">
        <f t="shared" si="279"/>
        <v>3.9548250815430079E-3</v>
      </c>
      <c r="BL15" s="28">
        <f t="shared" si="279"/>
        <v>3.1784794922696267E-3</v>
      </c>
      <c r="BM15" s="28">
        <f t="shared" si="279"/>
        <v>3.7326923367951475E-3</v>
      </c>
      <c r="BN15" s="28">
        <f t="shared" si="279"/>
        <v>3.703404444494175E-3</v>
      </c>
      <c r="BO15" s="28">
        <f t="shared" si="279"/>
        <v>3.477505363186304E-3</v>
      </c>
      <c r="BP15" s="28">
        <f t="shared" si="279"/>
        <v>3.1254079945041836E-3</v>
      </c>
      <c r="BQ15" s="28">
        <f t="shared" si="279"/>
        <v>3.6877667061150877E-3</v>
      </c>
      <c r="BR15" s="28">
        <f t="shared" si="279"/>
        <v>3.6774323224576209E-3</v>
      </c>
      <c r="BS15" s="28">
        <f t="shared" si="279"/>
        <v>3.3686125444743844E-3</v>
      </c>
      <c r="BT15" s="28">
        <f t="shared" si="279"/>
        <v>3.8177226160365603E-3</v>
      </c>
      <c r="BU15" s="28">
        <f t="shared" si="279"/>
        <v>4.0980782754980807E-3</v>
      </c>
      <c r="BV15" s="28">
        <f t="shared" si="279"/>
        <v>4.4036792097128232E-3</v>
      </c>
      <c r="BW15" s="28">
        <f t="shared" si="279"/>
        <v>4.2260991440364456E-3</v>
      </c>
      <c r="BX15" s="28">
        <f t="shared" si="279"/>
        <v>4.6206946556491529E-3</v>
      </c>
      <c r="BY15" s="28">
        <f t="shared" si="279"/>
        <v>2.7491164001142562E-3</v>
      </c>
      <c r="BZ15" s="16">
        <f>+AVERAGE(BV15:BY15)*0.92</f>
        <v>3.6799055641879162E-3</v>
      </c>
      <c r="CA15" s="16">
        <f t="shared" ref="CA15:CC15" si="280">+AVERAGE(BW15:BZ15)*0.92</f>
        <v>3.5134376257171872E-3</v>
      </c>
      <c r="CB15" s="16">
        <f t="shared" si="280"/>
        <v>3.3495254765037582E-3</v>
      </c>
      <c r="CC15" s="16">
        <f t="shared" si="280"/>
        <v>3.0571565653003175E-3</v>
      </c>
      <c r="CD15" s="16">
        <f>+AVERAGE(BZ15:CC15)*0.97</f>
        <v>3.2980061186894758E-3</v>
      </c>
      <c r="CE15" s="16">
        <f t="shared" ref="CE15:CG15" si="281">+AVERAGE(CA15:CD15)*0.97</f>
        <v>3.2053955031561038E-3</v>
      </c>
      <c r="CF15" s="16">
        <f t="shared" si="281"/>
        <v>3.1306952884350412E-3</v>
      </c>
      <c r="CG15" s="16">
        <f t="shared" si="281"/>
        <v>3.0776289678283771E-3</v>
      </c>
      <c r="CH15" s="16">
        <f t="shared" ref="CH15" si="282">+AVERAGE(CD15:CG15)</f>
        <v>3.1779314695272493E-3</v>
      </c>
      <c r="CI15" s="16">
        <f t="shared" ref="CI15" si="283">+AVERAGE(CE15:CH15)</f>
        <v>3.1479128072366925E-3</v>
      </c>
      <c r="CJ15" s="16">
        <f t="shared" ref="CJ15" si="284">+AVERAGE(CF15:CI15)</f>
        <v>3.13354213325684E-3</v>
      </c>
      <c r="CK15" s="16">
        <f t="shared" ref="CK15" si="285">+AVERAGE(CG15:CJ15)</f>
        <v>3.1342538444622892E-3</v>
      </c>
      <c r="CL15" s="16">
        <f t="shared" ref="CL15" si="286">+AVERAGE(CH15:CK15)</f>
        <v>3.1484100636207674E-3</v>
      </c>
      <c r="CM15" s="16">
        <f t="shared" ref="CM15" si="287">+AVERAGE(CI15:CL15)</f>
        <v>3.1410297121441471E-3</v>
      </c>
      <c r="CN15" s="16">
        <f t="shared" ref="CN15" si="288">+AVERAGE(CJ15:CM15)</f>
        <v>3.139308938371011E-3</v>
      </c>
      <c r="CO15" s="16">
        <f t="shared" ref="CO15" si="289">+AVERAGE(CK15:CN15)</f>
        <v>3.1407506396495537E-3</v>
      </c>
      <c r="CS15" s="30">
        <v>4.2260991440364456E-3</v>
      </c>
    </row>
    <row r="16" spans="1:102" s="30" customFormat="1" x14ac:dyDescent="0.2">
      <c r="A16" s="33" t="s">
        <v>29</v>
      </c>
      <c r="B16" s="33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G16" s="5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</row>
    <row r="17" spans="1:102" s="30" customFormat="1" x14ac:dyDescent="0.2">
      <c r="A17" s="32" t="s">
        <v>30</v>
      </c>
      <c r="B17" s="32"/>
      <c r="C17" s="32"/>
      <c r="D17" s="28" t="e">
        <f t="shared" ref="D17:O17" si="290">D14+D15+D16</f>
        <v>#DIV/0!</v>
      </c>
      <c r="E17" s="28">
        <f t="shared" si="290"/>
        <v>6.5996641304751608E-2</v>
      </c>
      <c r="F17" s="28">
        <f t="shared" si="290"/>
        <v>5.5656370922241773E-2</v>
      </c>
      <c r="G17" s="28">
        <f t="shared" si="290"/>
        <v>5.0765387063134902E-2</v>
      </c>
      <c r="H17" s="28">
        <f t="shared" si="290"/>
        <v>4.826652035419509E-2</v>
      </c>
      <c r="I17" s="28">
        <f t="shared" si="290"/>
        <v>4.133138787593757E-2</v>
      </c>
      <c r="J17" s="28">
        <f t="shared" si="290"/>
        <v>4.3740022967845252E-2</v>
      </c>
      <c r="K17" s="28">
        <f t="shared" si="290"/>
        <v>4.4916517871645648E-2</v>
      </c>
      <c r="L17" s="28">
        <f t="shared" si="290"/>
        <v>4.4644622438756013E-2</v>
      </c>
      <c r="M17" s="28">
        <f t="shared" si="290"/>
        <v>3.626600214112613E-2</v>
      </c>
      <c r="N17" s="28">
        <f t="shared" si="290"/>
        <v>3.1838052506297225E-2</v>
      </c>
      <c r="O17" s="28">
        <f t="shared" si="290"/>
        <v>3.3609380214408832E-2</v>
      </c>
      <c r="P17" s="28">
        <f>P14+P15+P16</f>
        <v>3.2356177100627298E-2</v>
      </c>
      <c r="Q17" s="28">
        <f t="shared" ref="Q17:T17" si="291">Q14+Q15+Q16</f>
        <v>2.9017632623607733E-2</v>
      </c>
      <c r="R17" s="28">
        <f t="shared" si="291"/>
        <v>3.2583283877308862E-2</v>
      </c>
      <c r="S17" s="28">
        <f t="shared" si="291"/>
        <v>3.4527185061961507E-2</v>
      </c>
      <c r="T17" s="28">
        <f t="shared" si="291"/>
        <v>3.6060611239515719E-2</v>
      </c>
      <c r="U17" s="28">
        <f t="shared" ref="U17:W17" si="292">U14+U15+U16</f>
        <v>3.2832457629894139E-2</v>
      </c>
      <c r="V17" s="28">
        <f t="shared" si="292"/>
        <v>5.6413564057287632E-2</v>
      </c>
      <c r="W17" s="28">
        <f t="shared" si="292"/>
        <v>4.6937476197346673E-2</v>
      </c>
      <c r="X17" s="28">
        <f t="shared" ref="X17:Y17" si="293">X14+X15+X16</f>
        <v>4.3300794150396948E-2</v>
      </c>
      <c r="Y17" s="28">
        <f t="shared" si="293"/>
        <v>4.4253820490184531E-2</v>
      </c>
      <c r="Z17" s="28">
        <f t="shared" ref="Z17:AB17" si="294">Z14+Z15+Z16</f>
        <v>4.2760348224876774E-2</v>
      </c>
      <c r="AA17" s="29">
        <f t="shared" si="294"/>
        <v>4.1647579682816467E-2</v>
      </c>
      <c r="AB17" s="29">
        <f t="shared" si="294"/>
        <v>3.9939996152448379E-2</v>
      </c>
      <c r="AC17" s="29">
        <f t="shared" ref="AC17:AE17" si="295">AC14+AC15+AC16</f>
        <v>3.8998611194885568E-2</v>
      </c>
      <c r="AD17" s="29">
        <f t="shared" si="295"/>
        <v>3.8113864301403282E-2</v>
      </c>
      <c r="AE17" s="29">
        <f t="shared" si="295"/>
        <v>3.8126456354726397E-2</v>
      </c>
      <c r="AG17" s="58"/>
      <c r="AH17" s="28" t="e">
        <f t="shared" ref="AH17:AS17" si="296">AH14+AH15+AH16</f>
        <v>#DIV/0!</v>
      </c>
      <c r="AI17" s="28">
        <f t="shared" si="296"/>
        <v>7.2817385732096909E-3</v>
      </c>
      <c r="AJ17" s="28">
        <f t="shared" si="296"/>
        <v>6.3193699056843591E-3</v>
      </c>
      <c r="AK17" s="28">
        <f t="shared" si="296"/>
        <v>6.8536852068831061E-3</v>
      </c>
      <c r="AL17" s="28">
        <f t="shared" si="296"/>
        <v>7.1429546086941281E-3</v>
      </c>
      <c r="AM17" s="28">
        <f t="shared" si="296"/>
        <v>7.9405550542199117E-3</v>
      </c>
      <c r="AN17" s="28">
        <f t="shared" si="296"/>
        <v>7.8784048623367943E-3</v>
      </c>
      <c r="AO17" s="28">
        <f t="shared" si="296"/>
        <v>9.1478325765814439E-3</v>
      </c>
      <c r="AP17" s="28">
        <f t="shared" si="296"/>
        <v>8.4404629254536817E-3</v>
      </c>
      <c r="AQ17" s="28">
        <f t="shared" si="296"/>
        <v>8.3369712354919891E-3</v>
      </c>
      <c r="AR17" s="28">
        <f t="shared" si="296"/>
        <v>9.3288336869139475E-3</v>
      </c>
      <c r="AS17" s="28">
        <f t="shared" si="296"/>
        <v>7.5373358826513314E-3</v>
      </c>
      <c r="AT17" s="28">
        <f t="shared" ref="AT17:AW17" si="297">AT14+AT15+AT16</f>
        <v>9.6515695436895765E-3</v>
      </c>
      <c r="AU17" s="28">
        <f t="shared" si="297"/>
        <v>8.0416165268988177E-3</v>
      </c>
      <c r="AV17" s="28">
        <f t="shared" si="297"/>
        <v>8.2799127051290874E-3</v>
      </c>
      <c r="AW17" s="28">
        <f t="shared" si="297"/>
        <v>8.3037913758558131E-3</v>
      </c>
      <c r="AX17" s="28">
        <f t="shared" ref="AX17" si="298">AX14+AX15+AX16</f>
        <v>7.67192711332443E-3</v>
      </c>
      <c r="AY17" s="28">
        <f t="shared" ref="AY17" si="299">AY14+AY15+AY16</f>
        <v>7.6341012919490612E-3</v>
      </c>
      <c r="AZ17" s="28">
        <f t="shared" ref="AZ17:BA17" si="300">AZ14+AZ15+AZ16</f>
        <v>7.4812024922558951E-3</v>
      </c>
      <c r="BA17" s="28">
        <f t="shared" si="300"/>
        <v>7.8947935517457504E-3</v>
      </c>
      <c r="BB17" s="28">
        <f t="shared" ref="BB17:BF17" si="301">BB14+BB15+BB16</f>
        <v>1.2401403320460448E-2</v>
      </c>
      <c r="BC17" s="28">
        <f t="shared" si="301"/>
        <v>1.0902230860268477E-2</v>
      </c>
      <c r="BD17" s="28">
        <f t="shared" si="301"/>
        <v>9.8814537340925161E-3</v>
      </c>
      <c r="BE17" s="28">
        <f t="shared" si="301"/>
        <v>9.6366337533918232E-3</v>
      </c>
      <c r="BF17" s="28">
        <f t="shared" si="301"/>
        <v>9.3503936807131493E-3</v>
      </c>
      <c r="BG17" s="28">
        <f t="shared" ref="BG17:BH17" si="302">BG14+BG15+BG16</f>
        <v>9.3565940013545998E-3</v>
      </c>
      <c r="BH17" s="28">
        <f t="shared" si="302"/>
        <v>9.1593690608839668E-3</v>
      </c>
      <c r="BI17" s="28">
        <f t="shared" ref="BI17:BJ17" si="303">BI14+BI15+BI16</f>
        <v>9.8252339506605408E-3</v>
      </c>
      <c r="BJ17" s="28">
        <f t="shared" si="303"/>
        <v>1.0129059644604033E-2</v>
      </c>
      <c r="BK17" s="28">
        <f t="shared" ref="BK17:BR17" si="304">BK14+BK15+BK16</f>
        <v>1.0047636009776255E-2</v>
      </c>
      <c r="BL17" s="28">
        <f t="shared" si="304"/>
        <v>1.0035415683343409E-2</v>
      </c>
      <c r="BM17" s="28">
        <f t="shared" si="304"/>
        <v>1.046833232464334E-2</v>
      </c>
      <c r="BN17" s="28">
        <f t="shared" si="304"/>
        <v>1.0362947945012113E-2</v>
      </c>
      <c r="BO17" s="28">
        <f t="shared" si="304"/>
        <v>1.0157879831498753E-2</v>
      </c>
      <c r="BP17" s="28">
        <f t="shared" si="304"/>
        <v>9.9779328775209588E-3</v>
      </c>
      <c r="BQ17" s="28">
        <f t="shared" si="304"/>
        <v>1.0458693048660504E-2</v>
      </c>
      <c r="BR17" s="28">
        <f t="shared" si="304"/>
        <v>1.0014920209827445E-2</v>
      </c>
      <c r="BS17" s="28">
        <f t="shared" ref="BS17:BT17" si="305">BS14+BS15+BS16</f>
        <v>9.6684116961081503E-3</v>
      </c>
      <c r="BT17" s="28">
        <f t="shared" si="305"/>
        <v>9.8373261073903991E-3</v>
      </c>
      <c r="BU17" s="28">
        <f t="shared" ref="BU17:BV17" si="306">BU14+BU15+BU16</f>
        <v>1.0190849413281723E-2</v>
      </c>
      <c r="BV17" s="28">
        <f t="shared" si="306"/>
        <v>1.0022516614151687E-2</v>
      </c>
      <c r="BW17" s="28">
        <f t="shared" ref="BW17:BX17" si="307">BW14+BW15+BW16</f>
        <v>9.7027721667410326E-3</v>
      </c>
      <c r="BX17" s="28">
        <f t="shared" si="307"/>
        <v>1.0032797101461948E-2</v>
      </c>
      <c r="BY17" s="28">
        <f t="shared" ref="BY17" si="308">BY14+BY15+BY16</f>
        <v>8.3380963225969523E-3</v>
      </c>
      <c r="BZ17" s="29">
        <f t="shared" ref="BZ17:CC17" si="309">BZ14+BZ15+BZ16</f>
        <v>9.4470084896197942E-3</v>
      </c>
      <c r="CA17" s="29">
        <f t="shared" si="309"/>
        <v>9.3175026750161472E-3</v>
      </c>
      <c r="CB17" s="29">
        <f t="shared" si="309"/>
        <v>9.0490186881179088E-3</v>
      </c>
      <c r="CC17" s="29">
        <f t="shared" si="309"/>
        <v>8.8292159452793059E-3</v>
      </c>
      <c r="CD17" s="29">
        <f t="shared" ref="CD17:CO17" si="310">CD14+CD15+CD16</f>
        <v>9.2492667571907102E-3</v>
      </c>
      <c r="CE17" s="29">
        <f t="shared" si="310"/>
        <v>9.2029502680282364E-3</v>
      </c>
      <c r="CF17" s="29">
        <f t="shared" si="310"/>
        <v>8.9857872871766682E-3</v>
      </c>
      <c r="CG17" s="29">
        <f t="shared" si="310"/>
        <v>8.9716206633518748E-3</v>
      </c>
      <c r="CH17" s="29">
        <f t="shared" si="310"/>
        <v>8.9103573583064755E-3</v>
      </c>
      <c r="CI17" s="29">
        <f t="shared" si="310"/>
        <v>8.8262194848642526E-3</v>
      </c>
      <c r="CJ17" s="29">
        <f t="shared" si="310"/>
        <v>8.9234961984248178E-3</v>
      </c>
      <c r="CK17" s="29">
        <f t="shared" si="310"/>
        <v>8.9079234262368565E-3</v>
      </c>
      <c r="CL17" s="29">
        <f t="shared" si="310"/>
        <v>8.8919991169581006E-3</v>
      </c>
      <c r="CM17" s="29">
        <f t="shared" si="310"/>
        <v>8.8874095566210069E-3</v>
      </c>
      <c r="CN17" s="29">
        <f t="shared" si="310"/>
        <v>8.9027070745601958E-3</v>
      </c>
      <c r="CO17" s="29">
        <f t="shared" si="310"/>
        <v>8.8975097935940425E-3</v>
      </c>
      <c r="CS17" s="30">
        <v>9.7027721667410326E-3</v>
      </c>
    </row>
    <row r="18" spans="1:102" s="30" customFormat="1" x14ac:dyDescent="0.2">
      <c r="A18" s="32" t="s">
        <v>53</v>
      </c>
      <c r="B18" s="32"/>
      <c r="C18" s="32"/>
      <c r="D18" s="28" t="e">
        <f t="shared" ref="D18" si="311">D41/C5</f>
        <v>#DIV/0!</v>
      </c>
      <c r="E18" s="28">
        <f t="shared" ref="E18" si="312">E41/D5</f>
        <v>2.632151545211401E-2</v>
      </c>
      <c r="F18" s="28">
        <f t="shared" ref="F18" si="313">F41/E5</f>
        <v>2.5004321336067576E-2</v>
      </c>
      <c r="G18" s="28">
        <f t="shared" ref="G18" si="314">G41/F5</f>
        <v>2.402757598523764E-2</v>
      </c>
      <c r="H18" s="28">
        <f t="shared" ref="H18" si="315">H41/G5</f>
        <v>2.2603768183672986E-2</v>
      </c>
      <c r="I18" s="28">
        <f t="shared" ref="I18" si="316">I41/H5</f>
        <v>2.0061669979911902E-2</v>
      </c>
      <c r="J18" s="28">
        <f t="shared" ref="J18" si="317">J41/I5</f>
        <v>1.9074350383101072E-2</v>
      </c>
      <c r="K18" s="28">
        <f t="shared" ref="K18" si="318">K41/J5</f>
        <v>1.8294068445366855E-2</v>
      </c>
      <c r="L18" s="28">
        <f t="shared" ref="L18" si="319">L41/K5</f>
        <v>1.8771051168668892E-2</v>
      </c>
      <c r="M18" s="28">
        <f t="shared" ref="M18" si="320">M41/L5</f>
        <v>1.5964913107972222E-2</v>
      </c>
      <c r="N18" s="28">
        <f t="shared" ref="N18" si="321">N41/M5</f>
        <v>1.4839643930644669E-2</v>
      </c>
      <c r="O18" s="28">
        <f t="shared" ref="O18" si="322">O41/N5</f>
        <v>1.5871380889855409E-2</v>
      </c>
      <c r="P18" s="28">
        <f t="shared" ref="P18:Z18" si="323">P41/O5</f>
        <v>1.6534550429727849E-2</v>
      </c>
      <c r="Q18" s="28">
        <f t="shared" si="323"/>
        <v>1.4851034550656551E-2</v>
      </c>
      <c r="R18" s="28">
        <f t="shared" si="323"/>
        <v>1.5916176097636254E-2</v>
      </c>
      <c r="S18" s="28">
        <f t="shared" si="323"/>
        <v>1.727235101663183E-2</v>
      </c>
      <c r="T18" s="28">
        <f t="shared" si="323"/>
        <v>1.7920115708525971E-2</v>
      </c>
      <c r="U18" s="28">
        <f t="shared" si="323"/>
        <v>1.815484308967277E-2</v>
      </c>
      <c r="V18" s="28">
        <f t="shared" si="323"/>
        <v>2.7953256014875097E-2</v>
      </c>
      <c r="W18" s="28">
        <f t="shared" si="323"/>
        <v>2.1664249283330016E-2</v>
      </c>
      <c r="X18" s="28">
        <f t="shared" si="323"/>
        <v>1.9392718282985541E-2</v>
      </c>
      <c r="Y18" s="28">
        <f t="shared" si="323"/>
        <v>2.0814899400070155E-2</v>
      </c>
      <c r="Z18" s="28">
        <f t="shared" si="323"/>
        <v>2.0210763431335693E-2</v>
      </c>
      <c r="AA18" s="29">
        <f t="shared" ref="AA18" si="324">AA41/Z5</f>
        <v>2.0177156776480205E-2</v>
      </c>
      <c r="AB18" s="29">
        <f t="shared" ref="AB18" si="325">AB41/AA5</f>
        <v>2.0027174254482718E-2</v>
      </c>
      <c r="AC18" s="29">
        <f t="shared" ref="AC18" si="326">AC41/AB5</f>
        <v>1.9656102777722131E-2</v>
      </c>
      <c r="AD18" s="29">
        <f t="shared" ref="AD18" si="327">AD41/AC5</f>
        <v>1.9651730882792196E-2</v>
      </c>
      <c r="AE18" s="29">
        <f t="shared" ref="AE18" si="328">AE41/AD5</f>
        <v>1.9651606389114378E-2</v>
      </c>
      <c r="AG18" s="58"/>
      <c r="AH18" s="28" t="e">
        <f t="shared" ref="AH18" si="329">AH41/AG5</f>
        <v>#DIV/0!</v>
      </c>
      <c r="AI18" s="28">
        <f t="shared" ref="AI18" si="330">AI41/AH5</f>
        <v>3.6113700280698898E-3</v>
      </c>
      <c r="AJ18" s="28">
        <f t="shared" ref="AJ18" si="331">AJ41/AI5</f>
        <v>3.4298322649308666E-3</v>
      </c>
      <c r="AK18" s="28">
        <f t="shared" ref="AK18" si="332">AK41/AJ5</f>
        <v>3.8499680350531631E-3</v>
      </c>
      <c r="AL18" s="28">
        <f t="shared" ref="AL18" si="333">AL41/AK5</f>
        <v>3.8048408000032081E-3</v>
      </c>
      <c r="AM18" s="28">
        <f t="shared" ref="AM18" si="334">AM41/AL5</f>
        <v>3.9163081001981608E-3</v>
      </c>
      <c r="AN18" s="28">
        <f t="shared" ref="AN18" si="335">AN41/AM5</f>
        <v>4.1666654958182449E-3</v>
      </c>
      <c r="AO18" s="28">
        <f t="shared" ref="AO18" si="336">AO41/AN5</f>
        <v>3.8200287909862817E-3</v>
      </c>
      <c r="AP18" s="28">
        <f t="shared" ref="AP18" si="337">AP41/AO5</f>
        <v>4.1125670935185602E-3</v>
      </c>
      <c r="AQ18" s="28">
        <f t="shared" ref="AQ18" si="338">AQ41/AP5</f>
        <v>3.9564383025071865E-3</v>
      </c>
      <c r="AR18" s="28">
        <f t="shared" ref="AR18" si="339">AR41/AQ5</f>
        <v>4.2934388568300905E-3</v>
      </c>
      <c r="AS18" s="28">
        <f t="shared" ref="AS18" si="340">AS41/AR5</f>
        <v>4.4579502046068684E-3</v>
      </c>
      <c r="AT18" s="28">
        <f t="shared" ref="AT18:BY18" si="341">AT41/AS5</f>
        <v>4.6993358896602515E-3</v>
      </c>
      <c r="AU18" s="28">
        <f t="shared" si="341"/>
        <v>4.1719612183184207E-3</v>
      </c>
      <c r="AV18" s="28">
        <f t="shared" si="341"/>
        <v>4.4816448096483266E-3</v>
      </c>
      <c r="AW18" s="28">
        <f t="shared" si="341"/>
        <v>3.6990671997956452E-3</v>
      </c>
      <c r="AX18" s="28">
        <f t="shared" si="341"/>
        <v>4.0032054572311689E-3</v>
      </c>
      <c r="AY18" s="28">
        <f t="shared" si="341"/>
        <v>3.8979014807214067E-3</v>
      </c>
      <c r="AZ18" s="28">
        <f t="shared" si="341"/>
        <v>4.0847788136424033E-3</v>
      </c>
      <c r="BA18" s="28">
        <f t="shared" si="341"/>
        <v>4.9618117904998782E-3</v>
      </c>
      <c r="BB18" s="28">
        <f t="shared" si="341"/>
        <v>6.3246001257674005E-3</v>
      </c>
      <c r="BC18" s="28">
        <f t="shared" si="341"/>
        <v>5.5753313788803466E-3</v>
      </c>
      <c r="BD18" s="28">
        <f t="shared" si="341"/>
        <v>4.7988006226342703E-3</v>
      </c>
      <c r="BE18" s="28">
        <f t="shared" si="341"/>
        <v>4.7590637885000725E-3</v>
      </c>
      <c r="BF18" s="28">
        <f t="shared" si="341"/>
        <v>4.3821732886769891E-3</v>
      </c>
      <c r="BG18" s="28">
        <f t="shared" si="341"/>
        <v>4.3828770444807744E-3</v>
      </c>
      <c r="BH18" s="28">
        <f t="shared" si="341"/>
        <v>4.1248721169519021E-3</v>
      </c>
      <c r="BI18" s="28">
        <f t="shared" si="341"/>
        <v>4.5114257128697583E-3</v>
      </c>
      <c r="BJ18" s="28">
        <f t="shared" si="341"/>
        <v>4.5341919228158705E-3</v>
      </c>
      <c r="BK18" s="28">
        <f t="shared" si="341"/>
        <v>4.387856245308441E-3</v>
      </c>
      <c r="BL18" s="28">
        <f t="shared" si="341"/>
        <v>4.4923797567954175E-3</v>
      </c>
      <c r="BM18" s="28">
        <f t="shared" si="341"/>
        <v>4.7993444828284444E-3</v>
      </c>
      <c r="BN18" s="28">
        <f t="shared" si="341"/>
        <v>4.5192660551586789E-3</v>
      </c>
      <c r="BO18" s="28">
        <f t="shared" si="341"/>
        <v>4.4435157590477087E-3</v>
      </c>
      <c r="BP18" s="28">
        <f t="shared" si="341"/>
        <v>5.0257646232688899E-3</v>
      </c>
      <c r="BQ18" s="28">
        <f t="shared" si="341"/>
        <v>5.2375131653072801E-3</v>
      </c>
      <c r="BR18" s="28">
        <f t="shared" si="341"/>
        <v>4.7491801652386634E-3</v>
      </c>
      <c r="BS18" s="28">
        <f t="shared" si="341"/>
        <v>4.4921844824413401E-3</v>
      </c>
      <c r="BT18" s="28">
        <f t="shared" si="341"/>
        <v>4.6809634067264353E-3</v>
      </c>
      <c r="BU18" s="28">
        <f t="shared" si="341"/>
        <v>4.8454847532417916E-3</v>
      </c>
      <c r="BV18" s="28">
        <f t="shared" si="341"/>
        <v>4.687572467095464E-3</v>
      </c>
      <c r="BW18" s="28">
        <f t="shared" si="341"/>
        <v>4.5574486490721133E-3</v>
      </c>
      <c r="BX18" s="28">
        <f t="shared" si="341"/>
        <v>4.6984046581054258E-3</v>
      </c>
      <c r="BY18" s="28">
        <f t="shared" si="341"/>
        <v>4.4874665644934796E-3</v>
      </c>
      <c r="BZ18" s="16">
        <f t="shared" ref="BZ18" si="342">+AVERAGE(BV18:BY18)</f>
        <v>4.6077230846916211E-3</v>
      </c>
      <c r="CA18" s="16">
        <f t="shared" ref="CA18" si="343">+AVERAGE(BW18:BZ18)</f>
        <v>4.58776073909066E-3</v>
      </c>
      <c r="CB18" s="16">
        <f t="shared" ref="CB18" si="344">+AVERAGE(BX18:CA18)</f>
        <v>4.5953387615952964E-3</v>
      </c>
      <c r="CC18" s="16">
        <f t="shared" ref="CC18" si="345">+AVERAGE(BY18:CB18)</f>
        <v>4.569572287467764E-3</v>
      </c>
      <c r="CD18" s="16">
        <f t="shared" ref="CD18" si="346">+AVERAGE(BZ18:CC18)</f>
        <v>4.5900987182113349E-3</v>
      </c>
      <c r="CE18" s="16">
        <f t="shared" ref="CE18" si="347">+AVERAGE(CA18:CD18)</f>
        <v>4.5856926265912638E-3</v>
      </c>
      <c r="CF18" s="16">
        <f t="shared" ref="CF18" si="348">+AVERAGE(CB18:CE18)</f>
        <v>4.5851755984664148E-3</v>
      </c>
      <c r="CG18" s="16">
        <f t="shared" ref="CG18" si="349">+AVERAGE(CC18:CF18)</f>
        <v>4.5826348076841942E-3</v>
      </c>
      <c r="CH18" s="16">
        <f t="shared" ref="CH18" si="350">+AVERAGE(CD18:CG18)</f>
        <v>4.5859004377383026E-3</v>
      </c>
      <c r="CI18" s="16">
        <f t="shared" ref="CI18" si="351">+AVERAGE(CE18:CH18)</f>
        <v>4.5848508676200441E-3</v>
      </c>
      <c r="CJ18" s="16">
        <f t="shared" ref="CJ18" si="352">+AVERAGE(CF18:CI18)</f>
        <v>4.5846404278772389E-3</v>
      </c>
      <c r="CK18" s="16">
        <f t="shared" ref="CK18" si="353">+AVERAGE(CG18:CJ18)</f>
        <v>4.5845066352299445E-3</v>
      </c>
      <c r="CL18" s="16">
        <f t="shared" ref="CL18" si="354">+AVERAGE(CH18:CK18)</f>
        <v>4.5849745921163823E-3</v>
      </c>
      <c r="CM18" s="16">
        <f t="shared" ref="CM18" si="355">+AVERAGE(CI18:CL18)</f>
        <v>4.5847431307109027E-3</v>
      </c>
      <c r="CN18" s="16">
        <f t="shared" ref="CN18" si="356">+AVERAGE(CJ18:CM18)</f>
        <v>4.5847161964836167E-3</v>
      </c>
      <c r="CO18" s="16">
        <f t="shared" ref="CO18" si="357">+AVERAGE(CK18:CN18)</f>
        <v>4.5847351386352113E-3</v>
      </c>
      <c r="CS18" s="30">
        <v>4.5574486490721133E-3</v>
      </c>
    </row>
    <row r="19" spans="1:102" s="37" customFormat="1" x14ac:dyDescent="0.2">
      <c r="A19" s="34" t="s">
        <v>11</v>
      </c>
      <c r="B19" s="34"/>
      <c r="C19" s="34"/>
      <c r="D19" s="35" t="e">
        <f t="shared" ref="D19:O19" si="358">D17-D18</f>
        <v>#DIV/0!</v>
      </c>
      <c r="E19" s="35">
        <f t="shared" si="358"/>
        <v>3.9675125852637598E-2</v>
      </c>
      <c r="F19" s="35">
        <f t="shared" si="358"/>
        <v>3.0652049586174197E-2</v>
      </c>
      <c r="G19" s="35">
        <f t="shared" si="358"/>
        <v>2.6737811077897262E-2</v>
      </c>
      <c r="H19" s="35">
        <f t="shared" si="358"/>
        <v>2.5662752170522104E-2</v>
      </c>
      <c r="I19" s="35">
        <f t="shared" si="358"/>
        <v>2.1269717896025667E-2</v>
      </c>
      <c r="J19" s="35">
        <f t="shared" si="358"/>
        <v>2.466567258474418E-2</v>
      </c>
      <c r="K19" s="35">
        <f t="shared" si="358"/>
        <v>2.6622449426278793E-2</v>
      </c>
      <c r="L19" s="35">
        <f t="shared" si="358"/>
        <v>2.5873571270087121E-2</v>
      </c>
      <c r="M19" s="35">
        <f t="shared" si="358"/>
        <v>2.0301089033153908E-2</v>
      </c>
      <c r="N19" s="35">
        <f t="shared" si="358"/>
        <v>1.6998408575652556E-2</v>
      </c>
      <c r="O19" s="35">
        <f t="shared" si="358"/>
        <v>1.7737999324553423E-2</v>
      </c>
      <c r="P19" s="35">
        <f>P17-P18</f>
        <v>1.5821626670899449E-2</v>
      </c>
      <c r="Q19" s="35">
        <f t="shared" ref="Q19:Z19" si="359">Q17-Q18</f>
        <v>1.4166598072951182E-2</v>
      </c>
      <c r="R19" s="35">
        <f t="shared" si="359"/>
        <v>1.6667107779672608E-2</v>
      </c>
      <c r="S19" s="35">
        <f t="shared" si="359"/>
        <v>1.7254834045329678E-2</v>
      </c>
      <c r="T19" s="35">
        <f t="shared" si="359"/>
        <v>1.8140495530989748E-2</v>
      </c>
      <c r="U19" s="35">
        <f t="shared" si="359"/>
        <v>1.467761454022137E-2</v>
      </c>
      <c r="V19" s="35">
        <f t="shared" si="359"/>
        <v>2.8460308042412535E-2</v>
      </c>
      <c r="W19" s="35">
        <f t="shared" si="359"/>
        <v>2.5273226914016657E-2</v>
      </c>
      <c r="X19" s="35">
        <f t="shared" si="359"/>
        <v>2.3908075867411407E-2</v>
      </c>
      <c r="Y19" s="35">
        <f t="shared" si="359"/>
        <v>2.3438921090114376E-2</v>
      </c>
      <c r="Z19" s="35">
        <f t="shared" si="359"/>
        <v>2.2549584793541081E-2</v>
      </c>
      <c r="AA19" s="36">
        <f t="shared" ref="AA19" si="360">AA17-AA18</f>
        <v>2.1470422906336262E-2</v>
      </c>
      <c r="AB19" s="36">
        <f t="shared" ref="AB19:AE19" si="361">AB17-AB18</f>
        <v>1.9912821897965661E-2</v>
      </c>
      <c r="AC19" s="36">
        <f t="shared" si="361"/>
        <v>1.9342508417163437E-2</v>
      </c>
      <c r="AD19" s="36">
        <f t="shared" si="361"/>
        <v>1.8462133418611085E-2</v>
      </c>
      <c r="AE19" s="36">
        <f t="shared" si="361"/>
        <v>1.8474849965612019E-2</v>
      </c>
      <c r="AG19" s="59"/>
      <c r="AH19" s="35" t="e">
        <f t="shared" ref="AH19:AS19" si="362">AH17-AH18</f>
        <v>#DIV/0!</v>
      </c>
      <c r="AI19" s="35">
        <f t="shared" si="362"/>
        <v>3.6703685451398012E-3</v>
      </c>
      <c r="AJ19" s="35">
        <f t="shared" si="362"/>
        <v>2.8895376407534925E-3</v>
      </c>
      <c r="AK19" s="35">
        <f t="shared" si="362"/>
        <v>3.003717171829943E-3</v>
      </c>
      <c r="AL19" s="35">
        <f t="shared" si="362"/>
        <v>3.33811380869092E-3</v>
      </c>
      <c r="AM19" s="35">
        <f t="shared" si="362"/>
        <v>4.0242469540217509E-3</v>
      </c>
      <c r="AN19" s="35">
        <f t="shared" si="362"/>
        <v>3.7117393665185494E-3</v>
      </c>
      <c r="AO19" s="35">
        <f t="shared" si="362"/>
        <v>5.3278037855951626E-3</v>
      </c>
      <c r="AP19" s="35">
        <f t="shared" si="362"/>
        <v>4.3278958319351215E-3</v>
      </c>
      <c r="AQ19" s="35">
        <f t="shared" si="362"/>
        <v>4.3805329329848026E-3</v>
      </c>
      <c r="AR19" s="35">
        <f t="shared" si="362"/>
        <v>5.035394830083857E-3</v>
      </c>
      <c r="AS19" s="35">
        <f t="shared" si="362"/>
        <v>3.079385678044463E-3</v>
      </c>
      <c r="AT19" s="35">
        <f t="shared" ref="AT19" si="363">AT17-AT18</f>
        <v>4.952233654029325E-3</v>
      </c>
      <c r="AU19" s="35">
        <f t="shared" ref="AU19" si="364">AU17-AU18</f>
        <v>3.869655308580397E-3</v>
      </c>
      <c r="AV19" s="35">
        <f t="shared" ref="AV19" si="365">AV17-AV18</f>
        <v>3.7982678954807609E-3</v>
      </c>
      <c r="AW19" s="35">
        <f t="shared" ref="AW19" si="366">AW17-AW18</f>
        <v>4.6047241760601675E-3</v>
      </c>
      <c r="AX19" s="35">
        <f t="shared" ref="AX19" si="367">AX17-AX18</f>
        <v>3.6687216560932611E-3</v>
      </c>
      <c r="AY19" s="35">
        <f t="shared" ref="AY19" si="368">AY17-AY18</f>
        <v>3.7361998112276544E-3</v>
      </c>
      <c r="AZ19" s="35">
        <f t="shared" ref="AZ19" si="369">AZ17-AZ18</f>
        <v>3.3964236786134918E-3</v>
      </c>
      <c r="BA19" s="35">
        <f t="shared" ref="BA19" si="370">BA17-BA18</f>
        <v>2.9329817612458722E-3</v>
      </c>
      <c r="BB19" s="35">
        <f t="shared" ref="BB19" si="371">BB17-BB18</f>
        <v>6.0768031946930477E-3</v>
      </c>
      <c r="BC19" s="35">
        <f t="shared" ref="BC19" si="372">BC17-BC18</f>
        <v>5.3268994813881303E-3</v>
      </c>
      <c r="BD19" s="35">
        <f t="shared" ref="BD19" si="373">BD17-BD18</f>
        <v>5.0826531114582458E-3</v>
      </c>
      <c r="BE19" s="35">
        <f t="shared" ref="BE19" si="374">BE17-BE18</f>
        <v>4.8775699648917507E-3</v>
      </c>
      <c r="BF19" s="35">
        <f t="shared" ref="BF19" si="375">BF17-BF18</f>
        <v>4.9682203920361602E-3</v>
      </c>
      <c r="BG19" s="35">
        <f t="shared" ref="BG19" si="376">BG17-BG18</f>
        <v>4.9737169568738254E-3</v>
      </c>
      <c r="BH19" s="35">
        <f t="shared" ref="BH19" si="377">BH17-BH18</f>
        <v>5.0344969439320647E-3</v>
      </c>
      <c r="BI19" s="35">
        <f t="shared" ref="BI19" si="378">BI17-BI18</f>
        <v>5.3138082377907825E-3</v>
      </c>
      <c r="BJ19" s="35">
        <f t="shared" ref="BJ19" si="379">BJ17-BJ18</f>
        <v>5.5948677217881621E-3</v>
      </c>
      <c r="BK19" s="35">
        <f t="shared" ref="BK19" si="380">BK17-BK18</f>
        <v>5.6597797644678139E-3</v>
      </c>
      <c r="BL19" s="35">
        <f t="shared" ref="BL19" si="381">BL17-BL18</f>
        <v>5.5430359265479911E-3</v>
      </c>
      <c r="BM19" s="35">
        <f t="shared" ref="BM19" si="382">BM17-BM18</f>
        <v>5.6689878418148959E-3</v>
      </c>
      <c r="BN19" s="35">
        <f t="shared" ref="BN19" si="383">BN17-BN18</f>
        <v>5.8436818898534339E-3</v>
      </c>
      <c r="BO19" s="35">
        <f t="shared" ref="BO19" si="384">BO17-BO18</f>
        <v>5.7143640724510447E-3</v>
      </c>
      <c r="BP19" s="35">
        <f t="shared" ref="BP19" si="385">BP17-BP18</f>
        <v>4.9521682542520689E-3</v>
      </c>
      <c r="BQ19" s="35">
        <f t="shared" ref="BQ19" si="386">BQ17-BQ18</f>
        <v>5.2211798833532242E-3</v>
      </c>
      <c r="BR19" s="35">
        <f t="shared" ref="BR19" si="387">BR17-BR18</f>
        <v>5.265740044588782E-3</v>
      </c>
      <c r="BS19" s="35">
        <f t="shared" ref="BS19" si="388">BS17-BS18</f>
        <v>5.1762272136668102E-3</v>
      </c>
      <c r="BT19" s="35">
        <f t="shared" ref="BT19" si="389">BT17-BT18</f>
        <v>5.1563627006639638E-3</v>
      </c>
      <c r="BU19" s="35">
        <f t="shared" ref="BU19:BV19" si="390">BU17-BU18</f>
        <v>5.3453646600399316E-3</v>
      </c>
      <c r="BV19" s="35">
        <f t="shared" si="390"/>
        <v>5.3349441470562226E-3</v>
      </c>
      <c r="BW19" s="35">
        <f t="shared" ref="BW19:BX19" si="391">BW17-BW18</f>
        <v>5.1453235176689193E-3</v>
      </c>
      <c r="BX19" s="35">
        <f t="shared" si="391"/>
        <v>5.3343924433565219E-3</v>
      </c>
      <c r="BY19" s="35">
        <f t="shared" ref="BY19" si="392">BY17-BY18</f>
        <v>3.8506297581034727E-3</v>
      </c>
      <c r="BZ19" s="36">
        <f t="shared" ref="BZ19" si="393">BZ17-BZ18</f>
        <v>4.8392854049281731E-3</v>
      </c>
      <c r="CA19" s="36">
        <f t="shared" ref="CA19" si="394">CA17-CA18</f>
        <v>4.7297419359254873E-3</v>
      </c>
      <c r="CB19" s="36">
        <f t="shared" ref="CB19" si="395">CB17-CB18</f>
        <v>4.4536799265226124E-3</v>
      </c>
      <c r="CC19" s="36">
        <f t="shared" ref="CC19" si="396">CC17-CC18</f>
        <v>4.2596436578115418E-3</v>
      </c>
      <c r="CD19" s="36">
        <f t="shared" ref="CD19" si="397">CD17-CD18</f>
        <v>4.6591680389793753E-3</v>
      </c>
      <c r="CE19" s="36">
        <f t="shared" ref="CE19" si="398">CE17-CE18</f>
        <v>4.6172576414369726E-3</v>
      </c>
      <c r="CF19" s="36">
        <f t="shared" ref="CF19" si="399">CF17-CF18</f>
        <v>4.4006116887102533E-3</v>
      </c>
      <c r="CG19" s="36">
        <f t="shared" ref="CG19" si="400">CG17-CG18</f>
        <v>4.3889858556676806E-3</v>
      </c>
      <c r="CH19" s="36">
        <f t="shared" ref="CH19" si="401">CH17-CH18</f>
        <v>4.3244569205681729E-3</v>
      </c>
      <c r="CI19" s="36">
        <f t="shared" ref="CI19" si="402">CI17-CI18</f>
        <v>4.2413686172442086E-3</v>
      </c>
      <c r="CJ19" s="36">
        <f t="shared" ref="CJ19" si="403">CJ17-CJ18</f>
        <v>4.3388557705475788E-3</v>
      </c>
      <c r="CK19" s="36">
        <f t="shared" ref="CK19" si="404">CK17-CK18</f>
        <v>4.3234167910069119E-3</v>
      </c>
      <c r="CL19" s="36">
        <f t="shared" ref="CL19" si="405">CL17-CL18</f>
        <v>4.3070245248417183E-3</v>
      </c>
      <c r="CM19" s="36">
        <f t="shared" ref="CM19" si="406">CM17-CM18</f>
        <v>4.3026664259101042E-3</v>
      </c>
      <c r="CN19" s="36">
        <f t="shared" ref="CN19" si="407">CN17-CN18</f>
        <v>4.3179908780765792E-3</v>
      </c>
      <c r="CO19" s="36">
        <f t="shared" ref="CO19" si="408">CO17-CO18</f>
        <v>4.3127746549588312E-3</v>
      </c>
      <c r="CS19" s="37">
        <v>5.1453235176689193E-3</v>
      </c>
    </row>
    <row r="20" spans="1:102" s="95" customFormat="1" x14ac:dyDescent="0.2">
      <c r="A20" s="27" t="s">
        <v>31</v>
      </c>
      <c r="B20" s="27"/>
      <c r="C20" s="27"/>
      <c r="D20" s="93" t="e">
        <f t="shared" ref="D20" si="409">D44/C5</f>
        <v>#DIV/0!</v>
      </c>
      <c r="E20" s="93">
        <f t="shared" ref="E20" si="410">E44/D5</f>
        <v>1.652548254806261E-2</v>
      </c>
      <c r="F20" s="93">
        <f t="shared" ref="F20" si="411">F44/E5</f>
        <v>1.548202943562099E-2</v>
      </c>
      <c r="G20" s="93">
        <f t="shared" ref="G20" si="412">G44/F5</f>
        <v>1.0939900223696675E-2</v>
      </c>
      <c r="H20" s="93">
        <f t="shared" ref="H20" si="413">H44/G5</f>
        <v>1.0940683632810113E-2</v>
      </c>
      <c r="I20" s="93">
        <f t="shared" ref="I20" si="414">I44/H5</f>
        <v>7.5779847096968233E-3</v>
      </c>
      <c r="J20" s="93">
        <f t="shared" ref="J20" si="415">J44/I5</f>
        <v>8.6580776311566184E-3</v>
      </c>
      <c r="K20" s="93">
        <f t="shared" ref="K20" si="416">K44/J5</f>
        <v>6.5197818152491318E-3</v>
      </c>
      <c r="L20" s="93">
        <f t="shared" ref="L20" si="417">L44/K5</f>
        <v>4.5261018632384246E-3</v>
      </c>
      <c r="M20" s="93">
        <f t="shared" ref="M20" si="418">M44/L5</f>
        <v>6.3550606119554872E-3</v>
      </c>
      <c r="N20" s="93">
        <f t="shared" ref="N20" si="419">N44/M5</f>
        <v>6.4008188151810927E-3</v>
      </c>
      <c r="O20" s="93">
        <f t="shared" ref="O20" si="420">O44/N5</f>
        <v>9.7430896240472079E-3</v>
      </c>
      <c r="P20" s="93">
        <f t="shared" ref="P20:Z20" si="421">P44/O5</f>
        <v>7.8597301645532275E-3</v>
      </c>
      <c r="Q20" s="93">
        <f t="shared" si="421"/>
        <v>2.048165899305655E-2</v>
      </c>
      <c r="R20" s="93">
        <f t="shared" si="421"/>
        <v>1.3597058487384383E-2</v>
      </c>
      <c r="S20" s="93">
        <f t="shared" si="421"/>
        <v>2.9111101188266927E-2</v>
      </c>
      <c r="T20" s="93">
        <f t="shared" si="421"/>
        <v>2.2126974016394508E-2</v>
      </c>
      <c r="U20" s="93">
        <f t="shared" si="421"/>
        <v>1.7430605137961113E-2</v>
      </c>
      <c r="V20" s="93">
        <f t="shared" si="421"/>
        <v>2.3101528811961002E-2</v>
      </c>
      <c r="W20" s="93">
        <f t="shared" si="421"/>
        <v>1.546386709313792E-2</v>
      </c>
      <c r="X20" s="93">
        <f t="shared" si="421"/>
        <v>1.1682319712938956E-2</v>
      </c>
      <c r="Y20" s="93">
        <f t="shared" si="421"/>
        <v>7.7360055692891165E-3</v>
      </c>
      <c r="Z20" s="93">
        <f t="shared" si="421"/>
        <v>6.2954351327721009E-3</v>
      </c>
      <c r="AA20" s="94">
        <f t="shared" ref="AA20" si="422">AA44/Z5</f>
        <v>5.2747870959143914E-3</v>
      </c>
      <c r="AB20" s="94">
        <f t="shared" ref="AB20" si="423">AB44/AA5</f>
        <v>4.8830303766048801E-3</v>
      </c>
      <c r="AC20" s="94">
        <f t="shared" ref="AC20" si="424">AC44/AB5</f>
        <v>4.7238312661968315E-3</v>
      </c>
      <c r="AD20" s="94">
        <f t="shared" ref="AD20" si="425">AD44/AC5</f>
        <v>4.702918062162398E-3</v>
      </c>
      <c r="AE20" s="94">
        <f t="shared" ref="AE20" si="426">AE44/AD5</f>
        <v>4.6992988589917763E-3</v>
      </c>
      <c r="AG20" s="65"/>
      <c r="AH20" s="93" t="e">
        <f t="shared" ref="AH20" si="427">AH44/AG5</f>
        <v>#DIV/0!</v>
      </c>
      <c r="AI20" s="93">
        <f t="shared" ref="AI20" si="428">AI44/AH5</f>
        <v>2.2887837513288589E-3</v>
      </c>
      <c r="AJ20" s="93">
        <f t="shared" ref="AJ20" si="429">AJ44/AI5</f>
        <v>2.6595010808730946E-3</v>
      </c>
      <c r="AK20" s="93">
        <f t="shared" ref="AK20" si="430">AK44/AJ5</f>
        <v>1.1550305439936934E-2</v>
      </c>
      <c r="AL20" s="93">
        <f t="shared" ref="AL20" si="431">AL44/AK5</f>
        <v>2.7399082217370368E-3</v>
      </c>
      <c r="AM20" s="93">
        <f t="shared" ref="AM20" si="432">AM44/AL5</f>
        <v>2.9808944281125263E-3</v>
      </c>
      <c r="AN20" s="93">
        <f t="shared" ref="AN20" si="433">AN44/AM5</f>
        <v>2.7811303070929341E-3</v>
      </c>
      <c r="AO20" s="93">
        <f t="shared" ref="AO20" si="434">AO44/AN5</f>
        <v>4.8543637992926282E-3</v>
      </c>
      <c r="AP20" s="93">
        <f t="shared" ref="AP20" si="435">AP44/AO5</f>
        <v>3.8577121140366713E-3</v>
      </c>
      <c r="AQ20" s="93">
        <f t="shared" ref="AQ20" si="436">AQ44/AP5</f>
        <v>3.8096444679824887E-3</v>
      </c>
      <c r="AR20" s="93">
        <f t="shared" ref="AR20" si="437">AR44/AQ5</f>
        <v>4.7548493967646301E-3</v>
      </c>
      <c r="AS20" s="93">
        <f t="shared" ref="AS20" si="438">AS44/AR5</f>
        <v>1.5836312131969874E-2</v>
      </c>
      <c r="AT20" s="93">
        <f t="shared" ref="AT20:BY20" si="439">AT44/AS5</f>
        <v>4.3604052676120431E-3</v>
      </c>
      <c r="AU20" s="93">
        <f t="shared" si="439"/>
        <v>4.7138905342353297E-3</v>
      </c>
      <c r="AV20" s="93">
        <f t="shared" si="439"/>
        <v>3.1861274373631587E-3</v>
      </c>
      <c r="AW20" s="93">
        <f t="shared" si="439"/>
        <v>8.5537367196694553E-3</v>
      </c>
      <c r="AX20" s="93">
        <f t="shared" si="439"/>
        <v>2.8554716409917975E-3</v>
      </c>
      <c r="AY20" s="93">
        <f t="shared" si="439"/>
        <v>2.9923104637990185E-3</v>
      </c>
      <c r="AZ20" s="93">
        <f t="shared" si="439"/>
        <v>2.6232136049354842E-3</v>
      </c>
      <c r="BA20" s="93">
        <f t="shared" si="439"/>
        <v>7.7250836651848575E-3</v>
      </c>
      <c r="BB20" s="93">
        <f t="shared" si="439"/>
        <v>5.4257814549188016E-3</v>
      </c>
      <c r="BC20" s="93">
        <f t="shared" si="439"/>
        <v>4.6050344198517827E-3</v>
      </c>
      <c r="BD20" s="93">
        <f t="shared" si="439"/>
        <v>4.0628878349339339E-3</v>
      </c>
      <c r="BE20" s="93">
        <f t="shared" si="439"/>
        <v>3.4122192312690076E-3</v>
      </c>
      <c r="BF20" s="93">
        <f t="shared" si="439"/>
        <v>3.1352232850839924E-3</v>
      </c>
      <c r="BG20" s="93">
        <f t="shared" si="439"/>
        <v>2.9824958294958522E-3</v>
      </c>
      <c r="BH20" s="93">
        <f t="shared" si="439"/>
        <v>1.947712393859299E-3</v>
      </c>
      <c r="BI20" s="93">
        <f t="shared" si="439"/>
        <v>3.1775886795631547E-3</v>
      </c>
      <c r="BJ20" s="93">
        <f t="shared" si="439"/>
        <v>3.1251321308498805E-3</v>
      </c>
      <c r="BK20" s="93">
        <f t="shared" si="439"/>
        <v>2.9807549432065822E-3</v>
      </c>
      <c r="BL20" s="93">
        <f t="shared" si="439"/>
        <v>2.488603915090145E-3</v>
      </c>
      <c r="BM20" s="93">
        <f t="shared" si="439"/>
        <v>2.4192847893926583E-3</v>
      </c>
      <c r="BN20" s="93">
        <f t="shared" si="439"/>
        <v>2.0894950303627811E-3</v>
      </c>
      <c r="BO20" s="93">
        <f t="shared" si="439"/>
        <v>1.9568799464714038E-3</v>
      </c>
      <c r="BP20" s="93">
        <f t="shared" si="439"/>
        <v>1.3817765581346044E-3</v>
      </c>
      <c r="BQ20" s="93">
        <f t="shared" si="439"/>
        <v>1.7540573699354996E-3</v>
      </c>
      <c r="BR20" s="93">
        <f t="shared" si="439"/>
        <v>1.5779921500086347E-3</v>
      </c>
      <c r="BS20" s="93">
        <f t="shared" si="439"/>
        <v>1.5225303624271705E-3</v>
      </c>
      <c r="BT20" s="93">
        <f t="shared" si="439"/>
        <v>1.5780077184892661E-3</v>
      </c>
      <c r="BU20" s="93">
        <f t="shared" si="439"/>
        <v>1.1819830946237283E-3</v>
      </c>
      <c r="BV20" s="93">
        <f t="shared" si="439"/>
        <v>1.4666872340679793E-3</v>
      </c>
      <c r="BW20" s="93">
        <f t="shared" si="439"/>
        <v>1.4104311725126001E-3</v>
      </c>
      <c r="BX20" s="93">
        <f t="shared" si="439"/>
        <v>1.4122688861899053E-3</v>
      </c>
      <c r="BY20" s="93">
        <f t="shared" si="439"/>
        <v>5.6517364723970029E-4</v>
      </c>
      <c r="BZ20" s="16">
        <f>+AVERAGE(BV20:BY20)*1.005</f>
        <v>1.219708436177559E-3</v>
      </c>
      <c r="CA20" s="16">
        <f t="shared" ref="CA20:CG20" si="440">+AVERAGE(BW20:BZ20)*1.005</f>
        <v>1.1576550132075907E-3</v>
      </c>
      <c r="CB20" s="16">
        <f t="shared" si="440"/>
        <v>1.0941450031822072E-3</v>
      </c>
      <c r="CC20" s="16">
        <f t="shared" si="440"/>
        <v>1.0142163775765231E-3</v>
      </c>
      <c r="CD20" s="16">
        <f t="shared" si="440"/>
        <v>1.1270383635736496E-3</v>
      </c>
      <c r="CE20" s="16">
        <f t="shared" si="440"/>
        <v>1.1037550078319175E-3</v>
      </c>
      <c r="CF20" s="16">
        <f t="shared" si="440"/>
        <v>1.0902126314812797E-3</v>
      </c>
      <c r="CG20" s="16">
        <f t="shared" si="440"/>
        <v>1.0892246230914217E-3</v>
      </c>
      <c r="CH20" s="16">
        <f t="shared" ref="CH20" si="441">+AVERAGE(CD20:CG20)</f>
        <v>1.1025576564945671E-3</v>
      </c>
      <c r="CI20" s="16">
        <f t="shared" ref="CI20" si="442">+AVERAGE(CE20:CH20)</f>
        <v>1.0964374797247964E-3</v>
      </c>
      <c r="CJ20" s="16">
        <f t="shared" ref="CJ20" si="443">+AVERAGE(CF20:CI20)</f>
        <v>1.0946080976980163E-3</v>
      </c>
      <c r="CK20" s="16">
        <f t="shared" ref="CK20" si="444">+AVERAGE(CG20:CJ20)</f>
        <v>1.0957069642522003E-3</v>
      </c>
      <c r="CL20" s="16">
        <f t="shared" ref="CL20" si="445">+AVERAGE(CH20:CK20)</f>
        <v>1.097327549542395E-3</v>
      </c>
      <c r="CM20" s="16">
        <f t="shared" ref="CM20" si="446">+AVERAGE(CI20:CL20)</f>
        <v>1.096020022804352E-3</v>
      </c>
      <c r="CN20" s="16">
        <f t="shared" ref="CN20" si="447">+AVERAGE(CJ20:CM20)</f>
        <v>1.095915658574241E-3</v>
      </c>
      <c r="CO20" s="16">
        <f t="shared" ref="CO20" si="448">+AVERAGE(CK20:CN20)</f>
        <v>1.0962425487932971E-3</v>
      </c>
      <c r="CS20" s="95">
        <v>1.4104311725126001E-3</v>
      </c>
    </row>
    <row r="21" spans="1:102" s="30" customFormat="1" x14ac:dyDescent="0.2">
      <c r="A21" s="32" t="s">
        <v>12</v>
      </c>
      <c r="B21" s="32"/>
      <c r="C21" s="32"/>
      <c r="D21" s="28" t="e">
        <f t="shared" ref="D21:O21" si="449">D19-D20</f>
        <v>#DIV/0!</v>
      </c>
      <c r="E21" s="28">
        <f t="shared" si="449"/>
        <v>2.3149643304574988E-2</v>
      </c>
      <c r="F21" s="28">
        <f t="shared" si="449"/>
        <v>1.5170020150553206E-2</v>
      </c>
      <c r="G21" s="28">
        <f t="shared" si="449"/>
        <v>1.5797910854200587E-2</v>
      </c>
      <c r="H21" s="28">
        <f t="shared" si="449"/>
        <v>1.4722068537711991E-2</v>
      </c>
      <c r="I21" s="28">
        <f t="shared" si="449"/>
        <v>1.3691733186328844E-2</v>
      </c>
      <c r="J21" s="28">
        <f t="shared" si="449"/>
        <v>1.6007594953587563E-2</v>
      </c>
      <c r="K21" s="28">
        <f t="shared" si="449"/>
        <v>2.0102667611029662E-2</v>
      </c>
      <c r="L21" s="28">
        <f t="shared" si="449"/>
        <v>2.1347469406848694E-2</v>
      </c>
      <c r="M21" s="28">
        <f t="shared" si="449"/>
        <v>1.3946028421198421E-2</v>
      </c>
      <c r="N21" s="28">
        <f t="shared" si="449"/>
        <v>1.0597589760471465E-2</v>
      </c>
      <c r="O21" s="28">
        <f t="shared" si="449"/>
        <v>7.9949097005062152E-3</v>
      </c>
      <c r="P21" s="28">
        <f>P19-P20</f>
        <v>7.9618965063462215E-3</v>
      </c>
      <c r="Q21" s="28">
        <f t="shared" ref="Q21:T21" si="450">Q19-Q20</f>
        <v>-6.3150609201053677E-3</v>
      </c>
      <c r="R21" s="28">
        <f t="shared" si="450"/>
        <v>3.0700492922882249E-3</v>
      </c>
      <c r="S21" s="28">
        <f t="shared" si="450"/>
        <v>-1.1856267142937249E-2</v>
      </c>
      <c r="T21" s="28">
        <f t="shared" si="450"/>
        <v>-3.9864784854047597E-3</v>
      </c>
      <c r="U21" s="28">
        <f t="shared" ref="U21:W21" si="451">U19-U20</f>
        <v>-2.7529905977397434E-3</v>
      </c>
      <c r="V21" s="28">
        <f t="shared" si="451"/>
        <v>5.3587792304515339E-3</v>
      </c>
      <c r="W21" s="28">
        <f t="shared" si="451"/>
        <v>9.8093598208787366E-3</v>
      </c>
      <c r="X21" s="28">
        <f t="shared" ref="X21:Y21" si="452">X19-X20</f>
        <v>1.2225756154472451E-2</v>
      </c>
      <c r="Y21" s="28">
        <f t="shared" si="452"/>
        <v>1.5702915520825259E-2</v>
      </c>
      <c r="Z21" s="28">
        <f t="shared" ref="Z21:AB21" si="453">Z19-Z20</f>
        <v>1.625414966076898E-2</v>
      </c>
      <c r="AA21" s="29">
        <f t="shared" si="453"/>
        <v>1.6195635810421872E-2</v>
      </c>
      <c r="AB21" s="29">
        <f t="shared" si="453"/>
        <v>1.5029791521360782E-2</v>
      </c>
      <c r="AC21" s="29">
        <f t="shared" ref="AC21:AE21" si="454">AC19-AC20</f>
        <v>1.4618677150966606E-2</v>
      </c>
      <c r="AD21" s="29">
        <f t="shared" si="454"/>
        <v>1.3759215356448688E-2</v>
      </c>
      <c r="AE21" s="29">
        <f t="shared" si="454"/>
        <v>1.3775551106620243E-2</v>
      </c>
      <c r="AG21" s="58"/>
      <c r="AH21" s="28" t="e">
        <f t="shared" ref="AH21:AS21" si="455">AH19-AH20</f>
        <v>#DIV/0!</v>
      </c>
      <c r="AI21" s="28">
        <f t="shared" si="455"/>
        <v>1.3815847938109423E-3</v>
      </c>
      <c r="AJ21" s="28">
        <f t="shared" si="455"/>
        <v>2.3003655988039799E-4</v>
      </c>
      <c r="AK21" s="28">
        <f t="shared" si="455"/>
        <v>-8.5465882681069923E-3</v>
      </c>
      <c r="AL21" s="28">
        <f t="shared" si="455"/>
        <v>5.9820558695388316E-4</v>
      </c>
      <c r="AM21" s="28">
        <f t="shared" si="455"/>
        <v>1.0433525259092246E-3</v>
      </c>
      <c r="AN21" s="28">
        <f t="shared" si="455"/>
        <v>9.3060905942561525E-4</v>
      </c>
      <c r="AO21" s="28">
        <f t="shared" si="455"/>
        <v>4.7343998630253441E-4</v>
      </c>
      <c r="AP21" s="28">
        <f t="shared" si="455"/>
        <v>4.7018371789845021E-4</v>
      </c>
      <c r="AQ21" s="28">
        <f t="shared" si="455"/>
        <v>5.7088846500231386E-4</v>
      </c>
      <c r="AR21" s="28">
        <f t="shared" si="455"/>
        <v>2.8054543331922695E-4</v>
      </c>
      <c r="AS21" s="28">
        <f t="shared" si="455"/>
        <v>-1.2756926453925411E-2</v>
      </c>
      <c r="AT21" s="28">
        <f t="shared" ref="AT21:AW21" si="456">AT19-AT20</f>
        <v>5.9182838641728183E-4</v>
      </c>
      <c r="AU21" s="28">
        <f t="shared" si="456"/>
        <v>-8.4423522565493271E-4</v>
      </c>
      <c r="AV21" s="28">
        <f t="shared" si="456"/>
        <v>6.1214045811760218E-4</v>
      </c>
      <c r="AW21" s="28">
        <f t="shared" si="456"/>
        <v>-3.9490125436092878E-3</v>
      </c>
      <c r="AX21" s="28">
        <f t="shared" ref="AX21" si="457">AX19-AX20</f>
        <v>8.1325001510146365E-4</v>
      </c>
      <c r="AY21" s="28">
        <f t="shared" ref="AY21" si="458">AY19-AY20</f>
        <v>7.4388934742863596E-4</v>
      </c>
      <c r="AZ21" s="28">
        <f t="shared" ref="AZ21:BA21" si="459">AZ19-AZ20</f>
        <v>7.7321007367800757E-4</v>
      </c>
      <c r="BA21" s="28">
        <f t="shared" si="459"/>
        <v>-4.7921019039389853E-3</v>
      </c>
      <c r="BB21" s="28">
        <f t="shared" ref="BB21:BF21" si="460">BB19-BB20</f>
        <v>6.5102173977424609E-4</v>
      </c>
      <c r="BC21" s="28">
        <f t="shared" si="460"/>
        <v>7.2186506153634755E-4</v>
      </c>
      <c r="BD21" s="28">
        <f t="shared" si="460"/>
        <v>1.0197652765243119E-3</v>
      </c>
      <c r="BE21" s="28">
        <f t="shared" si="460"/>
        <v>1.4653507336227431E-3</v>
      </c>
      <c r="BF21" s="28">
        <f t="shared" si="460"/>
        <v>1.8329971069521679E-3</v>
      </c>
      <c r="BG21" s="28">
        <f t="shared" ref="BG21:BH21" si="461">BG19-BG20</f>
        <v>1.9912211273779732E-3</v>
      </c>
      <c r="BH21" s="28">
        <f t="shared" si="461"/>
        <v>3.0867845500727655E-3</v>
      </c>
      <c r="BI21" s="28">
        <f t="shared" ref="BI21:BJ21" si="462">BI19-BI20</f>
        <v>2.1362195582276277E-3</v>
      </c>
      <c r="BJ21" s="28">
        <f t="shared" si="462"/>
        <v>2.4697355909382816E-3</v>
      </c>
      <c r="BK21" s="28">
        <f t="shared" ref="BK21:BR21" si="463">BK19-BK20</f>
        <v>2.6790248212612317E-3</v>
      </c>
      <c r="BL21" s="28">
        <f t="shared" si="463"/>
        <v>3.0544320114578461E-3</v>
      </c>
      <c r="BM21" s="28">
        <f t="shared" si="463"/>
        <v>3.2497030524222376E-3</v>
      </c>
      <c r="BN21" s="28">
        <f t="shared" si="463"/>
        <v>3.7541868594906528E-3</v>
      </c>
      <c r="BO21" s="28">
        <f t="shared" si="463"/>
        <v>3.757484125979641E-3</v>
      </c>
      <c r="BP21" s="28">
        <f t="shared" si="463"/>
        <v>3.5703916961174645E-3</v>
      </c>
      <c r="BQ21" s="28">
        <f t="shared" si="463"/>
        <v>3.4671225134177246E-3</v>
      </c>
      <c r="BR21" s="28">
        <f t="shared" si="463"/>
        <v>3.6877478945801473E-3</v>
      </c>
      <c r="BS21" s="28">
        <f t="shared" ref="BS21:BT21" si="464">BS19-BS20</f>
        <v>3.6536968512396397E-3</v>
      </c>
      <c r="BT21" s="28">
        <f t="shared" si="464"/>
        <v>3.5783549821746976E-3</v>
      </c>
      <c r="BU21" s="28">
        <f t="shared" ref="BU21:BV21" si="465">BU19-BU20</f>
        <v>4.1633815654162033E-3</v>
      </c>
      <c r="BV21" s="28">
        <f t="shared" si="465"/>
        <v>3.8682569129882432E-3</v>
      </c>
      <c r="BW21" s="28">
        <f t="shared" ref="BW21:BX21" si="466">BW19-BW20</f>
        <v>3.7348923451563194E-3</v>
      </c>
      <c r="BX21" s="28">
        <f t="shared" si="466"/>
        <v>3.9221235571666162E-3</v>
      </c>
      <c r="BY21" s="28">
        <f t="shared" ref="BY21" si="467">BY19-BY20</f>
        <v>3.2854561108637726E-3</v>
      </c>
      <c r="BZ21" s="29">
        <f t="shared" ref="BZ21:CC21" si="468">BZ19-BZ20</f>
        <v>3.6195769687506138E-3</v>
      </c>
      <c r="CA21" s="29">
        <f t="shared" si="468"/>
        <v>3.5720869227178964E-3</v>
      </c>
      <c r="CB21" s="29">
        <f t="shared" si="468"/>
        <v>3.359534923340405E-3</v>
      </c>
      <c r="CC21" s="29">
        <f t="shared" si="468"/>
        <v>3.2454272802350187E-3</v>
      </c>
      <c r="CD21" s="29">
        <f t="shared" ref="CD21:CO21" si="469">CD19-CD20</f>
        <v>3.5321296754057254E-3</v>
      </c>
      <c r="CE21" s="29">
        <f t="shared" si="469"/>
        <v>3.5135026336050551E-3</v>
      </c>
      <c r="CF21" s="29">
        <f t="shared" si="469"/>
        <v>3.3103990572289736E-3</v>
      </c>
      <c r="CG21" s="29">
        <f t="shared" si="469"/>
        <v>3.2997612325762586E-3</v>
      </c>
      <c r="CH21" s="29">
        <f t="shared" si="469"/>
        <v>3.2218992640736057E-3</v>
      </c>
      <c r="CI21" s="29">
        <f t="shared" si="469"/>
        <v>3.1449311375194122E-3</v>
      </c>
      <c r="CJ21" s="29">
        <f t="shared" si="469"/>
        <v>3.2442476728495625E-3</v>
      </c>
      <c r="CK21" s="29">
        <f t="shared" si="469"/>
        <v>3.2277098267547116E-3</v>
      </c>
      <c r="CL21" s="29">
        <f t="shared" si="469"/>
        <v>3.2096969752993232E-3</v>
      </c>
      <c r="CM21" s="29">
        <f t="shared" si="469"/>
        <v>3.2066464031057524E-3</v>
      </c>
      <c r="CN21" s="29">
        <f t="shared" si="469"/>
        <v>3.2220752195023382E-3</v>
      </c>
      <c r="CO21" s="29">
        <f t="shared" si="469"/>
        <v>3.2165321061655341E-3</v>
      </c>
      <c r="CS21" s="30">
        <v>3.7348923451563194E-3</v>
      </c>
    </row>
    <row r="22" spans="1:102" s="95" customFormat="1" x14ac:dyDescent="0.2">
      <c r="A22" s="27" t="s">
        <v>13</v>
      </c>
      <c r="B22" s="27"/>
      <c r="C22" s="27"/>
      <c r="D22" s="93" t="e">
        <f t="shared" ref="D22" si="470">D46/C5</f>
        <v>#DIV/0!</v>
      </c>
      <c r="E22" s="93">
        <f t="shared" ref="E22" si="471">E46/D5</f>
        <v>4.5799500256532375E-3</v>
      </c>
      <c r="F22" s="93">
        <f t="shared" ref="F22" si="472">F46/E5</f>
        <v>2.0155485389805571E-3</v>
      </c>
      <c r="G22" s="93">
        <f t="shared" ref="G22" si="473">G46/F5</f>
        <v>2.047395815787844E-3</v>
      </c>
      <c r="H22" s="93">
        <f t="shared" ref="H22" si="474">H46/G5</f>
        <v>2.2028340352451782E-3</v>
      </c>
      <c r="I22" s="93">
        <f t="shared" ref="I22" si="475">I46/H5</f>
        <v>2.4436603206444436E-3</v>
      </c>
      <c r="J22" s="93">
        <f t="shared" ref="J22" si="476">J46/I5</f>
        <v>3.1113882945995506E-3</v>
      </c>
      <c r="K22" s="93">
        <f t="shared" ref="K22" si="477">K46/J5</f>
        <v>4.2084069066974858E-3</v>
      </c>
      <c r="L22" s="93">
        <f t="shared" ref="L22" si="478">L46/K5</f>
        <v>4.2475018459122698E-3</v>
      </c>
      <c r="M22" s="93">
        <f t="shared" ref="M22" si="479">M46/L5</f>
        <v>2.7326982663142731E-3</v>
      </c>
      <c r="N22" s="93">
        <f t="shared" ref="N22" si="480">N46/M5</f>
        <v>2.3087783864600229E-3</v>
      </c>
      <c r="O22" s="93">
        <f t="shared" ref="O22" si="481">O46/N5</f>
        <v>1.6312442450820436E-3</v>
      </c>
      <c r="P22" s="93">
        <f t="shared" ref="P22:Z22" si="482">P46/O5</f>
        <v>1.8097163561897936E-3</v>
      </c>
      <c r="Q22" s="93">
        <f t="shared" si="482"/>
        <v>-7.3928746463795358E-4</v>
      </c>
      <c r="R22" s="93">
        <f t="shared" si="482"/>
        <v>9.7229066760281071E-4</v>
      </c>
      <c r="S22" s="93">
        <f t="shared" si="482"/>
        <v>-4.2261705948039288E-3</v>
      </c>
      <c r="T22" s="93">
        <f t="shared" si="482"/>
        <v>-4.5808607651106155E-3</v>
      </c>
      <c r="U22" s="93">
        <f t="shared" si="482"/>
        <v>7.5294733247492261E-4</v>
      </c>
      <c r="V22" s="93">
        <f t="shared" si="482"/>
        <v>1.6618137693352384E-3</v>
      </c>
      <c r="W22" s="93">
        <f t="shared" si="482"/>
        <v>3.5937627794125535E-3</v>
      </c>
      <c r="X22" s="93">
        <f t="shared" si="482"/>
        <v>3.0788571798764596E-3</v>
      </c>
      <c r="Y22" s="93">
        <f t="shared" si="482"/>
        <v>4.1045596674842092E-3</v>
      </c>
      <c r="Z22" s="93">
        <f t="shared" si="482"/>
        <v>4.0228293987984547E-3</v>
      </c>
      <c r="AA22" s="94">
        <f t="shared" ref="AA22" si="483">AA46/Z5</f>
        <v>3.7194467334363442E-3</v>
      </c>
      <c r="AB22" s="94">
        <f t="shared" ref="AB22" si="484">AB46/AA5</f>
        <v>3.9077457955537988E-3</v>
      </c>
      <c r="AC22" s="94">
        <f t="shared" ref="AC22" si="485">AC46/AB5</f>
        <v>3.8008560592513153E-3</v>
      </c>
      <c r="AD22" s="94">
        <f t="shared" ref="AD22" si="486">AD46/AC5</f>
        <v>3.5773959926766585E-3</v>
      </c>
      <c r="AE22" s="94">
        <f t="shared" ref="AE22" si="487">AE46/AD5</f>
        <v>3.5816432877212655E-3</v>
      </c>
      <c r="AG22" s="65"/>
      <c r="AH22" s="93" t="e">
        <f t="shared" ref="AH22" si="488">AH46/AG5</f>
        <v>#DIV/0!</v>
      </c>
      <c r="AI22" s="93">
        <f t="shared" ref="AI22" si="489">AI46/AH5</f>
        <v>3.8312221020792155E-4</v>
      </c>
      <c r="AJ22" s="93">
        <f t="shared" ref="AJ22" si="490">AJ46/AI5</f>
        <v>7.188293504798888E-5</v>
      </c>
      <c r="AK22" s="93">
        <f t="shared" ref="AK22" si="491">AK46/AJ5</f>
        <v>-1.4220020864482955E-3</v>
      </c>
      <c r="AL22" s="93">
        <f t="shared" ref="AL22" si="492">AL46/AK5</f>
        <v>1.7802099074866207E-4</v>
      </c>
      <c r="AM22" s="93">
        <f t="shared" ref="AM22" si="493">AM46/AL5</f>
        <v>3.7242852176123053E-4</v>
      </c>
      <c r="AN22" s="93">
        <f t="shared" ref="AN22" si="494">AN46/AM5</f>
        <v>3.2761275527891061E-4</v>
      </c>
      <c r="AO22" s="93">
        <f t="shared" ref="AO22" si="495">AO46/AN5</f>
        <v>8.9605569366063716E-5</v>
      </c>
      <c r="AP22" s="93">
        <f t="shared" ref="AP22" si="496">AP46/AO5</f>
        <v>2.9758463158129852E-5</v>
      </c>
      <c r="AQ22" s="93">
        <f t="shared" ref="AQ22" si="497">AQ46/AP5</f>
        <v>1.1128774458551116E-4</v>
      </c>
      <c r="AR22" s="93">
        <f t="shared" ref="AR22" si="498">AR46/AQ5</f>
        <v>5.690937474621421E-5</v>
      </c>
      <c r="AS22" s="93">
        <f t="shared" ref="AS22" si="499">AS46/AR5</f>
        <v>-4.2764310941712661E-3</v>
      </c>
      <c r="AT22" s="93">
        <f t="shared" ref="AT22:BN22" si="500">AT46/AS5</f>
        <v>1.1651162276467914E-4</v>
      </c>
      <c r="AU22" s="93">
        <f t="shared" si="500"/>
        <v>-1.3422701624216727E-3</v>
      </c>
      <c r="AV22" s="93">
        <f t="shared" si="500"/>
        <v>1.0051413997729974E-4</v>
      </c>
      <c r="AW22" s="93">
        <f t="shared" si="500"/>
        <v>-3.0949087302664258E-3</v>
      </c>
      <c r="AX22" s="93">
        <f t="shared" si="500"/>
        <v>3.1847079888078889E-4</v>
      </c>
      <c r="AY22" s="93">
        <f t="shared" si="500"/>
        <v>2.0808463271274695E-4</v>
      </c>
      <c r="AZ22" s="93">
        <f t="shared" si="500"/>
        <v>2.9361671158071158E-4</v>
      </c>
      <c r="BA22" s="93">
        <f t="shared" si="500"/>
        <v>-1.0804292718814253E-4</v>
      </c>
      <c r="BB22" s="93">
        <f t="shared" si="500"/>
        <v>7.4970092966531197E-5</v>
      </c>
      <c r="BC22" s="93">
        <f t="shared" si="500"/>
        <v>2.0688945836214647E-4</v>
      </c>
      <c r="BD22" s="93">
        <f t="shared" si="500"/>
        <v>3.4807272724395294E-4</v>
      </c>
      <c r="BE22" s="93">
        <f t="shared" si="500"/>
        <v>5.2089836426720743E-4</v>
      </c>
      <c r="BF22" s="93">
        <f t="shared" si="500"/>
        <v>7.6566294437046319E-4</v>
      </c>
      <c r="BG22" s="93">
        <f t="shared" si="500"/>
        <v>8.0841406734206349E-4</v>
      </c>
      <c r="BH22" s="93">
        <f t="shared" si="500"/>
        <v>6.0792046020271217E-4</v>
      </c>
      <c r="BI22" s="93">
        <f t="shared" si="500"/>
        <v>7.0860601118077362E-4</v>
      </c>
      <c r="BJ22" s="93">
        <f t="shared" si="500"/>
        <v>7.5726261020837664E-4</v>
      </c>
      <c r="BK22" s="93">
        <f t="shared" si="500"/>
        <v>6.0913192434884752E-4</v>
      </c>
      <c r="BL22" s="93">
        <f t="shared" si="500"/>
        <v>7.5693042443665212E-4</v>
      </c>
      <c r="BM22" s="93">
        <f t="shared" si="500"/>
        <v>7.6804739004434849E-4</v>
      </c>
      <c r="BN22" s="93">
        <f t="shared" si="500"/>
        <v>1.0376657967462735E-3</v>
      </c>
      <c r="BO22" s="93">
        <f t="shared" ref="BO22:CO22" si="501">BO46/BN5</f>
        <v>1.0516105278782983E-3</v>
      </c>
      <c r="BP22" s="93">
        <f t="shared" si="501"/>
        <v>9.0994917397208008E-4</v>
      </c>
      <c r="BQ22" s="93">
        <f t="shared" si="501"/>
        <v>8.116531514000319E-4</v>
      </c>
      <c r="BR22" s="93">
        <f t="shared" si="501"/>
        <v>9.8766763327564461E-4</v>
      </c>
      <c r="BS22" s="93">
        <f t="shared" si="501"/>
        <v>9.3870064201081918E-4</v>
      </c>
      <c r="BT22" s="93">
        <f t="shared" si="501"/>
        <v>8.778611728455434E-4</v>
      </c>
      <c r="BU22" s="93">
        <f t="shared" si="501"/>
        <v>9.3521796520091573E-4</v>
      </c>
      <c r="BV22" s="93">
        <f t="shared" si="501"/>
        <v>9.0437687722132122E-4</v>
      </c>
      <c r="BW22" s="93">
        <f t="shared" si="501"/>
        <v>8.7471572225811896E-4</v>
      </c>
      <c r="BX22" s="93">
        <f t="shared" si="501"/>
        <v>9.0666544077699798E-4</v>
      </c>
      <c r="BY22" s="93">
        <f t="shared" si="501"/>
        <v>7.1799920904409354E-4</v>
      </c>
      <c r="BZ22" s="94">
        <f t="shared" si="501"/>
        <v>9.4109001187516004E-4</v>
      </c>
      <c r="CA22" s="94">
        <f t="shared" si="501"/>
        <v>9.2874259990665363E-4</v>
      </c>
      <c r="CB22" s="94">
        <f t="shared" si="501"/>
        <v>8.7347908006850481E-4</v>
      </c>
      <c r="CC22" s="94">
        <f t="shared" si="501"/>
        <v>8.4381109286110539E-4</v>
      </c>
      <c r="CD22" s="94">
        <f t="shared" si="501"/>
        <v>9.1835371560548839E-4</v>
      </c>
      <c r="CE22" s="94">
        <f t="shared" si="501"/>
        <v>9.1351068473731402E-4</v>
      </c>
      <c r="CF22" s="94">
        <f t="shared" si="501"/>
        <v>8.6070375487953344E-4</v>
      </c>
      <c r="CG22" s="94">
        <f t="shared" si="501"/>
        <v>8.5793792046982723E-4</v>
      </c>
      <c r="CH22" s="94">
        <f t="shared" si="501"/>
        <v>8.3769380865913806E-4</v>
      </c>
      <c r="CI22" s="94">
        <f t="shared" si="501"/>
        <v>8.1768209575504725E-4</v>
      </c>
      <c r="CJ22" s="94">
        <f t="shared" si="501"/>
        <v>8.4350439494088666E-4</v>
      </c>
      <c r="CK22" s="94">
        <f t="shared" si="501"/>
        <v>8.3920455495622493E-4</v>
      </c>
      <c r="CL22" s="94">
        <f t="shared" si="501"/>
        <v>8.3452121357782401E-4</v>
      </c>
      <c r="CM22" s="94">
        <f t="shared" si="501"/>
        <v>8.3372806480749558E-4</v>
      </c>
      <c r="CN22" s="94">
        <f t="shared" si="501"/>
        <v>8.3773955707060785E-4</v>
      </c>
      <c r="CO22" s="94">
        <f t="shared" si="501"/>
        <v>8.3629834760303942E-4</v>
      </c>
      <c r="CS22" s="95">
        <v>9.7107200974064277E-4</v>
      </c>
    </row>
    <row r="23" spans="1:102" s="30" customFormat="1" x14ac:dyDescent="0.2">
      <c r="A23" s="32" t="s">
        <v>14</v>
      </c>
      <c r="B23" s="32"/>
      <c r="C23" s="32"/>
      <c r="D23" s="28" t="e">
        <f t="shared" ref="D23:O23" si="502">D21-D22</f>
        <v>#DIV/0!</v>
      </c>
      <c r="E23" s="28">
        <f t="shared" si="502"/>
        <v>1.8569693278921752E-2</v>
      </c>
      <c r="F23" s="28">
        <f t="shared" si="502"/>
        <v>1.3154471611572649E-2</v>
      </c>
      <c r="G23" s="28">
        <f t="shared" si="502"/>
        <v>1.3750515038412743E-2</v>
      </c>
      <c r="H23" s="28">
        <f t="shared" si="502"/>
        <v>1.2519234502466812E-2</v>
      </c>
      <c r="I23" s="28">
        <f t="shared" si="502"/>
        <v>1.12480728656844E-2</v>
      </c>
      <c r="J23" s="28">
        <f t="shared" si="502"/>
        <v>1.2896206658988012E-2</v>
      </c>
      <c r="K23" s="28">
        <f t="shared" si="502"/>
        <v>1.5894260704332176E-2</v>
      </c>
      <c r="L23" s="28">
        <f t="shared" si="502"/>
        <v>1.7099967560936423E-2</v>
      </c>
      <c r="M23" s="28">
        <f t="shared" si="502"/>
        <v>1.1213330154884148E-2</v>
      </c>
      <c r="N23" s="28">
        <f t="shared" si="502"/>
        <v>8.2888113740114417E-3</v>
      </c>
      <c r="O23" s="28">
        <f t="shared" si="502"/>
        <v>6.3636654554241716E-3</v>
      </c>
      <c r="P23" s="28">
        <f>P21-P22</f>
        <v>6.1521801501564274E-3</v>
      </c>
      <c r="Q23" s="28">
        <f t="shared" ref="Q23:T23" si="503">Q21-Q22</f>
        <v>-5.5757734554674138E-3</v>
      </c>
      <c r="R23" s="28">
        <f t="shared" si="503"/>
        <v>2.0977586246854144E-3</v>
      </c>
      <c r="S23" s="28">
        <f t="shared" si="503"/>
        <v>-7.6300965481333203E-3</v>
      </c>
      <c r="T23" s="28">
        <f t="shared" si="503"/>
        <v>5.9438227970585577E-4</v>
      </c>
      <c r="U23" s="28">
        <f t="shared" ref="U23:W23" si="504">U21-U22</f>
        <v>-3.5059379302146659E-3</v>
      </c>
      <c r="V23" s="28">
        <f t="shared" si="504"/>
        <v>3.6969654611162953E-3</v>
      </c>
      <c r="W23" s="28">
        <f t="shared" si="504"/>
        <v>6.2155970414661827E-3</v>
      </c>
      <c r="X23" s="28">
        <f t="shared" ref="X23:Y23" si="505">X21-X22</f>
        <v>9.1468989745959912E-3</v>
      </c>
      <c r="Y23" s="28">
        <f t="shared" si="505"/>
        <v>1.159835585334105E-2</v>
      </c>
      <c r="Z23" s="28">
        <f t="shared" ref="Z23:AB23" si="506">Z21-Z22</f>
        <v>1.2231320261970526E-2</v>
      </c>
      <c r="AA23" s="29">
        <f t="shared" si="506"/>
        <v>1.2476189076985528E-2</v>
      </c>
      <c r="AB23" s="29">
        <f t="shared" si="506"/>
        <v>1.1122045725806983E-2</v>
      </c>
      <c r="AC23" s="29">
        <f t="shared" ref="AC23:AE23" si="507">AC21-AC22</f>
        <v>1.081782109171529E-2</v>
      </c>
      <c r="AD23" s="29">
        <f t="shared" si="507"/>
        <v>1.018181936377203E-2</v>
      </c>
      <c r="AE23" s="29">
        <f t="shared" si="507"/>
        <v>1.0193907818898977E-2</v>
      </c>
      <c r="AG23" s="58"/>
      <c r="AH23" s="28" t="e">
        <f t="shared" ref="AH23:AS23" si="508">AH21-AH22</f>
        <v>#DIV/0!</v>
      </c>
      <c r="AI23" s="28">
        <f t="shared" si="508"/>
        <v>9.9846258360302082E-4</v>
      </c>
      <c r="AJ23" s="28">
        <f t="shared" si="508"/>
        <v>1.5815362483240911E-4</v>
      </c>
      <c r="AK23" s="28">
        <f t="shared" si="508"/>
        <v>-7.1245861816586972E-3</v>
      </c>
      <c r="AL23" s="28">
        <f t="shared" si="508"/>
        <v>4.2018459620522108E-4</v>
      </c>
      <c r="AM23" s="28">
        <f t="shared" si="508"/>
        <v>6.7092400414799406E-4</v>
      </c>
      <c r="AN23" s="28">
        <f t="shared" si="508"/>
        <v>6.0299630414670463E-4</v>
      </c>
      <c r="AO23" s="28">
        <f t="shared" si="508"/>
        <v>3.838344169364707E-4</v>
      </c>
      <c r="AP23" s="28">
        <f t="shared" si="508"/>
        <v>4.4042525474032035E-4</v>
      </c>
      <c r="AQ23" s="28">
        <f t="shared" si="508"/>
        <v>4.5960072041680271E-4</v>
      </c>
      <c r="AR23" s="28">
        <f t="shared" si="508"/>
        <v>2.2363605857301274E-4</v>
      </c>
      <c r="AS23" s="28">
        <f t="shared" si="508"/>
        <v>-8.4804953597541442E-3</v>
      </c>
      <c r="AT23" s="28">
        <f t="shared" ref="AT23:AW23" si="509">AT21-AT22</f>
        <v>4.7531676365260267E-4</v>
      </c>
      <c r="AU23" s="28">
        <f t="shared" si="509"/>
        <v>4.9803493676673998E-4</v>
      </c>
      <c r="AV23" s="28">
        <f t="shared" si="509"/>
        <v>5.1162631814030246E-4</v>
      </c>
      <c r="AW23" s="28">
        <f t="shared" si="509"/>
        <v>-8.5410381334286196E-4</v>
      </c>
      <c r="AX23" s="28">
        <f t="shared" ref="AX23" si="510">AX21-AX22</f>
        <v>4.9477921622067471E-4</v>
      </c>
      <c r="AY23" s="28">
        <f t="shared" ref="AY23" si="511">AY21-AY22</f>
        <v>5.3580471471588898E-4</v>
      </c>
      <c r="AZ23" s="28">
        <f t="shared" ref="AZ23:BA23" si="512">AZ21-AZ22</f>
        <v>4.79593362097296E-4</v>
      </c>
      <c r="BA23" s="28">
        <f t="shared" si="512"/>
        <v>-4.684058976750843E-3</v>
      </c>
      <c r="BB23" s="28">
        <f t="shared" ref="BB23:BF23" si="513">BB21-BB22</f>
        <v>5.7605164680771487E-4</v>
      </c>
      <c r="BC23" s="28">
        <f t="shared" si="513"/>
        <v>5.1497560317420111E-4</v>
      </c>
      <c r="BD23" s="28">
        <f t="shared" si="513"/>
        <v>6.7169254928035893E-4</v>
      </c>
      <c r="BE23" s="28">
        <f t="shared" si="513"/>
        <v>9.4445236935553566E-4</v>
      </c>
      <c r="BF23" s="28">
        <f t="shared" si="513"/>
        <v>1.0673341625817047E-3</v>
      </c>
      <c r="BG23" s="28">
        <f t="shared" ref="BG23:BH23" si="514">BG21-BG22</f>
        <v>1.1828070600359097E-3</v>
      </c>
      <c r="BH23" s="28">
        <f t="shared" si="514"/>
        <v>2.4788640898700531E-3</v>
      </c>
      <c r="BI23" s="28">
        <f t="shared" ref="BI23:BJ23" si="515">BI21-BI22</f>
        <v>1.4276135470468541E-3</v>
      </c>
      <c r="BJ23" s="28">
        <f t="shared" si="515"/>
        <v>1.7124729807299049E-3</v>
      </c>
      <c r="BK23" s="28">
        <f t="shared" ref="BK23:BR23" si="516">BK21-BK22</f>
        <v>2.069892896912384E-3</v>
      </c>
      <c r="BL23" s="28">
        <f t="shared" si="516"/>
        <v>2.2975015870211942E-3</v>
      </c>
      <c r="BM23" s="28">
        <f t="shared" si="516"/>
        <v>2.4816556623778892E-3</v>
      </c>
      <c r="BN23" s="28">
        <f t="shared" si="516"/>
        <v>2.7165210627443795E-3</v>
      </c>
      <c r="BO23" s="28">
        <f t="shared" si="516"/>
        <v>2.7058735981013429E-3</v>
      </c>
      <c r="BP23" s="28">
        <f t="shared" si="516"/>
        <v>2.6604425221453845E-3</v>
      </c>
      <c r="BQ23" s="28">
        <f t="shared" si="516"/>
        <v>2.6554693620176924E-3</v>
      </c>
      <c r="BR23" s="28">
        <f t="shared" si="516"/>
        <v>2.7000802613045029E-3</v>
      </c>
      <c r="BS23" s="28">
        <f t="shared" ref="BS23:BT23" si="517">BS21-BS22</f>
        <v>2.7149962092288204E-3</v>
      </c>
      <c r="BT23" s="28">
        <f t="shared" si="517"/>
        <v>2.700493809329154E-3</v>
      </c>
      <c r="BU23" s="28">
        <f t="shared" ref="BU23:BV23" si="518">BU21-BU22</f>
        <v>3.2281636002152877E-3</v>
      </c>
      <c r="BV23" s="28">
        <f t="shared" si="518"/>
        <v>2.9638800357669219E-3</v>
      </c>
      <c r="BW23" s="28">
        <f t="shared" ref="BW23:BX23" si="519">BW21-BW22</f>
        <v>2.8601766228982003E-3</v>
      </c>
      <c r="BX23" s="28">
        <f t="shared" si="519"/>
        <v>3.0154581163896184E-3</v>
      </c>
      <c r="BY23" s="28">
        <f t="shared" ref="BY23" si="520">BY21-BY22</f>
        <v>2.5674569018196789E-3</v>
      </c>
      <c r="BZ23" s="29">
        <f t="shared" ref="BZ23:CC23" si="521">BZ21-BZ22</f>
        <v>2.6784869568754538E-3</v>
      </c>
      <c r="CA23" s="29">
        <f t="shared" si="521"/>
        <v>2.6433443228112427E-3</v>
      </c>
      <c r="CB23" s="29">
        <f t="shared" si="521"/>
        <v>2.4860558432719003E-3</v>
      </c>
      <c r="CC23" s="29">
        <f t="shared" si="521"/>
        <v>2.4016161873739133E-3</v>
      </c>
      <c r="CD23" s="29">
        <f t="shared" ref="CD23:CO23" si="522">CD21-CD22</f>
        <v>2.6137759598002372E-3</v>
      </c>
      <c r="CE23" s="29">
        <f t="shared" si="522"/>
        <v>2.5999919488677412E-3</v>
      </c>
      <c r="CF23" s="29">
        <f t="shared" si="522"/>
        <v>2.4496953023494402E-3</v>
      </c>
      <c r="CG23" s="29">
        <f t="shared" si="522"/>
        <v>2.4418233121064315E-3</v>
      </c>
      <c r="CH23" s="29">
        <f t="shared" si="522"/>
        <v>2.3842054554144678E-3</v>
      </c>
      <c r="CI23" s="29">
        <f t="shared" si="522"/>
        <v>2.327249041764365E-3</v>
      </c>
      <c r="CJ23" s="29">
        <f t="shared" si="522"/>
        <v>2.400743277908676E-3</v>
      </c>
      <c r="CK23" s="29">
        <f t="shared" si="522"/>
        <v>2.3885052717984865E-3</v>
      </c>
      <c r="CL23" s="29">
        <f t="shared" si="522"/>
        <v>2.3751757617214994E-3</v>
      </c>
      <c r="CM23" s="29">
        <f t="shared" si="522"/>
        <v>2.3729183382982569E-3</v>
      </c>
      <c r="CN23" s="29">
        <f t="shared" si="522"/>
        <v>2.3843356624317306E-3</v>
      </c>
      <c r="CO23" s="29">
        <f t="shared" si="522"/>
        <v>2.3802337585624948E-3</v>
      </c>
      <c r="CS23" s="30">
        <v>2.7638203354156767E-3</v>
      </c>
    </row>
    <row r="24" spans="1:102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102" s="18" customFormat="1" x14ac:dyDescent="0.2">
      <c r="A25" s="137" t="s">
        <v>397</v>
      </c>
      <c r="B25" s="137">
        <f t="shared" ref="B25:AB25" si="523">+B114/B108</f>
        <v>0.47116968010193216</v>
      </c>
      <c r="C25" s="137">
        <f t="shared" si="523"/>
        <v>0.51736217924091066</v>
      </c>
      <c r="D25" s="137">
        <f t="shared" si="523"/>
        <v>0.56136622432214189</v>
      </c>
      <c r="E25" s="137">
        <f t="shared" si="523"/>
        <v>0.55172705415424772</v>
      </c>
      <c r="F25" s="137">
        <f t="shared" si="523"/>
        <v>0.62421437570819227</v>
      </c>
      <c r="G25" s="137">
        <f t="shared" si="523"/>
        <v>0.67999573734397667</v>
      </c>
      <c r="H25" s="137">
        <f t="shared" si="523"/>
        <v>0.69184353499347917</v>
      </c>
      <c r="I25" s="137">
        <f t="shared" si="523"/>
        <v>0.69602359311775663</v>
      </c>
      <c r="J25" s="137">
        <f t="shared" si="523"/>
        <v>0.73956630202477891</v>
      </c>
      <c r="K25" s="137">
        <f t="shared" si="523"/>
        <v>0.72164325218179604</v>
      </c>
      <c r="L25" s="137">
        <f t="shared" si="523"/>
        <v>0.71997924781320166</v>
      </c>
      <c r="M25" s="137">
        <f t="shared" si="523"/>
        <v>0.71086124155042529</v>
      </c>
      <c r="N25" s="137">
        <f t="shared" si="523"/>
        <v>0.68054671136852096</v>
      </c>
      <c r="O25" s="137">
        <f t="shared" si="523"/>
        <v>0.71559579318296174</v>
      </c>
      <c r="P25" s="137">
        <f t="shared" si="523"/>
        <v>0.6965124149281825</v>
      </c>
      <c r="Q25" s="137">
        <f t="shared" si="523"/>
        <v>0.67678310676985542</v>
      </c>
      <c r="R25" s="137">
        <f t="shared" si="523"/>
        <v>0.69054281671905471</v>
      </c>
      <c r="S25" s="137">
        <f t="shared" si="523"/>
        <v>0.72736938711193322</v>
      </c>
      <c r="T25" s="137">
        <f t="shared" si="523"/>
        <v>0.71402923075150682</v>
      </c>
      <c r="U25" s="137">
        <f t="shared" si="523"/>
        <v>0.69109201833420975</v>
      </c>
      <c r="V25" s="137">
        <f t="shared" si="523"/>
        <v>0.63217435380868836</v>
      </c>
      <c r="W25" s="137">
        <f t="shared" si="523"/>
        <v>0.64763975568569299</v>
      </c>
      <c r="X25" s="137">
        <f t="shared" si="523"/>
        <v>0.70442625962679373</v>
      </c>
      <c r="Y25" s="137">
        <f t="shared" si="523"/>
        <v>0.70987239699990889</v>
      </c>
      <c r="Z25" s="137">
        <f t="shared" si="523"/>
        <v>0.73374555739918201</v>
      </c>
      <c r="AA25" s="138">
        <f t="shared" si="523"/>
        <v>0.77773600036717383</v>
      </c>
      <c r="AB25" s="138">
        <f t="shared" si="523"/>
        <v>0.81956643337311597</v>
      </c>
      <c r="AC25" s="138"/>
      <c r="AD25" s="138"/>
      <c r="AE25" s="138"/>
      <c r="AG25" s="86"/>
      <c r="AH25" s="18">
        <f t="shared" ref="AH25:BV25" si="524">+AH114/AH108</f>
        <v>0.6867533391612678</v>
      </c>
      <c r="AI25" s="18">
        <f t="shared" si="524"/>
        <v>0.66585693419151537</v>
      </c>
      <c r="AJ25" s="18">
        <f t="shared" si="524"/>
        <v>0.67655039645729309</v>
      </c>
      <c r="AK25" s="18">
        <f t="shared" si="524"/>
        <v>0.67678312223749837</v>
      </c>
      <c r="AL25" s="18">
        <f t="shared" si="524"/>
        <v>0.69046529768189313</v>
      </c>
      <c r="AM25" s="18">
        <f t="shared" si="524"/>
        <v>0.67543868868029222</v>
      </c>
      <c r="AN25" s="18">
        <f t="shared" si="524"/>
        <v>0.64985014426129173</v>
      </c>
      <c r="AO25" s="18">
        <f t="shared" si="524"/>
        <v>0.69054281817116481</v>
      </c>
      <c r="AP25" s="18">
        <f t="shared" si="524"/>
        <v>0.70551948382032204</v>
      </c>
      <c r="AQ25" s="18">
        <f t="shared" si="524"/>
        <v>0.72164882271020225</v>
      </c>
      <c r="AR25" s="18">
        <f t="shared" si="524"/>
        <v>0.74048748550768639</v>
      </c>
      <c r="AS25" s="18">
        <f t="shared" si="524"/>
        <v>0.7273693943878774</v>
      </c>
      <c r="AT25" s="18">
        <f t="shared" si="524"/>
        <v>0.72430473223430036</v>
      </c>
      <c r="AU25" s="18">
        <f t="shared" si="524"/>
        <v>0.7419991407181864</v>
      </c>
      <c r="AV25" s="18">
        <f t="shared" si="524"/>
        <v>0.7249512679507053</v>
      </c>
      <c r="AW25" s="18">
        <f t="shared" si="524"/>
        <v>0.71402922722423701</v>
      </c>
      <c r="AX25" s="18">
        <f t="shared" si="524"/>
        <v>0.70867315264996056</v>
      </c>
      <c r="AY25" s="18">
        <f t="shared" si="524"/>
        <v>0.70445172563349023</v>
      </c>
      <c r="AZ25" s="18">
        <f t="shared" si="524"/>
        <v>0.67591284888180614</v>
      </c>
      <c r="BA25" s="18">
        <f t="shared" si="524"/>
        <v>0.69109200369622714</v>
      </c>
      <c r="BB25" s="18">
        <f t="shared" si="524"/>
        <v>0.67852770930460771</v>
      </c>
      <c r="BC25" s="18">
        <f t="shared" si="524"/>
        <v>0.64958162442261647</v>
      </c>
      <c r="BD25" s="18">
        <f t="shared" si="524"/>
        <v>0.65183190648678802</v>
      </c>
      <c r="BE25" s="18">
        <f t="shared" si="524"/>
        <v>0.63217435935524269</v>
      </c>
      <c r="BF25" s="18">
        <f t="shared" si="524"/>
        <v>0.63465723082309444</v>
      </c>
      <c r="BG25" s="18">
        <f t="shared" si="524"/>
        <v>0.62911491482684156</v>
      </c>
      <c r="BH25" s="18">
        <f t="shared" si="524"/>
        <v>0.66340850988112188</v>
      </c>
      <c r="BI25" s="18">
        <f t="shared" si="524"/>
        <v>0.64763975454001332</v>
      </c>
      <c r="BJ25" s="18">
        <f t="shared" si="524"/>
        <v>0.66803566191312636</v>
      </c>
      <c r="BK25" s="18">
        <f t="shared" si="524"/>
        <v>0.69534959552866293</v>
      </c>
      <c r="BL25" s="18">
        <f t="shared" si="524"/>
        <v>0.70170571019605221</v>
      </c>
      <c r="BM25" s="18">
        <f t="shared" si="524"/>
        <v>0.70442625562023653</v>
      </c>
      <c r="BN25" s="18">
        <f t="shared" si="524"/>
        <v>0.71711852124339504</v>
      </c>
      <c r="BO25" s="18">
        <f t="shared" si="524"/>
        <v>0.7241512938496304</v>
      </c>
      <c r="BP25" s="18">
        <f t="shared" si="524"/>
        <v>0.72897644788259586</v>
      </c>
      <c r="BQ25" s="18">
        <f t="shared" si="524"/>
        <v>0.70987239609822128</v>
      </c>
      <c r="BR25" s="18">
        <f t="shared" si="524"/>
        <v>0.70879008772296703</v>
      </c>
      <c r="BS25" s="18">
        <f t="shared" si="524"/>
        <v>0.7303549016134786</v>
      </c>
      <c r="BT25" s="18">
        <f t="shared" si="524"/>
        <v>0.76005943498498718</v>
      </c>
      <c r="BU25" s="18">
        <f t="shared" si="524"/>
        <v>0.73374555581293865</v>
      </c>
      <c r="BV25" s="18">
        <f t="shared" si="524"/>
        <v>0.73149071540857424</v>
      </c>
      <c r="BW25" s="18">
        <f>+BW114/BW108</f>
        <v>0.73964114094863842</v>
      </c>
      <c r="BX25" s="18">
        <f>+BX114/BX108</f>
        <v>0.77094598125165703</v>
      </c>
      <c r="BY25" s="18">
        <f>+BY114/BY108</f>
        <v>0.77773600021138822</v>
      </c>
      <c r="BZ25" s="19">
        <f t="shared" ref="BZ25:CO25" si="525">+BZ114/BZ108</f>
        <v>0.75933439792809754</v>
      </c>
      <c r="CA25" s="19">
        <f t="shared" si="525"/>
        <v>0.76899373498597401</v>
      </c>
      <c r="CB25" s="19">
        <f t="shared" si="525"/>
        <v>0.80650474705200748</v>
      </c>
      <c r="CC25" s="19">
        <f t="shared" si="525"/>
        <v>0.81956643337311597</v>
      </c>
      <c r="CD25" s="19">
        <f t="shared" si="525"/>
        <v>0.79303914997413805</v>
      </c>
      <c r="CE25" s="19">
        <f t="shared" si="525"/>
        <v>0.80434775724608576</v>
      </c>
      <c r="CF25" s="19">
        <f t="shared" si="525"/>
        <v>0.84486005980666112</v>
      </c>
      <c r="CG25" s="19">
        <f t="shared" si="525"/>
        <v>0.85883716194995441</v>
      </c>
      <c r="CH25" s="19">
        <f t="shared" si="525"/>
        <v>0.82988175728386693</v>
      </c>
      <c r="CI25" s="19">
        <f t="shared" si="525"/>
        <v>0.84213274599891086</v>
      </c>
      <c r="CJ25" s="19">
        <f t="shared" si="525"/>
        <v>0.88475992815294624</v>
      </c>
      <c r="CK25" s="19">
        <f t="shared" si="525"/>
        <v>0.89932610551264369</v>
      </c>
      <c r="CL25" s="19">
        <f t="shared" si="525"/>
        <v>0.86884546839941568</v>
      </c>
      <c r="CM25" s="19">
        <f t="shared" si="525"/>
        <v>0.88177558148426216</v>
      </c>
      <c r="CN25" s="19">
        <f t="shared" si="525"/>
        <v>0.92643117636027428</v>
      </c>
      <c r="CO25" s="19">
        <f t="shared" si="525"/>
        <v>0.94165470496118642</v>
      </c>
      <c r="CS25" s="18">
        <v>0.76328755519204639</v>
      </c>
    </row>
    <row r="26" spans="1:102" s="4" customFormat="1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  <c r="AB26" s="8"/>
      <c r="AC26" s="8"/>
      <c r="AD26" s="8"/>
      <c r="AE26" s="8"/>
      <c r="AG26" s="54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</row>
    <row r="27" spans="1:102" s="4" customFormat="1" x14ac:dyDescent="0.2">
      <c r="A27" s="118" t="s">
        <v>359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  <c r="AB27" s="8"/>
      <c r="AC27" s="8"/>
      <c r="AD27" s="8"/>
      <c r="AE27" s="8"/>
      <c r="AG27" s="54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</row>
    <row r="28" spans="1:102" s="4" customFormat="1" x14ac:dyDescent="0.2">
      <c r="A28" s="118" t="s">
        <v>360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8"/>
      <c r="AC28" s="8"/>
      <c r="AD28" s="8"/>
      <c r="AE28" s="8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102" s="38" customFormat="1" x14ac:dyDescent="0.2">
      <c r="A29" s="38" t="s">
        <v>7</v>
      </c>
      <c r="B29" s="38">
        <f>+'Annual Raw'!C7</f>
        <v>5618.2668999999996</v>
      </c>
      <c r="C29" s="38">
        <f>+'Annual Raw'!D7</f>
        <v>6370.5610999999999</v>
      </c>
      <c r="D29" s="38">
        <f>+'Annual Raw'!E7</f>
        <v>6657.7228999999998</v>
      </c>
      <c r="E29" s="38">
        <f>+'Annual Raw'!F7</f>
        <v>7006.9206999999997</v>
      </c>
      <c r="F29" s="38">
        <f>+'Annual Raw'!G7</f>
        <v>7571.9687999999996</v>
      </c>
      <c r="G29" s="38">
        <f>+'Annual Raw'!H7</f>
        <v>8711.5123000000003</v>
      </c>
      <c r="H29" s="38">
        <f>+'Annual Raw'!I7</f>
        <v>11364.556200000001</v>
      </c>
      <c r="I29" s="38">
        <f>+'Annual Raw'!J7</f>
        <v>14200.736999999999</v>
      </c>
      <c r="J29" s="38">
        <f>+'Annual Raw'!K7</f>
        <v>17119.053500000002</v>
      </c>
      <c r="K29" s="38">
        <f>+'Annual Raw'!L7</f>
        <v>18751.962299999999</v>
      </c>
      <c r="L29" s="38">
        <f>+'Annual Raw'!M7</f>
        <v>22940.068899999998</v>
      </c>
      <c r="M29" s="38">
        <f>+'Annual Raw'!N7</f>
        <v>30850.621500000001</v>
      </c>
      <c r="N29" s="38">
        <f>+'Annual Raw'!O7</f>
        <v>34077.934999999998</v>
      </c>
      <c r="O29" s="38">
        <f>+'Annual Raw'!P7</f>
        <v>39547.611799999999</v>
      </c>
      <c r="P29" s="38">
        <f>+'Annual Raw'!Q7</f>
        <v>43750.042600000001</v>
      </c>
      <c r="Q29" s="38">
        <f>+'Annual Raw'!R7</f>
        <v>44022.135399999999</v>
      </c>
      <c r="R29" s="38">
        <f>+'Annual Raw'!S7</f>
        <v>41387.644899999999</v>
      </c>
      <c r="S29" s="38">
        <f>+'Annual Raw'!T7</f>
        <v>41252.087599999999</v>
      </c>
      <c r="T29" s="38">
        <f>+'Annual Raw'!U7</f>
        <v>46810.341800000002</v>
      </c>
      <c r="U29" s="38">
        <f>+'Annual Raw'!V7</f>
        <v>48934.9902</v>
      </c>
      <c r="V29" s="38">
        <f>+'Annual Raw'!W7</f>
        <v>69280.462199999994</v>
      </c>
      <c r="W29" s="38">
        <f>+'Annual Raw'!X7</f>
        <v>69410.239300000001</v>
      </c>
      <c r="X29" s="38">
        <f>+'Annual Raw'!Y7</f>
        <v>84424.782200000001</v>
      </c>
      <c r="Y29" s="38">
        <f>+'Annual Raw'!Z7</f>
        <v>108687.92570000001</v>
      </c>
      <c r="Z29" s="38">
        <f>+'Annual Raw'!AA7</f>
        <v>119755.069</v>
      </c>
      <c r="AA29" s="38">
        <f>+'Annual Raw'!AB7</f>
        <v>126366.1681</v>
      </c>
      <c r="AB29" s="39">
        <f>SUM(BZ29:CC29)</f>
        <v>144337.56629509467</v>
      </c>
      <c r="AC29" s="39">
        <f>SUM(CD29:CG29)</f>
        <v>159397.7926362592</v>
      </c>
      <c r="AD29" s="39">
        <f>SUM(CH29:CK29)</f>
        <v>173050.53473406608</v>
      </c>
      <c r="AE29" s="39">
        <f>SUM(CL29:CO29)</f>
        <v>189753.98462368408</v>
      </c>
      <c r="AG29" s="60"/>
      <c r="AH29" s="38">
        <f>+'QTR Raw'!C6</f>
        <v>11139.65</v>
      </c>
      <c r="AI29" s="38">
        <f>+'QTR Raw'!D6</f>
        <v>11267.5</v>
      </c>
      <c r="AJ29" s="38">
        <f>+'QTR Raw'!E6</f>
        <v>10882.07</v>
      </c>
      <c r="AK29" s="38">
        <f>+'QTR Raw'!F6</f>
        <v>10732.91</v>
      </c>
      <c r="AL29" s="38">
        <f>+'QTR Raw'!G6</f>
        <v>10201.700000000001</v>
      </c>
      <c r="AM29" s="38">
        <f>+'QTR Raw'!H6</f>
        <v>10405.35</v>
      </c>
      <c r="AN29" s="38">
        <f>+'QTR Raw'!I6</f>
        <v>10287.67</v>
      </c>
      <c r="AO29" s="38">
        <f>+'QTR Raw'!J6</f>
        <v>10492.92</v>
      </c>
      <c r="AP29" s="38">
        <f>+'QTR Raw'!K6</f>
        <v>10195.59</v>
      </c>
      <c r="AQ29" s="38">
        <f>+'QTR Raw'!L6</f>
        <v>10058.450000000001</v>
      </c>
      <c r="AR29" s="38">
        <f>+'QTR Raw'!M6</f>
        <v>10774.64</v>
      </c>
      <c r="AS29" s="38">
        <f>+'QTR Raw'!N6</f>
        <v>10223.41</v>
      </c>
      <c r="AT29" s="38">
        <f>+'QTR Raw'!O6</f>
        <v>11359.55</v>
      </c>
      <c r="AU29" s="38">
        <f>+'QTR Raw'!P6</f>
        <v>11123.75</v>
      </c>
      <c r="AV29" s="38">
        <f>+'QTR Raw'!Q6</f>
        <v>12188.56</v>
      </c>
      <c r="AW29" s="38">
        <f>+'QTR Raw'!R6</f>
        <v>12138.48</v>
      </c>
      <c r="AX29" s="38">
        <f>+'QTR Raw'!S6</f>
        <v>12200.52</v>
      </c>
      <c r="AY29" s="38">
        <f>+'QTR Raw'!T6</f>
        <v>12392.14</v>
      </c>
      <c r="AZ29" s="38">
        <f>+'QTR Raw'!U6</f>
        <v>12294.89</v>
      </c>
      <c r="BA29" s="38">
        <f>+'QTR Raw'!V6</f>
        <v>12047.44</v>
      </c>
      <c r="BB29" s="38">
        <f>+'QTR Raw'!W6</f>
        <v>18035.810000000001</v>
      </c>
      <c r="BC29" s="38">
        <f>+'QTR Raw'!X6</f>
        <v>17690.47</v>
      </c>
      <c r="BD29" s="38">
        <f>+'QTR Raw'!Y6</f>
        <v>17211.939999999999</v>
      </c>
      <c r="BE29" s="38">
        <f>+'QTR Raw'!Z6</f>
        <v>16337.43</v>
      </c>
      <c r="BF29" s="38">
        <f>+'QTR Raw'!AA6</f>
        <v>16784.37</v>
      </c>
      <c r="BG29" s="38">
        <f>+'QTR Raw'!AB6</f>
        <v>17063.689999999999</v>
      </c>
      <c r="BH29" s="38">
        <f>+'QTR Raw'!AC6</f>
        <v>17700.599999999999</v>
      </c>
      <c r="BI29" s="38">
        <f>+'QTR Raw'!AD6</f>
        <v>17861.59</v>
      </c>
      <c r="BJ29" s="38">
        <f>+'QTR Raw'!AE6</f>
        <v>18176.64</v>
      </c>
      <c r="BK29" s="38">
        <f>+'QTR Raw'!AF6</f>
        <v>20106.919999999998</v>
      </c>
      <c r="BL29" s="38">
        <f>+'QTR Raw'!AG6</f>
        <v>22231.42</v>
      </c>
      <c r="BM29" s="38">
        <f>+'QTR Raw'!AH6</f>
        <v>23909.8</v>
      </c>
      <c r="BN29" s="38">
        <f>+'QTR Raw'!AI6</f>
        <v>25004.07</v>
      </c>
      <c r="BO29" s="38">
        <f>+'QTR Raw'!AJ6</f>
        <v>26837.68</v>
      </c>
      <c r="BP29" s="38">
        <f>+'QTR Raw'!AK6</f>
        <v>28038.83</v>
      </c>
      <c r="BQ29" s="38">
        <f>+'QTR Raw'!AL6</f>
        <v>28807.35</v>
      </c>
      <c r="BR29" s="38">
        <f>+'QTR Raw'!AM6</f>
        <v>28701.35</v>
      </c>
      <c r="BS29" s="38">
        <f>+'QTR Raw'!AN6</f>
        <v>29740.07</v>
      </c>
      <c r="BT29" s="38">
        <f>+'QTR Raw'!AO6</f>
        <v>30311.61</v>
      </c>
      <c r="BU29" s="38">
        <f>+'QTR Raw'!AP6</f>
        <v>31002.04</v>
      </c>
      <c r="BV29" s="38">
        <f>+'QTR Raw'!AQ6</f>
        <v>31002.83</v>
      </c>
      <c r="BW29" s="38">
        <f>+'QTR Raw'!AR6</f>
        <v>31543.89</v>
      </c>
      <c r="BX29" s="38">
        <v>31981.599999999999</v>
      </c>
      <c r="BY29" s="38">
        <f>+'QTR Raw'!AT6</f>
        <v>31837.85</v>
      </c>
      <c r="BZ29" s="39">
        <f t="shared" ref="BZ29:CC29" si="526">BZ12*BY5</f>
        <v>34653.30571309667</v>
      </c>
      <c r="CA29" s="39">
        <f t="shared" si="526"/>
        <v>35653.960380763536</v>
      </c>
      <c r="CB29" s="39">
        <f t="shared" si="526"/>
        <v>36658.54358565859</v>
      </c>
      <c r="CC29" s="39">
        <f t="shared" si="526"/>
        <v>37371.756615575869</v>
      </c>
      <c r="CD29" s="39">
        <f t="shared" ref="CD29" si="527">CD12*CC5</f>
        <v>38144.318422812357</v>
      </c>
      <c r="CE29" s="39">
        <f t="shared" ref="CE29" si="528">CE12*CD5</f>
        <v>39385.522174903555</v>
      </c>
      <c r="CF29" s="39">
        <f t="shared" ref="CF29" si="529">CF12*CE5</f>
        <v>40583.065456025077</v>
      </c>
      <c r="CG29" s="39">
        <f t="shared" ref="CG29" si="530">CG12*CF5</f>
        <v>41284.886582518193</v>
      </c>
      <c r="CH29" s="39">
        <f t="shared" ref="CH29" si="531">CH12*CG5</f>
        <v>41282.29976824703</v>
      </c>
      <c r="CI29" s="39">
        <f t="shared" ref="CI29" si="532">CI12*CH5</f>
        <v>42453.667199855641</v>
      </c>
      <c r="CJ29" s="39">
        <f t="shared" ref="CJ29" si="533">CJ12*CI5</f>
        <v>44348.622971814475</v>
      </c>
      <c r="CK29" s="39">
        <f t="shared" ref="CK29" si="534">CK12*CJ5</f>
        <v>44965.944794148942</v>
      </c>
      <c r="CL29" s="39">
        <f t="shared" ref="CL29" si="535">CL12*CK5</f>
        <v>45257.610018868385</v>
      </c>
      <c r="CM29" s="39">
        <f t="shared" ref="CM29" si="536">CM12*CL5</f>
        <v>46698.108343415792</v>
      </c>
      <c r="CN29" s="39">
        <f t="shared" ref="CN29" si="537">CN12*CM5</f>
        <v>48549.458410011401</v>
      </c>
      <c r="CO29" s="39">
        <f t="shared" ref="CO29" si="538">CO12*CN5</f>
        <v>49248.807851388512</v>
      </c>
      <c r="CS29" s="38">
        <v>32308.289261045371</v>
      </c>
      <c r="CX29" s="38">
        <v>126366.1681</v>
      </c>
    </row>
    <row r="30" spans="1:102" s="38" customFormat="1" x14ac:dyDescent="0.2">
      <c r="A30" s="38" t="s">
        <v>9</v>
      </c>
      <c r="B30" s="38">
        <f>+'Annual Raw'!C10</f>
        <v>3735.2480999999998</v>
      </c>
      <c r="C30" s="38">
        <f>+'Annual Raw'!D10</f>
        <v>4550.2484000000004</v>
      </c>
      <c r="D30" s="38">
        <f>+'Annual Raw'!E10</f>
        <v>4424.7727999999997</v>
      </c>
      <c r="E30" s="38">
        <f>+'Annual Raw'!F10</f>
        <v>4324.5654999999997</v>
      </c>
      <c r="F30" s="38">
        <f>+'Annual Raw'!G10</f>
        <v>4421.4993000000004</v>
      </c>
      <c r="G30" s="38">
        <f>+'Annual Raw'!H10</f>
        <v>5130.0069000000003</v>
      </c>
      <c r="H30" s="38">
        <f>+'Annual Raw'!I10</f>
        <v>7337.7304999999997</v>
      </c>
      <c r="I30" s="38">
        <f>+'Annual Raw'!J10</f>
        <v>10662.9444</v>
      </c>
      <c r="J30" s="38">
        <f>+'Annual Raw'!K10</f>
        <v>12401.246300000001</v>
      </c>
      <c r="K30" s="38">
        <f>+'Annual Raw'!L10</f>
        <v>13071.428400000001</v>
      </c>
      <c r="L30" s="38">
        <f>+'Annual Raw'!M10</f>
        <v>15240.735699999999</v>
      </c>
      <c r="M30" s="38">
        <f>+'Annual Raw'!N10</f>
        <v>23161.311600000001</v>
      </c>
      <c r="N30" s="38">
        <f>+'Annual Raw'!O10</f>
        <v>26198.943299999999</v>
      </c>
      <c r="O30" s="38">
        <f>+'Annual Raw'!P10</f>
        <v>30603.165400000002</v>
      </c>
      <c r="P30" s="38">
        <f>+'Annual Raw'!Q10</f>
        <v>34086.374400000001</v>
      </c>
      <c r="Q30" s="38">
        <f>+'Annual Raw'!R10</f>
        <v>34258.774599999997</v>
      </c>
      <c r="R30" s="38">
        <f>+'Annual Raw'!S10</f>
        <v>31515.8681</v>
      </c>
      <c r="S30" s="38">
        <f>+'Annual Raw'!T10</f>
        <v>29088.762500000001</v>
      </c>
      <c r="T30" s="38">
        <f>+'Annual Raw'!U10</f>
        <v>32332.220099999999</v>
      </c>
      <c r="U30" s="38">
        <f>+'Annual Raw'!V10</f>
        <v>35811.083400000003</v>
      </c>
      <c r="V30" s="38">
        <f>+'Annual Raw'!W10</f>
        <v>45177.623699999996</v>
      </c>
      <c r="W30" s="38">
        <f>+'Annual Raw'!X10</f>
        <v>43026.262600000002</v>
      </c>
      <c r="X30" s="38">
        <f>+'Annual Raw'!Y10</f>
        <v>52989.487000000001</v>
      </c>
      <c r="Y30" s="38">
        <f>+'Annual Raw'!Z10</f>
        <v>72121.988700000002</v>
      </c>
      <c r="Z30" s="38">
        <f>+'Annual Raw'!AA10</f>
        <v>82683.112800000003</v>
      </c>
      <c r="AA30" s="38">
        <f>+'Annual Raw'!AB10</f>
        <v>89155.928</v>
      </c>
      <c r="AB30" s="39">
        <f>SUM(BZ30:CC30)</f>
        <v>100707.52565291362</v>
      </c>
      <c r="AC30" s="39">
        <f>SUM(CD30:CG30)</f>
        <v>110232.03767786485</v>
      </c>
      <c r="AD30" s="39">
        <f>SUM(CH30:CK30)</f>
        <v>120790.06549452222</v>
      </c>
      <c r="AE30" s="39">
        <f>SUM(CL30:CO30)</f>
        <v>132390.4469112347</v>
      </c>
      <c r="AG30" s="60"/>
      <c r="AH30" s="38">
        <f>+'QTR Raw'!C9</f>
        <v>8623.15</v>
      </c>
      <c r="AI30" s="38">
        <f>+'QTR Raw'!D9</f>
        <v>8621</v>
      </c>
      <c r="AJ30" s="38">
        <f>+'QTR Raw'!E9</f>
        <v>8655.4699999999993</v>
      </c>
      <c r="AK30" s="38">
        <f>+'QTR Raw'!F9</f>
        <v>8359.15</v>
      </c>
      <c r="AL30" s="38">
        <f>+'QTR Raw'!G9</f>
        <v>7894.3</v>
      </c>
      <c r="AM30" s="38">
        <f>+'QTR Raw'!H9</f>
        <v>7963</v>
      </c>
      <c r="AN30" s="38">
        <f>+'QTR Raw'!I9</f>
        <v>7873.87</v>
      </c>
      <c r="AO30" s="38">
        <f>+'QTR Raw'!J9</f>
        <v>7784.7</v>
      </c>
      <c r="AP30" s="38">
        <f>+'QTR Raw'!K9</f>
        <v>7482.35</v>
      </c>
      <c r="AQ30" s="38">
        <f>+'QTR Raw'!L9</f>
        <v>7275.08</v>
      </c>
      <c r="AR30" s="38">
        <f>+'QTR Raw'!M9</f>
        <v>7095.51</v>
      </c>
      <c r="AS30" s="38">
        <f>+'QTR Raw'!N9</f>
        <v>7235.82</v>
      </c>
      <c r="AT30" s="38">
        <f>+'QTR Raw'!O9</f>
        <v>7476.65</v>
      </c>
      <c r="AU30" s="38">
        <f>+'QTR Raw'!P9</f>
        <v>7842.48</v>
      </c>
      <c r="AV30" s="38">
        <f>+'QTR Raw'!Q9</f>
        <v>8374.76</v>
      </c>
      <c r="AW30" s="38">
        <f>+'QTR Raw'!R9</f>
        <v>8638.33</v>
      </c>
      <c r="AX30" s="38">
        <f>+'QTR Raw'!S9</f>
        <v>8959.91</v>
      </c>
      <c r="AY30" s="38">
        <f>+'QTR Raw'!T9</f>
        <v>9262.3799999999992</v>
      </c>
      <c r="AZ30" s="38">
        <f>+'QTR Raw'!U9</f>
        <v>8859.8700000000008</v>
      </c>
      <c r="BA30" s="38">
        <f>+'QTR Raw'!V9</f>
        <v>8728.92</v>
      </c>
      <c r="BB30" s="38">
        <f>+'QTR Raw'!W9</f>
        <v>11940.26</v>
      </c>
      <c r="BC30" s="38">
        <f>+'QTR Raw'!X9</f>
        <v>11385.59</v>
      </c>
      <c r="BD30" s="38">
        <f>+'QTR Raw'!Y9</f>
        <v>11125.46</v>
      </c>
      <c r="BE30" s="38">
        <f>+'QTR Raw'!Z9</f>
        <v>10726.31</v>
      </c>
      <c r="BF30" s="38">
        <f>+'QTR Raw'!AA9</f>
        <v>10625.04</v>
      </c>
      <c r="BG30" s="38">
        <f>+'QTR Raw'!AB9</f>
        <v>10789.88</v>
      </c>
      <c r="BH30" s="38">
        <f>+'QTR Raw'!AC9</f>
        <v>10755.62</v>
      </c>
      <c r="BI30" s="38">
        <f>+'QTR Raw'!AD9</f>
        <v>10855.72</v>
      </c>
      <c r="BJ30" s="38">
        <f>+'QTR Raw'!AE9</f>
        <v>11391.91</v>
      </c>
      <c r="BK30" s="38">
        <f>+'QTR Raw'!AF9</f>
        <v>12673.1</v>
      </c>
      <c r="BL30" s="38">
        <f>+'QTR Raw'!AG9</f>
        <v>13631.47</v>
      </c>
      <c r="BM30" s="38">
        <f>+'QTR Raw'!AH9</f>
        <v>15293.01</v>
      </c>
      <c r="BN30" s="38">
        <f>+'QTR Raw'!AI9</f>
        <v>16338.42</v>
      </c>
      <c r="BO30" s="38">
        <f>+'QTR Raw'!AJ9</f>
        <v>17934.689999999999</v>
      </c>
      <c r="BP30" s="38">
        <f>+'QTR Raw'!AK9</f>
        <v>18621.73</v>
      </c>
      <c r="BQ30" s="38">
        <f>+'QTR Raw'!AL9</f>
        <v>19227.150000000001</v>
      </c>
      <c r="BR30" s="38">
        <f>+'QTR Raw'!AM9</f>
        <v>19535.080000000002</v>
      </c>
      <c r="BS30" s="38">
        <f>+'QTR Raw'!AN9</f>
        <v>20424.87</v>
      </c>
      <c r="BT30" s="38">
        <f>+'QTR Raw'!AO9</f>
        <v>21163.040000000001</v>
      </c>
      <c r="BU30" s="38">
        <f>+'QTR Raw'!AP9</f>
        <v>21560.12</v>
      </c>
      <c r="BV30" s="38">
        <f>+'QTR Raw'!AQ9</f>
        <v>21994.07</v>
      </c>
      <c r="BW30" s="38">
        <f>+'QTR Raw'!AR9</f>
        <v>22402.7</v>
      </c>
      <c r="BX30" s="38">
        <v>22729.279999999999</v>
      </c>
      <c r="BY30" s="38">
        <f>+'QTR Raw'!AT9</f>
        <v>22029.88</v>
      </c>
      <c r="BZ30" s="39">
        <f t="shared" ref="BZ30:CC30" si="539">BZ13*BY5</f>
        <v>24215.546257111451</v>
      </c>
      <c r="CA30" s="39">
        <f t="shared" si="539"/>
        <v>24818.555824631621</v>
      </c>
      <c r="CB30" s="39">
        <f t="shared" si="539"/>
        <v>25639.630902159312</v>
      </c>
      <c r="CC30" s="39">
        <f t="shared" si="539"/>
        <v>26033.79266901124</v>
      </c>
      <c r="CD30" s="39">
        <f t="shared" ref="CD30" si="540">CD13*CC5</f>
        <v>26350.919173938812</v>
      </c>
      <c r="CE30" s="39">
        <f t="shared" ref="CE30" si="541">CE13*CD5</f>
        <v>27130.023617595707</v>
      </c>
      <c r="CF30" s="39">
        <f t="shared" ref="CF30" si="542">CF13*CE5</f>
        <v>28160.260702921183</v>
      </c>
      <c r="CG30" s="39">
        <f t="shared" ref="CG30" si="543">CG13*CF5</f>
        <v>28590.834183409155</v>
      </c>
      <c r="CH30" s="39">
        <f t="shared" ref="CH30" si="544">CH13*CG5</f>
        <v>28835.567562272336</v>
      </c>
      <c r="CI30" s="39">
        <f t="shared" ref="CI30" si="545">CI13*CH5</f>
        <v>29735.56981362349</v>
      </c>
      <c r="CJ30" s="39">
        <f t="shared" ref="CJ30" si="546">CJ13*CI5</f>
        <v>30880.834326657059</v>
      </c>
      <c r="CK30" s="39">
        <f t="shared" ref="CK30" si="547">CK13*CJ5</f>
        <v>31338.093791969335</v>
      </c>
      <c r="CL30" s="39">
        <f t="shared" ref="CL30" si="548">CL13*CK5</f>
        <v>31591.581209609107</v>
      </c>
      <c r="CM30" s="39">
        <f t="shared" ref="CM30" si="549">CM13*CL5</f>
        <v>32591.760988942733</v>
      </c>
      <c r="CN30" s="39">
        <f t="shared" ref="CN30" si="550">CN13*CM5</f>
        <v>33853.664107050034</v>
      </c>
      <c r="CO30" s="39">
        <f t="shared" ref="CO30" si="551">CO13*CN5</f>
        <v>34353.440605632815</v>
      </c>
      <c r="CS30" s="38">
        <v>22945.581912326637</v>
      </c>
      <c r="CX30" s="38">
        <v>89155.928</v>
      </c>
    </row>
    <row r="31" spans="1:102" s="40" customFormat="1" x14ac:dyDescent="0.2">
      <c r="A31" s="40" t="s">
        <v>8</v>
      </c>
      <c r="B31" s="40">
        <f t="shared" ref="B31:O31" si="552">B29-B30</f>
        <v>1883.0187999999998</v>
      </c>
      <c r="C31" s="40">
        <f t="shared" si="552"/>
        <v>1820.3126999999995</v>
      </c>
      <c r="D31" s="40">
        <f t="shared" si="552"/>
        <v>2232.9501</v>
      </c>
      <c r="E31" s="40">
        <f t="shared" si="552"/>
        <v>2682.3552</v>
      </c>
      <c r="F31" s="40">
        <f t="shared" si="552"/>
        <v>3150.4694999999992</v>
      </c>
      <c r="G31" s="40">
        <f t="shared" si="552"/>
        <v>3581.5054</v>
      </c>
      <c r="H31" s="40">
        <f t="shared" si="552"/>
        <v>4026.8257000000012</v>
      </c>
      <c r="I31" s="40">
        <f t="shared" si="552"/>
        <v>3537.7925999999989</v>
      </c>
      <c r="J31" s="40">
        <f t="shared" si="552"/>
        <v>4717.8072000000011</v>
      </c>
      <c r="K31" s="40">
        <f t="shared" si="552"/>
        <v>5680.5338999999985</v>
      </c>
      <c r="L31" s="40">
        <f t="shared" si="552"/>
        <v>7699.3331999999991</v>
      </c>
      <c r="M31" s="40">
        <f t="shared" si="552"/>
        <v>7689.3099000000002</v>
      </c>
      <c r="N31" s="40">
        <f t="shared" si="552"/>
        <v>7878.9916999999987</v>
      </c>
      <c r="O31" s="40">
        <f t="shared" si="552"/>
        <v>8944.4463999999971</v>
      </c>
      <c r="P31" s="40">
        <f t="shared" ref="P31:W31" si="553">P29-P30</f>
        <v>9663.6682000000001</v>
      </c>
      <c r="Q31" s="40">
        <f t="shared" si="553"/>
        <v>9763.3608000000022</v>
      </c>
      <c r="R31" s="40">
        <f t="shared" si="553"/>
        <v>9871.7767999999996</v>
      </c>
      <c r="S31" s="40">
        <f t="shared" si="553"/>
        <v>12163.325099999998</v>
      </c>
      <c r="T31" s="40">
        <f t="shared" si="553"/>
        <v>14478.121700000003</v>
      </c>
      <c r="U31" s="40">
        <f t="shared" si="553"/>
        <v>13123.906799999997</v>
      </c>
      <c r="V31" s="40">
        <f t="shared" si="553"/>
        <v>24102.838499999998</v>
      </c>
      <c r="W31" s="40">
        <f t="shared" si="553"/>
        <v>26383.976699999999</v>
      </c>
      <c r="X31" s="40">
        <f t="shared" ref="X31" si="554">X29-X30</f>
        <v>31435.2952</v>
      </c>
      <c r="Y31" s="40">
        <f t="shared" ref="Y31" si="555">Y29-Y30</f>
        <v>36565.937000000005</v>
      </c>
      <c r="Z31" s="40">
        <f t="shared" ref="Z31:AA31" si="556">Z29-Z30</f>
        <v>37071.956200000001</v>
      </c>
      <c r="AA31" s="40">
        <f t="shared" ref="AA31" si="557">AA29-AA30</f>
        <v>37210.240099999995</v>
      </c>
      <c r="AB31" s="41">
        <f t="shared" ref="AB31" si="558">AB29-AB30</f>
        <v>43630.040642181048</v>
      </c>
      <c r="AC31" s="41">
        <f t="shared" ref="AC31" si="559">AC29-AC30</f>
        <v>49165.754958394347</v>
      </c>
      <c r="AD31" s="41">
        <f t="shared" ref="AD31" si="560">AD29-AD30</f>
        <v>52260.469239543861</v>
      </c>
      <c r="AE31" s="41">
        <f t="shared" ref="AE31" si="561">AE29-AE30</f>
        <v>57363.537712449383</v>
      </c>
      <c r="AG31" s="61"/>
      <c r="AH31" s="40">
        <f t="shared" ref="AH31" si="562">AH29-AH30</f>
        <v>2516.5</v>
      </c>
      <c r="AI31" s="40">
        <f t="shared" ref="AI31:BV31" si="563">AI29-AI30</f>
        <v>2646.5</v>
      </c>
      <c r="AJ31" s="40">
        <f t="shared" si="563"/>
        <v>2226.6000000000004</v>
      </c>
      <c r="AK31" s="40">
        <f t="shared" si="563"/>
        <v>2373.7600000000002</v>
      </c>
      <c r="AL31" s="40">
        <f t="shared" si="563"/>
        <v>2307.4000000000005</v>
      </c>
      <c r="AM31" s="40">
        <f t="shared" si="563"/>
        <v>2442.3500000000004</v>
      </c>
      <c r="AN31" s="40">
        <f t="shared" si="563"/>
        <v>2413.8000000000002</v>
      </c>
      <c r="AO31" s="40">
        <f t="shared" si="563"/>
        <v>2708.2200000000003</v>
      </c>
      <c r="AP31" s="40">
        <f t="shared" si="563"/>
        <v>2713.24</v>
      </c>
      <c r="AQ31" s="40">
        <f t="shared" si="563"/>
        <v>2783.3700000000008</v>
      </c>
      <c r="AR31" s="40">
        <f t="shared" si="563"/>
        <v>3679.1299999999992</v>
      </c>
      <c r="AS31" s="40">
        <f t="shared" si="563"/>
        <v>2987.59</v>
      </c>
      <c r="AT31" s="40">
        <f t="shared" si="563"/>
        <v>3882.8999999999996</v>
      </c>
      <c r="AU31" s="40">
        <f t="shared" si="563"/>
        <v>3281.2700000000004</v>
      </c>
      <c r="AV31" s="40">
        <f t="shared" si="563"/>
        <v>3813.7999999999993</v>
      </c>
      <c r="AW31" s="40">
        <f t="shared" si="563"/>
        <v>3500.1499999999996</v>
      </c>
      <c r="AX31" s="40">
        <f t="shared" si="563"/>
        <v>3240.6100000000006</v>
      </c>
      <c r="AY31" s="40">
        <f t="shared" si="563"/>
        <v>3129.76</v>
      </c>
      <c r="AZ31" s="40">
        <f t="shared" si="563"/>
        <v>3435.0199999999986</v>
      </c>
      <c r="BA31" s="40">
        <f t="shared" si="563"/>
        <v>3318.5200000000004</v>
      </c>
      <c r="BB31" s="40">
        <f t="shared" si="563"/>
        <v>6095.5500000000011</v>
      </c>
      <c r="BC31" s="40">
        <f t="shared" si="563"/>
        <v>6304.880000000001</v>
      </c>
      <c r="BD31" s="40">
        <f t="shared" si="563"/>
        <v>6086.48</v>
      </c>
      <c r="BE31" s="40">
        <f t="shared" si="563"/>
        <v>5611.1200000000008</v>
      </c>
      <c r="BF31" s="40">
        <f t="shared" si="563"/>
        <v>6159.3299999999981</v>
      </c>
      <c r="BG31" s="40">
        <f t="shared" si="563"/>
        <v>6273.8099999999995</v>
      </c>
      <c r="BH31" s="40">
        <f t="shared" si="563"/>
        <v>6944.9799999999977</v>
      </c>
      <c r="BI31" s="40">
        <f t="shared" si="563"/>
        <v>7005.8700000000008</v>
      </c>
      <c r="BJ31" s="40">
        <f t="shared" si="563"/>
        <v>6784.73</v>
      </c>
      <c r="BK31" s="40">
        <f t="shared" si="563"/>
        <v>7433.8199999999979</v>
      </c>
      <c r="BL31" s="40">
        <f t="shared" si="563"/>
        <v>8599.9499999999989</v>
      </c>
      <c r="BM31" s="40">
        <f t="shared" si="563"/>
        <v>8616.7899999999991</v>
      </c>
      <c r="BN31" s="40">
        <f t="shared" si="563"/>
        <v>8665.65</v>
      </c>
      <c r="BO31" s="40">
        <f t="shared" si="563"/>
        <v>8902.9900000000016</v>
      </c>
      <c r="BP31" s="40">
        <f t="shared" si="563"/>
        <v>9417.1000000000022</v>
      </c>
      <c r="BQ31" s="40">
        <f t="shared" si="563"/>
        <v>9580.1999999999971</v>
      </c>
      <c r="BR31" s="40">
        <f t="shared" si="563"/>
        <v>9166.2699999999968</v>
      </c>
      <c r="BS31" s="40">
        <f t="shared" si="563"/>
        <v>9315.2000000000007</v>
      </c>
      <c r="BT31" s="40">
        <f t="shared" si="563"/>
        <v>9148.57</v>
      </c>
      <c r="BU31" s="40">
        <f t="shared" si="563"/>
        <v>9441.9200000000019</v>
      </c>
      <c r="BV31" s="40">
        <f t="shared" si="563"/>
        <v>9008.760000000002</v>
      </c>
      <c r="BW31" s="40">
        <f t="shared" ref="BW31:BX31" si="564">BW29-BW30</f>
        <v>9141.1899999999987</v>
      </c>
      <c r="BX31" s="40">
        <f t="shared" si="564"/>
        <v>9252.32</v>
      </c>
      <c r="BY31" s="40">
        <f t="shared" ref="BY31" si="565">BY29-BY30</f>
        <v>9807.9699999999975</v>
      </c>
      <c r="BZ31" s="41">
        <f t="shared" ref="BZ31:CC31" si="566">BZ29-BZ30</f>
        <v>10437.759455985219</v>
      </c>
      <c r="CA31" s="41">
        <f t="shared" si="566"/>
        <v>10835.404556131914</v>
      </c>
      <c r="CB31" s="41">
        <f t="shared" si="566"/>
        <v>11018.912683499279</v>
      </c>
      <c r="CC31" s="41">
        <f t="shared" si="566"/>
        <v>11337.963946564629</v>
      </c>
      <c r="CD31" s="41">
        <f t="shared" ref="CD31:CO31" si="567">CD29-CD30</f>
        <v>11793.399248873546</v>
      </c>
      <c r="CE31" s="41">
        <f t="shared" si="567"/>
        <v>12255.498557307848</v>
      </c>
      <c r="CF31" s="41">
        <f t="shared" si="567"/>
        <v>12422.804753103894</v>
      </c>
      <c r="CG31" s="41">
        <f t="shared" si="567"/>
        <v>12694.052399109038</v>
      </c>
      <c r="CH31" s="41">
        <f t="shared" si="567"/>
        <v>12446.732205974695</v>
      </c>
      <c r="CI31" s="41">
        <f t="shared" si="567"/>
        <v>12718.097386232152</v>
      </c>
      <c r="CJ31" s="41">
        <f t="shared" si="567"/>
        <v>13467.788645157416</v>
      </c>
      <c r="CK31" s="41">
        <f t="shared" si="567"/>
        <v>13627.851002179606</v>
      </c>
      <c r="CL31" s="41">
        <f t="shared" si="567"/>
        <v>13666.028809259278</v>
      </c>
      <c r="CM31" s="41">
        <f t="shared" si="567"/>
        <v>14106.347354473059</v>
      </c>
      <c r="CN31" s="41">
        <f t="shared" si="567"/>
        <v>14695.794302961367</v>
      </c>
      <c r="CO31" s="41">
        <f t="shared" si="567"/>
        <v>14895.367245755697</v>
      </c>
      <c r="CS31" s="40">
        <v>9362.7073487187336</v>
      </c>
      <c r="CX31" s="40">
        <v>37210.240099999995</v>
      </c>
    </row>
    <row r="32" spans="1:102" s="38" customFormat="1" x14ac:dyDescent="0.2">
      <c r="A32" s="38" t="s">
        <v>3</v>
      </c>
      <c r="B32" s="38">
        <f>+'Annual Raw'!C8</f>
        <v>917.78700000000003</v>
      </c>
      <c r="C32" s="38">
        <f>+'Annual Raw'!D8</f>
        <v>1428.5343</v>
      </c>
      <c r="D32" s="38">
        <f>+'Annual Raw'!E8</f>
        <v>1512.1313</v>
      </c>
      <c r="E32" s="38">
        <f>+'Annual Raw'!F8</f>
        <v>2072.9132</v>
      </c>
      <c r="F32" s="38">
        <f>+'Annual Raw'!G8</f>
        <v>1543.8272999999999</v>
      </c>
      <c r="G32" s="38">
        <f>+'Annual Raw'!H8</f>
        <v>1377.5148999999999</v>
      </c>
      <c r="H32" s="38">
        <f>+'Annual Raw'!I8</f>
        <v>1450.9496999999999</v>
      </c>
      <c r="I32" s="38">
        <f>+'Annual Raw'!J8</f>
        <v>2212.8724000000002</v>
      </c>
      <c r="J32" s="38">
        <f>+'Annual Raw'!K8</f>
        <v>2311.2130999999999</v>
      </c>
      <c r="K32" s="38">
        <f>+'Annual Raw'!L8</f>
        <v>2857.9023999999999</v>
      </c>
      <c r="L32" s="38">
        <f>+'Annual Raw'!M8</f>
        <v>2811.4621000000002</v>
      </c>
      <c r="M32" s="38">
        <f>+'Annual Raw'!N8</f>
        <v>2927.5965000000001</v>
      </c>
      <c r="N32" s="38">
        <f>+'Annual Raw'!O8</f>
        <v>3153.0077999999999</v>
      </c>
      <c r="O32" s="38">
        <f>+'Annual Raw'!P8</f>
        <v>3932.7561999999998</v>
      </c>
      <c r="P32" s="38">
        <f>+'Annual Raw'!Q8</f>
        <v>4550.2502999999997</v>
      </c>
      <c r="Q32" s="38">
        <f>+'Annual Raw'!R8</f>
        <v>4875.2291999999998</v>
      </c>
      <c r="R32" s="38">
        <f>+'Annual Raw'!S8</f>
        <v>7554.3985000000002</v>
      </c>
      <c r="S32" s="38">
        <f>+'Annual Raw'!T8</f>
        <v>6942.8523999999998</v>
      </c>
      <c r="T32" s="38">
        <f>+'Annual Raw'!U8</f>
        <v>6574.9565000000002</v>
      </c>
      <c r="U32" s="38">
        <f>+'Annual Raw'!V8</f>
        <v>7813.1545999999998</v>
      </c>
      <c r="V32" s="38">
        <f>+'Annual Raw'!W8</f>
        <v>14924.3107</v>
      </c>
      <c r="W32" s="38">
        <f>+'Annual Raw'!X8</f>
        <v>16496.904200000001</v>
      </c>
      <c r="X32" s="38">
        <f>+'Annual Raw'!Y8</f>
        <v>18762.202600000001</v>
      </c>
      <c r="Y32" s="38">
        <f>+'Annual Raw'!Z8</f>
        <v>18966.4365</v>
      </c>
      <c r="Z32" s="38">
        <f>+'Annual Raw'!AA8</f>
        <v>22452.8027</v>
      </c>
      <c r="AA32" s="38">
        <f>+'Annual Raw'!AB8</f>
        <v>26838.037199999999</v>
      </c>
      <c r="AB32" s="39">
        <f>SUM(BZ32:CC32)</f>
        <v>25700.107170092022</v>
      </c>
      <c r="AC32" s="39">
        <f>SUM(CD32:CG32)</f>
        <v>26356.296700430605</v>
      </c>
      <c r="AD32" s="39">
        <f>SUM(CH32:CK32)</f>
        <v>28637.52582894951</v>
      </c>
      <c r="AE32" s="39">
        <f>SUM(CL32:CO32)</f>
        <v>31333.174478453911</v>
      </c>
      <c r="AG32" s="60"/>
      <c r="AH32" s="38">
        <f>+'QTR Raw'!C7</f>
        <v>1112.99</v>
      </c>
      <c r="AI32" s="38">
        <f>+'QTR Raw'!D7</f>
        <v>1210.45</v>
      </c>
      <c r="AJ32" s="38">
        <f>+'QTR Raw'!E7</f>
        <v>1168.56</v>
      </c>
      <c r="AK32" s="38">
        <f>+'QTR Raw'!F7</f>
        <v>1383.23</v>
      </c>
      <c r="AL32" s="38">
        <f>+'QTR Raw'!G7</f>
        <v>1584.65</v>
      </c>
      <c r="AM32" s="38">
        <f>+'QTR Raw'!H7</f>
        <v>1781.77</v>
      </c>
      <c r="AN32" s="38">
        <f>+'QTR Raw'!I7</f>
        <v>1791.7</v>
      </c>
      <c r="AO32" s="38">
        <f>+'QTR Raw'!J7</f>
        <v>2396.2800000000002</v>
      </c>
      <c r="AP32" s="38">
        <f>+'QTR Raw'!K7</f>
        <v>2108.5100000000002</v>
      </c>
      <c r="AQ32" s="38">
        <f>+'QTR Raw'!L7</f>
        <v>1936.19</v>
      </c>
      <c r="AR32" s="38">
        <f>+'QTR Raw'!M7</f>
        <v>1566.45</v>
      </c>
      <c r="AS32" s="38">
        <f>+'QTR Raw'!N7</f>
        <v>1331.7</v>
      </c>
      <c r="AT32" s="38">
        <f>+'QTR Raw'!O7</f>
        <v>1832.91</v>
      </c>
      <c r="AU32" s="38">
        <f>+'QTR Raw'!P7</f>
        <v>1555.31</v>
      </c>
      <c r="AV32" s="38">
        <f>+'QTR Raw'!Q7</f>
        <v>1324.79</v>
      </c>
      <c r="AW32" s="38">
        <f>+'QTR Raw'!R7</f>
        <v>1861.95</v>
      </c>
      <c r="AX32" s="38">
        <f>+'QTR Raw'!S7</f>
        <v>1861.87</v>
      </c>
      <c r="AY32" s="38">
        <f>+'QTR Raw'!T7</f>
        <v>2069.59</v>
      </c>
      <c r="AZ32" s="38">
        <f>+'QTR Raw'!U7</f>
        <v>1706.74</v>
      </c>
      <c r="BA32" s="38">
        <f>+'QTR Raw'!V7</f>
        <v>2174.9499999999998</v>
      </c>
      <c r="BB32" s="38">
        <f>+'QTR Raw'!W7</f>
        <v>2650.1</v>
      </c>
      <c r="BC32" s="38">
        <f>+'QTR Raw'!X7</f>
        <v>3103.45</v>
      </c>
      <c r="BD32" s="38">
        <f>+'QTR Raw'!Y7</f>
        <v>4153.45</v>
      </c>
      <c r="BE32" s="38">
        <f>+'QTR Raw'!Z7</f>
        <v>4703.2</v>
      </c>
      <c r="BF32" s="38">
        <f>+'QTR Raw'!AA7</f>
        <v>4155.91</v>
      </c>
      <c r="BG32" s="38">
        <f>+'QTR Raw'!AB7</f>
        <v>4267.8</v>
      </c>
      <c r="BH32" s="38">
        <f>+'QTR Raw'!AC7</f>
        <v>3611.67</v>
      </c>
      <c r="BI32" s="38">
        <f>+'QTR Raw'!AD7</f>
        <v>4461.5200000000004</v>
      </c>
      <c r="BJ32" s="38">
        <f>+'QTR Raw'!AE7</f>
        <v>5175.32</v>
      </c>
      <c r="BK32" s="38">
        <f>+'QTR Raw'!AF7</f>
        <v>4825.2700000000004</v>
      </c>
      <c r="BL32" s="38">
        <f>+'QTR Raw'!AG7</f>
        <v>3986.44</v>
      </c>
      <c r="BM32" s="38">
        <f>+'QTR Raw'!AH7</f>
        <v>4775.17</v>
      </c>
      <c r="BN32" s="38">
        <f>+'QTR Raw'!AI7</f>
        <v>4819.01</v>
      </c>
      <c r="BO32" s="38">
        <f>+'QTR Raw'!AJ7</f>
        <v>4634.5</v>
      </c>
      <c r="BP32" s="38">
        <f>+'QTR Raw'!AK7</f>
        <v>4295.1000000000004</v>
      </c>
      <c r="BQ32" s="38">
        <f>+'QTR Raw'!AL7</f>
        <v>5217.83</v>
      </c>
      <c r="BR32" s="38">
        <f>+'QTR Raw'!AM7</f>
        <v>5318.88</v>
      </c>
      <c r="BS32" s="38">
        <f>+'QTR Raw'!AN7</f>
        <v>4981</v>
      </c>
      <c r="BT32" s="38">
        <f>+'QTR Raw'!AO7</f>
        <v>5802.16</v>
      </c>
      <c r="BU32" s="38">
        <f>+'QTR Raw'!AP7</f>
        <v>6350.76</v>
      </c>
      <c r="BV32" s="38">
        <f>+'QTR Raw'!AQ7</f>
        <v>7060.48</v>
      </c>
      <c r="BW32" s="38">
        <f>+'QTR Raw'!AR7</f>
        <v>7053.84</v>
      </c>
      <c r="BX32" s="38">
        <v>7899.36</v>
      </c>
      <c r="BY32" s="38">
        <f>+'QTR Raw'!AT7</f>
        <v>4824.3599999999997</v>
      </c>
      <c r="BZ32" s="39">
        <f t="shared" ref="BZ32:CC32" si="568">BZ15*BY5</f>
        <v>6660.184428190807</v>
      </c>
      <c r="CA32" s="39">
        <f t="shared" si="568"/>
        <v>6559.1129206898695</v>
      </c>
      <c r="CB32" s="39">
        <f t="shared" si="568"/>
        <v>6475.6860630242782</v>
      </c>
      <c r="CC32" s="39">
        <f t="shared" si="568"/>
        <v>6005.1237581870673</v>
      </c>
      <c r="CD32" s="39">
        <f t="shared" ref="CD32" si="569">CD15*CC5</f>
        <v>6535.5401561992549</v>
      </c>
      <c r="CE32" s="39">
        <f t="shared" ref="CE32" si="570">CE15*CD5</f>
        <v>6549.9560245146386</v>
      </c>
      <c r="CF32" s="39">
        <f t="shared" ref="CF32" si="571">CF15*CE5</f>
        <v>6642.4261682052875</v>
      </c>
      <c r="CG32" s="39">
        <f t="shared" ref="CG32" si="572">CG15*CF5</f>
        <v>6628.3743515114247</v>
      </c>
      <c r="CH32" s="39">
        <f t="shared" ref="CH32" si="573">CH15*CG5</f>
        <v>6900.1959619871986</v>
      </c>
      <c r="CI32" s="39">
        <f t="shared" ref="CI32" si="574">CI15*CH5</f>
        <v>7050.5986940689181</v>
      </c>
      <c r="CJ32" s="39">
        <f t="shared" ref="CJ32" si="575">CJ15*CI5</f>
        <v>7288.8113940804551</v>
      </c>
      <c r="CK32" s="39">
        <f t="shared" ref="CK32" si="576">CK15*CJ5</f>
        <v>7397.9197788129368</v>
      </c>
      <c r="CL32" s="39">
        <f t="shared" ref="CL32" si="577">CL15*CK5</f>
        <v>7491.1805550925828</v>
      </c>
      <c r="CM32" s="39">
        <f t="shared" ref="CM32" si="578">CM15*CL5</f>
        <v>7710.6730444930463</v>
      </c>
      <c r="CN32" s="39">
        <f t="shared" ref="CN32" si="579">CN15*CM5</f>
        <v>8004.7633915940232</v>
      </c>
      <c r="CO32" s="39">
        <f t="shared" ref="CO32" si="580">CO15*CN5</f>
        <v>8126.5574872742573</v>
      </c>
      <c r="CS32" s="38">
        <v>7224.7748493014742</v>
      </c>
      <c r="CX32" s="38">
        <v>26838.037199999999</v>
      </c>
    </row>
    <row r="33" spans="1:102" s="40" customFormat="1" x14ac:dyDescent="0.2">
      <c r="A33" s="40" t="s">
        <v>10</v>
      </c>
      <c r="B33" s="40">
        <f t="shared" ref="B33:O33" si="581">B31+B32</f>
        <v>2800.8058000000001</v>
      </c>
      <c r="C33" s="40">
        <f t="shared" si="581"/>
        <v>3248.8469999999998</v>
      </c>
      <c r="D33" s="40">
        <f t="shared" si="581"/>
        <v>3745.0814</v>
      </c>
      <c r="E33" s="40">
        <f t="shared" si="581"/>
        <v>4755.2683999999999</v>
      </c>
      <c r="F33" s="40">
        <f t="shared" si="581"/>
        <v>4694.2967999999992</v>
      </c>
      <c r="G33" s="40">
        <f t="shared" si="581"/>
        <v>4959.0203000000001</v>
      </c>
      <c r="H33" s="40">
        <f t="shared" si="581"/>
        <v>5477.7754000000014</v>
      </c>
      <c r="I33" s="40">
        <f t="shared" si="581"/>
        <v>5750.6649999999991</v>
      </c>
      <c r="J33" s="40">
        <f t="shared" si="581"/>
        <v>7029.020300000001</v>
      </c>
      <c r="K33" s="40">
        <f t="shared" si="581"/>
        <v>8538.4362999999976</v>
      </c>
      <c r="L33" s="40">
        <f t="shared" si="581"/>
        <v>10510.7953</v>
      </c>
      <c r="M33" s="40">
        <f t="shared" si="581"/>
        <v>10616.9064</v>
      </c>
      <c r="N33" s="40">
        <f t="shared" si="581"/>
        <v>11031.999499999998</v>
      </c>
      <c r="O33" s="40">
        <f t="shared" si="581"/>
        <v>12877.202599999997</v>
      </c>
      <c r="P33" s="40">
        <f t="shared" ref="P33:X33" si="582">P31+P32</f>
        <v>14213.9185</v>
      </c>
      <c r="Q33" s="40">
        <f t="shared" si="582"/>
        <v>14638.590000000002</v>
      </c>
      <c r="R33" s="40">
        <f t="shared" si="582"/>
        <v>17426.175299999999</v>
      </c>
      <c r="S33" s="40">
        <f t="shared" si="582"/>
        <v>19106.177499999998</v>
      </c>
      <c r="T33" s="40">
        <f t="shared" si="582"/>
        <v>21053.078200000004</v>
      </c>
      <c r="U33" s="40">
        <f t="shared" si="582"/>
        <v>20937.061399999999</v>
      </c>
      <c r="V33" s="40">
        <f t="shared" si="582"/>
        <v>39027.1492</v>
      </c>
      <c r="W33" s="40">
        <f t="shared" si="582"/>
        <v>42880.880900000004</v>
      </c>
      <c r="X33" s="40">
        <f t="shared" si="582"/>
        <v>50197.497799999997</v>
      </c>
      <c r="Y33" s="40">
        <f t="shared" ref="Y33" si="583">Y31+Y32</f>
        <v>55532.373500000002</v>
      </c>
      <c r="Z33" s="40">
        <f t="shared" ref="Z33:AA33" si="584">Z31+Z32</f>
        <v>59524.758900000001</v>
      </c>
      <c r="AA33" s="40">
        <f t="shared" ref="AA33" si="585">AA31+AA32</f>
        <v>64048.277299999994</v>
      </c>
      <c r="AB33" s="41">
        <f t="shared" ref="AB33" si="586">AB31+AB32</f>
        <v>69330.147812273062</v>
      </c>
      <c r="AC33" s="41">
        <f t="shared" ref="AC33" si="587">AC31+AC32</f>
        <v>75522.051658824959</v>
      </c>
      <c r="AD33" s="41">
        <f t="shared" ref="AD33" si="588">AD31+AD32</f>
        <v>80897.995068493372</v>
      </c>
      <c r="AE33" s="41">
        <f t="shared" ref="AE33" si="589">AE31+AE32</f>
        <v>88696.712190903287</v>
      </c>
      <c r="AG33" s="61"/>
      <c r="AH33" s="40">
        <f t="shared" ref="AH33" si="590">AH31+AH32</f>
        <v>3629.49</v>
      </c>
      <c r="AI33" s="40">
        <f t="shared" ref="AI33:BV33" si="591">AI31+AI32</f>
        <v>3856.95</v>
      </c>
      <c r="AJ33" s="40">
        <f t="shared" si="591"/>
        <v>3395.1600000000003</v>
      </c>
      <c r="AK33" s="40">
        <f t="shared" si="591"/>
        <v>3756.9900000000002</v>
      </c>
      <c r="AL33" s="40">
        <f t="shared" si="591"/>
        <v>3892.0500000000006</v>
      </c>
      <c r="AM33" s="40">
        <f t="shared" si="591"/>
        <v>4224.1200000000008</v>
      </c>
      <c r="AN33" s="40">
        <f t="shared" si="591"/>
        <v>4205.5</v>
      </c>
      <c r="AO33" s="40">
        <f t="shared" si="591"/>
        <v>5104.5</v>
      </c>
      <c r="AP33" s="40">
        <f t="shared" si="591"/>
        <v>4821.75</v>
      </c>
      <c r="AQ33" s="40">
        <f t="shared" si="591"/>
        <v>4719.5600000000013</v>
      </c>
      <c r="AR33" s="40">
        <f t="shared" si="591"/>
        <v>5245.579999999999</v>
      </c>
      <c r="AS33" s="40">
        <f t="shared" si="591"/>
        <v>4319.29</v>
      </c>
      <c r="AT33" s="40">
        <f t="shared" si="591"/>
        <v>5715.8099999999995</v>
      </c>
      <c r="AU33" s="40">
        <f t="shared" si="591"/>
        <v>4836.58</v>
      </c>
      <c r="AV33" s="40">
        <f t="shared" si="591"/>
        <v>5138.5899999999992</v>
      </c>
      <c r="AW33" s="40">
        <f t="shared" si="591"/>
        <v>5362.0999999999995</v>
      </c>
      <c r="AX33" s="40">
        <f t="shared" si="591"/>
        <v>5102.4800000000005</v>
      </c>
      <c r="AY33" s="40">
        <f t="shared" si="591"/>
        <v>5199.3500000000004</v>
      </c>
      <c r="AZ33" s="40">
        <f t="shared" si="591"/>
        <v>5141.7599999999984</v>
      </c>
      <c r="BA33" s="40">
        <f t="shared" si="591"/>
        <v>5493.47</v>
      </c>
      <c r="BB33" s="40">
        <f t="shared" si="591"/>
        <v>8745.6500000000015</v>
      </c>
      <c r="BC33" s="40">
        <f t="shared" si="591"/>
        <v>9408.3300000000017</v>
      </c>
      <c r="BD33" s="40">
        <f t="shared" si="591"/>
        <v>10239.93</v>
      </c>
      <c r="BE33" s="40">
        <f t="shared" si="591"/>
        <v>10314.32</v>
      </c>
      <c r="BF33" s="40">
        <f t="shared" si="591"/>
        <v>10315.239999999998</v>
      </c>
      <c r="BG33" s="40">
        <f t="shared" si="591"/>
        <v>10541.61</v>
      </c>
      <c r="BH33" s="40">
        <f t="shared" si="591"/>
        <v>10556.649999999998</v>
      </c>
      <c r="BI33" s="40">
        <f t="shared" si="591"/>
        <v>11467.390000000001</v>
      </c>
      <c r="BJ33" s="40">
        <f t="shared" si="591"/>
        <v>11960.05</v>
      </c>
      <c r="BK33" s="40">
        <f t="shared" si="591"/>
        <v>12259.089999999998</v>
      </c>
      <c r="BL33" s="40">
        <f t="shared" si="591"/>
        <v>12586.39</v>
      </c>
      <c r="BM33" s="40">
        <f t="shared" si="591"/>
        <v>13391.96</v>
      </c>
      <c r="BN33" s="40">
        <f t="shared" si="591"/>
        <v>13484.66</v>
      </c>
      <c r="BO33" s="40">
        <f t="shared" si="591"/>
        <v>13537.490000000002</v>
      </c>
      <c r="BP33" s="40">
        <f t="shared" si="591"/>
        <v>13712.200000000003</v>
      </c>
      <c r="BQ33" s="40">
        <f t="shared" si="591"/>
        <v>14798.029999999997</v>
      </c>
      <c r="BR33" s="40">
        <f t="shared" si="591"/>
        <v>14485.149999999998</v>
      </c>
      <c r="BS33" s="40">
        <f t="shared" si="591"/>
        <v>14296.2</v>
      </c>
      <c r="BT33" s="40">
        <f t="shared" si="591"/>
        <v>14950.73</v>
      </c>
      <c r="BU33" s="40">
        <f t="shared" si="591"/>
        <v>15792.680000000002</v>
      </c>
      <c r="BV33" s="40">
        <f t="shared" si="591"/>
        <v>16069.240000000002</v>
      </c>
      <c r="BW33" s="40">
        <f t="shared" ref="BW33:BX33" si="592">BW31+BW32</f>
        <v>16195.029999999999</v>
      </c>
      <c r="BX33" s="40">
        <f t="shared" si="592"/>
        <v>17151.68</v>
      </c>
      <c r="BY33" s="40">
        <f t="shared" ref="BY33" si="593">BY31+BY32</f>
        <v>14632.329999999998</v>
      </c>
      <c r="BZ33" s="41">
        <f t="shared" ref="BZ33:CC33" si="594">BZ31+BZ32</f>
        <v>17097.943884176027</v>
      </c>
      <c r="CA33" s="41">
        <f t="shared" si="594"/>
        <v>17394.517476821784</v>
      </c>
      <c r="CB33" s="41">
        <f t="shared" si="594"/>
        <v>17494.598746523556</v>
      </c>
      <c r="CC33" s="41">
        <f t="shared" si="594"/>
        <v>17343.087704751695</v>
      </c>
      <c r="CD33" s="41">
        <f t="shared" ref="CD33:CO33" si="595">CD31+CD32</f>
        <v>18328.939405072801</v>
      </c>
      <c r="CE33" s="41">
        <f t="shared" si="595"/>
        <v>18805.454581822487</v>
      </c>
      <c r="CF33" s="41">
        <f t="shared" si="595"/>
        <v>19065.230921309179</v>
      </c>
      <c r="CG33" s="41">
        <f t="shared" si="595"/>
        <v>19322.426750620463</v>
      </c>
      <c r="CH33" s="41">
        <f t="shared" si="595"/>
        <v>19346.928167961894</v>
      </c>
      <c r="CI33" s="41">
        <f t="shared" si="595"/>
        <v>19768.69608030107</v>
      </c>
      <c r="CJ33" s="41">
        <f t="shared" si="595"/>
        <v>20756.60003923787</v>
      </c>
      <c r="CK33" s="41">
        <f t="shared" si="595"/>
        <v>21025.770780992541</v>
      </c>
      <c r="CL33" s="41">
        <f t="shared" si="595"/>
        <v>21157.20936435186</v>
      </c>
      <c r="CM33" s="41">
        <f t="shared" si="595"/>
        <v>21817.020398966106</v>
      </c>
      <c r="CN33" s="41">
        <f t="shared" si="595"/>
        <v>22700.557694555391</v>
      </c>
      <c r="CO33" s="41">
        <f t="shared" si="595"/>
        <v>23021.924733029955</v>
      </c>
      <c r="CS33" s="40">
        <v>16587.482198020207</v>
      </c>
      <c r="CX33" s="40">
        <v>64048.277299999994</v>
      </c>
    </row>
    <row r="34" spans="1:102" s="73" customFormat="1" x14ac:dyDescent="0.2">
      <c r="A34" s="73" t="s">
        <v>15</v>
      </c>
      <c r="C34" s="73">
        <f t="shared" ref="C34" si="596">+IF(B33&lt;0,1-C33/B33,C33/B33-1)</f>
        <v>0.15996867758557176</v>
      </c>
      <c r="D34" s="73">
        <f t="shared" ref="D34" si="597">+IF(C33&lt;0,1-D33/C33,D33/C33-1)</f>
        <v>0.15274169574621399</v>
      </c>
      <c r="E34" s="73">
        <f t="shared" ref="E34" si="598">+IF(D33&lt;0,1-E33/D33,E33/D33-1)</f>
        <v>0.26973699423462461</v>
      </c>
      <c r="F34" s="73">
        <f t="shared" ref="F34" si="599">+IF(E33&lt;0,1-F33/E33,F33/E33-1)</f>
        <v>-1.2821905068492234E-2</v>
      </c>
      <c r="G34" s="73">
        <f t="shared" ref="G34" si="600">+IF(F33&lt;0,1-G33/F33,G33/F33-1)</f>
        <v>5.6392578330369147E-2</v>
      </c>
      <c r="H34" s="73">
        <f t="shared" ref="H34" si="601">+IF(G33&lt;0,1-H33/G33,H33/G33-1)</f>
        <v>0.10460838403908146</v>
      </c>
      <c r="I34" s="73">
        <f t="shared" ref="I34" si="602">+IF(H33&lt;0,1-I33/H33,I33/H33-1)</f>
        <v>4.9817595661187042E-2</v>
      </c>
      <c r="J34" s="73">
        <f t="shared" ref="J34" si="603">+IF(I33&lt;0,1-J33/I33,J33/I33-1)</f>
        <v>0.22229695174384223</v>
      </c>
      <c r="K34" s="73">
        <f t="shared" ref="K34" si="604">+IF(J33&lt;0,1-K33/J33,K33/J33-1)</f>
        <v>0.21474059478815222</v>
      </c>
      <c r="L34" s="73">
        <f t="shared" ref="L34" si="605">+IF(K33&lt;0,1-L33/K33,L33/K33-1)</f>
        <v>0.23099768279585375</v>
      </c>
      <c r="M34" s="73">
        <f t="shared" ref="M34" si="606">+IF(L33&lt;0,1-M33/L33,M33/L33-1)</f>
        <v>1.0095439685710472E-2</v>
      </c>
      <c r="N34" s="73">
        <f t="shared" ref="N34" si="607">+IF(M33&lt;0,1-N33/M33,N33/M33-1)</f>
        <v>3.9097368325673232E-2</v>
      </c>
      <c r="O34" s="73">
        <f t="shared" ref="O34" si="608">+IF(N33&lt;0,1-O33/N33,O33/N33-1)</f>
        <v>0.16725917183009287</v>
      </c>
      <c r="P34" s="73">
        <f t="shared" ref="P34" si="609">+IF(O33&lt;0,1-P33/O33,P33/O33-1)</f>
        <v>0.10380483568690635</v>
      </c>
      <c r="Q34" s="73">
        <f t="shared" ref="Q34" si="610">+IF(P33&lt;0,1-Q33/P33,Q33/P33-1)</f>
        <v>2.9877158786298263E-2</v>
      </c>
      <c r="R34" s="73">
        <f t="shared" ref="R34" si="611">+IF(Q33&lt;0,1-R33/Q33,R33/Q33-1)</f>
        <v>0.19042717228913419</v>
      </c>
      <c r="S34" s="73">
        <f t="shared" ref="S34" si="612">+IF(R33&lt;0,1-S33/R33,S33/R33-1)</f>
        <v>9.6406823131177877E-2</v>
      </c>
      <c r="T34" s="73">
        <f t="shared" ref="T34" si="613">+IF(S33&lt;0,1-T33/S33,T33/S33-1)</f>
        <v>0.10189901669237633</v>
      </c>
      <c r="U34" s="73">
        <f t="shared" ref="U34" si="614">+IF(T33&lt;0,1-U33/T33,U33/T33-1)</f>
        <v>-5.5106810936561557E-3</v>
      </c>
      <c r="V34" s="73">
        <f t="shared" ref="V34" si="615">+IF(U33&lt;0,1-V33/U33,V33/U33-1)</f>
        <v>0.8640222930234136</v>
      </c>
      <c r="W34" s="73">
        <f t="shared" ref="W34" si="616">+IF(V33&lt;0,1-W33/V33,W33/V33-1)</f>
        <v>9.8744893721317561E-2</v>
      </c>
      <c r="X34" s="73">
        <f t="shared" ref="X34" si="617">+IF(W33&lt;0,1-X33/W33,X33/W33-1)</f>
        <v>0.17062655305665597</v>
      </c>
      <c r="Y34" s="73">
        <f t="shared" ref="Y34" si="618">+IF(X33&lt;0,1-Y33/X33,Y33/X33-1)</f>
        <v>0.10627772167560123</v>
      </c>
      <c r="Z34" s="76">
        <f>+IF(Y33&lt;0,1-Z33/Y33,Z33/Y33-1)</f>
        <v>7.1892936468850976E-2</v>
      </c>
      <c r="AA34" s="76">
        <f>+IF(Z33&lt;0,1-AA33/Z33,AA33/Z33-1)</f>
        <v>7.5993897053818982E-2</v>
      </c>
      <c r="AB34" s="74">
        <f t="shared" ref="AB34" si="619">+IF(AA33&lt;0,1-AB33/AA33,AB33/AA33-1)</f>
        <v>8.2467019175753276E-2</v>
      </c>
      <c r="AC34" s="74">
        <f t="shared" ref="AC34" si="620">AC33/AB33-1</f>
        <v>8.9310408847214084E-2</v>
      </c>
      <c r="AD34" s="74">
        <f t="shared" ref="AD34" si="621">AD33/AC33-1</f>
        <v>7.1183757479928333E-2</v>
      </c>
      <c r="AE34" s="74">
        <f t="shared" ref="AE34" si="622">AE33/AD33-1</f>
        <v>9.6401859104258802E-2</v>
      </c>
      <c r="AG34" s="75"/>
      <c r="AH34" s="76"/>
      <c r="AI34" s="76"/>
      <c r="AJ34" s="76"/>
      <c r="AK34" s="76"/>
      <c r="AL34" s="76">
        <f t="shared" ref="AL34:BV34" si="623">+IF(AH33&lt;0,1-AL33/AH33,AL33/AH33-1)</f>
        <v>7.2340742087731558E-2</v>
      </c>
      <c r="AM34" s="76">
        <f t="shared" si="623"/>
        <v>9.5196982071326097E-2</v>
      </c>
      <c r="AN34" s="76">
        <f t="shared" si="623"/>
        <v>0.23867505507840558</v>
      </c>
      <c r="AO34" s="76">
        <f t="shared" si="623"/>
        <v>0.35866744388459892</v>
      </c>
      <c r="AP34" s="76">
        <f t="shared" si="623"/>
        <v>0.23887154584344983</v>
      </c>
      <c r="AQ34" s="76">
        <f t="shared" si="623"/>
        <v>0.11728833461170618</v>
      </c>
      <c r="AR34" s="76">
        <f t="shared" si="623"/>
        <v>0.24731423136369024</v>
      </c>
      <c r="AS34" s="76">
        <f t="shared" si="623"/>
        <v>-0.15382701537858756</v>
      </c>
      <c r="AT34" s="76">
        <f t="shared" si="623"/>
        <v>0.18542230517965463</v>
      </c>
      <c r="AU34" s="76">
        <f t="shared" si="623"/>
        <v>2.4794684250226462E-2</v>
      </c>
      <c r="AV34" s="76">
        <f t="shared" si="623"/>
        <v>-2.039621929319535E-2</v>
      </c>
      <c r="AW34" s="76">
        <f t="shared" si="623"/>
        <v>0.24143088331647089</v>
      </c>
      <c r="AX34" s="76">
        <f t="shared" si="623"/>
        <v>-0.10730412662422284</v>
      </c>
      <c r="AY34" s="76">
        <f t="shared" si="623"/>
        <v>7.5005479078191772E-2</v>
      </c>
      <c r="AZ34" s="76">
        <f t="shared" si="623"/>
        <v>6.1690074514597626E-4</v>
      </c>
      <c r="BA34" s="76">
        <f t="shared" si="623"/>
        <v>2.4499729583558727E-2</v>
      </c>
      <c r="BB34" s="76">
        <f t="shared" si="623"/>
        <v>0.71399985889214679</v>
      </c>
      <c r="BC34" s="76">
        <f t="shared" si="623"/>
        <v>0.80952042082183362</v>
      </c>
      <c r="BD34" s="76">
        <f t="shared" si="623"/>
        <v>0.99152235810306277</v>
      </c>
      <c r="BE34" s="76">
        <f t="shared" si="623"/>
        <v>0.87756008497361404</v>
      </c>
      <c r="BF34" s="76">
        <f t="shared" si="623"/>
        <v>0.17947093698009819</v>
      </c>
      <c r="BG34" s="76">
        <f t="shared" si="623"/>
        <v>0.12045495853142896</v>
      </c>
      <c r="BH34" s="76">
        <f t="shared" si="623"/>
        <v>3.0929898934855649E-2</v>
      </c>
      <c r="BI34" s="76">
        <f t="shared" si="623"/>
        <v>0.11179311869323438</v>
      </c>
      <c r="BJ34" s="76">
        <f t="shared" si="623"/>
        <v>0.15945436073227581</v>
      </c>
      <c r="BK34" s="76">
        <f t="shared" si="623"/>
        <v>0.16292387974891853</v>
      </c>
      <c r="BL34" s="76">
        <f t="shared" si="623"/>
        <v>0.19227122240483507</v>
      </c>
      <c r="BM34" s="76">
        <f t="shared" si="623"/>
        <v>0.16782982003751479</v>
      </c>
      <c r="BN34" s="76">
        <f t="shared" si="623"/>
        <v>0.12747521958520247</v>
      </c>
      <c r="BO34" s="76">
        <f t="shared" si="623"/>
        <v>0.10428180231974826</v>
      </c>
      <c r="BP34" s="76">
        <f t="shared" si="623"/>
        <v>8.9446616543743085E-2</v>
      </c>
      <c r="BQ34" s="76">
        <f t="shared" si="623"/>
        <v>0.10499359317082768</v>
      </c>
      <c r="BR34" s="76">
        <f t="shared" si="623"/>
        <v>7.4194677507626983E-2</v>
      </c>
      <c r="BS34" s="76">
        <f t="shared" si="623"/>
        <v>5.604510141835739E-2</v>
      </c>
      <c r="BT34" s="76">
        <f t="shared" si="623"/>
        <v>9.03232158224061E-2</v>
      </c>
      <c r="BU34" s="76">
        <f t="shared" si="623"/>
        <v>6.7215027946287753E-2</v>
      </c>
      <c r="BV34" s="76">
        <f t="shared" si="623"/>
        <v>0.10935958550653635</v>
      </c>
      <c r="BW34" s="76">
        <f>+IF(BS33&lt;0,1-BW33/BS33,BW33/BS33-1)</f>
        <v>0.1328206096725002</v>
      </c>
      <c r="BX34" s="76">
        <f>+IF(BT33&lt;0,1-BX33/BT33,BX33/BT33-1)</f>
        <v>0.14721354743213211</v>
      </c>
      <c r="BY34" s="76">
        <f>+IF(BU33&lt;0,1-BY33/BU33,BY33/BU33-1)</f>
        <v>-7.347391323068686E-2</v>
      </c>
      <c r="BZ34" s="36">
        <f t="shared" ref="BZ34:CO34" si="624">+IF(BV33&lt;0,1-BZ33/BV33,BZ33/BV33-1)</f>
        <v>6.4016959369330939E-2</v>
      </c>
      <c r="CA34" s="36">
        <f t="shared" si="624"/>
        <v>7.4065159300216399E-2</v>
      </c>
      <c r="CB34" s="36">
        <f t="shared" si="624"/>
        <v>1.9993303660256867E-2</v>
      </c>
      <c r="CC34" s="36">
        <f t="shared" si="624"/>
        <v>0.18525810344297167</v>
      </c>
      <c r="CD34" s="36">
        <f t="shared" si="624"/>
        <v>7.199669909058759E-2</v>
      </c>
      <c r="CE34" s="36">
        <f t="shared" si="624"/>
        <v>8.1113897346148267E-2</v>
      </c>
      <c r="CF34" s="36">
        <f t="shared" si="624"/>
        <v>8.9778119380859334E-2</v>
      </c>
      <c r="CG34" s="36">
        <f t="shared" si="624"/>
        <v>0.11412841124746564</v>
      </c>
      <c r="CH34" s="36">
        <f t="shared" si="624"/>
        <v>5.5539970992939836E-2</v>
      </c>
      <c r="CI34" s="36">
        <f t="shared" si="624"/>
        <v>5.1221388682072044E-2</v>
      </c>
      <c r="CJ34" s="36">
        <f t="shared" si="624"/>
        <v>8.8714850866991046E-2</v>
      </c>
      <c r="CK34" s="36">
        <f t="shared" si="624"/>
        <v>8.8153732052180356E-2</v>
      </c>
      <c r="CL34" s="36">
        <f t="shared" si="624"/>
        <v>9.3569438035530306E-2</v>
      </c>
      <c r="CM34" s="36">
        <f t="shared" si="624"/>
        <v>0.10361453837646528</v>
      </c>
      <c r="CN34" s="36">
        <f t="shared" si="624"/>
        <v>9.3654917069399657E-2</v>
      </c>
      <c r="CO34" s="36">
        <f t="shared" si="624"/>
        <v>9.493844353339731E-2</v>
      </c>
      <c r="CS34" s="73">
        <v>0.10947640670523828</v>
      </c>
      <c r="CX34" s="73">
        <v>7.5993897053818982E-2</v>
      </c>
    </row>
    <row r="35" spans="1:102" s="38" customFormat="1" x14ac:dyDescent="0.2">
      <c r="A35" s="38" t="s">
        <v>0</v>
      </c>
      <c r="B35" s="38">
        <f>+'Annual Raw'!C12</f>
        <v>1253.0730000000001</v>
      </c>
      <c r="C35" s="38">
        <f>+'Annual Raw'!D12</f>
        <v>1122.5201</v>
      </c>
      <c r="D35" s="38">
        <f>+'Annual Raw'!E12</f>
        <v>1162.1990000000001</v>
      </c>
      <c r="E35" s="38">
        <f>+'Annual Raw'!F12</f>
        <v>1273.2058</v>
      </c>
      <c r="F35" s="38">
        <f>+'Annual Raw'!G12</f>
        <v>1380.1498999999999</v>
      </c>
      <c r="G35" s="38">
        <f>+'Annual Raw'!H12</f>
        <v>1515.3032000000001</v>
      </c>
      <c r="H35" s="38">
        <f>+'Annual Raw'!I12</f>
        <v>1609.2918999999999</v>
      </c>
      <c r="I35" s="38">
        <f>+'Annual Raw'!J12</f>
        <v>1661.2807</v>
      </c>
      <c r="J35" s="38">
        <f>+'Annual Raw'!K12</f>
        <v>1877.1533999999999</v>
      </c>
      <c r="K35" s="38">
        <f>+'Annual Raw'!L12</f>
        <v>2193.6999000000001</v>
      </c>
      <c r="L35" s="38">
        <f>+'Annual Raw'!M12</f>
        <v>2954.8393999999998</v>
      </c>
      <c r="M35" s="38">
        <f>+'Annual Raw'!N12</f>
        <v>2973.0852</v>
      </c>
      <c r="N35" s="38">
        <f>+'Annual Raw'!O12</f>
        <v>3253.5636</v>
      </c>
      <c r="O35" s="38">
        <f>+'Annual Raw'!P12</f>
        <v>3672.3811000000001</v>
      </c>
      <c r="P35" s="38">
        <f>+'Annual Raw'!Q12</f>
        <v>4274.2569999999996</v>
      </c>
      <c r="Q35" s="38">
        <f>+'Annual Raw'!R12</f>
        <v>4445.8818000000001</v>
      </c>
      <c r="R35" s="38">
        <f>+'Annual Raw'!S12</f>
        <v>4915.0920999999998</v>
      </c>
      <c r="S35" s="38">
        <f>+'Annual Raw'!T12</f>
        <v>5444.1054999999997</v>
      </c>
      <c r="T35" s="38">
        <f>+'Annual Raw'!U12</f>
        <v>6039.8064999999997</v>
      </c>
      <c r="U35" s="38">
        <f>+'Annual Raw'!V12</f>
        <v>7134.1845999999996</v>
      </c>
      <c r="V35" s="38">
        <f>+'Annual Raw'!W12</f>
        <v>12689.9594</v>
      </c>
      <c r="W35" s="38">
        <f>+'Annual Raw'!X12</f>
        <v>12703.640799999999</v>
      </c>
      <c r="X35" s="38">
        <f>+'Annual Raw'!Y12</f>
        <v>13743.8298</v>
      </c>
      <c r="Y35" s="38">
        <f>+'Annual Raw'!Z12</f>
        <v>16434.181400000001</v>
      </c>
      <c r="Z35" s="38">
        <f>+'Annual Raw'!AA12</f>
        <v>17856.087</v>
      </c>
      <c r="AA35" s="38">
        <f>+'Annual Raw'!AB12</f>
        <v>19265.997100000001</v>
      </c>
      <c r="AB35" s="39">
        <f>SUM(BZ35:CC35)</f>
        <v>34764.323612492903</v>
      </c>
      <c r="AC35" s="39">
        <f>SUM(CD35:CG35)</f>
        <v>38064.668558889156</v>
      </c>
      <c r="AD35" s="39">
        <f>SUM(CH35:CK35)</f>
        <v>41711.478412986558</v>
      </c>
      <c r="AE35" s="39">
        <f>SUM(CL35:CO35)</f>
        <v>45717.148737011245</v>
      </c>
      <c r="AG35" s="60"/>
      <c r="AH35" s="38">
        <f>+'QTR Raw'!C11</f>
        <v>1058.75</v>
      </c>
      <c r="AI35" s="38">
        <f>+'QTR Raw'!D11</f>
        <v>1107.8399999999999</v>
      </c>
      <c r="AJ35" s="38">
        <f>+'QTR Raw'!E11</f>
        <v>1039.75</v>
      </c>
      <c r="AK35" s="38">
        <f>+'QTR Raw'!F11</f>
        <v>1239.54</v>
      </c>
      <c r="AL35" s="38">
        <f>+'QTR Raw'!G11</f>
        <v>1208.17</v>
      </c>
      <c r="AM35" s="38">
        <f>+'QTR Raw'!H11</f>
        <v>1216.94</v>
      </c>
      <c r="AN35" s="38">
        <f>+'QTR Raw'!I11</f>
        <v>1305.74</v>
      </c>
      <c r="AO35" s="38">
        <f>+'QTR Raw'!J11</f>
        <v>1184.24</v>
      </c>
      <c r="AP35" s="38">
        <f>+'QTR Raw'!K11</f>
        <v>1351.76</v>
      </c>
      <c r="AQ35" s="38">
        <f>+'QTR Raw'!L11</f>
        <v>1377.28</v>
      </c>
      <c r="AR35" s="38">
        <f>+'QTR Raw'!M11</f>
        <v>1408.37</v>
      </c>
      <c r="AS35" s="38">
        <f>+'QTR Raw'!N11</f>
        <v>1306.71</v>
      </c>
      <c r="AT35" s="38">
        <f>+'QTR Raw'!O11</f>
        <v>1516.89</v>
      </c>
      <c r="AU35" s="38">
        <f>+'QTR Raw'!P11</f>
        <v>1552.4</v>
      </c>
      <c r="AV35" s="38">
        <f>+'QTR Raw'!Q11</f>
        <v>1565.95</v>
      </c>
      <c r="AW35" s="38">
        <f>+'QTR Raw'!R11</f>
        <v>1146.94</v>
      </c>
      <c r="AX35" s="38">
        <f>+'QTR Raw'!S11</f>
        <v>1669.19</v>
      </c>
      <c r="AY35" s="38">
        <f>+'QTR Raw'!T11</f>
        <v>1520.64</v>
      </c>
      <c r="AZ35" s="38">
        <f>+'QTR Raw'!U11</f>
        <v>1696.43</v>
      </c>
      <c r="BA35" s="38">
        <f>+'QTR Raw'!V11</f>
        <v>2175.1999999999998</v>
      </c>
      <c r="BB35" s="38">
        <f>+'QTR Raw'!W11</f>
        <v>3037.42</v>
      </c>
      <c r="BC35" s="38">
        <f>+'QTR Raw'!X11</f>
        <v>3207.92</v>
      </c>
      <c r="BD35" s="38">
        <f>+'QTR Raw'!Y11</f>
        <v>3184.11</v>
      </c>
      <c r="BE35" s="38">
        <f>+'QTR Raw'!Z11</f>
        <v>3266.3</v>
      </c>
      <c r="BF35" s="38">
        <f>+'QTR Raw'!AA11</f>
        <v>3365.45</v>
      </c>
      <c r="BG35" s="38">
        <f>+'QTR Raw'!AB11</f>
        <v>3138.24</v>
      </c>
      <c r="BH35" s="38">
        <f>+'QTR Raw'!AC11</f>
        <v>2972.39</v>
      </c>
      <c r="BI35" s="38">
        <f>+'QTR Raw'!AD11</f>
        <v>3227.56</v>
      </c>
      <c r="BJ35" s="38">
        <f>+'QTR Raw'!AE11</f>
        <v>3416.4</v>
      </c>
      <c r="BK35" s="38">
        <f>+'QTR Raw'!AF11</f>
        <v>3119.47</v>
      </c>
      <c r="BL35" s="38">
        <f>+'QTR Raw'!AG11</f>
        <v>3481.51</v>
      </c>
      <c r="BM35" s="38">
        <f>+'QTR Raw'!AH11</f>
        <v>3726.45</v>
      </c>
      <c r="BN35" s="38">
        <f>+'QTR Raw'!AI11</f>
        <v>3651.03</v>
      </c>
      <c r="BO35" s="38">
        <f>+'QTR Raw'!AJ11</f>
        <v>3791.41</v>
      </c>
      <c r="BP35" s="38">
        <f>+'QTR Raw'!AK11</f>
        <v>4533.33</v>
      </c>
      <c r="BQ35" s="38">
        <f>+'QTR Raw'!AL11</f>
        <v>4458.41</v>
      </c>
      <c r="BR35" s="38">
        <f>+'QTR Raw'!AM11</f>
        <v>4229.57</v>
      </c>
      <c r="BS35" s="38">
        <f>+'QTR Raw'!AN11</f>
        <v>4363.21</v>
      </c>
      <c r="BT35" s="38">
        <f>+'QTR Raw'!AO11</f>
        <v>4480.5200000000004</v>
      </c>
      <c r="BU35" s="38">
        <f>+'QTR Raw'!AP11</f>
        <v>4782.79</v>
      </c>
      <c r="BV35" s="38">
        <f>+'QTR Raw'!AQ11</f>
        <v>4795.54</v>
      </c>
      <c r="BW35" s="38">
        <f>+'QTR Raw'!AR11</f>
        <v>4822.25</v>
      </c>
      <c r="BX35" s="38">
        <v>4904.57</v>
      </c>
      <c r="BY35" s="38">
        <f>+'QTR Raw'!AT11</f>
        <v>4743.6400000000003</v>
      </c>
      <c r="BZ35" s="113">
        <f t="shared" ref="BZ35:CO35" si="625">BZ18*BY5</f>
        <v>8339.4220321115099</v>
      </c>
      <c r="CA35" s="113">
        <f t="shared" si="625"/>
        <v>8564.7288913121774</v>
      </c>
      <c r="CB35" s="113">
        <f t="shared" si="625"/>
        <v>8884.2349109102288</v>
      </c>
      <c r="CC35" s="113">
        <f t="shared" si="625"/>
        <v>8975.9377781589883</v>
      </c>
      <c r="CD35" s="113">
        <f t="shared" si="625"/>
        <v>9096.0336076360818</v>
      </c>
      <c r="CE35" s="113">
        <f t="shared" si="625"/>
        <v>9370.4770648550566</v>
      </c>
      <c r="CF35" s="113">
        <f t="shared" si="625"/>
        <v>9728.410967869766</v>
      </c>
      <c r="CG35" s="113">
        <f t="shared" si="625"/>
        <v>9869.7469185282498</v>
      </c>
      <c r="CH35" s="113">
        <f t="shared" si="625"/>
        <v>9957.2983199868941</v>
      </c>
      <c r="CI35" s="113">
        <f t="shared" si="625"/>
        <v>10269.008552406207</v>
      </c>
      <c r="CJ35" s="113">
        <f t="shared" si="625"/>
        <v>10664.155121393585</v>
      </c>
      <c r="CK35" s="113">
        <f t="shared" si="625"/>
        <v>10821.016419199872</v>
      </c>
      <c r="CL35" s="113">
        <f t="shared" si="625"/>
        <v>10909.275417115088</v>
      </c>
      <c r="CM35" s="113">
        <f t="shared" si="625"/>
        <v>11254.734438588106</v>
      </c>
      <c r="CN35" s="113">
        <f t="shared" si="625"/>
        <v>11690.333474953781</v>
      </c>
      <c r="CO35" s="113">
        <f t="shared" si="625"/>
        <v>11862.80540635427</v>
      </c>
      <c r="CS35" s="141">
        <v>7791.2370852119384</v>
      </c>
      <c r="CX35" s="38">
        <v>19265.997100000001</v>
      </c>
    </row>
    <row r="36" spans="1:102" s="38" customFormat="1" x14ac:dyDescent="0.2">
      <c r="A36" s="38" t="s">
        <v>1</v>
      </c>
      <c r="B36" s="38">
        <f>+'Annual Raw'!C11-'Annual Raw'!C12-'Annual Raw'!C13-'Annual Raw'!C14-'Annual Raw'!C15-'Annual Raw'!C16-'Annual Raw'!C17</f>
        <v>188.14050000000003</v>
      </c>
      <c r="C36" s="38">
        <f>+'Annual Raw'!D11-'Annual Raw'!D12-'Annual Raw'!D13-'Annual Raw'!D14-'Annual Raw'!D15-'Annual Raw'!D16-'Annual Raw'!D17</f>
        <v>196.24700000000001</v>
      </c>
      <c r="D36" s="38">
        <f>+'Annual Raw'!E11-'Annual Raw'!E12-'Annual Raw'!E13-'Annual Raw'!E14-'Annual Raw'!E15-'Annual Raw'!E16-'Annual Raw'!E17</f>
        <v>270.53709999999995</v>
      </c>
      <c r="E36" s="38">
        <f>+'Annual Raw'!F11-'Annual Raw'!F12-'Annual Raw'!F13-'Annual Raw'!F14-'Annual Raw'!F15-'Annual Raw'!F16-'Annual Raw'!F17</f>
        <v>280.07780000000002</v>
      </c>
      <c r="F36" s="38">
        <f>+'Annual Raw'!G11-'Annual Raw'!G12-'Annual Raw'!G13-'Annual Raw'!G14-'Annual Raw'!G15-'Annual Raw'!G16-'Annual Raw'!G17</f>
        <v>306.76639999999998</v>
      </c>
      <c r="G36" s="38">
        <f>+'Annual Raw'!H11-'Annual Raw'!H12-'Annual Raw'!H13-'Annual Raw'!H14-'Annual Raw'!H15-'Annual Raw'!H16-'Annual Raw'!H17</f>
        <v>360.81</v>
      </c>
      <c r="H36" s="38">
        <f>+'Annual Raw'!I11-'Annual Raw'!I12-'Annual Raw'!I13-'Annual Raw'!I14-'Annual Raw'!I15-'Annual Raw'!I16-'Annual Raw'!I17</f>
        <v>420.06600000000026</v>
      </c>
      <c r="I36" s="38">
        <f>+'Annual Raw'!J11-'Annual Raw'!J12-'Annual Raw'!J13-'Annual Raw'!J14-'Annual Raw'!J15-'Annual Raw'!J16-'Annual Raw'!J17</f>
        <v>504.48239999999987</v>
      </c>
      <c r="J36" s="38">
        <f>+'Annual Raw'!K11-'Annual Raw'!K12-'Annual Raw'!K13-'Annual Raw'!K14-'Annual Raw'!K15-'Annual Raw'!K16-'Annual Raw'!K17</f>
        <v>531.42529999999988</v>
      </c>
      <c r="K36" s="38">
        <f>+'Annual Raw'!L11-'Annual Raw'!L12-'Annual Raw'!L13-'Annual Raw'!L14-'Annual Raw'!L15-'Annual Raw'!L16-'Annual Raw'!L17</f>
        <v>595.55570000000023</v>
      </c>
      <c r="L36" s="38">
        <f>+'Annual Raw'!M11-'Annual Raw'!M12-'Annual Raw'!M13-'Annual Raw'!M14-'Annual Raw'!M15-'Annual Raw'!M16-'Annual Raw'!M17</f>
        <v>709.97620000000018</v>
      </c>
      <c r="M36" s="38">
        <f>+'Annual Raw'!N11-'Annual Raw'!N12-'Annual Raw'!N13-'Annual Raw'!N14-'Annual Raw'!N15-'Annual Raw'!N16-'Annual Raw'!N17</f>
        <v>834.15380000000027</v>
      </c>
      <c r="N36" s="38">
        <f>+'Annual Raw'!O11-'Annual Raw'!O12-'Annual Raw'!O13-'Annual Raw'!O14-'Annual Raw'!O15-'Annual Raw'!O16-'Annual Raw'!O17</f>
        <v>922.26889999999935</v>
      </c>
      <c r="O36" s="38">
        <f>+'Annual Raw'!P11-'Annual Raw'!P12-'Annual Raw'!P13-'Annual Raw'!P14-'Annual Raw'!P15-'Annual Raw'!P16-'Annual Raw'!P17</f>
        <v>1267.3825999999999</v>
      </c>
      <c r="P36" s="38">
        <f>+'Annual Raw'!Q11-'Annual Raw'!Q12-'Annual Raw'!Q13-'Annual Raw'!Q14-'Annual Raw'!Q15-'Annual Raw'!Q16-'Annual Raw'!Q17</f>
        <v>1468.3239000000008</v>
      </c>
      <c r="Q36" s="38">
        <f>+'Annual Raw'!R11-'Annual Raw'!R12-'Annual Raw'!R13-'Annual Raw'!R14-'Annual Raw'!R15-'Annual Raw'!R16-'Annual Raw'!R17</f>
        <v>1640.3768999999993</v>
      </c>
      <c r="R36" s="38">
        <f>+'Annual Raw'!S11-'Annual Raw'!S12-'Annual Raw'!S13-'Annual Raw'!S14-'Annual Raw'!S15-'Annual Raw'!S16-'Annual Raw'!S17</f>
        <v>1949.5602999999996</v>
      </c>
      <c r="S36" s="38">
        <f>+'Annual Raw'!T11-'Annual Raw'!T12-'Annual Raw'!T13-'Annual Raw'!T14-'Annual Raw'!T15-'Annual Raw'!T16-'Annual Raw'!T17</f>
        <v>2265.1613000000007</v>
      </c>
      <c r="T36" s="38">
        <f>+'Annual Raw'!U11-'Annual Raw'!U12-'Annual Raw'!U13-'Annual Raw'!U14-'Annual Raw'!U15-'Annual Raw'!U16-'Annual Raw'!U17</f>
        <v>2699.6347000000005</v>
      </c>
      <c r="U36" s="38">
        <f>+'Annual Raw'!V11-'Annual Raw'!V12-'Annual Raw'!V13-'Annual Raw'!V14-'Annual Raw'!V15-'Annual Raw'!V16-'Annual Raw'!V17</f>
        <v>2634.3185000000008</v>
      </c>
      <c r="V36" s="38">
        <f>+'Annual Raw'!W11-'Annual Raw'!W12-'Annual Raw'!W13-'Annual Raw'!W14-'Annual Raw'!W15-'Annual Raw'!W16-'Annual Raw'!W17</f>
        <v>3596.3258000000001</v>
      </c>
      <c r="W36" s="38">
        <f>+'Annual Raw'!X11-'Annual Raw'!X12-'Annual Raw'!X13-'Annual Raw'!X14-'Annual Raw'!X15-'Annual Raw'!X16-'Annual Raw'!X17</f>
        <v>3912.4932000000017</v>
      </c>
      <c r="X36" s="38">
        <f>+'Annual Raw'!Y11-'Annual Raw'!Y12-'Annual Raw'!Y13-'Annual Raw'!Y14-'Annual Raw'!Y15-'Annual Raw'!Y16-'Annual Raw'!Y17</f>
        <v>5288.576399999999</v>
      </c>
      <c r="Y36" s="38">
        <f>+'Annual Raw'!Z11-'Annual Raw'!Z12-'Annual Raw'!Z13-'Annual Raw'!Z14-'Annual Raw'!Z15-'Annual Raw'!Z16-'Annual Raw'!Z17</f>
        <v>6128.0980999999974</v>
      </c>
      <c r="Z36" s="38">
        <f>+'Annual Raw'!AA11-'Annual Raw'!AA12-'Annual Raw'!AA13-'Annual Raw'!AA14-'Annual Raw'!AA15-'Annual Raw'!AA16-'Annual Raw'!AA17</f>
        <v>6649.1968000000006</v>
      </c>
      <c r="AA36" s="38">
        <f>+'Annual Raw'!AB11-'Annual Raw'!AB12-'Annual Raw'!AB13-'Annual Raw'!AB14-'Annual Raw'!AB15-'Annual Raw'!AB16-'Annual Raw'!AB17</f>
        <v>7605.5765999999994</v>
      </c>
      <c r="AB36" s="39">
        <f>SUM(BZ36:CC36)</f>
        <v>0</v>
      </c>
      <c r="AC36" s="39">
        <f>SUM(CD36:CG36)</f>
        <v>0</v>
      </c>
      <c r="AD36" s="39">
        <f>SUM(CH36:CK36)</f>
        <v>0</v>
      </c>
      <c r="AE36" s="39">
        <f>SUM(CL36:CO36)</f>
        <v>0</v>
      </c>
      <c r="AG36" s="60"/>
      <c r="AH36" s="38">
        <f>+'QTR Raw'!C10-'QTR Raw'!C11-'QTR Raw'!C12</f>
        <v>567.17000000000007</v>
      </c>
      <c r="AI36" s="38">
        <f>+'QTR Raw'!D10-'QTR Raw'!D11-'QTR Raw'!D12</f>
        <v>805.01</v>
      </c>
      <c r="AJ36" s="38">
        <f>+'QTR Raw'!E10-'QTR Raw'!E11-'QTR Raw'!E12</f>
        <v>802.97</v>
      </c>
      <c r="AK36" s="38">
        <f>+'QTR Raw'!F10-'QTR Raw'!F11-'QTR Raw'!F12</f>
        <v>870.90000000000009</v>
      </c>
      <c r="AL36" s="38">
        <f>+'QTR Raw'!G10-'QTR Raw'!G11-'QTR Raw'!G12</f>
        <v>865.00999999999976</v>
      </c>
      <c r="AM36" s="38">
        <f>+'QTR Raw'!H10-'QTR Raw'!H11-'QTR Raw'!H12</f>
        <v>866.40999999999985</v>
      </c>
      <c r="AN36" s="38">
        <f>+'QTR Raw'!I10-'QTR Raw'!I11-'QTR Raw'!I12</f>
        <v>918.43000000000006</v>
      </c>
      <c r="AO36" s="38">
        <f>+'QTR Raw'!J10-'QTR Raw'!J11-'QTR Raw'!J12</f>
        <v>947.33999999999992</v>
      </c>
      <c r="AP36" s="38">
        <f>+'QTR Raw'!K10-'QTR Raw'!K11-'QTR Raw'!K12</f>
        <v>997.6099999999999</v>
      </c>
      <c r="AQ36" s="38">
        <f>+'QTR Raw'!L10-'QTR Raw'!L11-'QTR Raw'!L12</f>
        <v>862.45999999999981</v>
      </c>
      <c r="AR36" s="38">
        <f>+'QTR Raw'!M10-'QTR Raw'!M11-'QTR Raw'!M12</f>
        <v>1005.8200000000002</v>
      </c>
      <c r="AS36" s="38">
        <f>+'QTR Raw'!N10-'QTR Raw'!N11-'QTR Raw'!N12</f>
        <v>1247.9299999999998</v>
      </c>
      <c r="AT36" s="38">
        <f>+'QTR Raw'!O10-'QTR Raw'!O11-'QTR Raw'!O12</f>
        <v>1266.1299999999999</v>
      </c>
      <c r="AU36" s="38">
        <f>+'QTR Raw'!P10-'QTR Raw'!P11-'QTR Raw'!P12</f>
        <v>956.79999999999973</v>
      </c>
      <c r="AV36" s="38">
        <f>+'QTR Raw'!Q10-'QTR Raw'!Q11-'QTR Raw'!Q12</f>
        <v>1215.3999999999999</v>
      </c>
      <c r="AW36" s="38">
        <f>+'QTR Raw'!R10-'QTR Raw'!R11-'QTR Raw'!R12</f>
        <v>1241.6999999999998</v>
      </c>
      <c r="AX36" s="38">
        <f>+'QTR Raw'!S10-'QTR Raw'!S11-'QTR Raw'!S12</f>
        <v>993.27999999999975</v>
      </c>
      <c r="AY36" s="38">
        <f>+'QTR Raw'!T10-'QTR Raw'!T11-'QTR Raw'!T12</f>
        <v>1134.0999999999997</v>
      </c>
      <c r="AZ36" s="38">
        <f>+'QTR Raw'!U10-'QTR Raw'!U11-'QTR Raw'!U12</f>
        <v>1110.9999999999998</v>
      </c>
      <c r="BA36" s="38">
        <f>+'QTR Raw'!V10-'QTR Raw'!V11-'QTR Raw'!V12</f>
        <v>1277.4000000000001</v>
      </c>
      <c r="BB36" s="38">
        <f>+'QTR Raw'!W10-'QTR Raw'!W11-'QTR Raw'!W12</f>
        <v>1422.7799999999997</v>
      </c>
      <c r="BC36" s="38">
        <f>+'QTR Raw'!X10-'QTR Raw'!X11-'QTR Raw'!X12</f>
        <v>1603.4399999999996</v>
      </c>
      <c r="BD36" s="38">
        <f>+'QTR Raw'!Y10-'QTR Raw'!Y11-'QTR Raw'!Y12</f>
        <v>1788.7800000000002</v>
      </c>
      <c r="BE36" s="38">
        <f>+'QTR Raw'!Z10-'QTR Raw'!Z11-'QTR Raw'!Z12</f>
        <v>1827.4399999999996</v>
      </c>
      <c r="BF36" s="38">
        <f>+'QTR Raw'!AA10-'QTR Raw'!AA11-'QTR Raw'!AA12</f>
        <v>1468.9099999999999</v>
      </c>
      <c r="BG36" s="38">
        <f>+'QTR Raw'!AB10-'QTR Raw'!AB11-'QTR Raw'!AB12</f>
        <v>1799.7300000000005</v>
      </c>
      <c r="BH36" s="38">
        <f>+'QTR Raw'!AC10-'QTR Raw'!AC11-'QTR Raw'!AC12</f>
        <v>1781.7400000000002</v>
      </c>
      <c r="BI36" s="38">
        <f>+'QTR Raw'!AD10-'QTR Raw'!AD11-'QTR Raw'!AD12</f>
        <v>2037.8899999999999</v>
      </c>
      <c r="BJ36" s="38">
        <f>+'QTR Raw'!AE10-'QTR Raw'!AE11-'QTR Raw'!AE12</f>
        <v>1937.4199999999996</v>
      </c>
      <c r="BK36" s="38">
        <f>+'QTR Raw'!AF10-'QTR Raw'!AF11-'QTR Raw'!AF12</f>
        <v>2234.14</v>
      </c>
      <c r="BL36" s="38">
        <f>+'QTR Raw'!AG10-'QTR Raw'!AG11-'QTR Raw'!AG12</f>
        <v>2152.8199999999997</v>
      </c>
      <c r="BM36" s="38">
        <f>+'QTR Raw'!AH10-'QTR Raw'!AH11-'QTR Raw'!AH12</f>
        <v>2413.2700000000004</v>
      </c>
      <c r="BN36" s="38">
        <f>+'QTR Raw'!AI10-'QTR Raw'!AI11-'QTR Raw'!AI12</f>
        <v>2229.61</v>
      </c>
      <c r="BO36" s="38">
        <f>+'QTR Raw'!AJ10-'QTR Raw'!AJ11-'QTR Raw'!AJ12</f>
        <v>2130.5</v>
      </c>
      <c r="BP36" s="38">
        <f>+'QTR Raw'!AK10-'QTR Raw'!AK11-'QTR Raw'!AK12</f>
        <v>2373.34</v>
      </c>
      <c r="BQ36" s="38">
        <f>+'QTR Raw'!AL10-'QTR Raw'!AL11-'QTR Raw'!AL12</f>
        <v>2952.16</v>
      </c>
      <c r="BR36" s="38">
        <f>+'QTR Raw'!AM10-'QTR Raw'!AM11-'QTR Raw'!AM12</f>
        <v>2639.4400000000005</v>
      </c>
      <c r="BS36" s="38">
        <f>+'QTR Raw'!AN10-'QTR Raw'!AN11-'QTR Raw'!AN12</f>
        <v>2279.16</v>
      </c>
      <c r="BT36" s="38">
        <f>+'QTR Raw'!AO10-'QTR Raw'!AO11-'QTR Raw'!AO12</f>
        <v>2633.5899999999992</v>
      </c>
      <c r="BU36" s="38">
        <f>+'QTR Raw'!AP10-'QTR Raw'!AP11-'QTR Raw'!AP12</f>
        <v>2726.2200000000003</v>
      </c>
      <c r="BV36" s="38">
        <f>+'QTR Raw'!AQ10-'QTR Raw'!AQ11-'QTR Raw'!AQ12</f>
        <v>2720.1099999999997</v>
      </c>
      <c r="BW36" s="38">
        <f>+'QTR Raw'!AR10-'QTR Raw'!AR11-'QTR Raw'!AR12</f>
        <v>2784.6499999999996</v>
      </c>
      <c r="BX36" s="38">
        <v>3127.64</v>
      </c>
      <c r="BY36" s="38">
        <f>+'QTR Raw'!AT10-'QTR Raw'!AT11-'QTR Raw'!AT12</f>
        <v>3131.3099999999995</v>
      </c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X36" s="38">
        <v>7605.5765999999994</v>
      </c>
    </row>
    <row r="37" spans="1:102" s="38" customFormat="1" x14ac:dyDescent="0.2">
      <c r="A37" s="38" t="s">
        <v>374</v>
      </c>
      <c r="B37" s="38">
        <f>+'Annual Raw'!C17</f>
        <v>25.3782</v>
      </c>
      <c r="C37" s="38">
        <f>+'Annual Raw'!D17</f>
        <v>30.866399999999999</v>
      </c>
      <c r="D37" s="38">
        <f>+'Annual Raw'!E17</f>
        <v>33.7607</v>
      </c>
      <c r="E37" s="38">
        <f>+'Annual Raw'!F17</f>
        <v>38.436700000000002</v>
      </c>
      <c r="F37" s="38">
        <f>+'Annual Raw'!G17</f>
        <v>69.341499999999996</v>
      </c>
      <c r="G37" s="38">
        <f>+'Annual Raw'!H17</f>
        <v>97.689499999999995</v>
      </c>
      <c r="H37" s="38">
        <f>+'Annual Raw'!I17</f>
        <v>115.5902</v>
      </c>
      <c r="I37" s="38">
        <f>+'Annual Raw'!J17</f>
        <v>139.72059999999999</v>
      </c>
      <c r="J37" s="38">
        <f>+'Annual Raw'!K17</f>
        <v>157.7842</v>
      </c>
      <c r="K37" s="38">
        <f>+'Annual Raw'!L17</f>
        <v>190.12559999999999</v>
      </c>
      <c r="L37" s="38">
        <f>+'Annual Raw'!M17</f>
        <v>232.48740000000001</v>
      </c>
      <c r="M37" s="38">
        <f>+'Annual Raw'!N17</f>
        <v>285.6388</v>
      </c>
      <c r="N37" s="38">
        <f>+'Annual Raw'!O17</f>
        <v>276.63679999999999</v>
      </c>
      <c r="O37" s="38">
        <f>+'Annual Raw'!P17</f>
        <v>299.80889999999999</v>
      </c>
      <c r="P37" s="38">
        <f>+'Annual Raw'!Q17</f>
        <v>391.27019999999999</v>
      </c>
      <c r="Q37" s="38">
        <f>+'Annual Raw'!R17</f>
        <v>427.23540000000003</v>
      </c>
      <c r="R37" s="38">
        <f>+'Annual Raw'!S17</f>
        <v>431.82310000000001</v>
      </c>
      <c r="S37" s="38">
        <f>+'Annual Raw'!T17</f>
        <v>445.3331</v>
      </c>
      <c r="T37" s="38">
        <f>+'Annual Raw'!U17</f>
        <v>494.36110000000002</v>
      </c>
      <c r="U37" s="38">
        <f>+'Annual Raw'!V17</f>
        <v>550.15189999999996</v>
      </c>
      <c r="V37" s="38">
        <f>+'Annual Raw'!W17</f>
        <v>1069.4463000000001</v>
      </c>
      <c r="W37" s="38">
        <f>+'Annual Raw'!X17</f>
        <v>1152.5251000000001</v>
      </c>
      <c r="X37" s="38">
        <f>+'Annual Raw'!Y17</f>
        <v>1218.0208</v>
      </c>
      <c r="Y37" s="38">
        <f>+'Annual Raw'!Z17</f>
        <v>1380.1652999999999</v>
      </c>
      <c r="Z37" s="38">
        <f>+'Annual Raw'!AA17</f>
        <v>1563.6758</v>
      </c>
      <c r="AA37" s="38">
        <f>+'Annual Raw'!AB17</f>
        <v>1853.1619000000001</v>
      </c>
      <c r="AB37" s="39"/>
      <c r="AC37" s="39"/>
      <c r="AD37" s="39"/>
      <c r="AE37" s="39"/>
      <c r="AG37" s="60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X37" s="38">
        <v>1853.1619000000001</v>
      </c>
    </row>
    <row r="38" spans="1:102" s="38" customFormat="1" x14ac:dyDescent="0.2">
      <c r="A38" s="38" t="s">
        <v>23</v>
      </c>
      <c r="B38" s="38">
        <f>+'Annual Raw'!C14</f>
        <v>133.7397</v>
      </c>
      <c r="C38" s="38">
        <f>+'Annual Raw'!D14</f>
        <v>144.31819999999999</v>
      </c>
      <c r="D38" s="38">
        <f>+'Annual Raw'!E14</f>
        <v>162.88829999999999</v>
      </c>
      <c r="E38" s="38">
        <f>+'Annual Raw'!F14</f>
        <v>175.2801</v>
      </c>
      <c r="F38" s="38">
        <f>+'Annual Raw'!G14</f>
        <v>205.46199999999999</v>
      </c>
      <c r="G38" s="38">
        <f>+'Annual Raw'!H14</f>
        <v>206.69579999999999</v>
      </c>
      <c r="H38" s="38">
        <f>+'Annual Raw'!I14</f>
        <v>232.90199999999999</v>
      </c>
      <c r="I38" s="38">
        <f>+'Annual Raw'!J14</f>
        <v>270.18709999999999</v>
      </c>
      <c r="J38" s="38">
        <f>+'Annual Raw'!K14</f>
        <v>301.41660000000002</v>
      </c>
      <c r="K38" s="38">
        <f>+'Annual Raw'!L14</f>
        <v>323.25020000000001</v>
      </c>
      <c r="L38" s="38">
        <f>+'Annual Raw'!M14</f>
        <v>346.27010000000001</v>
      </c>
      <c r="M38" s="38">
        <f>+'Annual Raw'!N14</f>
        <v>397.30849999999998</v>
      </c>
      <c r="N38" s="38">
        <f>+'Annual Raw'!O14</f>
        <v>466.12180000000001</v>
      </c>
      <c r="O38" s="38">
        <f>+'Annual Raw'!P14</f>
        <v>546.80970000000002</v>
      </c>
      <c r="P38" s="38">
        <f>+'Annual Raw'!Q14</f>
        <v>658.89769999999999</v>
      </c>
      <c r="Q38" s="38">
        <f>+'Annual Raw'!R14</f>
        <v>778.12670000000003</v>
      </c>
      <c r="R38" s="38">
        <f>+'Annual Raw'!S14</f>
        <v>846.75789999999995</v>
      </c>
      <c r="S38" s="38">
        <f>+'Annual Raw'!T14</f>
        <v>921.85500000000002</v>
      </c>
      <c r="T38" s="38">
        <f>+'Annual Raw'!U14</f>
        <v>777.86069999999995</v>
      </c>
      <c r="U38" s="38">
        <f>+'Annual Raw'!V14</f>
        <v>792.3723</v>
      </c>
      <c r="V38" s="38">
        <f>+'Annual Raw'!W14</f>
        <v>1120.1478999999999</v>
      </c>
      <c r="W38" s="38">
        <f>+'Annual Raw'!X14</f>
        <v>1126.6262999999999</v>
      </c>
      <c r="X38" s="38">
        <f>+'Annual Raw'!Y14</f>
        <v>1108.9183</v>
      </c>
      <c r="Y38" s="38">
        <f>+'Annual Raw'!Z14</f>
        <v>1173.5516</v>
      </c>
      <c r="Z38" s="38">
        <f>+'Annual Raw'!AA14</f>
        <v>1084.8488</v>
      </c>
      <c r="AA38" s="38">
        <f>+'Annual Raw'!AB14</f>
        <v>1231.0793000000001</v>
      </c>
      <c r="AB38" s="39">
        <f>SUM(BZ38:CC38)</f>
        <v>0</v>
      </c>
      <c r="AC38" s="39">
        <f>SUM(CD38:CG38)</f>
        <v>0</v>
      </c>
      <c r="AD38" s="39">
        <f>SUM(CH38:CK38)</f>
        <v>0</v>
      </c>
      <c r="AE38" s="39">
        <f>SUM(CL38:CO38)</f>
        <v>0</v>
      </c>
      <c r="AG38" s="60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X38" s="38">
        <v>1231.0793000000001</v>
      </c>
    </row>
    <row r="39" spans="1:102" s="38" customFormat="1" x14ac:dyDescent="0.2">
      <c r="A39" s="38" t="s">
        <v>4</v>
      </c>
      <c r="B39" s="38">
        <f>+'Annual Raw'!C15+'Annual Raw'!C16</f>
        <v>65.913700000000006</v>
      </c>
      <c r="C39" s="38">
        <f>+'Annual Raw'!D15+'Annual Raw'!D16</f>
        <v>92.677499999999995</v>
      </c>
      <c r="D39" s="38">
        <f>+'Annual Raw'!E15+'Annual Raw'!E16</f>
        <v>108.65389999999999</v>
      </c>
      <c r="E39" s="38">
        <f>+'Annual Raw'!F15+'Annual Raw'!F16</f>
        <v>113.7141</v>
      </c>
      <c r="F39" s="38">
        <f>+'Annual Raw'!G15+'Annual Raw'!G16</f>
        <v>132.94569999999999</v>
      </c>
      <c r="G39" s="38">
        <f>+'Annual Raw'!H15+'Annual Raw'!H16</f>
        <v>145.0284</v>
      </c>
      <c r="H39" s="38">
        <f>+'Annual Raw'!I15+'Annual Raw'!I16</f>
        <v>148.17699999999999</v>
      </c>
      <c r="I39" s="38">
        <f>+'Annual Raw'!J15+'Annual Raw'!J16</f>
        <v>169.9684</v>
      </c>
      <c r="J39" s="38">
        <f>+'Annual Raw'!K15+'Annual Raw'!K16</f>
        <v>173.6421</v>
      </c>
      <c r="K39" s="38">
        <f>+'Annual Raw'!L15+'Annual Raw'!L16</f>
        <v>155.13239999999999</v>
      </c>
      <c r="L39" s="38">
        <f>+'Annual Raw'!M15+'Annual Raw'!M16</f>
        <v>151.36099999999999</v>
      </c>
      <c r="M39" s="38">
        <f>+'Annual Raw'!N15+'Annual Raw'!N16</f>
        <v>156.88720000000001</v>
      </c>
      <c r="N39" s="38">
        <f>+'Annual Raw'!O15+'Annual Raw'!O16</f>
        <v>189.68530000000001</v>
      </c>
      <c r="O39" s="38">
        <f>+'Annual Raw'!P15+'Annual Raw'!P16</f>
        <v>228.4657</v>
      </c>
      <c r="P39" s="38">
        <f>+'Annual Raw'!Q15+'Annual Raw'!Q16</f>
        <v>427.06180000000001</v>
      </c>
      <c r="Q39" s="38">
        <f>+'Annual Raw'!R15+'Annual Raw'!R16</f>
        <v>169.96369999999999</v>
      </c>
      <c r="R39" s="38">
        <f>+'Annual Raw'!S15+'Annual Raw'!S16</f>
        <v>327.54109999999997</v>
      </c>
      <c r="S39" s="38">
        <f>+'Annual Raw'!T15+'Annual Raw'!T16</f>
        <v>445.04500000000002</v>
      </c>
      <c r="T39" s="38">
        <f>+'Annual Raw'!U15+'Annual Raw'!U16</f>
        <v>416.83730000000003</v>
      </c>
      <c r="U39" s="38">
        <f>+'Annual Raw'!V15+'Annual Raw'!V16</f>
        <v>432.16019999999997</v>
      </c>
      <c r="V39" s="38">
        <f>+'Annual Raw'!W15+'Annual Raw'!W16</f>
        <v>820.16899999999998</v>
      </c>
      <c r="W39" s="38">
        <f>+'Annual Raw'!X15+'Annual Raw'!X16</f>
        <v>815.58320000000003</v>
      </c>
      <c r="X39" s="38">
        <f>+'Annual Raw'!Y15+'Annual Raw'!Y16</f>
        <v>992.96069999999997</v>
      </c>
      <c r="Y39" s="38">
        <f>+'Annual Raw'!Z15+'Annual Raw'!Z16</f>
        <v>868.93610000000001</v>
      </c>
      <c r="Z39" s="38">
        <f>+'Annual Raw'!AA15+'Annual Raw'!AA16</f>
        <v>837.19489999999996</v>
      </c>
      <c r="AA39" s="38">
        <f>+'Annual Raw'!AB15+'Annual Raw'!AB16</f>
        <v>917.3623</v>
      </c>
      <c r="AB39" s="39">
        <f>SUM(BZ39:CC39)</f>
        <v>0</v>
      </c>
      <c r="AC39" s="39">
        <f>SUM(CD39:CG39)</f>
        <v>0</v>
      </c>
      <c r="AD39" s="39">
        <f>SUM(CH39:CK39)</f>
        <v>0</v>
      </c>
      <c r="AE39" s="39">
        <f>SUM(CL39:CO39)</f>
        <v>0</v>
      </c>
      <c r="AG39" s="60"/>
      <c r="AH39" s="38">
        <f>+'QTR Raw'!C12</f>
        <v>0</v>
      </c>
      <c r="AI39" s="38">
        <f>+'QTR Raw'!D12</f>
        <v>0</v>
      </c>
      <c r="AJ39" s="38">
        <f>+'QTR Raw'!E12</f>
        <v>0</v>
      </c>
      <c r="AK39" s="38">
        <f>+'QTR Raw'!F12</f>
        <v>0</v>
      </c>
      <c r="AL39" s="38">
        <f>+'QTR Raw'!G12</f>
        <v>0</v>
      </c>
      <c r="AM39" s="38">
        <f>+'QTR Raw'!H12</f>
        <v>0</v>
      </c>
      <c r="AN39" s="38">
        <f>+'QTR Raw'!I12</f>
        <v>0</v>
      </c>
      <c r="AO39" s="38">
        <f>+'QTR Raw'!J12</f>
        <v>0</v>
      </c>
      <c r="AP39" s="38">
        <f>+'QTR Raw'!K12</f>
        <v>0</v>
      </c>
      <c r="AQ39" s="38">
        <f>+'QTR Raw'!L12</f>
        <v>0</v>
      </c>
      <c r="AR39" s="38">
        <f>+'QTR Raw'!M12</f>
        <v>0</v>
      </c>
      <c r="AS39" s="38">
        <f>+'QTR Raw'!N12</f>
        <v>0</v>
      </c>
      <c r="AT39" s="38">
        <f>+'QTR Raw'!O12</f>
        <v>0</v>
      </c>
      <c r="AU39" s="38">
        <f>+'QTR Raw'!P12</f>
        <v>0</v>
      </c>
      <c r="AV39" s="38">
        <f>+'QTR Raw'!Q12</f>
        <v>0</v>
      </c>
      <c r="AW39" s="38">
        <f>+'QTR Raw'!R12</f>
        <v>0</v>
      </c>
      <c r="AX39" s="38">
        <f>+'QTR Raw'!S12</f>
        <v>0</v>
      </c>
      <c r="AY39" s="38">
        <f>+'QTR Raw'!T12</f>
        <v>0</v>
      </c>
      <c r="AZ39" s="38">
        <f>+'QTR Raw'!U12</f>
        <v>0</v>
      </c>
      <c r="BA39" s="38">
        <f>+'QTR Raw'!V12</f>
        <v>0</v>
      </c>
      <c r="BB39" s="38">
        <f>+'QTR Raw'!W12</f>
        <v>0</v>
      </c>
      <c r="BC39" s="38">
        <f>+'QTR Raw'!X12</f>
        <v>0</v>
      </c>
      <c r="BD39" s="38">
        <f>+'QTR Raw'!Y12</f>
        <v>0</v>
      </c>
      <c r="BE39" s="38">
        <f>+'QTR Raw'!Z12</f>
        <v>0</v>
      </c>
      <c r="BF39" s="38">
        <f>+'QTR Raw'!AA12</f>
        <v>0</v>
      </c>
      <c r="BG39" s="38">
        <f>+'QTR Raw'!AB12</f>
        <v>0</v>
      </c>
      <c r="BH39" s="38">
        <f>+'QTR Raw'!AC12</f>
        <v>0</v>
      </c>
      <c r="BI39" s="38">
        <f>+'QTR Raw'!AD12</f>
        <v>0</v>
      </c>
      <c r="BJ39" s="38">
        <f>+'QTR Raw'!AE12</f>
        <v>0</v>
      </c>
      <c r="BK39" s="38">
        <f>+'QTR Raw'!AF12</f>
        <v>0</v>
      </c>
      <c r="BL39" s="38">
        <f>+'QTR Raw'!AG12</f>
        <v>0</v>
      </c>
      <c r="BM39" s="38">
        <f>+'QTR Raw'!AH12</f>
        <v>0</v>
      </c>
      <c r="BN39" s="38">
        <f>+'QTR Raw'!AI12</f>
        <v>0</v>
      </c>
      <c r="BO39" s="38">
        <f>+'QTR Raw'!AJ12</f>
        <v>0</v>
      </c>
      <c r="BP39" s="38">
        <f>+'QTR Raw'!AK12</f>
        <v>0</v>
      </c>
      <c r="BQ39" s="38">
        <f>+'QTR Raw'!AL12</f>
        <v>0</v>
      </c>
      <c r="BR39" s="38">
        <f>+'QTR Raw'!AM12</f>
        <v>0</v>
      </c>
      <c r="BS39" s="38">
        <f>+'QTR Raw'!AN12</f>
        <v>0</v>
      </c>
      <c r="BT39" s="38">
        <f>+'QTR Raw'!AO12</f>
        <v>0</v>
      </c>
      <c r="BU39" s="38">
        <f>+'QTR Raw'!AP12</f>
        <v>0</v>
      </c>
      <c r="BV39" s="38">
        <f>+'QTR Raw'!AQ12</f>
        <v>0</v>
      </c>
      <c r="BW39" s="38">
        <f>+'QTR Raw'!AR12</f>
        <v>0</v>
      </c>
      <c r="BY39" s="38">
        <f>+'QTR Raw'!AT12</f>
        <v>0</v>
      </c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X39" s="38">
        <v>917.3623</v>
      </c>
    </row>
    <row r="40" spans="1:102" s="38" customFormat="1" x14ac:dyDescent="0.2">
      <c r="A40" s="38" t="s">
        <v>24</v>
      </c>
      <c r="B40" s="38">
        <f>+'Annual Raw'!C13</f>
        <v>3.3332999999999999</v>
      </c>
      <c r="C40" s="38">
        <f>+'Annual Raw'!D13</f>
        <v>5.9776999999999996</v>
      </c>
      <c r="D40" s="38">
        <f>+'Annual Raw'!E13</f>
        <v>9.6667000000000005</v>
      </c>
      <c r="E40" s="38">
        <f>+'Annual Raw'!F13</f>
        <v>15.8346</v>
      </c>
      <c r="F40" s="38">
        <f>+'Annual Raw'!G13</f>
        <v>14.306100000000001</v>
      </c>
      <c r="G40" s="38">
        <f>+'Annual Raw'!H13</f>
        <v>21.608499999999999</v>
      </c>
      <c r="H40" s="38">
        <f>+'Annual Raw'!I13</f>
        <v>39.278300000000002</v>
      </c>
      <c r="I40" s="38">
        <f>+'Annual Raw'!J13</f>
        <v>45.652099999999997</v>
      </c>
      <c r="J40" s="38">
        <f>+'Annual Raw'!K13</f>
        <v>23.825900000000001</v>
      </c>
      <c r="K40" s="38">
        <f>+'Annual Raw'!L13</f>
        <v>19.8597</v>
      </c>
      <c r="L40" s="38">
        <f>+'Annual Raw'!M13</f>
        <v>24.381499999999999</v>
      </c>
      <c r="M40" s="38">
        <f>+'Annual Raw'!N13</f>
        <v>26.669899999999998</v>
      </c>
      <c r="N40" s="38">
        <f>+'Annual Raw'!O13</f>
        <v>33.713500000000003</v>
      </c>
      <c r="O40" s="38">
        <f>+'Annual Raw'!P13</f>
        <v>66.162300000000002</v>
      </c>
      <c r="P40" s="38">
        <f>+'Annual Raw'!Q13</f>
        <v>43.740699999999997</v>
      </c>
      <c r="Q40" s="38">
        <f>+'Annual Raw'!R13</f>
        <v>30.350100000000001</v>
      </c>
      <c r="R40" s="38">
        <f>+'Annual Raw'!S13</f>
        <v>41.506700000000002</v>
      </c>
      <c r="S40" s="38">
        <f>+'Annual Raw'!T13</f>
        <v>36.435499999999998</v>
      </c>
      <c r="T40" s="38">
        <f>+'Annual Raw'!U13</f>
        <v>33.7072</v>
      </c>
      <c r="U40" s="38">
        <f>+'Annual Raw'!V13</f>
        <v>34.0471</v>
      </c>
      <c r="V40" s="38">
        <f>+'Annual Raw'!W13</f>
        <v>42.135800000000003</v>
      </c>
      <c r="W40" s="38">
        <f>+'Annual Raw'!X13</f>
        <v>81.036900000000003</v>
      </c>
      <c r="X40" s="38">
        <f>+'Annual Raw'!Y13</f>
        <v>129.1739</v>
      </c>
      <c r="Y40" s="38">
        <f>+'Annual Raw'!Z13</f>
        <v>134.86359999999999</v>
      </c>
      <c r="Z40" s="38">
        <f>+'Annual Raw'!AA13</f>
        <v>143.49209999999999</v>
      </c>
      <c r="AA40" s="38">
        <f>+'Annual Raw'!AB13</f>
        <v>156.5283</v>
      </c>
      <c r="AB40" s="39">
        <f>SUM(BZ40:CC40)</f>
        <v>0</v>
      </c>
      <c r="AC40" s="39">
        <f>SUM(CD40:CG40)</f>
        <v>0</v>
      </c>
      <c r="AD40" s="39">
        <f>SUM(CH40:CK40)</f>
        <v>0</v>
      </c>
      <c r="AE40" s="39">
        <f>SUM(CL40:CO40)</f>
        <v>0</v>
      </c>
      <c r="AG40" s="60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X40" s="38">
        <v>156.5283</v>
      </c>
    </row>
    <row r="41" spans="1:102" s="43" customFormat="1" x14ac:dyDescent="0.2">
      <c r="A41" s="43" t="s">
        <v>53</v>
      </c>
      <c r="B41" s="43">
        <f t="shared" ref="B41:Y41" si="626">SUM(B35:B40)</f>
        <v>1669.5784000000003</v>
      </c>
      <c r="C41" s="43">
        <f t="shared" si="626"/>
        <v>1592.6068999999998</v>
      </c>
      <c r="D41" s="43">
        <f t="shared" si="626"/>
        <v>1747.7057000000002</v>
      </c>
      <c r="E41" s="43">
        <f t="shared" si="626"/>
        <v>1896.5490999999997</v>
      </c>
      <c r="F41" s="43">
        <f t="shared" si="626"/>
        <v>2108.9715999999999</v>
      </c>
      <c r="G41" s="43">
        <f t="shared" si="626"/>
        <v>2347.1354000000001</v>
      </c>
      <c r="H41" s="43">
        <f t="shared" si="626"/>
        <v>2565.3054000000002</v>
      </c>
      <c r="I41" s="43">
        <f t="shared" si="626"/>
        <v>2791.2913000000003</v>
      </c>
      <c r="J41" s="43">
        <f t="shared" si="626"/>
        <v>3065.2474999999999</v>
      </c>
      <c r="K41" s="43">
        <f t="shared" si="626"/>
        <v>3477.6235000000001</v>
      </c>
      <c r="L41" s="43">
        <f t="shared" si="626"/>
        <v>4419.3155999999999</v>
      </c>
      <c r="M41" s="43">
        <f t="shared" si="626"/>
        <v>4673.7434000000003</v>
      </c>
      <c r="N41" s="43">
        <f t="shared" si="626"/>
        <v>5141.9898999999996</v>
      </c>
      <c r="O41" s="43">
        <f t="shared" si="626"/>
        <v>6081.010299999999</v>
      </c>
      <c r="P41" s="43">
        <f t="shared" si="626"/>
        <v>7263.5513000000019</v>
      </c>
      <c r="Q41" s="43">
        <f t="shared" si="626"/>
        <v>7491.9345999999996</v>
      </c>
      <c r="R41" s="43">
        <f t="shared" si="626"/>
        <v>8512.2811999999976</v>
      </c>
      <c r="S41" s="43">
        <f t="shared" si="626"/>
        <v>9557.9354000000003</v>
      </c>
      <c r="T41" s="43">
        <f t="shared" si="626"/>
        <v>10462.2075</v>
      </c>
      <c r="U41" s="43">
        <f t="shared" si="626"/>
        <v>11577.234600000002</v>
      </c>
      <c r="V41" s="43">
        <f t="shared" si="626"/>
        <v>19338.184200000003</v>
      </c>
      <c r="W41" s="43">
        <f t="shared" si="626"/>
        <v>19791.905500000001</v>
      </c>
      <c r="X41" s="43">
        <f t="shared" si="626"/>
        <v>22481.479899999998</v>
      </c>
      <c r="Y41" s="43">
        <f t="shared" si="626"/>
        <v>26119.796099999996</v>
      </c>
      <c r="Z41" s="43">
        <f>SUM(Z35:Z40)</f>
        <v>28134.4954</v>
      </c>
      <c r="AA41" s="43">
        <f>SUM(AA35:AA40)</f>
        <v>31029.705500000004</v>
      </c>
      <c r="AB41" s="44">
        <f t="shared" ref="AB41" si="627">SUM(AB35:AB40)</f>
        <v>34764.323612492903</v>
      </c>
      <c r="AC41" s="44">
        <f t="shared" ref="AC41" si="628">SUM(AC35:AC40)</f>
        <v>38064.668558889156</v>
      </c>
      <c r="AD41" s="44">
        <f t="shared" ref="AD41" si="629">SUM(AD35:AD40)</f>
        <v>41711.478412986558</v>
      </c>
      <c r="AE41" s="44">
        <f t="shared" ref="AE41" si="630">SUM(AE35:AE40)</f>
        <v>45717.148737011245</v>
      </c>
      <c r="AG41" s="62"/>
      <c r="AH41" s="43">
        <f>SUM(AH35:AH39)</f>
        <v>1625.92</v>
      </c>
      <c r="AI41" s="43">
        <f t="shared" ref="AI41:AS41" si="631">SUM(AI35:AI39)</f>
        <v>1912.85</v>
      </c>
      <c r="AJ41" s="43">
        <f t="shared" si="631"/>
        <v>1842.72</v>
      </c>
      <c r="AK41" s="43">
        <f t="shared" si="631"/>
        <v>2110.44</v>
      </c>
      <c r="AL41" s="43">
        <f t="shared" si="631"/>
        <v>2073.1799999999998</v>
      </c>
      <c r="AM41" s="43">
        <f t="shared" si="631"/>
        <v>2083.35</v>
      </c>
      <c r="AN41" s="43">
        <f t="shared" si="631"/>
        <v>2224.17</v>
      </c>
      <c r="AO41" s="43">
        <f t="shared" si="631"/>
        <v>2131.58</v>
      </c>
      <c r="AP41" s="43">
        <f t="shared" si="631"/>
        <v>2349.37</v>
      </c>
      <c r="AQ41" s="43">
        <f t="shared" si="631"/>
        <v>2239.7399999999998</v>
      </c>
      <c r="AR41" s="43">
        <f t="shared" si="631"/>
        <v>2414.19</v>
      </c>
      <c r="AS41" s="43">
        <f t="shared" si="631"/>
        <v>2554.64</v>
      </c>
      <c r="AT41" s="43">
        <f t="shared" ref="AT41:CO41" si="632">SUM(AT35:AT40)</f>
        <v>2783.02</v>
      </c>
      <c r="AU41" s="43">
        <f t="shared" si="632"/>
        <v>2509.1999999999998</v>
      </c>
      <c r="AV41" s="43">
        <f t="shared" si="632"/>
        <v>2781.35</v>
      </c>
      <c r="AW41" s="43">
        <f t="shared" si="632"/>
        <v>2388.64</v>
      </c>
      <c r="AX41" s="43">
        <f t="shared" si="632"/>
        <v>2662.47</v>
      </c>
      <c r="AY41" s="43">
        <f t="shared" si="632"/>
        <v>2654.74</v>
      </c>
      <c r="AZ41" s="43">
        <f t="shared" si="632"/>
        <v>2807.43</v>
      </c>
      <c r="BA41" s="43">
        <f t="shared" si="632"/>
        <v>3452.6</v>
      </c>
      <c r="BB41" s="43">
        <f t="shared" si="632"/>
        <v>4460.2</v>
      </c>
      <c r="BC41" s="43">
        <f t="shared" si="632"/>
        <v>4811.3599999999997</v>
      </c>
      <c r="BD41" s="43">
        <f t="shared" si="632"/>
        <v>4972.8900000000003</v>
      </c>
      <c r="BE41" s="43">
        <f t="shared" si="632"/>
        <v>5093.74</v>
      </c>
      <c r="BF41" s="43">
        <f t="shared" si="632"/>
        <v>4834.3599999999997</v>
      </c>
      <c r="BG41" s="43">
        <f t="shared" si="632"/>
        <v>4937.97</v>
      </c>
      <c r="BH41" s="43">
        <f t="shared" si="632"/>
        <v>4754.13</v>
      </c>
      <c r="BI41" s="43">
        <f t="shared" si="632"/>
        <v>5265.45</v>
      </c>
      <c r="BJ41" s="43">
        <f t="shared" si="632"/>
        <v>5353.82</v>
      </c>
      <c r="BK41" s="43">
        <f t="shared" si="632"/>
        <v>5353.61</v>
      </c>
      <c r="BL41" s="43">
        <f t="shared" si="632"/>
        <v>5634.33</v>
      </c>
      <c r="BM41" s="43">
        <f t="shared" si="632"/>
        <v>6139.72</v>
      </c>
      <c r="BN41" s="43">
        <f t="shared" si="632"/>
        <v>5880.64</v>
      </c>
      <c r="BO41" s="43">
        <f t="shared" si="632"/>
        <v>5921.91</v>
      </c>
      <c r="BP41" s="43">
        <f t="shared" si="632"/>
        <v>6906.67</v>
      </c>
      <c r="BQ41" s="43">
        <f t="shared" si="632"/>
        <v>7410.57</v>
      </c>
      <c r="BR41" s="43">
        <f t="shared" si="632"/>
        <v>6869.01</v>
      </c>
      <c r="BS41" s="43">
        <f t="shared" si="632"/>
        <v>6642.37</v>
      </c>
      <c r="BT41" s="43">
        <f t="shared" si="632"/>
        <v>7114.11</v>
      </c>
      <c r="BU41" s="43">
        <f t="shared" si="632"/>
        <v>7509.01</v>
      </c>
      <c r="BV41" s="43">
        <f t="shared" si="632"/>
        <v>7515.65</v>
      </c>
      <c r="BW41" s="43">
        <f t="shared" ref="BW41:BX41" si="633">SUM(BW35:BW40)</f>
        <v>7606.9</v>
      </c>
      <c r="BX41" s="43">
        <f t="shared" si="633"/>
        <v>8032.2099999999991</v>
      </c>
      <c r="BY41" s="43">
        <f t="shared" ref="BY41" si="634">SUM(BY35:BY40)</f>
        <v>7874.95</v>
      </c>
      <c r="BZ41" s="44">
        <f t="shared" si="632"/>
        <v>8339.4220321115099</v>
      </c>
      <c r="CA41" s="44">
        <f t="shared" si="632"/>
        <v>8564.7288913121774</v>
      </c>
      <c r="CB41" s="44">
        <f t="shared" si="632"/>
        <v>8884.2349109102288</v>
      </c>
      <c r="CC41" s="44">
        <f t="shared" si="632"/>
        <v>8975.9377781589883</v>
      </c>
      <c r="CD41" s="44">
        <f t="shared" si="632"/>
        <v>9096.0336076360818</v>
      </c>
      <c r="CE41" s="44">
        <f t="shared" si="632"/>
        <v>9370.4770648550566</v>
      </c>
      <c r="CF41" s="44">
        <f t="shared" si="632"/>
        <v>9728.410967869766</v>
      </c>
      <c r="CG41" s="44">
        <f t="shared" si="632"/>
        <v>9869.7469185282498</v>
      </c>
      <c r="CH41" s="44">
        <f t="shared" si="632"/>
        <v>9957.2983199868941</v>
      </c>
      <c r="CI41" s="44">
        <f t="shared" si="632"/>
        <v>10269.008552406207</v>
      </c>
      <c r="CJ41" s="44">
        <f t="shared" si="632"/>
        <v>10664.155121393585</v>
      </c>
      <c r="CK41" s="44">
        <f t="shared" si="632"/>
        <v>10821.016419199872</v>
      </c>
      <c r="CL41" s="44">
        <f t="shared" si="632"/>
        <v>10909.275417115088</v>
      </c>
      <c r="CM41" s="44">
        <f t="shared" si="632"/>
        <v>11254.734438588106</v>
      </c>
      <c r="CN41" s="44">
        <f t="shared" si="632"/>
        <v>11690.333474953781</v>
      </c>
      <c r="CO41" s="44">
        <f t="shared" si="632"/>
        <v>11862.80540635427</v>
      </c>
      <c r="CS41" s="43">
        <v>7791.2370852119384</v>
      </c>
      <c r="CX41" s="43">
        <v>31029.705500000004</v>
      </c>
    </row>
    <row r="42" spans="1:102" s="40" customFormat="1" x14ac:dyDescent="0.2">
      <c r="A42" s="40" t="s">
        <v>11</v>
      </c>
      <c r="B42" s="40">
        <f t="shared" ref="B42:AB42" si="635">+B33-B41</f>
        <v>1131.2273999999998</v>
      </c>
      <c r="C42" s="40">
        <f t="shared" si="635"/>
        <v>1656.2401</v>
      </c>
      <c r="D42" s="40">
        <f t="shared" si="635"/>
        <v>1997.3756999999998</v>
      </c>
      <c r="E42" s="40">
        <f t="shared" si="635"/>
        <v>2858.7193000000002</v>
      </c>
      <c r="F42" s="40">
        <f t="shared" si="635"/>
        <v>2585.3251999999993</v>
      </c>
      <c r="G42" s="40">
        <f t="shared" si="635"/>
        <v>2611.8849</v>
      </c>
      <c r="H42" s="40">
        <f t="shared" si="635"/>
        <v>2912.4700000000012</v>
      </c>
      <c r="I42" s="40">
        <f t="shared" si="635"/>
        <v>2959.3736999999987</v>
      </c>
      <c r="J42" s="40">
        <f t="shared" si="635"/>
        <v>3963.7728000000011</v>
      </c>
      <c r="K42" s="40">
        <f t="shared" si="635"/>
        <v>5060.8127999999979</v>
      </c>
      <c r="L42" s="40">
        <f t="shared" si="635"/>
        <v>6091.4796999999999</v>
      </c>
      <c r="M42" s="40">
        <f t="shared" si="635"/>
        <v>5943.1629999999996</v>
      </c>
      <c r="N42" s="40">
        <f t="shared" si="635"/>
        <v>5890.0095999999985</v>
      </c>
      <c r="O42" s="40">
        <f t="shared" si="635"/>
        <v>6796.1922999999979</v>
      </c>
      <c r="P42" s="40">
        <f t="shared" si="635"/>
        <v>6950.3671999999979</v>
      </c>
      <c r="Q42" s="40">
        <f t="shared" si="635"/>
        <v>7146.6554000000024</v>
      </c>
      <c r="R42" s="40">
        <f t="shared" si="635"/>
        <v>8913.8941000000013</v>
      </c>
      <c r="S42" s="40">
        <f t="shared" si="635"/>
        <v>9548.2420999999977</v>
      </c>
      <c r="T42" s="40">
        <f t="shared" si="635"/>
        <v>10590.870700000003</v>
      </c>
      <c r="U42" s="40">
        <f t="shared" si="635"/>
        <v>9359.8267999999971</v>
      </c>
      <c r="V42" s="40">
        <f t="shared" si="635"/>
        <v>19688.964999999997</v>
      </c>
      <c r="W42" s="40">
        <f t="shared" si="635"/>
        <v>23088.975400000003</v>
      </c>
      <c r="X42" s="40">
        <f t="shared" si="635"/>
        <v>27716.017899999999</v>
      </c>
      <c r="Y42" s="40">
        <f t="shared" si="635"/>
        <v>29412.577400000006</v>
      </c>
      <c r="Z42" s="40">
        <f t="shared" si="635"/>
        <v>31390.263500000001</v>
      </c>
      <c r="AA42" s="40">
        <f t="shared" ref="AA42" si="636">+AA33-AA41</f>
        <v>33018.571799999991</v>
      </c>
      <c r="AB42" s="41">
        <f t="shared" si="635"/>
        <v>34565.82419978016</v>
      </c>
      <c r="AC42" s="41">
        <f t="shared" ref="AC42" si="637">+AC33-AC41</f>
        <v>37457.383099935803</v>
      </c>
      <c r="AD42" s="41">
        <f t="shared" ref="AD42" si="638">+AD33-AD41</f>
        <v>39186.516655506814</v>
      </c>
      <c r="AE42" s="41">
        <f t="shared" ref="AE42" si="639">+AE33-AE41</f>
        <v>42979.563453892042</v>
      </c>
      <c r="AG42" s="61"/>
      <c r="AH42" s="40">
        <f t="shared" ref="AH42" si="640">+AH33-AH41</f>
        <v>2003.5699999999997</v>
      </c>
      <c r="AI42" s="40">
        <f t="shared" ref="AI42:BV42" si="641">+AI33-AI41</f>
        <v>1944.1</v>
      </c>
      <c r="AJ42" s="40">
        <f t="shared" si="641"/>
        <v>1552.4400000000003</v>
      </c>
      <c r="AK42" s="40">
        <f t="shared" si="641"/>
        <v>1646.5500000000002</v>
      </c>
      <c r="AL42" s="40">
        <f t="shared" si="641"/>
        <v>1818.8700000000008</v>
      </c>
      <c r="AM42" s="40">
        <f t="shared" si="641"/>
        <v>2140.7700000000009</v>
      </c>
      <c r="AN42" s="40">
        <f t="shared" si="641"/>
        <v>1981.33</v>
      </c>
      <c r="AO42" s="40">
        <f t="shared" si="641"/>
        <v>2972.92</v>
      </c>
      <c r="AP42" s="40">
        <f t="shared" si="641"/>
        <v>2472.38</v>
      </c>
      <c r="AQ42" s="40">
        <f t="shared" si="641"/>
        <v>2479.8200000000015</v>
      </c>
      <c r="AR42" s="40">
        <f t="shared" si="641"/>
        <v>2831.389999999999</v>
      </c>
      <c r="AS42" s="40">
        <f t="shared" si="641"/>
        <v>1764.65</v>
      </c>
      <c r="AT42" s="40">
        <f t="shared" si="641"/>
        <v>2932.7899999999995</v>
      </c>
      <c r="AU42" s="40">
        <f t="shared" si="641"/>
        <v>2327.38</v>
      </c>
      <c r="AV42" s="40">
        <f t="shared" si="641"/>
        <v>2357.2399999999993</v>
      </c>
      <c r="AW42" s="40">
        <f t="shared" si="641"/>
        <v>2973.4599999999996</v>
      </c>
      <c r="AX42" s="40">
        <f t="shared" si="641"/>
        <v>2440.0100000000007</v>
      </c>
      <c r="AY42" s="40">
        <f t="shared" si="641"/>
        <v>2544.6100000000006</v>
      </c>
      <c r="AZ42" s="40">
        <f t="shared" si="641"/>
        <v>2334.3299999999986</v>
      </c>
      <c r="BA42" s="40">
        <f t="shared" si="641"/>
        <v>2040.8700000000003</v>
      </c>
      <c r="BB42" s="40">
        <f t="shared" si="641"/>
        <v>4285.4500000000016</v>
      </c>
      <c r="BC42" s="40">
        <f t="shared" si="641"/>
        <v>4596.9700000000021</v>
      </c>
      <c r="BD42" s="40">
        <f t="shared" si="641"/>
        <v>5267.04</v>
      </c>
      <c r="BE42" s="40">
        <f t="shared" si="641"/>
        <v>5220.58</v>
      </c>
      <c r="BF42" s="40">
        <f t="shared" si="641"/>
        <v>5480.8799999999983</v>
      </c>
      <c r="BG42" s="40">
        <f t="shared" si="641"/>
        <v>5603.64</v>
      </c>
      <c r="BH42" s="40">
        <f t="shared" si="641"/>
        <v>5802.5199999999977</v>
      </c>
      <c r="BI42" s="40">
        <f t="shared" si="641"/>
        <v>6201.9400000000014</v>
      </c>
      <c r="BJ42" s="40">
        <f t="shared" si="641"/>
        <v>6606.23</v>
      </c>
      <c r="BK42" s="40">
        <f t="shared" si="641"/>
        <v>6905.4799999999987</v>
      </c>
      <c r="BL42" s="40">
        <f t="shared" si="641"/>
        <v>6952.0599999999995</v>
      </c>
      <c r="BM42" s="40">
        <f t="shared" si="641"/>
        <v>7252.2399999999989</v>
      </c>
      <c r="BN42" s="40">
        <f t="shared" si="641"/>
        <v>7604.0199999999995</v>
      </c>
      <c r="BO42" s="40">
        <f t="shared" si="641"/>
        <v>7615.5800000000017</v>
      </c>
      <c r="BP42" s="40">
        <f t="shared" si="641"/>
        <v>6805.5300000000025</v>
      </c>
      <c r="BQ42" s="40">
        <f t="shared" si="641"/>
        <v>7387.4599999999973</v>
      </c>
      <c r="BR42" s="40">
        <f t="shared" si="641"/>
        <v>7616.1399999999976</v>
      </c>
      <c r="BS42" s="40">
        <f t="shared" si="641"/>
        <v>7653.8300000000008</v>
      </c>
      <c r="BT42" s="40">
        <f t="shared" si="641"/>
        <v>7836.62</v>
      </c>
      <c r="BU42" s="40">
        <f t="shared" si="641"/>
        <v>8283.6700000000019</v>
      </c>
      <c r="BV42" s="40">
        <f t="shared" si="641"/>
        <v>8553.590000000002</v>
      </c>
      <c r="BW42" s="40">
        <f t="shared" ref="BW42:BX42" si="642">+BW33-BW41</f>
        <v>8588.1299999999992</v>
      </c>
      <c r="BX42" s="40">
        <f t="shared" si="642"/>
        <v>9119.4700000000012</v>
      </c>
      <c r="BY42" s="40">
        <f t="shared" ref="BY42" si="643">+BY33-BY41</f>
        <v>6757.3799999999983</v>
      </c>
      <c r="BZ42" s="41">
        <f t="shared" ref="BZ42:CO42" si="644">+BZ33-BZ41</f>
        <v>8758.5218520645176</v>
      </c>
      <c r="CA42" s="41">
        <f t="shared" si="644"/>
        <v>8829.7885855096065</v>
      </c>
      <c r="CB42" s="41">
        <f t="shared" si="644"/>
        <v>8610.363835613327</v>
      </c>
      <c r="CC42" s="41">
        <f t="shared" si="644"/>
        <v>8367.1499265927068</v>
      </c>
      <c r="CD42" s="41">
        <f t="shared" si="644"/>
        <v>9232.9057974367188</v>
      </c>
      <c r="CE42" s="41">
        <f t="shared" si="644"/>
        <v>9434.9775169674303</v>
      </c>
      <c r="CF42" s="41">
        <f t="shared" si="644"/>
        <v>9336.8199534394134</v>
      </c>
      <c r="CG42" s="41">
        <f t="shared" si="644"/>
        <v>9452.6798320922135</v>
      </c>
      <c r="CH42" s="41">
        <f t="shared" si="644"/>
        <v>9389.6298479750003</v>
      </c>
      <c r="CI42" s="41">
        <f t="shared" si="644"/>
        <v>9499.6875278948628</v>
      </c>
      <c r="CJ42" s="41">
        <f t="shared" si="644"/>
        <v>10092.444917844285</v>
      </c>
      <c r="CK42" s="41">
        <f t="shared" si="644"/>
        <v>10204.754361792669</v>
      </c>
      <c r="CL42" s="41">
        <f t="shared" si="644"/>
        <v>10247.933947236772</v>
      </c>
      <c r="CM42" s="41">
        <f t="shared" si="644"/>
        <v>10562.285960378</v>
      </c>
      <c r="CN42" s="41">
        <f t="shared" si="644"/>
        <v>11010.22421960161</v>
      </c>
      <c r="CO42" s="41">
        <f t="shared" si="644"/>
        <v>11159.119326675685</v>
      </c>
      <c r="CS42" s="40">
        <v>8796.2451128082685</v>
      </c>
      <c r="CX42" s="40">
        <v>33018.571799999991</v>
      </c>
    </row>
    <row r="43" spans="1:102" s="73" customFormat="1" x14ac:dyDescent="0.2">
      <c r="A43" s="73" t="s">
        <v>15</v>
      </c>
      <c r="C43" s="73">
        <f t="shared" ref="C43" si="645">+IF(B42&lt;0,1-C42/B42,C42/B42-1)</f>
        <v>0.4641088962307669</v>
      </c>
      <c r="D43" s="73">
        <f t="shared" ref="D43" si="646">+IF(C42&lt;0,1-D42/C42,D42/C42-1)</f>
        <v>0.20596989530684584</v>
      </c>
      <c r="E43" s="73">
        <f t="shared" ref="E43" si="647">+IF(D42&lt;0,1-E42/D42,E42/D42-1)</f>
        <v>0.43123764848045387</v>
      </c>
      <c r="F43" s="73">
        <f t="shared" ref="F43" si="648">+IF(E42&lt;0,1-F42/E42,F42/E42-1)</f>
        <v>-9.5635167817980871E-2</v>
      </c>
      <c r="G43" s="73">
        <f t="shared" ref="G43" si="649">+IF(F42&lt;0,1-G42/F42,G42/F42-1)</f>
        <v>1.0273253051492626E-2</v>
      </c>
      <c r="H43" s="73">
        <f t="shared" ref="H43" si="650">+IF(G42&lt;0,1-H42/G42,H42/G42-1)</f>
        <v>0.11508359346156527</v>
      </c>
      <c r="I43" s="73">
        <f t="shared" ref="I43" si="651">+IF(H42&lt;0,1-I42/H42,I42/H42-1)</f>
        <v>1.6104440560760214E-2</v>
      </c>
      <c r="J43" s="73">
        <f t="shared" ref="J43" si="652">+IF(I42&lt;0,1-J42/I42,J42/I42-1)</f>
        <v>0.33939583230059878</v>
      </c>
      <c r="K43" s="73">
        <f t="shared" ref="K43" si="653">+IF(J42&lt;0,1-K42/J42,K42/J42-1)</f>
        <v>0.27676661992332074</v>
      </c>
      <c r="L43" s="73">
        <f t="shared" ref="L43" si="654">+IF(K42&lt;0,1-L42/K42,L42/K42-1)</f>
        <v>0.20365639685388137</v>
      </c>
      <c r="M43" s="73">
        <f t="shared" ref="M43" si="655">+IF(L42&lt;0,1-M42/L42,M42/L42-1)</f>
        <v>-2.4348221992761543E-2</v>
      </c>
      <c r="N43" s="73">
        <f t="shared" ref="N43" si="656">+IF(M42&lt;0,1-N42/M42,N42/M42-1)</f>
        <v>-8.9436214352527355E-3</v>
      </c>
      <c r="O43" s="73">
        <f t="shared" ref="O43" si="657">+IF(N42&lt;0,1-O42/N42,O42/N42-1)</f>
        <v>0.15385080187305622</v>
      </c>
      <c r="P43" s="73">
        <f t="shared" ref="P43" si="658">+IF(O42&lt;0,1-P42/O42,P42/O42-1)</f>
        <v>2.2685482281012082E-2</v>
      </c>
      <c r="Q43" s="73">
        <f t="shared" ref="Q43" si="659">+IF(P42&lt;0,1-Q42/P42,Q42/P42-1)</f>
        <v>2.8241414352899952E-2</v>
      </c>
      <c r="R43" s="73">
        <f t="shared" ref="R43" si="660">+IF(Q42&lt;0,1-R42/Q42,R42/Q42-1)</f>
        <v>0.24728192435303353</v>
      </c>
      <c r="S43" s="73">
        <f t="shared" ref="S43" si="661">+IF(R42&lt;0,1-S42/R42,S42/R42-1)</f>
        <v>7.1163959643630426E-2</v>
      </c>
      <c r="T43" s="73">
        <f t="shared" ref="T43" si="662">+IF(S42&lt;0,1-T42/S42,T42/S42-1)</f>
        <v>0.1091958696774149</v>
      </c>
      <c r="U43" s="73">
        <f t="shared" ref="U43" si="663">+IF(T42&lt;0,1-U42/T42,U42/T42-1)</f>
        <v>-0.11623632606524081</v>
      </c>
      <c r="V43" s="73">
        <f t="shared" ref="V43" si="664">+IF(U42&lt;0,1-V42/U42,V42/U42-1)</f>
        <v>1.1035608265742698</v>
      </c>
      <c r="W43" s="73">
        <f t="shared" ref="W43" si="665">+IF(V42&lt;0,1-W42/V42,W42/V42-1)</f>
        <v>0.17268609091437814</v>
      </c>
      <c r="X43" s="73">
        <f t="shared" ref="X43" si="666">+IF(W42&lt;0,1-X42/W42,X42/W42-1)</f>
        <v>0.20040051235881151</v>
      </c>
      <c r="Y43" s="73">
        <f t="shared" ref="Y43" si="667">+IF(X42&lt;0,1-Y42/X42,Y42/X42-1)</f>
        <v>6.1212238573421063E-2</v>
      </c>
      <c r="Z43" s="76">
        <f>+IF(Y42&lt;0,1-Z42/Y42,Z42/Y42-1)</f>
        <v>6.7239469465875334E-2</v>
      </c>
      <c r="AA43" s="76">
        <f>+IF(Z42&lt;0,1-AA42/Z42,AA42/Z42-1)</f>
        <v>5.1873037000788047E-2</v>
      </c>
      <c r="AB43" s="74">
        <f t="shared" ref="AB43" si="668">+IF(AA42&lt;0,1-AB42/AA42,AB42/AA42-1)</f>
        <v>4.686006436475143E-2</v>
      </c>
      <c r="AC43" s="74">
        <f t="shared" ref="AC43" si="669">+AC42/AB42-1</f>
        <v>8.3653694569621573E-2</v>
      </c>
      <c r="AD43" s="74">
        <f t="shared" ref="AD43" si="670">+AD42/AC42-1</f>
        <v>4.6162689768201481E-2</v>
      </c>
      <c r="AE43" s="74">
        <f t="shared" ref="AE43" si="671">+AE42/AD42-1</f>
        <v>9.6794691697920987E-2</v>
      </c>
      <c r="AG43" s="75"/>
      <c r="AH43" s="76"/>
      <c r="AI43" s="76"/>
      <c r="AJ43" s="76"/>
      <c r="AK43" s="76"/>
      <c r="AL43" s="76">
        <f t="shared" ref="AL43" si="672">+IF(AH42&lt;0,1-AL42/AH42,AL42/AH42-1)</f>
        <v>-9.2185448973581607E-2</v>
      </c>
      <c r="AM43" s="76">
        <f t="shared" ref="AM43" si="673">+IF(AI42&lt;0,1-AM42/AI42,AM42/AI42-1)</f>
        <v>0.10116249164137692</v>
      </c>
      <c r="AN43" s="76">
        <f t="shared" ref="AN43" si="674">+IF(AJ42&lt;0,1-AN42/AJ42,AN42/AJ42-1)</f>
        <v>0.27626832599005402</v>
      </c>
      <c r="AO43" s="76">
        <f t="shared" ref="AO43" si="675">+IF(AK42&lt;0,1-AO42/AK42,AO42/AK42-1)</f>
        <v>0.80554492727217508</v>
      </c>
      <c r="AP43" s="76">
        <f t="shared" ref="AP43" si="676">+IF(AL42&lt;0,1-AP42/AL42,AP42/AL42-1)</f>
        <v>0.35929450702908894</v>
      </c>
      <c r="AQ43" s="76">
        <f t="shared" ref="AQ43" si="677">+IF(AM42&lt;0,1-AQ42/AM42,AQ42/AM42-1)</f>
        <v>0.15837759310902166</v>
      </c>
      <c r="AR43" s="76">
        <f t="shared" ref="AR43" si="678">+IF(AN42&lt;0,1-AR42/AN42,AR42/AN42-1)</f>
        <v>0.42903504211817278</v>
      </c>
      <c r="AS43" s="76">
        <f t="shared" ref="AS43" si="679">+IF(AO42&lt;0,1-AS42/AO42,AS42/AO42-1)</f>
        <v>-0.40642533266956393</v>
      </c>
      <c r="AT43" s="76">
        <f t="shared" ref="AT43" si="680">+IF(AP42&lt;0,1-AT42/AP42,AT42/AP42-1)</f>
        <v>0.18622137373704661</v>
      </c>
      <c r="AU43" s="76">
        <f t="shared" ref="AU43" si="681">+IF(AQ42&lt;0,1-AU42/AQ42,AU42/AQ42-1)</f>
        <v>-6.1472203627683242E-2</v>
      </c>
      <c r="AV43" s="76">
        <f t="shared" ref="AV43" si="682">+IF(AR42&lt;0,1-AV42/AR42,AV42/AR42-1)</f>
        <v>-0.1674619179978738</v>
      </c>
      <c r="AW43" s="76">
        <f t="shared" ref="AW43" si="683">+IF(AS42&lt;0,1-AW42/AS42,AW42/AS42-1)</f>
        <v>0.68501402544413881</v>
      </c>
      <c r="AX43" s="76">
        <f t="shared" ref="AX43" si="684">+IF(AT42&lt;0,1-AX42/AT42,AX42/AT42-1)</f>
        <v>-0.16802430450185624</v>
      </c>
      <c r="AY43" s="76">
        <f t="shared" ref="AY43" si="685">+IF(AU42&lt;0,1-AY42/AU42,AY42/AU42-1)</f>
        <v>9.3336713385867576E-2</v>
      </c>
      <c r="AZ43" s="76">
        <f t="shared" ref="AZ43" si="686">+IF(AV42&lt;0,1-AZ42/AV42,AZ42/AV42-1)</f>
        <v>-9.7189933990602384E-3</v>
      </c>
      <c r="BA43" s="76">
        <f t="shared" ref="BA43" si="687">+IF(AW42&lt;0,1-BA42/AW42,BA42/AW42-1)</f>
        <v>-0.31363798403207022</v>
      </c>
      <c r="BB43" s="76">
        <f t="shared" ref="BB43" si="688">+IF(AX42&lt;0,1-BB42/AX42,BB42/AX42-1)</f>
        <v>0.7563247691607824</v>
      </c>
      <c r="BC43" s="76">
        <f t="shared" ref="BC43" si="689">+IF(AY42&lt;0,1-BC42/AY42,BC42/AY42-1)</f>
        <v>0.80655188810859069</v>
      </c>
      <c r="BD43" s="76">
        <f t="shared" ref="BD43" si="690">+IF(AZ42&lt;0,1-BD42/AZ42,BD42/AZ42-1)</f>
        <v>1.2563390780223891</v>
      </c>
      <c r="BE43" s="76">
        <f t="shared" ref="BE43" si="691">+IF(BA42&lt;0,1-BE42/BA42,BE42/BA42-1)</f>
        <v>1.5580169241548942</v>
      </c>
      <c r="BF43" s="76">
        <f t="shared" ref="BF43" si="692">+IF(BB42&lt;0,1-BF42/BB42,BF42/BB42-1)</f>
        <v>0.27895086863689844</v>
      </c>
      <c r="BG43" s="76">
        <f t="shared" ref="BG43" si="693">+IF(BC42&lt;0,1-BG42/BC42,BG42/BC42-1)</f>
        <v>0.21898554917695745</v>
      </c>
      <c r="BH43" s="76">
        <f t="shared" ref="BH43" si="694">+IF(BD42&lt;0,1-BH42/BD42,BH42/BD42-1)</f>
        <v>0.10166621100276396</v>
      </c>
      <c r="BI43" s="76">
        <f t="shared" ref="BI43" si="695">+IF(BE42&lt;0,1-BI42/BE42,BI42/BE42-1)</f>
        <v>0.18797911343184115</v>
      </c>
      <c r="BJ43" s="76">
        <f t="shared" ref="BJ43" si="696">+IF(BF42&lt;0,1-BJ42/BF42,BJ42/BF42-1)</f>
        <v>0.2053228678606358</v>
      </c>
      <c r="BK43" s="76">
        <f t="shared" ref="BK43" si="697">+IF(BG42&lt;0,1-BK42/BG42,BK42/BG42-1)</f>
        <v>0.2323204202982343</v>
      </c>
      <c r="BL43" s="76">
        <f t="shared" ref="BL43" si="698">+IF(BH42&lt;0,1-BL42/BH42,BL42/BH42-1)</f>
        <v>0.19811047613795418</v>
      </c>
      <c r="BM43" s="76">
        <f t="shared" ref="BM43" si="699">+IF(BI42&lt;0,1-BM42/BI42,BM42/BI42-1)</f>
        <v>0.16935023557144979</v>
      </c>
      <c r="BN43" s="76">
        <f t="shared" ref="BN43" si="700">+IF(BJ42&lt;0,1-BN42/BJ42,BN42/BJ42-1)</f>
        <v>0.15103773256456399</v>
      </c>
      <c r="BO43" s="76">
        <f t="shared" ref="BO43" si="701">+IF(BK42&lt;0,1-BO42/BK42,BO42/BK42-1)</f>
        <v>0.10283137450256952</v>
      </c>
      <c r="BP43" s="76">
        <f t="shared" ref="BP43" si="702">+IF(BL42&lt;0,1-BP42/BL42,BP42/BL42-1)</f>
        <v>-2.1077205892929163E-2</v>
      </c>
      <c r="BQ43" s="76">
        <f t="shared" ref="BQ43" si="703">+IF(BM42&lt;0,1-BQ42/BM42,BQ42/BM42-1)</f>
        <v>1.8645273736114465E-2</v>
      </c>
      <c r="BR43" s="76">
        <f t="shared" ref="BR43" si="704">+IF(BN42&lt;0,1-BR42/BN42,BR42/BN42-1)</f>
        <v>1.5938937561972288E-3</v>
      </c>
      <c r="BS43" s="76">
        <f t="shared" ref="BS43" si="705">+IF(BO42&lt;0,1-BS42/BO42,BS42/BO42-1)</f>
        <v>5.022598410101331E-3</v>
      </c>
      <c r="BT43" s="76">
        <f t="shared" ref="BT43" si="706">+IF(BP42&lt;0,1-BT42/BP42,BT42/BP42-1)</f>
        <v>0.15150767096758044</v>
      </c>
      <c r="BU43" s="76">
        <f t="shared" ref="BU43" si="707">+IF(BQ42&lt;0,1-BU42/BQ42,BU42/BQ42-1)</f>
        <v>0.1213150392692488</v>
      </c>
      <c r="BV43" s="76">
        <f t="shared" ref="BV43" si="708">+IF(BR42&lt;0,1-BV42/BR42,BV42/BR42-1)</f>
        <v>0.12308728568540039</v>
      </c>
      <c r="BW43" s="76">
        <f>+IF(BS42&lt;0,1-BW42/BS42,BW42/BS42-1)</f>
        <v>0.12206960436800895</v>
      </c>
      <c r="BX43" s="76">
        <f>+IF(BT42&lt;0,1-BX42/BT42,BX42/BT42-1)</f>
        <v>0.16369940101727543</v>
      </c>
      <c r="BY43" s="76">
        <f>+IF(BU42&lt;0,1-BY42/BU42,BY42/BU42-1)</f>
        <v>-0.18425287342446084</v>
      </c>
      <c r="BZ43" s="36">
        <f t="shared" ref="BZ43" si="709">+IF(BV42&lt;0,1-BZ42/BV42,BZ42/BV42-1)</f>
        <v>2.3958577867832842E-2</v>
      </c>
      <c r="CA43" s="36">
        <f t="shared" ref="CA43" si="710">+IF(BW42&lt;0,1-CA42/BW42,CA42/BW42-1)</f>
        <v>2.8138673437594353E-2</v>
      </c>
      <c r="CB43" s="36">
        <f t="shared" ref="CB43" si="711">+IF(BX42&lt;0,1-CB42/BX42,CB42/BX42-1)</f>
        <v>-5.5826288631540488E-2</v>
      </c>
      <c r="CC43" s="36">
        <f t="shared" ref="CC43" si="712">+IF(BY42&lt;0,1-CC42/BY42,CC42/BY42-1)</f>
        <v>0.23822397535623407</v>
      </c>
      <c r="CD43" s="36">
        <f t="shared" ref="CD43" si="713">+IF(BZ42&lt;0,1-CD42/BZ42,CD42/BZ42-1)</f>
        <v>5.4162557722040816E-2</v>
      </c>
      <c r="CE43" s="36">
        <f t="shared" ref="CE43" si="714">+IF(CA42&lt;0,1-CE42/CA42,CE42/CA42-1)</f>
        <v>6.8539458855332969E-2</v>
      </c>
      <c r="CF43" s="36">
        <f t="shared" ref="CF43" si="715">+IF(CB42&lt;0,1-CF42/CB42,CF42/CB42-1)</f>
        <v>8.4369967598975526E-2</v>
      </c>
      <c r="CG43" s="36">
        <f t="shared" ref="CG43" si="716">+IF(CC42&lt;0,1-CG42/CC42,CG42/CC42-1)</f>
        <v>0.12973711658368225</v>
      </c>
      <c r="CH43" s="36">
        <f t="shared" ref="CH43" si="717">+IF(CD42&lt;0,1-CH42/CD42,CH42/CD42-1)</f>
        <v>1.6974509864683407E-2</v>
      </c>
      <c r="CI43" s="36">
        <f t="shared" ref="CI43" si="718">+IF(CE42&lt;0,1-CI42/CE42,CI42/CE42-1)</f>
        <v>6.8585230660127561E-3</v>
      </c>
      <c r="CJ43" s="36">
        <f t="shared" ref="CJ43" si="719">+IF(CF42&lt;0,1-CJ42/CF42,CJ42/CF42-1)</f>
        <v>8.0929585037839535E-2</v>
      </c>
      <c r="CK43" s="36">
        <f t="shared" ref="CK43" si="720">+IF(CG42&lt;0,1-CK42/CG42,CK42/CG42-1)</f>
        <v>7.9562044103846041E-2</v>
      </c>
      <c r="CL43" s="36">
        <f t="shared" ref="CL43" si="721">+IF(CH42&lt;0,1-CL42/CH42,CL42/CH42-1)</f>
        <v>9.1409790711491912E-2</v>
      </c>
      <c r="CM43" s="36">
        <f t="shared" ref="CM43" si="722">+IF(CI42&lt;0,1-CM42/CI42,CM42/CI42-1)</f>
        <v>0.11185614572720692</v>
      </c>
      <c r="CN43" s="36">
        <f t="shared" ref="CN43" si="723">+IF(CJ42&lt;0,1-CN42/CJ42,CN42/CJ42-1)</f>
        <v>9.0937261409731907E-2</v>
      </c>
      <c r="CO43" s="36">
        <f t="shared" ref="CO43" si="724">+IF(CK42&lt;0,1-CO42/CK42,CO42/CK42-1)</f>
        <v>9.3521600917335856E-2</v>
      </c>
      <c r="CS43" s="73">
        <v>0.12245395499695899</v>
      </c>
      <c r="CX43" s="73">
        <v>5.1873037000788047E-2</v>
      </c>
    </row>
    <row r="44" spans="1:102" s="38" customFormat="1" x14ac:dyDescent="0.2">
      <c r="A44" s="38" t="s">
        <v>2</v>
      </c>
      <c r="B44" s="38">
        <f>+'Annual Raw'!C19</f>
        <v>655.12739999999997</v>
      </c>
      <c r="C44" s="38">
        <f>+'Annual Raw'!D19</f>
        <v>604.84010000000001</v>
      </c>
      <c r="D44" s="38">
        <f>+'Annual Raw'!E19</f>
        <v>678.19380000000001</v>
      </c>
      <c r="E44" s="38">
        <f>+'Annual Raw'!F19</f>
        <v>1190.7137</v>
      </c>
      <c r="F44" s="38">
        <f>+'Annual Raw'!G19</f>
        <v>1305.8207</v>
      </c>
      <c r="G44" s="38">
        <f>+'Annual Raw'!H19</f>
        <v>1068.6649</v>
      </c>
      <c r="H44" s="38">
        <f>+'Annual Raw'!I19</f>
        <v>1241.6600000000001</v>
      </c>
      <c r="I44" s="38">
        <f>+'Annual Raw'!J19</f>
        <v>1054.367</v>
      </c>
      <c r="J44" s="38">
        <f>+'Annual Raw'!K19</f>
        <v>1391.3527999999999</v>
      </c>
      <c r="K44" s="38">
        <f>+'Annual Raw'!L19</f>
        <v>1239.3824</v>
      </c>
      <c r="L44" s="38">
        <f>+'Annual Raw'!M19</f>
        <v>1065.5915</v>
      </c>
      <c r="M44" s="38">
        <f>+'Annual Raw'!N19</f>
        <v>1860.45</v>
      </c>
      <c r="N44" s="38">
        <f>+'Annual Raw'!O19</f>
        <v>2217.9067</v>
      </c>
      <c r="O44" s="38">
        <f>+'Annual Raw'!P19</f>
        <v>3732.9976999999999</v>
      </c>
      <c r="P44" s="38">
        <f>+'Annual Raw'!Q19</f>
        <v>3452.7429999999999</v>
      </c>
      <c r="Q44" s="38">
        <f>+'Annual Raw'!R19</f>
        <v>10332.4283</v>
      </c>
      <c r="R44" s="38">
        <f>+'Annual Raw'!S19</f>
        <v>7271.9718999999996</v>
      </c>
      <c r="S44" s="38">
        <f>+'Annual Raw'!T19</f>
        <v>16109.099700000001</v>
      </c>
      <c r="T44" s="38">
        <f>+'Annual Raw'!U19</f>
        <v>12918.275600000001</v>
      </c>
      <c r="U44" s="38">
        <f>+'Annual Raw'!V19</f>
        <v>11115.392400000001</v>
      </c>
      <c r="V44" s="38">
        <f>+'Annual Raw'!W19</f>
        <v>15981.7382</v>
      </c>
      <c r="W44" s="38">
        <f>+'Annual Raw'!X19</f>
        <v>14127.3945</v>
      </c>
      <c r="X44" s="38">
        <f>+'Annual Raw'!Y19</f>
        <v>13543.013000000001</v>
      </c>
      <c r="Y44" s="38">
        <f>+'Annual Raw'!Z19</f>
        <v>9707.6082000000006</v>
      </c>
      <c r="Z44" s="38">
        <f>+'Annual Raw'!AA19</f>
        <v>8763.5923000000003</v>
      </c>
      <c r="AA44" s="38">
        <f>+'Annual Raw'!AB19</f>
        <v>8111.9005999999999</v>
      </c>
      <c r="AB44" s="39">
        <f>SUM(BZ44:CC44)</f>
        <v>8476.2456283081738</v>
      </c>
      <c r="AC44" s="39">
        <f>SUM(CD44:CG44)</f>
        <v>9147.8495767581499</v>
      </c>
      <c r="AD44" s="39">
        <f>SUM(CH44:CK44)</f>
        <v>9982.1062275843378</v>
      </c>
      <c r="AE44" s="39">
        <f>SUM(CL44:CO44)</f>
        <v>10932.365560466338</v>
      </c>
      <c r="AG44" s="60"/>
      <c r="AH44" s="38">
        <f>+'QTR Raw'!C18</f>
        <v>1359.73</v>
      </c>
      <c r="AI44" s="38">
        <f>+'QTR Raw'!D18</f>
        <v>1212.31</v>
      </c>
      <c r="AJ44" s="38">
        <f>+'QTR Raw'!E18</f>
        <v>1428.85</v>
      </c>
      <c r="AK44" s="38">
        <f>+'QTR Raw'!F18</f>
        <v>6331.54</v>
      </c>
      <c r="AL44" s="38">
        <f>+'QTR Raw'!G18</f>
        <v>1492.92</v>
      </c>
      <c r="AM44" s="38">
        <f>+'QTR Raw'!H18</f>
        <v>1585.74</v>
      </c>
      <c r="AN44" s="38">
        <f>+'QTR Raw'!I18</f>
        <v>1484.57</v>
      </c>
      <c r="AO44" s="38">
        <f>+'QTR Raw'!J18</f>
        <v>2708.74</v>
      </c>
      <c r="AP44" s="38">
        <f>+'QTR Raw'!K18</f>
        <v>2203.7800000000002</v>
      </c>
      <c r="AQ44" s="38">
        <f>+'QTR Raw'!L18</f>
        <v>2156.64</v>
      </c>
      <c r="AR44" s="38">
        <f>+'QTR Raw'!M18</f>
        <v>2673.64</v>
      </c>
      <c r="AS44" s="38">
        <f>+'QTR Raw'!N18</f>
        <v>9075.0400000000009</v>
      </c>
      <c r="AT44" s="38">
        <f>+'QTR Raw'!O18</f>
        <v>2582.3000000000002</v>
      </c>
      <c r="AU44" s="38">
        <f>+'QTR Raw'!P18</f>
        <v>2835.14</v>
      </c>
      <c r="AV44" s="38">
        <f>+'QTR Raw'!Q18</f>
        <v>1977.34</v>
      </c>
      <c r="AW44" s="38">
        <f>+'QTR Raw'!R18</f>
        <v>5523.5</v>
      </c>
      <c r="AX44" s="38">
        <f>+'QTR Raw'!S18</f>
        <v>1899.13</v>
      </c>
      <c r="AY44" s="38">
        <f>+'QTR Raw'!T18</f>
        <v>2037.97</v>
      </c>
      <c r="AZ44" s="38">
        <f>+'QTR Raw'!U18</f>
        <v>1802.91</v>
      </c>
      <c r="BA44" s="38">
        <f>+'QTR Raw'!V18</f>
        <v>5375.38</v>
      </c>
      <c r="BB44" s="38">
        <f>+'QTR Raw'!W18</f>
        <v>3826.34</v>
      </c>
      <c r="BC44" s="38">
        <f>+'QTR Raw'!X18</f>
        <v>3974.02</v>
      </c>
      <c r="BD44" s="38">
        <f>+'QTR Raw'!Y18</f>
        <v>4210.28</v>
      </c>
      <c r="BE44" s="38">
        <f>+'QTR Raw'!Z18</f>
        <v>3652.18</v>
      </c>
      <c r="BF44" s="38">
        <f>+'QTR Raw'!AA18</f>
        <v>3458.74</v>
      </c>
      <c r="BG44" s="38">
        <f>+'QTR Raw'!AB18</f>
        <v>3360.23</v>
      </c>
      <c r="BH44" s="38">
        <f>+'QTR Raw'!AC18</f>
        <v>2244.84</v>
      </c>
      <c r="BI44" s="38">
        <f>+'QTR Raw'!AD18</f>
        <v>3708.68</v>
      </c>
      <c r="BJ44" s="38">
        <f>+'QTR Raw'!AE18</f>
        <v>3690.05</v>
      </c>
      <c r="BK44" s="38">
        <f>+'QTR Raw'!AF18</f>
        <v>3636.81</v>
      </c>
      <c r="BL44" s="38">
        <f>+'QTR Raw'!AG18</f>
        <v>3121.2</v>
      </c>
      <c r="BM44" s="38">
        <f>+'QTR Raw'!AH18</f>
        <v>3094.95</v>
      </c>
      <c r="BN44" s="38">
        <f>+'QTR Raw'!AI18</f>
        <v>2718.93</v>
      </c>
      <c r="BO44" s="38">
        <f>+'QTR Raw'!AJ18</f>
        <v>2607.9499999999998</v>
      </c>
      <c r="BP44" s="38">
        <f>+'QTR Raw'!AK18</f>
        <v>1898.91</v>
      </c>
      <c r="BQ44" s="38">
        <f>+'QTR Raw'!AL18</f>
        <v>2481.8200000000002</v>
      </c>
      <c r="BR44" s="38">
        <f>+'QTR Raw'!AM18</f>
        <v>2282.34</v>
      </c>
      <c r="BS44" s="38">
        <f>+'QTR Raw'!AN18</f>
        <v>2251.29</v>
      </c>
      <c r="BT44" s="38">
        <f>+'QTR Raw'!AO18</f>
        <v>2398.25</v>
      </c>
      <c r="BU44" s="38">
        <f>+'QTR Raw'!AP18</f>
        <v>1831.71</v>
      </c>
      <c r="BV44" s="38">
        <f>+'QTR Raw'!AQ18</f>
        <v>2351.56</v>
      </c>
      <c r="BW44" s="38">
        <f>+'QTR Raw'!AR18</f>
        <v>2354.17</v>
      </c>
      <c r="BX44" s="38">
        <v>2414.36</v>
      </c>
      <c r="BY44" s="38">
        <f>+'QTR Raw'!AT18</f>
        <v>991.81</v>
      </c>
      <c r="BZ44" s="39">
        <f t="shared" ref="BZ44:CO44" si="725">BZ20*BY5</f>
        <v>2207.5248921110383</v>
      </c>
      <c r="CA44" s="39">
        <f t="shared" si="725"/>
        <v>2161.1853585365234</v>
      </c>
      <c r="CB44" s="39">
        <f t="shared" si="725"/>
        <v>2115.3263642079733</v>
      </c>
      <c r="CC44" s="39">
        <f t="shared" si="725"/>
        <v>1992.2090134526391</v>
      </c>
      <c r="CD44" s="39">
        <f t="shared" si="725"/>
        <v>2233.4114060527036</v>
      </c>
      <c r="CE44" s="39">
        <f t="shared" si="725"/>
        <v>2255.430493996294</v>
      </c>
      <c r="CF44" s="39">
        <f t="shared" si="725"/>
        <v>2313.1145784165819</v>
      </c>
      <c r="CG44" s="39">
        <f t="shared" si="725"/>
        <v>2345.8930982925708</v>
      </c>
      <c r="CH44" s="39">
        <f t="shared" si="725"/>
        <v>2393.9672589395486</v>
      </c>
      <c r="CI44" s="39">
        <f t="shared" si="725"/>
        <v>2455.7670863386793</v>
      </c>
      <c r="CJ44" s="39">
        <f t="shared" si="725"/>
        <v>2546.1256416111146</v>
      </c>
      <c r="CK44" s="39">
        <f t="shared" si="725"/>
        <v>2586.2462406949953</v>
      </c>
      <c r="CL44" s="39">
        <f t="shared" si="725"/>
        <v>2610.9301633491195</v>
      </c>
      <c r="CM44" s="39">
        <f t="shared" si="725"/>
        <v>2690.5355315130932</v>
      </c>
      <c r="CN44" s="39">
        <f t="shared" si="725"/>
        <v>2794.4193184700762</v>
      </c>
      <c r="CO44" s="39">
        <f t="shared" si="725"/>
        <v>2836.4805471340501</v>
      </c>
      <c r="CS44" s="38">
        <v>2411.2183161200214</v>
      </c>
      <c r="CX44" s="38">
        <v>8111.9005999999999</v>
      </c>
    </row>
    <row r="45" spans="1:102" s="43" customFormat="1" x14ac:dyDescent="0.2">
      <c r="A45" s="43" t="s">
        <v>12</v>
      </c>
      <c r="B45" s="43">
        <f t="shared" ref="B45:O45" si="726">B42-B44</f>
        <v>476.0999999999998</v>
      </c>
      <c r="C45" s="43">
        <f t="shared" si="726"/>
        <v>1051.4000000000001</v>
      </c>
      <c r="D45" s="43">
        <f t="shared" si="726"/>
        <v>1319.1818999999998</v>
      </c>
      <c r="E45" s="43">
        <f t="shared" si="726"/>
        <v>1668.0056000000002</v>
      </c>
      <c r="F45" s="43">
        <f t="shared" si="726"/>
        <v>1279.5044999999993</v>
      </c>
      <c r="G45" s="43">
        <f t="shared" si="726"/>
        <v>1543.22</v>
      </c>
      <c r="H45" s="43">
        <f t="shared" si="726"/>
        <v>1670.8100000000011</v>
      </c>
      <c r="I45" s="43">
        <f t="shared" si="726"/>
        <v>1905.0066999999988</v>
      </c>
      <c r="J45" s="43">
        <f t="shared" si="726"/>
        <v>2572.420000000001</v>
      </c>
      <c r="K45" s="43">
        <f t="shared" si="726"/>
        <v>3821.4303999999979</v>
      </c>
      <c r="L45" s="43">
        <f t="shared" si="726"/>
        <v>5025.8881999999994</v>
      </c>
      <c r="M45" s="43">
        <f t="shared" si="726"/>
        <v>4082.7129999999997</v>
      </c>
      <c r="N45" s="43">
        <f t="shared" si="726"/>
        <v>3672.1028999999985</v>
      </c>
      <c r="O45" s="43">
        <f t="shared" si="726"/>
        <v>3063.194599999998</v>
      </c>
      <c r="P45" s="43">
        <f t="shared" ref="P45:W45" si="727">P42-P44</f>
        <v>3497.6241999999979</v>
      </c>
      <c r="Q45" s="43">
        <f t="shared" si="727"/>
        <v>-3185.7728999999972</v>
      </c>
      <c r="R45" s="43">
        <f t="shared" si="727"/>
        <v>1641.9222000000018</v>
      </c>
      <c r="S45" s="43">
        <f t="shared" si="727"/>
        <v>-6560.857600000003</v>
      </c>
      <c r="T45" s="43">
        <f t="shared" si="727"/>
        <v>-2327.4048999999977</v>
      </c>
      <c r="U45" s="43">
        <f t="shared" si="727"/>
        <v>-1755.5656000000035</v>
      </c>
      <c r="V45" s="43">
        <f t="shared" si="727"/>
        <v>3707.2267999999967</v>
      </c>
      <c r="W45" s="43">
        <f t="shared" si="727"/>
        <v>8961.5809000000027</v>
      </c>
      <c r="X45" s="43">
        <f t="shared" ref="X45" si="728">X42-X44</f>
        <v>14173.004899999998</v>
      </c>
      <c r="Y45" s="43">
        <f t="shared" ref="Y45" si="729">Y42-Y44</f>
        <v>19704.969200000007</v>
      </c>
      <c r="Z45" s="43">
        <f t="shared" ref="Z45:AA45" si="730">Z42-Z44</f>
        <v>22626.671200000001</v>
      </c>
      <c r="AA45" s="43">
        <f t="shared" ref="AA45" si="731">AA42-AA44</f>
        <v>24906.67119999999</v>
      </c>
      <c r="AB45" s="44">
        <f t="shared" ref="AB45" si="732">AB42-AB44</f>
        <v>26089.578571471986</v>
      </c>
      <c r="AC45" s="44">
        <f t="shared" ref="AC45" si="733">AC42-AC44</f>
        <v>28309.533523177655</v>
      </c>
      <c r="AD45" s="44">
        <f t="shared" ref="AD45" si="734">AD42-AD44</f>
        <v>29204.410427922478</v>
      </c>
      <c r="AE45" s="44">
        <f t="shared" ref="AE45" si="735">AE42-AE44</f>
        <v>32047.197893425706</v>
      </c>
      <c r="AG45" s="62"/>
      <c r="AH45" s="43">
        <f t="shared" ref="AH45" si="736">AH42-AH44</f>
        <v>643.83999999999969</v>
      </c>
      <c r="AI45" s="43">
        <f t="shared" ref="AI45:BV45" si="737">AI42-AI44</f>
        <v>731.79</v>
      </c>
      <c r="AJ45" s="43">
        <f t="shared" si="737"/>
        <v>123.59000000000037</v>
      </c>
      <c r="AK45" s="43">
        <f t="shared" si="737"/>
        <v>-4684.99</v>
      </c>
      <c r="AL45" s="43">
        <f t="shared" si="737"/>
        <v>325.95000000000073</v>
      </c>
      <c r="AM45" s="43">
        <f t="shared" si="737"/>
        <v>555.03000000000088</v>
      </c>
      <c r="AN45" s="43">
        <f t="shared" si="737"/>
        <v>496.76</v>
      </c>
      <c r="AO45" s="43">
        <f t="shared" si="737"/>
        <v>264.18000000000029</v>
      </c>
      <c r="AP45" s="43">
        <f t="shared" si="737"/>
        <v>268.59999999999991</v>
      </c>
      <c r="AQ45" s="43">
        <f t="shared" si="737"/>
        <v>323.18000000000166</v>
      </c>
      <c r="AR45" s="43">
        <f t="shared" si="737"/>
        <v>157.74999999999909</v>
      </c>
      <c r="AS45" s="43">
        <f t="shared" si="737"/>
        <v>-7310.3900000000012</v>
      </c>
      <c r="AT45" s="43">
        <f t="shared" si="737"/>
        <v>350.48999999999933</v>
      </c>
      <c r="AU45" s="43">
        <f t="shared" si="737"/>
        <v>-507.75999999999976</v>
      </c>
      <c r="AV45" s="43">
        <f t="shared" si="737"/>
        <v>379.89999999999941</v>
      </c>
      <c r="AW45" s="43">
        <f t="shared" si="737"/>
        <v>-2550.0400000000004</v>
      </c>
      <c r="AX45" s="43">
        <f t="shared" si="737"/>
        <v>540.88000000000056</v>
      </c>
      <c r="AY45" s="43">
        <f t="shared" si="737"/>
        <v>506.64000000000055</v>
      </c>
      <c r="AZ45" s="43">
        <f t="shared" si="737"/>
        <v>531.41999999999848</v>
      </c>
      <c r="BA45" s="43">
        <f t="shared" si="737"/>
        <v>-3334.5099999999998</v>
      </c>
      <c r="BB45" s="43">
        <f t="shared" si="737"/>
        <v>459.11000000000149</v>
      </c>
      <c r="BC45" s="43">
        <f t="shared" si="737"/>
        <v>622.95000000000209</v>
      </c>
      <c r="BD45" s="43">
        <f t="shared" si="737"/>
        <v>1056.7600000000002</v>
      </c>
      <c r="BE45" s="43">
        <f t="shared" si="737"/>
        <v>1568.4</v>
      </c>
      <c r="BF45" s="43">
        <f t="shared" si="737"/>
        <v>2022.1399999999985</v>
      </c>
      <c r="BG45" s="43">
        <f t="shared" si="737"/>
        <v>2243.4100000000003</v>
      </c>
      <c r="BH45" s="43">
        <f t="shared" si="737"/>
        <v>3557.6799999999976</v>
      </c>
      <c r="BI45" s="43">
        <f t="shared" si="737"/>
        <v>2493.2600000000016</v>
      </c>
      <c r="BJ45" s="43">
        <f t="shared" si="737"/>
        <v>2916.1799999999994</v>
      </c>
      <c r="BK45" s="43">
        <f t="shared" si="737"/>
        <v>3268.6699999999987</v>
      </c>
      <c r="BL45" s="43">
        <f t="shared" si="737"/>
        <v>3830.8599999999997</v>
      </c>
      <c r="BM45" s="43">
        <f t="shared" si="737"/>
        <v>4157.2899999999991</v>
      </c>
      <c r="BN45" s="43">
        <f t="shared" si="737"/>
        <v>4885.09</v>
      </c>
      <c r="BO45" s="43">
        <f t="shared" si="737"/>
        <v>5007.6300000000019</v>
      </c>
      <c r="BP45" s="43">
        <f t="shared" si="737"/>
        <v>4906.6200000000026</v>
      </c>
      <c r="BQ45" s="43">
        <f t="shared" si="737"/>
        <v>4905.6399999999976</v>
      </c>
      <c r="BR45" s="43">
        <f t="shared" si="737"/>
        <v>5333.7999999999975</v>
      </c>
      <c r="BS45" s="43">
        <f t="shared" si="737"/>
        <v>5402.5400000000009</v>
      </c>
      <c r="BT45" s="43">
        <f t="shared" si="737"/>
        <v>5438.37</v>
      </c>
      <c r="BU45" s="43">
        <f t="shared" si="737"/>
        <v>6451.9600000000019</v>
      </c>
      <c r="BV45" s="43">
        <f t="shared" si="737"/>
        <v>6202.0300000000025</v>
      </c>
      <c r="BW45" s="43">
        <f t="shared" ref="BW45:BX45" si="738">BW42-BW44</f>
        <v>6233.9599999999991</v>
      </c>
      <c r="BX45" s="43">
        <f t="shared" si="738"/>
        <v>6705.1100000000006</v>
      </c>
      <c r="BY45" s="43">
        <f t="shared" ref="BY45" si="739">BY42-BY44</f>
        <v>5765.5699999999979</v>
      </c>
      <c r="BZ45" s="44">
        <f t="shared" ref="BZ45:CC45" si="740">BZ42-BZ44</f>
        <v>6550.9969599534797</v>
      </c>
      <c r="CA45" s="44">
        <f t="shared" si="740"/>
        <v>6668.6032269730831</v>
      </c>
      <c r="CB45" s="44">
        <f t="shared" si="740"/>
        <v>6495.0374714053542</v>
      </c>
      <c r="CC45" s="44">
        <f t="shared" si="740"/>
        <v>6374.940913140068</v>
      </c>
      <c r="CD45" s="44">
        <f t="shared" ref="CD45:CO45" si="741">CD42-CD44</f>
        <v>6999.4943913840152</v>
      </c>
      <c r="CE45" s="44">
        <f t="shared" si="741"/>
        <v>7179.5470229711364</v>
      </c>
      <c r="CF45" s="44">
        <f t="shared" si="741"/>
        <v>7023.7053750228315</v>
      </c>
      <c r="CG45" s="44">
        <f t="shared" si="741"/>
        <v>7106.7867337996431</v>
      </c>
      <c r="CH45" s="44">
        <f t="shared" si="741"/>
        <v>6995.6625890354517</v>
      </c>
      <c r="CI45" s="44">
        <f t="shared" si="741"/>
        <v>7043.9204415561835</v>
      </c>
      <c r="CJ45" s="44">
        <f t="shared" si="741"/>
        <v>7546.3192762331701</v>
      </c>
      <c r="CK45" s="44">
        <f t="shared" si="741"/>
        <v>7618.5081210976741</v>
      </c>
      <c r="CL45" s="44">
        <f t="shared" si="741"/>
        <v>7637.0037838876524</v>
      </c>
      <c r="CM45" s="44">
        <f t="shared" si="741"/>
        <v>7871.750428864907</v>
      </c>
      <c r="CN45" s="44">
        <f t="shared" si="741"/>
        <v>8215.8049011315343</v>
      </c>
      <c r="CO45" s="44">
        <f t="shared" si="741"/>
        <v>8322.6387795416358</v>
      </c>
      <c r="CS45" s="43">
        <v>6385.0267966882475</v>
      </c>
      <c r="CX45" s="43">
        <v>24906.67119999999</v>
      </c>
    </row>
    <row r="46" spans="1:102" s="38" customFormat="1" x14ac:dyDescent="0.2">
      <c r="A46" s="38" t="s">
        <v>13</v>
      </c>
      <c r="B46" s="38">
        <f>+'Annual Raw'!C18</f>
        <v>191</v>
      </c>
      <c r="C46" s="38">
        <f>+'Annual Raw'!D18</f>
        <v>310</v>
      </c>
      <c r="D46" s="38">
        <f>+'Annual Raw'!E18</f>
        <v>300.29000000000002</v>
      </c>
      <c r="E46" s="38">
        <f>+'Annual Raw'!F18</f>
        <v>330</v>
      </c>
      <c r="F46" s="38">
        <f>+'Annual Raw'!G18</f>
        <v>170</v>
      </c>
      <c r="G46" s="38">
        <f>+'Annual Raw'!H18</f>
        <v>200</v>
      </c>
      <c r="H46" s="38">
        <f>+'Annual Raw'!I18</f>
        <v>250</v>
      </c>
      <c r="I46" s="38">
        <f>+'Annual Raw'!J18</f>
        <v>340</v>
      </c>
      <c r="J46" s="38">
        <f>+'Annual Raw'!K18</f>
        <v>500</v>
      </c>
      <c r="K46" s="38">
        <f>+'Annual Raw'!L18</f>
        <v>800</v>
      </c>
      <c r="L46" s="38">
        <f>+'Annual Raw'!M18</f>
        <v>1000</v>
      </c>
      <c r="M46" s="38">
        <f>+'Annual Raw'!N18</f>
        <v>800</v>
      </c>
      <c r="N46" s="38">
        <f>+'Annual Raw'!O18</f>
        <v>800</v>
      </c>
      <c r="O46" s="38">
        <f>+'Annual Raw'!P18</f>
        <v>625</v>
      </c>
      <c r="P46" s="38">
        <f>+'Annual Raw'!Q18</f>
        <v>795</v>
      </c>
      <c r="Q46" s="38">
        <f>+'Annual Raw'!R18</f>
        <v>-372.95</v>
      </c>
      <c r="R46" s="38">
        <f>+'Annual Raw'!S18</f>
        <v>520</v>
      </c>
      <c r="S46" s="38">
        <f>+'Annual Raw'!T18</f>
        <v>-2338.62</v>
      </c>
      <c r="T46" s="38">
        <f>+'Annual Raw'!U18</f>
        <v>-2674.42</v>
      </c>
      <c r="U46" s="38">
        <f>+'Annual Raw'!V18</f>
        <v>480.15</v>
      </c>
      <c r="V46" s="38">
        <f>+'Annual Raw'!W18</f>
        <v>1149.6500000000001</v>
      </c>
      <c r="W46" s="38">
        <f>+'Annual Raw'!X18</f>
        <v>3283.17</v>
      </c>
      <c r="X46" s="38">
        <f>+'Annual Raw'!Y18</f>
        <v>3569.24</v>
      </c>
      <c r="Y46" s="38">
        <f>+'Annual Raw'!Z18</f>
        <v>5150.6499999999996</v>
      </c>
      <c r="Z46" s="38">
        <f>+'Annual Raw'!AA18</f>
        <v>5600</v>
      </c>
      <c r="AA46" s="38">
        <f>+'Annual Raw'!AB18</f>
        <v>5720</v>
      </c>
      <c r="AB46" s="39">
        <f>SUM(BZ46:CC46)</f>
        <v>6783.2904285827153</v>
      </c>
      <c r="AC46" s="39">
        <f>SUM(CD46:CG46)</f>
        <v>7360.4787160261831</v>
      </c>
      <c r="AD46" s="39">
        <f>SUM(CH46:CK46)</f>
        <v>7593.1467112598439</v>
      </c>
      <c r="AE46" s="39">
        <f>SUM(CL46:CO46)</f>
        <v>8332.2714522906899</v>
      </c>
      <c r="AG46" s="60"/>
      <c r="AH46" s="38">
        <f>+'QTR Raw'!C20</f>
        <v>165</v>
      </c>
      <c r="AI46" s="38">
        <f>+'QTR Raw'!D20</f>
        <v>202.93</v>
      </c>
      <c r="AJ46" s="38">
        <f>+'QTR Raw'!E20</f>
        <v>38.619999999999997</v>
      </c>
      <c r="AK46" s="38">
        <f>+'QTR Raw'!F20</f>
        <v>-779.5</v>
      </c>
      <c r="AL46" s="38">
        <f>+'QTR Raw'!G20</f>
        <v>97</v>
      </c>
      <c r="AM46" s="38">
        <f>+'QTR Raw'!H20</f>
        <v>198.12</v>
      </c>
      <c r="AN46" s="38">
        <f>+'QTR Raw'!I20</f>
        <v>174.88</v>
      </c>
      <c r="AO46" s="38">
        <f>+'QTR Raw'!J20</f>
        <v>50</v>
      </c>
      <c r="AP46" s="38">
        <f>+'QTR Raw'!K20</f>
        <v>17</v>
      </c>
      <c r="AQ46" s="38">
        <f>+'QTR Raw'!L20</f>
        <v>63</v>
      </c>
      <c r="AR46" s="38">
        <f>+'QTR Raw'!M20</f>
        <v>32</v>
      </c>
      <c r="AS46" s="38">
        <f>+'QTR Raw'!N20</f>
        <v>-2450.62</v>
      </c>
      <c r="AT46" s="38">
        <f>+'QTR Raw'!O20</f>
        <v>69</v>
      </c>
      <c r="AU46" s="38">
        <f>+'QTR Raw'!P20</f>
        <v>-807.3</v>
      </c>
      <c r="AV46" s="38">
        <f>+'QTR Raw'!Q20</f>
        <v>62.38</v>
      </c>
      <c r="AW46" s="38">
        <f>+'QTR Raw'!R20</f>
        <v>-1998.51</v>
      </c>
      <c r="AX46" s="38">
        <f>+'QTR Raw'!S20</f>
        <v>211.81</v>
      </c>
      <c r="AY46" s="38">
        <f>+'QTR Raw'!T20</f>
        <v>141.72</v>
      </c>
      <c r="AZ46" s="38">
        <f>+'QTR Raw'!U20</f>
        <v>201.8</v>
      </c>
      <c r="BA46" s="38">
        <f>+'QTR Raw'!V20</f>
        <v>-75.180000000000007</v>
      </c>
      <c r="BB46" s="38">
        <f>+'QTR Raw'!W20</f>
        <v>52.87</v>
      </c>
      <c r="BC46" s="38">
        <f>+'QTR Raw'!X20</f>
        <v>178.54</v>
      </c>
      <c r="BD46" s="38">
        <f>+'QTR Raw'!Y20</f>
        <v>360.7</v>
      </c>
      <c r="BE46" s="38">
        <f>+'QTR Raw'!Z20</f>
        <v>557.53</v>
      </c>
      <c r="BF46" s="38">
        <f>+'QTR Raw'!AA20</f>
        <v>844.67</v>
      </c>
      <c r="BG46" s="38">
        <f>+'QTR Raw'!AB20</f>
        <v>910.8</v>
      </c>
      <c r="BH46" s="38">
        <f>+'QTR Raw'!AC20</f>
        <v>700.66</v>
      </c>
      <c r="BI46" s="38">
        <f>+'QTR Raw'!AD20</f>
        <v>827.04</v>
      </c>
      <c r="BJ46" s="38">
        <f>+'QTR Raw'!AE20</f>
        <v>894.15</v>
      </c>
      <c r="BK46" s="38">
        <f>+'QTR Raw'!AF20</f>
        <v>743.2</v>
      </c>
      <c r="BL46" s="38">
        <f>+'QTR Raw'!AG20</f>
        <v>949.34</v>
      </c>
      <c r="BM46" s="38">
        <f>+'QTR Raw'!AH20</f>
        <v>982.55</v>
      </c>
      <c r="BN46" s="38">
        <f>+'QTR Raw'!AI20</f>
        <v>1350.25</v>
      </c>
      <c r="BO46" s="38">
        <f>+'QTR Raw'!AJ20</f>
        <v>1401.49</v>
      </c>
      <c r="BP46" s="38">
        <f>+'QTR Raw'!AK20</f>
        <v>1250.5</v>
      </c>
      <c r="BQ46" s="38">
        <f>+'QTR Raw'!AL20</f>
        <v>1148.4100000000001</v>
      </c>
      <c r="BR46" s="38">
        <f>+'QTR Raw'!AM20</f>
        <v>1428.52</v>
      </c>
      <c r="BS46" s="38">
        <f>+'QTR Raw'!AN20</f>
        <v>1388.01</v>
      </c>
      <c r="BT46" s="38">
        <f>+'QTR Raw'!AO20</f>
        <v>1334.17</v>
      </c>
      <c r="BU46" s="38">
        <f>+'QTR Raw'!AP20</f>
        <v>1449.3</v>
      </c>
      <c r="BV46" s="38">
        <f>+'QTR Raw'!AQ20</f>
        <v>1450</v>
      </c>
      <c r="BW46" s="38">
        <f>+'QTR Raw'!AR20</f>
        <v>1460</v>
      </c>
      <c r="BX46" s="38">
        <v>1550</v>
      </c>
      <c r="BY46" s="38">
        <f>+'QTR Raw'!AT20</f>
        <v>1260</v>
      </c>
      <c r="BZ46" s="39">
        <f t="shared" ref="BZ46:CC46" si="742">BZ45*0.26</f>
        <v>1703.2592095879047</v>
      </c>
      <c r="CA46" s="39">
        <f t="shared" si="742"/>
        <v>1733.8368390130017</v>
      </c>
      <c r="CB46" s="39">
        <f t="shared" si="742"/>
        <v>1688.7097425653922</v>
      </c>
      <c r="CC46" s="39">
        <f t="shared" si="742"/>
        <v>1657.4846374164176</v>
      </c>
      <c r="CD46" s="39">
        <f t="shared" ref="CD46:CO46" si="743">CD45*0.26</f>
        <v>1819.868541759844</v>
      </c>
      <c r="CE46" s="39">
        <f t="shared" si="743"/>
        <v>1866.6822259724954</v>
      </c>
      <c r="CF46" s="39">
        <f t="shared" si="743"/>
        <v>1826.1633975059362</v>
      </c>
      <c r="CG46" s="39">
        <f t="shared" si="743"/>
        <v>1847.7645507879072</v>
      </c>
      <c r="CH46" s="39">
        <f t="shared" si="743"/>
        <v>1818.8722731492176</v>
      </c>
      <c r="CI46" s="39">
        <f t="shared" si="743"/>
        <v>1831.4193148046077</v>
      </c>
      <c r="CJ46" s="39">
        <f t="shared" si="743"/>
        <v>1962.0430118206243</v>
      </c>
      <c r="CK46" s="39">
        <f t="shared" si="743"/>
        <v>1980.8121114853952</v>
      </c>
      <c r="CL46" s="39">
        <f t="shared" si="743"/>
        <v>1985.6209838107898</v>
      </c>
      <c r="CM46" s="39">
        <f t="shared" si="743"/>
        <v>2046.655111504876</v>
      </c>
      <c r="CN46" s="39">
        <f t="shared" si="743"/>
        <v>2136.1092742941992</v>
      </c>
      <c r="CO46" s="39">
        <f t="shared" si="743"/>
        <v>2163.8860826808254</v>
      </c>
      <c r="CS46" s="38">
        <v>1660.1069671389444</v>
      </c>
      <c r="CX46" s="38">
        <v>5720</v>
      </c>
    </row>
    <row r="47" spans="1:102" s="43" customFormat="1" x14ac:dyDescent="0.2">
      <c r="A47" s="43" t="s">
        <v>14</v>
      </c>
      <c r="B47" s="43">
        <f t="shared" ref="B47:O47" si="744">B45-B46</f>
        <v>285.0999999999998</v>
      </c>
      <c r="C47" s="43">
        <f t="shared" si="744"/>
        <v>741.40000000000009</v>
      </c>
      <c r="D47" s="43">
        <f t="shared" si="744"/>
        <v>1018.8918999999999</v>
      </c>
      <c r="E47" s="43">
        <f t="shared" si="744"/>
        <v>1338.0056000000002</v>
      </c>
      <c r="F47" s="43">
        <f t="shared" si="744"/>
        <v>1109.5044999999993</v>
      </c>
      <c r="G47" s="43">
        <f t="shared" si="744"/>
        <v>1343.22</v>
      </c>
      <c r="H47" s="43">
        <f t="shared" si="744"/>
        <v>1420.8100000000011</v>
      </c>
      <c r="I47" s="43">
        <f t="shared" si="744"/>
        <v>1565.0066999999988</v>
      </c>
      <c r="J47" s="43">
        <f t="shared" si="744"/>
        <v>2072.420000000001</v>
      </c>
      <c r="K47" s="43">
        <f t="shared" si="744"/>
        <v>3021.4303999999979</v>
      </c>
      <c r="L47" s="43">
        <f t="shared" si="744"/>
        <v>4025.8881999999994</v>
      </c>
      <c r="M47" s="43">
        <f t="shared" si="744"/>
        <v>3282.7129999999997</v>
      </c>
      <c r="N47" s="43">
        <f t="shared" si="744"/>
        <v>2872.1028999999985</v>
      </c>
      <c r="O47" s="43">
        <f t="shared" si="744"/>
        <v>2438.194599999998</v>
      </c>
      <c r="P47" s="43">
        <f t="shared" ref="P47:W47" si="745">P45-P46</f>
        <v>2702.6241999999979</v>
      </c>
      <c r="Q47" s="43">
        <f t="shared" si="745"/>
        <v>-2812.8228999999974</v>
      </c>
      <c r="R47" s="43">
        <f t="shared" si="745"/>
        <v>1121.9222000000018</v>
      </c>
      <c r="S47" s="43">
        <f t="shared" si="745"/>
        <v>-4222.2376000000031</v>
      </c>
      <c r="T47" s="43">
        <f t="shared" si="745"/>
        <v>347.01510000000235</v>
      </c>
      <c r="U47" s="43">
        <f t="shared" si="745"/>
        <v>-2235.7156000000036</v>
      </c>
      <c r="V47" s="43">
        <f t="shared" si="745"/>
        <v>2557.5767999999966</v>
      </c>
      <c r="W47" s="43">
        <f t="shared" si="745"/>
        <v>5678.4109000000026</v>
      </c>
      <c r="X47" s="43">
        <f t="shared" ref="X47" si="746">X45-X46</f>
        <v>10603.764899999998</v>
      </c>
      <c r="Y47" s="43">
        <f t="shared" ref="Y47" si="747">Y45-Y46</f>
        <v>14554.319200000007</v>
      </c>
      <c r="Z47" s="43">
        <f t="shared" ref="Z47:AA47" si="748">Z45-Z46</f>
        <v>17026.671200000001</v>
      </c>
      <c r="AA47" s="43">
        <f t="shared" ref="AA47" si="749">AA45-AA46</f>
        <v>19186.67119999999</v>
      </c>
      <c r="AB47" s="44">
        <f t="shared" ref="AB47" si="750">AB45-AB46</f>
        <v>19306.288142889272</v>
      </c>
      <c r="AC47" s="44">
        <f t="shared" ref="AC47" si="751">AC45-AC46</f>
        <v>20949.054807151471</v>
      </c>
      <c r="AD47" s="44">
        <f t="shared" ref="AD47" si="752">AD45-AD46</f>
        <v>21611.263716662634</v>
      </c>
      <c r="AE47" s="44">
        <f t="shared" ref="AE47" si="753">AE45-AE46</f>
        <v>23714.926441135016</v>
      </c>
      <c r="AG47" s="62"/>
      <c r="AH47" s="43">
        <f t="shared" ref="AH47" si="754">AH45-AH46</f>
        <v>478.83999999999969</v>
      </c>
      <c r="AI47" s="43">
        <f t="shared" ref="AI47:BV47" si="755">AI45-AI46</f>
        <v>528.8599999999999</v>
      </c>
      <c r="AJ47" s="43">
        <f t="shared" si="755"/>
        <v>84.970000000000368</v>
      </c>
      <c r="AK47" s="43">
        <f t="shared" si="755"/>
        <v>-3905.49</v>
      </c>
      <c r="AL47" s="43">
        <f t="shared" si="755"/>
        <v>228.95000000000073</v>
      </c>
      <c r="AM47" s="43">
        <f t="shared" si="755"/>
        <v>356.91000000000088</v>
      </c>
      <c r="AN47" s="43">
        <f t="shared" si="755"/>
        <v>321.88</v>
      </c>
      <c r="AO47" s="43">
        <f t="shared" si="755"/>
        <v>214.18000000000029</v>
      </c>
      <c r="AP47" s="43">
        <f t="shared" si="755"/>
        <v>251.59999999999991</v>
      </c>
      <c r="AQ47" s="43">
        <f t="shared" si="755"/>
        <v>260.18000000000166</v>
      </c>
      <c r="AR47" s="43">
        <f t="shared" si="755"/>
        <v>125.74999999999909</v>
      </c>
      <c r="AS47" s="43">
        <f t="shared" si="755"/>
        <v>-4859.7700000000013</v>
      </c>
      <c r="AT47" s="43">
        <f t="shared" si="755"/>
        <v>281.48999999999933</v>
      </c>
      <c r="AU47" s="43">
        <f t="shared" si="755"/>
        <v>299.54000000000019</v>
      </c>
      <c r="AV47" s="43">
        <f t="shared" si="755"/>
        <v>317.51999999999941</v>
      </c>
      <c r="AW47" s="43">
        <f t="shared" si="755"/>
        <v>-551.53000000000043</v>
      </c>
      <c r="AX47" s="43">
        <f t="shared" si="755"/>
        <v>329.07000000000056</v>
      </c>
      <c r="AY47" s="43">
        <f t="shared" si="755"/>
        <v>364.92000000000053</v>
      </c>
      <c r="AZ47" s="43">
        <f t="shared" si="755"/>
        <v>329.61999999999847</v>
      </c>
      <c r="BA47" s="43">
        <f t="shared" si="755"/>
        <v>-3259.33</v>
      </c>
      <c r="BB47" s="43">
        <f t="shared" si="755"/>
        <v>406.24000000000149</v>
      </c>
      <c r="BC47" s="43">
        <f t="shared" si="755"/>
        <v>444.41000000000213</v>
      </c>
      <c r="BD47" s="43">
        <f t="shared" si="755"/>
        <v>696.06000000000017</v>
      </c>
      <c r="BE47" s="43">
        <f t="shared" si="755"/>
        <v>1010.8700000000001</v>
      </c>
      <c r="BF47" s="43">
        <f t="shared" si="755"/>
        <v>1177.4699999999984</v>
      </c>
      <c r="BG47" s="43">
        <f t="shared" si="755"/>
        <v>1332.6100000000004</v>
      </c>
      <c r="BH47" s="43">
        <f t="shared" si="755"/>
        <v>2857.0199999999977</v>
      </c>
      <c r="BI47" s="43">
        <f t="shared" si="755"/>
        <v>1666.2200000000016</v>
      </c>
      <c r="BJ47" s="43">
        <f t="shared" si="755"/>
        <v>2022.0299999999993</v>
      </c>
      <c r="BK47" s="43">
        <f t="shared" si="755"/>
        <v>2525.4699999999984</v>
      </c>
      <c r="BL47" s="43">
        <f t="shared" si="755"/>
        <v>2881.5199999999995</v>
      </c>
      <c r="BM47" s="43">
        <f t="shared" si="755"/>
        <v>3174.7399999999989</v>
      </c>
      <c r="BN47" s="43">
        <f t="shared" si="755"/>
        <v>3534.84</v>
      </c>
      <c r="BO47" s="43">
        <f t="shared" si="755"/>
        <v>3606.1400000000021</v>
      </c>
      <c r="BP47" s="43">
        <f t="shared" si="755"/>
        <v>3656.1200000000026</v>
      </c>
      <c r="BQ47" s="43">
        <f t="shared" si="755"/>
        <v>3757.2299999999977</v>
      </c>
      <c r="BR47" s="43">
        <f t="shared" si="755"/>
        <v>3905.2799999999975</v>
      </c>
      <c r="BS47" s="43">
        <f t="shared" si="755"/>
        <v>4014.5300000000007</v>
      </c>
      <c r="BT47" s="43">
        <f t="shared" si="755"/>
        <v>4104.2</v>
      </c>
      <c r="BU47" s="43">
        <f t="shared" si="755"/>
        <v>5002.6600000000017</v>
      </c>
      <c r="BV47" s="43">
        <f t="shared" si="755"/>
        <v>4752.0300000000025</v>
      </c>
      <c r="BW47" s="43">
        <f t="shared" ref="BW47:BX47" si="756">BW45-BW46</f>
        <v>4773.9599999999991</v>
      </c>
      <c r="BX47" s="43">
        <f t="shared" si="756"/>
        <v>5155.1100000000006</v>
      </c>
      <c r="BY47" s="43">
        <f t="shared" ref="BY47" si="757">BY45-BY46</f>
        <v>4505.5699999999979</v>
      </c>
      <c r="BZ47" s="44">
        <f t="shared" ref="BZ47:CC47" si="758">BZ45-BZ46</f>
        <v>4847.7377503655753</v>
      </c>
      <c r="CA47" s="44">
        <f t="shared" si="758"/>
        <v>4934.7663879600814</v>
      </c>
      <c r="CB47" s="44">
        <f t="shared" si="758"/>
        <v>4806.3277288399622</v>
      </c>
      <c r="CC47" s="44">
        <f t="shared" si="758"/>
        <v>4717.4562757236508</v>
      </c>
      <c r="CD47" s="44">
        <f t="shared" ref="CD47:CO47" si="759">CD45-CD46</f>
        <v>5179.6258496241717</v>
      </c>
      <c r="CE47" s="44">
        <f t="shared" si="759"/>
        <v>5312.8647969986414</v>
      </c>
      <c r="CF47" s="44">
        <f t="shared" si="759"/>
        <v>5197.5419775168957</v>
      </c>
      <c r="CG47" s="44">
        <f t="shared" si="759"/>
        <v>5259.0221830117362</v>
      </c>
      <c r="CH47" s="44">
        <f t="shared" si="759"/>
        <v>5176.7903158862337</v>
      </c>
      <c r="CI47" s="44">
        <f t="shared" si="759"/>
        <v>5212.5011267515756</v>
      </c>
      <c r="CJ47" s="44">
        <f t="shared" si="759"/>
        <v>5584.276264412546</v>
      </c>
      <c r="CK47" s="44">
        <f t="shared" si="759"/>
        <v>5637.6960096122784</v>
      </c>
      <c r="CL47" s="44">
        <f t="shared" si="759"/>
        <v>5651.3828000768626</v>
      </c>
      <c r="CM47" s="44">
        <f t="shared" si="759"/>
        <v>5825.095317360031</v>
      </c>
      <c r="CN47" s="44">
        <f t="shared" si="759"/>
        <v>6079.6956268373351</v>
      </c>
      <c r="CO47" s="44">
        <f t="shared" si="759"/>
        <v>6158.7526968608108</v>
      </c>
      <c r="CS47" s="43">
        <v>4724.9198295493034</v>
      </c>
      <c r="CX47" s="43">
        <v>19186.67119999999</v>
      </c>
    </row>
    <row r="48" spans="1:102" s="38" customFormat="1" x14ac:dyDescent="0.2">
      <c r="A48" s="38" t="s">
        <v>5</v>
      </c>
      <c r="B48" s="43">
        <f>+'Annual Raw'!C25</f>
        <v>0</v>
      </c>
      <c r="C48" s="43">
        <f>+'Annual Raw'!D25</f>
        <v>0</v>
      </c>
      <c r="D48" s="43">
        <f>+'Annual Raw'!E25</f>
        <v>0</v>
      </c>
      <c r="E48" s="43">
        <f>+'Annual Raw'!F25</f>
        <v>0</v>
      </c>
      <c r="F48" s="43">
        <f>+'Annual Raw'!G25</f>
        <v>0</v>
      </c>
      <c r="G48" s="43">
        <f>+'Annual Raw'!H25</f>
        <v>0</v>
      </c>
      <c r="H48" s="43">
        <f>+'Annual Raw'!I25</f>
        <v>0</v>
      </c>
      <c r="I48" s="43">
        <f>+'Annual Raw'!J25</f>
        <v>0</v>
      </c>
      <c r="J48" s="43">
        <f>+'Annual Raw'!K25</f>
        <v>0</v>
      </c>
      <c r="K48" s="43">
        <f>+'Annual Raw'!L25</f>
        <v>0</v>
      </c>
      <c r="L48" s="43">
        <f>+'Annual Raw'!M25</f>
        <v>0</v>
      </c>
      <c r="M48" s="43">
        <f>+'Annual Raw'!N25</f>
        <v>0</v>
      </c>
      <c r="N48" s="43">
        <f>+'Annual Raw'!O25</f>
        <v>0</v>
      </c>
      <c r="O48" s="43">
        <f>+'Annual Raw'!P25</f>
        <v>0</v>
      </c>
      <c r="P48" s="43">
        <f>+'Annual Raw'!Q25</f>
        <v>0</v>
      </c>
      <c r="Q48" s="43">
        <f>+'Annual Raw'!R25</f>
        <v>0</v>
      </c>
      <c r="R48" s="43">
        <f>+'Annual Raw'!S25</f>
        <v>0</v>
      </c>
      <c r="S48" s="43">
        <f>+'Annual Raw'!T25</f>
        <v>0</v>
      </c>
      <c r="T48" s="43">
        <f>+'Annual Raw'!U25</f>
        <v>0</v>
      </c>
      <c r="U48" s="43">
        <f>+'Annual Raw'!V25</f>
        <v>0</v>
      </c>
      <c r="V48" s="43">
        <f>+'Annual Raw'!W25</f>
        <v>0</v>
      </c>
      <c r="W48" s="43">
        <f>+'Annual Raw'!X25</f>
        <v>0</v>
      </c>
      <c r="X48" s="43">
        <f>+'Annual Raw'!Y25</f>
        <v>0</v>
      </c>
      <c r="Y48" s="43">
        <f>+'Annual Raw'!Z25</f>
        <v>0</v>
      </c>
      <c r="Z48" s="43">
        <f>+'Annual Raw'!AA25</f>
        <v>0</v>
      </c>
      <c r="AA48" s="43">
        <f>+'Annual Raw'!AB25</f>
        <v>0</v>
      </c>
      <c r="AB48" s="39">
        <f>SUM(BZ48:CC48)</f>
        <v>0</v>
      </c>
      <c r="AC48" s="39">
        <f>SUM(CD48:CG48)</f>
        <v>0</v>
      </c>
      <c r="AD48" s="39">
        <f>SUM(CH48:CK48)</f>
        <v>0</v>
      </c>
      <c r="AE48" s="39">
        <f>SUM(CL48:CO48)</f>
        <v>0</v>
      </c>
      <c r="AG48" s="60"/>
      <c r="BZ48" s="39">
        <f t="shared" ref="BZ48:BZ49" si="760">+BY48</f>
        <v>0</v>
      </c>
      <c r="CA48" s="39">
        <f t="shared" ref="CA48:CA49" si="761">+BZ48</f>
        <v>0</v>
      </c>
      <c r="CB48" s="39">
        <f t="shared" ref="CB48:CB49" si="762">+CA48</f>
        <v>0</v>
      </c>
      <c r="CC48" s="39">
        <f t="shared" ref="CC48:CC49" si="763">+CB48</f>
        <v>0</v>
      </c>
      <c r="CD48" s="39">
        <f t="shared" ref="CD48:CD49" si="764">+CC48</f>
        <v>0</v>
      </c>
      <c r="CE48" s="39">
        <f t="shared" ref="CE48:CE49" si="765">+CD48</f>
        <v>0</v>
      </c>
      <c r="CF48" s="39">
        <f t="shared" ref="CF48:CF49" si="766">+CE48</f>
        <v>0</v>
      </c>
      <c r="CG48" s="39">
        <f t="shared" ref="CG48:CG49" si="767">+CF48</f>
        <v>0</v>
      </c>
      <c r="CH48" s="39">
        <f t="shared" ref="CH48:CH49" si="768">+CG48</f>
        <v>0</v>
      </c>
      <c r="CI48" s="39">
        <f t="shared" ref="CI48:CI49" si="769">+CH48</f>
        <v>0</v>
      </c>
      <c r="CJ48" s="39">
        <f t="shared" ref="CJ48:CJ49" si="770">+CI48</f>
        <v>0</v>
      </c>
      <c r="CK48" s="39">
        <f t="shared" ref="CK48:CK49" si="771">+CJ48</f>
        <v>0</v>
      </c>
      <c r="CL48" s="39">
        <f t="shared" ref="CL48:CL49" si="772">+CK48</f>
        <v>0</v>
      </c>
      <c r="CM48" s="39">
        <f t="shared" ref="CM48:CM49" si="773">+CL48</f>
        <v>0</v>
      </c>
      <c r="CN48" s="39">
        <f t="shared" ref="CN48:CN49" si="774">+CM48</f>
        <v>0</v>
      </c>
      <c r="CO48" s="39">
        <f t="shared" ref="CO48:CO49" si="775">+CN48</f>
        <v>0</v>
      </c>
      <c r="CS48" s="38">
        <v>0</v>
      </c>
      <c r="CX48" s="38">
        <v>0</v>
      </c>
    </row>
    <row r="49" spans="1:102" s="38" customFormat="1" x14ac:dyDescent="0.2">
      <c r="A49" s="38" t="s">
        <v>45</v>
      </c>
      <c r="B49" s="43">
        <f>+'Annual Raw'!C26</f>
        <v>0</v>
      </c>
      <c r="C49" s="43">
        <f>+'Annual Raw'!D26</f>
        <v>0</v>
      </c>
      <c r="D49" s="43">
        <f>+'Annual Raw'!E26</f>
        <v>0</v>
      </c>
      <c r="E49" s="43">
        <f>+'Annual Raw'!F26</f>
        <v>0</v>
      </c>
      <c r="F49" s="43">
        <f>+'Annual Raw'!G26</f>
        <v>0</v>
      </c>
      <c r="G49" s="43">
        <f>+'Annual Raw'!H26</f>
        <v>0</v>
      </c>
      <c r="H49" s="43">
        <f>+'Annual Raw'!I26</f>
        <v>0</v>
      </c>
      <c r="I49" s="43">
        <f>+'Annual Raw'!J26</f>
        <v>0</v>
      </c>
      <c r="J49" s="43">
        <f>+'Annual Raw'!K26</f>
        <v>0</v>
      </c>
      <c r="K49" s="43">
        <f>+'Annual Raw'!L26</f>
        <v>0</v>
      </c>
      <c r="L49" s="43">
        <f>+'Annual Raw'!M26</f>
        <v>0</v>
      </c>
      <c r="M49" s="43">
        <f>+'Annual Raw'!N26</f>
        <v>0</v>
      </c>
      <c r="N49" s="43">
        <f>+'Annual Raw'!O26</f>
        <v>0</v>
      </c>
      <c r="O49" s="43">
        <f>+'Annual Raw'!P26</f>
        <v>0</v>
      </c>
      <c r="P49" s="43">
        <f>+'Annual Raw'!Q26</f>
        <v>0</v>
      </c>
      <c r="Q49" s="43">
        <f>+'Annual Raw'!R26</f>
        <v>0</v>
      </c>
      <c r="R49" s="43">
        <f>+'Annual Raw'!S26</f>
        <v>0</v>
      </c>
      <c r="S49" s="43">
        <f>+'Annual Raw'!T26</f>
        <v>0</v>
      </c>
      <c r="T49" s="43">
        <f>+'Annual Raw'!U26</f>
        <v>0</v>
      </c>
      <c r="U49" s="43">
        <f>+'Annual Raw'!V26</f>
        <v>0</v>
      </c>
      <c r="V49" s="43">
        <f>+'Annual Raw'!W26</f>
        <v>0</v>
      </c>
      <c r="W49" s="43">
        <f>+'Annual Raw'!X26</f>
        <v>0</v>
      </c>
      <c r="X49" s="43">
        <f>+'Annual Raw'!Y26</f>
        <v>0</v>
      </c>
      <c r="Y49" s="43">
        <f>+'Annual Raw'!Z26</f>
        <v>0</v>
      </c>
      <c r="Z49" s="43">
        <f>+'Annual Raw'!AA26</f>
        <v>0</v>
      </c>
      <c r="AA49" s="43">
        <f>+'Annual Raw'!AB26</f>
        <v>0</v>
      </c>
      <c r="AB49" s="39">
        <f>SUM(BZ49:CC49)</f>
        <v>0</v>
      </c>
      <c r="AC49" s="39">
        <f>SUM(CD49:CG49)</f>
        <v>0</v>
      </c>
      <c r="AD49" s="39">
        <f>SUM(CH49:CK49)</f>
        <v>0</v>
      </c>
      <c r="AE49" s="39">
        <f>SUM(CL49:CO49)</f>
        <v>0</v>
      </c>
      <c r="AG49" s="60"/>
      <c r="BZ49" s="39">
        <f t="shared" si="760"/>
        <v>0</v>
      </c>
      <c r="CA49" s="39">
        <f t="shared" si="761"/>
        <v>0</v>
      </c>
      <c r="CB49" s="39">
        <f t="shared" si="762"/>
        <v>0</v>
      </c>
      <c r="CC49" s="39">
        <f t="shared" si="763"/>
        <v>0</v>
      </c>
      <c r="CD49" s="39">
        <f t="shared" si="764"/>
        <v>0</v>
      </c>
      <c r="CE49" s="39">
        <f t="shared" si="765"/>
        <v>0</v>
      </c>
      <c r="CF49" s="39">
        <f t="shared" si="766"/>
        <v>0</v>
      </c>
      <c r="CG49" s="39">
        <f t="shared" si="767"/>
        <v>0</v>
      </c>
      <c r="CH49" s="39">
        <f t="shared" si="768"/>
        <v>0</v>
      </c>
      <c r="CI49" s="39">
        <f t="shared" si="769"/>
        <v>0</v>
      </c>
      <c r="CJ49" s="39">
        <f t="shared" si="770"/>
        <v>0</v>
      </c>
      <c r="CK49" s="39">
        <f t="shared" si="771"/>
        <v>0</v>
      </c>
      <c r="CL49" s="39">
        <f t="shared" si="772"/>
        <v>0</v>
      </c>
      <c r="CM49" s="39">
        <f t="shared" si="773"/>
        <v>0</v>
      </c>
      <c r="CN49" s="39">
        <f t="shared" si="774"/>
        <v>0</v>
      </c>
      <c r="CO49" s="39">
        <f t="shared" si="775"/>
        <v>0</v>
      </c>
      <c r="CS49" s="38">
        <v>0</v>
      </c>
      <c r="CX49" s="38">
        <v>0</v>
      </c>
    </row>
    <row r="50" spans="1:102" s="38" customFormat="1" x14ac:dyDescent="0.2">
      <c r="A50" s="38" t="s">
        <v>386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39"/>
      <c r="AC50" s="39"/>
      <c r="AD50" s="39"/>
      <c r="AE50" s="39"/>
      <c r="AG50" s="60"/>
      <c r="AH50" s="38">
        <f>+'QTR Raw'!C15</f>
        <v>0</v>
      </c>
      <c r="AI50" s="38">
        <f>+'QTR Raw'!D15</f>
        <v>0</v>
      </c>
      <c r="AJ50" s="38">
        <f>+'QTR Raw'!E15</f>
        <v>0</v>
      </c>
      <c r="AK50" s="38">
        <f>+'QTR Raw'!F15</f>
        <v>0</v>
      </c>
      <c r="AL50" s="38">
        <f>+'QTR Raw'!G15</f>
        <v>0</v>
      </c>
      <c r="AM50" s="38">
        <f>+'QTR Raw'!H15</f>
        <v>0</v>
      </c>
      <c r="AN50" s="38">
        <f>+'QTR Raw'!I15</f>
        <v>0</v>
      </c>
      <c r="AO50" s="38">
        <f>+'QTR Raw'!J15</f>
        <v>0</v>
      </c>
      <c r="AP50" s="38">
        <f>+'QTR Raw'!K15</f>
        <v>0</v>
      </c>
      <c r="AQ50" s="38">
        <f>+'QTR Raw'!L15</f>
        <v>0</v>
      </c>
      <c r="AR50" s="38">
        <f>+'QTR Raw'!M15</f>
        <v>0</v>
      </c>
      <c r="AS50" s="38">
        <f>+'QTR Raw'!N15</f>
        <v>0</v>
      </c>
      <c r="AT50" s="38">
        <f>+'QTR Raw'!O15</f>
        <v>0</v>
      </c>
      <c r="AU50" s="38">
        <f>+'QTR Raw'!P15</f>
        <v>0</v>
      </c>
      <c r="AV50" s="38">
        <f>+'QTR Raw'!Q15</f>
        <v>0</v>
      </c>
      <c r="AW50" s="38">
        <f>+'QTR Raw'!R15</f>
        <v>0</v>
      </c>
      <c r="AX50" s="38">
        <f>+'QTR Raw'!S15</f>
        <v>0</v>
      </c>
      <c r="AY50" s="38">
        <f>+'QTR Raw'!T15</f>
        <v>0</v>
      </c>
      <c r="AZ50" s="38">
        <f>+'QTR Raw'!U15</f>
        <v>0</v>
      </c>
      <c r="BA50" s="38">
        <f>+'QTR Raw'!V15</f>
        <v>0</v>
      </c>
      <c r="BB50" s="38">
        <f>+'QTR Raw'!W15</f>
        <v>0</v>
      </c>
      <c r="BC50" s="38">
        <f>+'QTR Raw'!X15</f>
        <v>0</v>
      </c>
      <c r="BD50" s="38">
        <f>+'QTR Raw'!Y15</f>
        <v>0</v>
      </c>
      <c r="BE50" s="38">
        <f>+'QTR Raw'!Z15</f>
        <v>0</v>
      </c>
      <c r="BF50" s="38">
        <f>+'QTR Raw'!AA15</f>
        <v>0</v>
      </c>
      <c r="BG50" s="38">
        <f>+'QTR Raw'!AB15</f>
        <v>0</v>
      </c>
      <c r="BH50" s="38">
        <f>+'QTR Raw'!AC15</f>
        <v>-1354.9</v>
      </c>
      <c r="BI50" s="38">
        <f>+'QTR Raw'!AD15</f>
        <v>0</v>
      </c>
      <c r="BJ50" s="38">
        <f>+'QTR Raw'!AE15</f>
        <v>0</v>
      </c>
      <c r="BK50" s="38">
        <f>+'QTR Raw'!AF15</f>
        <v>0</v>
      </c>
      <c r="BL50" s="38">
        <f>+'QTR Raw'!AG15</f>
        <v>0</v>
      </c>
      <c r="BM50" s="38">
        <f>+'QTR Raw'!AH15</f>
        <v>0</v>
      </c>
      <c r="BN50" s="38">
        <f>+'QTR Raw'!AI15</f>
        <v>0</v>
      </c>
      <c r="BO50" s="38">
        <f>+'QTR Raw'!AJ15</f>
        <v>0</v>
      </c>
      <c r="BP50" s="38">
        <f>+'QTR Raw'!AK15</f>
        <v>0</v>
      </c>
      <c r="BQ50" s="38">
        <f>+'QTR Raw'!AL15</f>
        <v>0</v>
      </c>
      <c r="BR50" s="38">
        <f>+'QTR Raw'!AM15</f>
        <v>0</v>
      </c>
      <c r="BS50" s="38">
        <f>+'QTR Raw'!AN15</f>
        <v>0</v>
      </c>
      <c r="BT50" s="38">
        <f>+'QTR Raw'!AO15</f>
        <v>0</v>
      </c>
      <c r="BU50" s="38">
        <f>+'QTR Raw'!AP15</f>
        <v>0</v>
      </c>
      <c r="BV50" s="38">
        <f>+'QTR Raw'!AQ15</f>
        <v>0</v>
      </c>
      <c r="BW50" s="38">
        <f>+'QTR Raw'!AR15</f>
        <v>0</v>
      </c>
      <c r="BX50" s="38">
        <f>+'QTR Raw'!AS15</f>
        <v>0</v>
      </c>
      <c r="BY50" s="38">
        <f>+'QTR Raw'!AT15</f>
        <v>0</v>
      </c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</row>
    <row r="51" spans="1:102" s="40" customFormat="1" x14ac:dyDescent="0.2">
      <c r="A51" s="40" t="s">
        <v>6</v>
      </c>
      <c r="B51" s="40">
        <f t="shared" ref="B51:O51" si="776">B47+B48+B49</f>
        <v>285.0999999999998</v>
      </c>
      <c r="C51" s="40">
        <f t="shared" si="776"/>
        <v>741.40000000000009</v>
      </c>
      <c r="D51" s="40">
        <f t="shared" si="776"/>
        <v>1018.8918999999999</v>
      </c>
      <c r="E51" s="40">
        <f t="shared" si="776"/>
        <v>1338.0056000000002</v>
      </c>
      <c r="F51" s="40">
        <f t="shared" si="776"/>
        <v>1109.5044999999993</v>
      </c>
      <c r="G51" s="40">
        <f t="shared" si="776"/>
        <v>1343.22</v>
      </c>
      <c r="H51" s="40">
        <f t="shared" si="776"/>
        <v>1420.8100000000011</v>
      </c>
      <c r="I51" s="40">
        <f t="shared" si="776"/>
        <v>1565.0066999999988</v>
      </c>
      <c r="J51" s="40">
        <f t="shared" si="776"/>
        <v>2072.420000000001</v>
      </c>
      <c r="K51" s="40">
        <f t="shared" si="776"/>
        <v>3021.4303999999979</v>
      </c>
      <c r="L51" s="40">
        <f t="shared" si="776"/>
        <v>4025.8881999999994</v>
      </c>
      <c r="M51" s="40">
        <f t="shared" si="776"/>
        <v>3282.7129999999997</v>
      </c>
      <c r="N51" s="40">
        <f t="shared" si="776"/>
        <v>2872.1028999999985</v>
      </c>
      <c r="O51" s="40">
        <f t="shared" si="776"/>
        <v>2438.194599999998</v>
      </c>
      <c r="P51" s="40">
        <f t="shared" ref="P51:Y51" si="777">P47+P48+P49</f>
        <v>2702.6241999999979</v>
      </c>
      <c r="Q51" s="40">
        <f t="shared" si="777"/>
        <v>-2812.8228999999974</v>
      </c>
      <c r="R51" s="40">
        <f t="shared" si="777"/>
        <v>1121.9222000000018</v>
      </c>
      <c r="S51" s="40">
        <f t="shared" si="777"/>
        <v>-4222.2376000000031</v>
      </c>
      <c r="T51" s="40">
        <f t="shared" si="777"/>
        <v>347.01510000000235</v>
      </c>
      <c r="U51" s="40">
        <f t="shared" si="777"/>
        <v>-2235.7156000000036</v>
      </c>
      <c r="V51" s="40">
        <f t="shared" si="777"/>
        <v>2557.5767999999966</v>
      </c>
      <c r="W51" s="40">
        <f t="shared" si="777"/>
        <v>5678.4109000000026</v>
      </c>
      <c r="X51" s="40">
        <f t="shared" si="777"/>
        <v>10603.764899999998</v>
      </c>
      <c r="Y51" s="40">
        <f t="shared" si="777"/>
        <v>14554.319200000007</v>
      </c>
      <c r="Z51" s="40">
        <f t="shared" ref="Z51:AA51" si="778">Z47+Z48+Z49</f>
        <v>17026.671200000001</v>
      </c>
      <c r="AA51" s="40">
        <f t="shared" ref="AA51" si="779">AA47+AA48+AA49</f>
        <v>19186.67119999999</v>
      </c>
      <c r="AB51" s="41">
        <f t="shared" ref="AB51" si="780">AB47+AB48+AB49</f>
        <v>19306.288142889272</v>
      </c>
      <c r="AC51" s="41">
        <f t="shared" ref="AC51" si="781">AC47+AC48+AC49</f>
        <v>20949.054807151471</v>
      </c>
      <c r="AD51" s="41">
        <f t="shared" ref="AD51" si="782">AD47+AD48+AD49</f>
        <v>21611.263716662634</v>
      </c>
      <c r="AE51" s="41">
        <f t="shared" ref="AE51" si="783">AE47+AE48+AE49</f>
        <v>23714.926441135016</v>
      </c>
      <c r="AG51" s="61"/>
      <c r="AH51" s="40">
        <f t="shared" ref="AH51:AS51" si="784">AH47+AH48+AH49+AH50</f>
        <v>478.83999999999969</v>
      </c>
      <c r="AI51" s="40">
        <f t="shared" si="784"/>
        <v>528.8599999999999</v>
      </c>
      <c r="AJ51" s="40">
        <f t="shared" si="784"/>
        <v>84.970000000000368</v>
      </c>
      <c r="AK51" s="40">
        <f t="shared" si="784"/>
        <v>-3905.49</v>
      </c>
      <c r="AL51" s="40">
        <f t="shared" si="784"/>
        <v>228.95000000000073</v>
      </c>
      <c r="AM51" s="40">
        <f t="shared" si="784"/>
        <v>356.91000000000088</v>
      </c>
      <c r="AN51" s="40">
        <f t="shared" si="784"/>
        <v>321.88</v>
      </c>
      <c r="AO51" s="40">
        <f t="shared" si="784"/>
        <v>214.18000000000029</v>
      </c>
      <c r="AP51" s="40">
        <f t="shared" si="784"/>
        <v>251.59999999999991</v>
      </c>
      <c r="AQ51" s="40">
        <f t="shared" si="784"/>
        <v>260.18000000000166</v>
      </c>
      <c r="AR51" s="40">
        <f t="shared" si="784"/>
        <v>125.74999999999909</v>
      </c>
      <c r="AS51" s="40">
        <f t="shared" si="784"/>
        <v>-4859.7700000000013</v>
      </c>
      <c r="AT51" s="40">
        <f t="shared" ref="AT51:BR51" si="785">AT47+AT48+AT49+AT50</f>
        <v>281.48999999999933</v>
      </c>
      <c r="AU51" s="40">
        <f t="shared" si="785"/>
        <v>299.54000000000019</v>
      </c>
      <c r="AV51" s="40">
        <f t="shared" si="785"/>
        <v>317.51999999999941</v>
      </c>
      <c r="AW51" s="40">
        <f t="shared" si="785"/>
        <v>-551.53000000000043</v>
      </c>
      <c r="AX51" s="40">
        <f t="shared" si="785"/>
        <v>329.07000000000056</v>
      </c>
      <c r="AY51" s="40">
        <f t="shared" si="785"/>
        <v>364.92000000000053</v>
      </c>
      <c r="AZ51" s="40">
        <f t="shared" si="785"/>
        <v>329.61999999999847</v>
      </c>
      <c r="BA51" s="40">
        <f t="shared" si="785"/>
        <v>-3259.33</v>
      </c>
      <c r="BB51" s="40">
        <f t="shared" si="785"/>
        <v>406.24000000000149</v>
      </c>
      <c r="BC51" s="40">
        <f t="shared" si="785"/>
        <v>444.41000000000213</v>
      </c>
      <c r="BD51" s="40">
        <f t="shared" si="785"/>
        <v>696.06000000000017</v>
      </c>
      <c r="BE51" s="40">
        <f t="shared" si="785"/>
        <v>1010.8700000000001</v>
      </c>
      <c r="BF51" s="40">
        <f t="shared" si="785"/>
        <v>1177.4699999999984</v>
      </c>
      <c r="BG51" s="40">
        <f t="shared" si="785"/>
        <v>1332.6100000000004</v>
      </c>
      <c r="BH51" s="40">
        <f t="shared" si="785"/>
        <v>1502.1199999999976</v>
      </c>
      <c r="BI51" s="40">
        <f t="shared" si="785"/>
        <v>1666.2200000000016</v>
      </c>
      <c r="BJ51" s="40">
        <f t="shared" si="785"/>
        <v>2022.0299999999993</v>
      </c>
      <c r="BK51" s="40">
        <f t="shared" si="785"/>
        <v>2525.4699999999984</v>
      </c>
      <c r="BL51" s="40">
        <f t="shared" si="785"/>
        <v>2881.5199999999995</v>
      </c>
      <c r="BM51" s="40">
        <f t="shared" si="785"/>
        <v>3174.7399999999989</v>
      </c>
      <c r="BN51" s="40">
        <f t="shared" si="785"/>
        <v>3534.84</v>
      </c>
      <c r="BO51" s="40">
        <f t="shared" si="785"/>
        <v>3606.1400000000021</v>
      </c>
      <c r="BP51" s="40">
        <f t="shared" si="785"/>
        <v>3656.1200000000026</v>
      </c>
      <c r="BQ51" s="40">
        <f t="shared" si="785"/>
        <v>3757.2299999999977</v>
      </c>
      <c r="BR51" s="40">
        <f t="shared" si="785"/>
        <v>3905.2799999999975</v>
      </c>
      <c r="BS51" s="40">
        <f>BS47+BS48+BS49+BS50</f>
        <v>4014.5300000000007</v>
      </c>
      <c r="BT51" s="40">
        <f t="shared" ref="BT51:CO51" si="786">BT47+BT48+BT49+BT50</f>
        <v>4104.2</v>
      </c>
      <c r="BU51" s="40">
        <f t="shared" si="786"/>
        <v>5002.6600000000017</v>
      </c>
      <c r="BV51" s="40">
        <f t="shared" si="786"/>
        <v>4752.0300000000025</v>
      </c>
      <c r="BW51" s="40">
        <f t="shared" si="786"/>
        <v>4773.9599999999991</v>
      </c>
      <c r="BX51" s="40">
        <f t="shared" ref="BX51:BY51" si="787">BX47+BX48+BX49+BX50</f>
        <v>5155.1100000000006</v>
      </c>
      <c r="BY51" s="40">
        <f t="shared" si="787"/>
        <v>4505.5699999999979</v>
      </c>
      <c r="BZ51" s="41">
        <f t="shared" si="786"/>
        <v>4847.7377503655753</v>
      </c>
      <c r="CA51" s="41">
        <f t="shared" si="786"/>
        <v>4934.7663879600814</v>
      </c>
      <c r="CB51" s="41">
        <f t="shared" si="786"/>
        <v>4806.3277288399622</v>
      </c>
      <c r="CC51" s="41">
        <f t="shared" si="786"/>
        <v>4717.4562757236508</v>
      </c>
      <c r="CD51" s="41">
        <f t="shared" si="786"/>
        <v>5179.6258496241717</v>
      </c>
      <c r="CE51" s="41">
        <f t="shared" si="786"/>
        <v>5312.8647969986414</v>
      </c>
      <c r="CF51" s="41">
        <f t="shared" si="786"/>
        <v>5197.5419775168957</v>
      </c>
      <c r="CG51" s="41">
        <f t="shared" si="786"/>
        <v>5259.0221830117362</v>
      </c>
      <c r="CH51" s="41">
        <f t="shared" si="786"/>
        <v>5176.7903158862337</v>
      </c>
      <c r="CI51" s="41">
        <f t="shared" si="786"/>
        <v>5212.5011267515756</v>
      </c>
      <c r="CJ51" s="41">
        <f t="shared" si="786"/>
        <v>5584.276264412546</v>
      </c>
      <c r="CK51" s="41">
        <f t="shared" si="786"/>
        <v>5637.6960096122784</v>
      </c>
      <c r="CL51" s="41">
        <f t="shared" si="786"/>
        <v>5651.3828000768626</v>
      </c>
      <c r="CM51" s="41">
        <f t="shared" si="786"/>
        <v>5825.095317360031</v>
      </c>
      <c r="CN51" s="41">
        <f t="shared" si="786"/>
        <v>6079.6956268373351</v>
      </c>
      <c r="CO51" s="41">
        <f t="shared" si="786"/>
        <v>6158.7526968608108</v>
      </c>
      <c r="CS51" s="40">
        <v>4724.9198295493034</v>
      </c>
      <c r="CX51" s="40">
        <v>19186.67119999999</v>
      </c>
    </row>
    <row r="52" spans="1:102" s="73" customFormat="1" x14ac:dyDescent="0.2">
      <c r="A52" s="73" t="s">
        <v>15</v>
      </c>
      <c r="C52" s="73">
        <f t="shared" ref="C52:Y52" si="788">+IF(B51&lt;0,1-C51/B51,C51/B51-1)</f>
        <v>1.6004910557699077</v>
      </c>
      <c r="D52" s="73">
        <f t="shared" si="788"/>
        <v>0.37428095495009406</v>
      </c>
      <c r="E52" s="73">
        <f t="shared" si="788"/>
        <v>0.3131968170519368</v>
      </c>
      <c r="F52" s="73">
        <f t="shared" si="788"/>
        <v>-0.17077738688089261</v>
      </c>
      <c r="G52" s="73">
        <f t="shared" si="788"/>
        <v>0.21064853725244093</v>
      </c>
      <c r="H52" s="73">
        <f t="shared" si="788"/>
        <v>5.7764178615566264E-2</v>
      </c>
      <c r="I52" s="73">
        <f t="shared" si="788"/>
        <v>0.10148908017257585</v>
      </c>
      <c r="J52" s="73">
        <f t="shared" si="788"/>
        <v>0.32422436274554145</v>
      </c>
      <c r="K52" s="73">
        <f t="shared" si="788"/>
        <v>0.4579237799287772</v>
      </c>
      <c r="L52" s="73">
        <f t="shared" si="788"/>
        <v>0.33244446074283296</v>
      </c>
      <c r="M52" s="73">
        <f t="shared" si="788"/>
        <v>-0.18459906561737105</v>
      </c>
      <c r="N52" s="73">
        <f t="shared" si="788"/>
        <v>-0.12508254605260993</v>
      </c>
      <c r="O52" s="73">
        <f t="shared" si="788"/>
        <v>-0.15107686427251643</v>
      </c>
      <c r="P52" s="73">
        <f t="shared" si="788"/>
        <v>0.10845303324025091</v>
      </c>
      <c r="Q52" s="73">
        <f t="shared" si="788"/>
        <v>-2.0407747033420334</v>
      </c>
      <c r="R52" s="73">
        <f t="shared" si="788"/>
        <v>1.3988598784516446</v>
      </c>
      <c r="S52" s="73">
        <f t="shared" si="788"/>
        <v>-4.7633960714922985</v>
      </c>
      <c r="T52" s="73">
        <f t="shared" si="788"/>
        <v>1.0821874875066249</v>
      </c>
      <c r="U52" s="73">
        <f t="shared" si="788"/>
        <v>-7.4427040782951188</v>
      </c>
      <c r="V52" s="73">
        <f t="shared" si="788"/>
        <v>2.1439633914080991</v>
      </c>
      <c r="W52" s="73">
        <f t="shared" si="788"/>
        <v>1.220230845071792</v>
      </c>
      <c r="X52" s="73">
        <f t="shared" si="788"/>
        <v>0.86738245729980434</v>
      </c>
      <c r="Y52" s="73">
        <f t="shared" si="788"/>
        <v>0.37256147578300314</v>
      </c>
      <c r="Z52" s="76">
        <f>+IF(Y51&lt;0,1-Z51/Y51,Z51/Y51-1)</f>
        <v>0.16987067316759075</v>
      </c>
      <c r="AA52" s="76">
        <f>+IF(Z51&lt;0,1-AA51/Z51,AA51/Z51-1)</f>
        <v>0.12685979394492497</v>
      </c>
      <c r="AB52" s="74">
        <f t="shared" ref="AB52" si="789">+IF(AA51&lt;0,1-AB51/AA51,AB51/AA51-1)</f>
        <v>6.2343770653288111E-3</v>
      </c>
      <c r="AC52" s="74">
        <f t="shared" ref="AC52" si="790">+AC51/AB51-1</f>
        <v>8.508972061868092E-2</v>
      </c>
      <c r="AD52" s="74">
        <f t="shared" ref="AD52" si="791">+AD51/AC51-1</f>
        <v>3.161044331628271E-2</v>
      </c>
      <c r="AE52" s="74">
        <f t="shared" ref="AE52" si="792">+AE51/AD51-1</f>
        <v>9.7341032530662508E-2</v>
      </c>
      <c r="AG52" s="75"/>
      <c r="AH52" s="76"/>
      <c r="AI52" s="76"/>
      <c r="AJ52" s="76"/>
      <c r="AK52" s="76"/>
      <c r="AL52" s="76">
        <f t="shared" ref="AL52" si="793">+IF(AH51&lt;0,1-AL51/AH51,AL51/AH51-1)</f>
        <v>-0.52186534124133144</v>
      </c>
      <c r="AM52" s="76">
        <f t="shared" ref="AM52" si="794">+IF(AI51&lt;0,1-AM51/AI51,AM51/AI51-1)</f>
        <v>-0.32513330560072429</v>
      </c>
      <c r="AN52" s="76">
        <f t="shared" ref="AN52" si="795">+IF(AJ51&lt;0,1-AN51/AJ51,AN51/AJ51-1)</f>
        <v>2.7881605272448935</v>
      </c>
      <c r="AO52" s="76">
        <f t="shared" ref="AO52" si="796">+IF(AK51&lt;0,1-AO51/AK51,AO51/AK51-1)</f>
        <v>1.0548407498162844</v>
      </c>
      <c r="AP52" s="76">
        <f t="shared" ref="AP52" si="797">+IF(AL51&lt;0,1-AP51/AL51,AP51/AL51-1)</f>
        <v>9.8929897357497687E-2</v>
      </c>
      <c r="AQ52" s="76">
        <f t="shared" ref="AQ52" si="798">+IF(AM51&lt;0,1-AQ51/AM51,AQ51/AM51-1)</f>
        <v>-0.27102070549998314</v>
      </c>
      <c r="AR52" s="76">
        <f t="shared" ref="AR52" si="799">+IF(AN51&lt;0,1-AR51/AN51,AR51/AN51-1)</f>
        <v>-0.60932645706474742</v>
      </c>
      <c r="AS52" s="76">
        <f t="shared" ref="AS52" si="800">+IF(AO51&lt;0,1-AS51/AO51,AS51/AO51-1)</f>
        <v>-23.690120459426627</v>
      </c>
      <c r="AT52" s="76">
        <f t="shared" ref="AT52" si="801">+IF(AP51&lt;0,1-AT51/AP51,AT51/AP51-1)</f>
        <v>0.11879968203497393</v>
      </c>
      <c r="AU52" s="76">
        <f t="shared" ref="AU52" si="802">+IF(AQ51&lt;0,1-AU51/AQ51,AU51/AQ51-1)</f>
        <v>0.15127988315780727</v>
      </c>
      <c r="AV52" s="76">
        <f t="shared" ref="AV52" si="803">+IF(AR51&lt;0,1-AV51/AR51,AV51/AR51-1)</f>
        <v>1.5250099403578665</v>
      </c>
      <c r="AW52" s="76">
        <f t="shared" ref="AW52" si="804">+IF(AS51&lt;0,1-AW51/AS51,AW51/AS51-1)</f>
        <v>0.88651109003100959</v>
      </c>
      <c r="AX52" s="76">
        <f t="shared" ref="AX52" si="805">+IF(AT51&lt;0,1-AX51/AT51,AX51/AT51-1)</f>
        <v>0.1690290951721245</v>
      </c>
      <c r="AY52" s="76">
        <f t="shared" ref="AY52" si="806">+IF(AU51&lt;0,1-AY51/AU51,AY51/AU51-1)</f>
        <v>0.21826801095012449</v>
      </c>
      <c r="AZ52" s="76">
        <f t="shared" ref="AZ52" si="807">+IF(AV51&lt;0,1-AZ51/AV51,AZ51/AV51-1)</f>
        <v>3.8107835726880479E-2</v>
      </c>
      <c r="BA52" s="76">
        <f t="shared" ref="BA52" si="808">+IF(AW51&lt;0,1-BA51/AW51,BA51/AW51-1)</f>
        <v>-4.9096150708030342</v>
      </c>
      <c r="BB52" s="76">
        <f t="shared" ref="BB52" si="809">+IF(AX51&lt;0,1-BB51/AX51,BB51/AX51-1)</f>
        <v>0.23450937490503776</v>
      </c>
      <c r="BC52" s="76">
        <f t="shared" ref="BC52" si="810">+IF(AY51&lt;0,1-BC51/AY51,BC51/AY51-1)</f>
        <v>0.21782856516497184</v>
      </c>
      <c r="BD52" s="76">
        <f t="shared" ref="BD52" si="811">+IF(AZ51&lt;0,1-BD51/AZ51,BD51/AZ51-1)</f>
        <v>1.1117043868697389</v>
      </c>
      <c r="BE52" s="76">
        <f t="shared" ref="BE52" si="812">+IF(BA51&lt;0,1-BE51/BA51,BE51/BA51-1)</f>
        <v>1.3101465638643526</v>
      </c>
      <c r="BF52" s="76">
        <f t="shared" ref="BF52" si="813">+IF(BB51&lt;0,1-BF51/BB51,BF51/BB51-1)</f>
        <v>1.8984590389917146</v>
      </c>
      <c r="BG52" s="76">
        <f t="shared" ref="BG52" si="814">+IF(BC51&lt;0,1-BG51/BC51,BG51/BC51-1)</f>
        <v>1.9986048918791073</v>
      </c>
      <c r="BH52" s="76">
        <f t="shared" ref="BH52" si="815">+IF(BD51&lt;0,1-BH51/BD51,BH51/BD51-1)</f>
        <v>1.1580323535327373</v>
      </c>
      <c r="BI52" s="76">
        <f t="shared" ref="BI52" si="816">+IF(BE51&lt;0,1-BI51/BE51,BI51/BE51-1)</f>
        <v>0.64830294696647583</v>
      </c>
      <c r="BJ52" s="76">
        <f t="shared" ref="BJ52" si="817">+IF(BF51&lt;0,1-BJ51/BF51,BJ51/BF51-1)</f>
        <v>0.71726668195368193</v>
      </c>
      <c r="BK52" s="76">
        <f t="shared" ref="BK52" si="818">+IF(BG51&lt;0,1-BK51/BG51,BK51/BG51-1)</f>
        <v>0.895130608355031</v>
      </c>
      <c r="BL52" s="76">
        <f t="shared" ref="BL52" si="819">+IF(BH51&lt;0,1-BL51/BH51,BL51/BH51-1)</f>
        <v>0.91830213298538332</v>
      </c>
      <c r="BM52" s="76">
        <f t="shared" ref="BM52" si="820">+IF(BI51&lt;0,1-BM51/BI51,BM51/BI51-1)</f>
        <v>0.90535463504218883</v>
      </c>
      <c r="BN52" s="76">
        <f t="shared" ref="BN52" si="821">+IF(BJ51&lt;0,1-BN51/BJ51,BN51/BJ51-1)</f>
        <v>0.74816397382828215</v>
      </c>
      <c r="BO52" s="76">
        <f t="shared" ref="BO52" si="822">+IF(BK51&lt;0,1-BO51/BK51,BO51/BK51-1)</f>
        <v>0.4279084685226926</v>
      </c>
      <c r="BP52" s="76">
        <f t="shared" ref="BP52" si="823">+IF(BL51&lt;0,1-BP51/BL51,BP51/BL51-1)</f>
        <v>0.26881645798051146</v>
      </c>
      <c r="BQ52" s="76">
        <f t="shared" ref="BQ52" si="824">+IF(BM51&lt;0,1-BQ51/BM51,BQ51/BM51-1)</f>
        <v>0.18347644216534231</v>
      </c>
      <c r="BR52" s="76">
        <f t="shared" ref="BR52" si="825">+IF(BN51&lt;0,1-BR51/BN51,BR51/BN51-1)</f>
        <v>0.10479682248701416</v>
      </c>
      <c r="BS52" s="76">
        <f t="shared" ref="BS52" si="826">+IF(BO51&lt;0,1-BS51/BO51,BS51/BO51-1)</f>
        <v>0.11324851503269384</v>
      </c>
      <c r="BT52" s="76">
        <f t="shared" ref="BT52" si="827">+IF(BP51&lt;0,1-BT51/BP51,BT51/BP51-1)</f>
        <v>0.12255615242388029</v>
      </c>
      <c r="BU52" s="76">
        <f t="shared" ref="BU52" si="828">+IF(BQ51&lt;0,1-BU51/BQ51,BU51/BQ51-1)</f>
        <v>0.33147558174506342</v>
      </c>
      <c r="BV52" s="76">
        <f t="shared" ref="BV52" si="829">+IF(BR51&lt;0,1-BV51/BR51,BV51/BR51-1)</f>
        <v>0.21682184119960812</v>
      </c>
      <c r="BW52" s="76">
        <f>+IF(BS51&lt;0,1-BW51/BS51,BW51/BS51-1)</f>
        <v>0.18917033874451006</v>
      </c>
      <c r="BX52" s="76">
        <f>+IF(BT51&lt;0,1-BX51/BT51,BX51/BT51-1)</f>
        <v>0.25605720968763723</v>
      </c>
      <c r="BY52" s="76">
        <f>+IF(BU51&lt;0,1-BY51/BU51,BY51/BU51-1)</f>
        <v>-9.9365137746719512E-2</v>
      </c>
      <c r="BZ52" s="36">
        <f t="shared" ref="BZ52" si="830">+IF(BV51&lt;0,1-BZ51/BV51,BZ51/BV51-1)</f>
        <v>2.0140392709131261E-2</v>
      </c>
      <c r="CA52" s="36">
        <f t="shared" ref="CA52" si="831">+IF(BW51&lt;0,1-CA51/BW51,CA51/BW51-1)</f>
        <v>3.3684066887883946E-2</v>
      </c>
      <c r="CB52" s="36">
        <f t="shared" ref="CB52" si="832">+IF(BX51&lt;0,1-CB51/BX51,CB51/BX51-1)</f>
        <v>-6.765758076162065E-2</v>
      </c>
      <c r="CC52" s="36">
        <f t="shared" ref="CC52" si="833">+IF(BY51&lt;0,1-CC51/BY51,CC51/BY51-1)</f>
        <v>4.7027629295217421E-2</v>
      </c>
      <c r="CD52" s="36">
        <f t="shared" ref="CD52" si="834">+IF(BZ51&lt;0,1-CD51/BZ51,CD51/BZ51-1)</f>
        <v>6.8462469784708935E-2</v>
      </c>
      <c r="CE52" s="36">
        <f t="shared" ref="CE52" si="835">+IF(CA51&lt;0,1-CE51/CA51,CE51/CA51-1)</f>
        <v>7.6619312711752707E-2</v>
      </c>
      <c r="CF52" s="36">
        <f t="shared" ref="CF52" si="836">+IF(CB51&lt;0,1-CF51/CB51,CF51/CB51-1)</f>
        <v>8.1395666452265703E-2</v>
      </c>
      <c r="CG52" s="36">
        <f t="shared" ref="CG52" si="837">+IF(CC51&lt;0,1-CG51/CC51,CG51/CC51-1)</f>
        <v>0.11480040844787909</v>
      </c>
      <c r="CH52" s="36">
        <f t="shared" ref="CH52" si="838">+IF(CD51&lt;0,1-CH51/CD51,CH51/CD51-1)</f>
        <v>-5.4743987698335772E-4</v>
      </c>
      <c r="CI52" s="36">
        <f t="shared" ref="CI52" si="839">+IF(CE51&lt;0,1-CI51/CE51,CI51/CE51-1)</f>
        <v>-1.8890687808160167E-2</v>
      </c>
      <c r="CJ52" s="36">
        <f t="shared" ref="CJ52" si="840">+IF(CF51&lt;0,1-CJ51/CF51,CJ51/CF51-1)</f>
        <v>7.4407150258440247E-2</v>
      </c>
      <c r="CK52" s="36">
        <f t="shared" ref="CK52" si="841">+IF(CG51&lt;0,1-CK51/CG51,CK51/CG51-1)</f>
        <v>7.2004607210780724E-2</v>
      </c>
      <c r="CL52" s="36">
        <f t="shared" ref="CL52" si="842">+IF(CH51&lt;0,1-CL51/CH51,CL51/CH51-1)</f>
        <v>9.1676976510759456E-2</v>
      </c>
      <c r="CM52" s="36">
        <f t="shared" ref="CM52" si="843">+IF(CI51&lt;0,1-CM51/CI51,CM51/CI51-1)</f>
        <v>0.11752403994015514</v>
      </c>
      <c r="CN52" s="36">
        <f t="shared" ref="CN52" si="844">+IF(CJ51&lt;0,1-CN51/CJ51,CN51/CJ51-1)</f>
        <v>8.8716843323457306E-2</v>
      </c>
      <c r="CO52" s="36">
        <f t="shared" ref="CO52" si="845">+IF(CK51&lt;0,1-CO51/CK51,CO51/CK51-1)</f>
        <v>9.2423693359863668E-2</v>
      </c>
      <c r="CS52" s="73">
        <v>0.15124015144225522</v>
      </c>
      <c r="CX52" s="73">
        <v>0.12685979394492497</v>
      </c>
    </row>
    <row r="53" spans="1:102" s="45" customFormat="1" x14ac:dyDescent="0.2">
      <c r="A53" s="118" t="s">
        <v>361</v>
      </c>
      <c r="AB53" s="39"/>
      <c r="AC53" s="39"/>
      <c r="AD53" s="39"/>
      <c r="AE53" s="39"/>
      <c r="AG53" s="60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S53" s="142"/>
    </row>
    <row r="54" spans="1:102" s="69" customFormat="1" x14ac:dyDescent="0.2">
      <c r="A54" s="69" t="s">
        <v>44</v>
      </c>
      <c r="B54" s="69">
        <f>+'Annual Raw'!C22</f>
        <v>285.10000000000002</v>
      </c>
      <c r="C54" s="69">
        <f>+'Annual Raw'!D22</f>
        <v>741.4</v>
      </c>
      <c r="D54" s="69">
        <f>+'Annual Raw'!E22</f>
        <v>1018.8919</v>
      </c>
      <c r="E54" s="69">
        <f>+'Annual Raw'!F22</f>
        <v>1338.0056</v>
      </c>
      <c r="F54" s="69">
        <f>+'Annual Raw'!G22</f>
        <v>1109.5045</v>
      </c>
      <c r="G54" s="69">
        <f>+'Annual Raw'!H22</f>
        <v>1343.22</v>
      </c>
      <c r="H54" s="69">
        <f>+'Annual Raw'!I22</f>
        <v>1420.81</v>
      </c>
      <c r="I54" s="69">
        <f>+'Annual Raw'!J22</f>
        <v>1565.0066999999999</v>
      </c>
      <c r="J54" s="69">
        <f>+'Annual Raw'!K22</f>
        <v>2072.42</v>
      </c>
      <c r="K54" s="69">
        <f>+'Annual Raw'!L22</f>
        <v>3021.4304000000002</v>
      </c>
      <c r="L54" s="69">
        <f>+'Annual Raw'!M22</f>
        <v>4025.8881999999999</v>
      </c>
      <c r="M54" s="69">
        <f>+'Annual Raw'!N22</f>
        <v>3282.7130000000002</v>
      </c>
      <c r="N54" s="69">
        <f>+'Annual Raw'!O22</f>
        <v>2872.1028999999999</v>
      </c>
      <c r="O54" s="69">
        <f>+'Annual Raw'!P22</f>
        <v>2438.1945999999998</v>
      </c>
      <c r="P54" s="69">
        <f>+'Annual Raw'!Q22</f>
        <v>2702.6242000000002</v>
      </c>
      <c r="Q54" s="69">
        <f>+'Annual Raw'!R22</f>
        <v>-2812.8229000000001</v>
      </c>
      <c r="R54" s="69">
        <f>+'Annual Raw'!S22</f>
        <v>1121.9222</v>
      </c>
      <c r="S54" s="69">
        <f>+'Annual Raw'!T22</f>
        <v>-4222.2376000000004</v>
      </c>
      <c r="T54" s="69">
        <f>+'Annual Raw'!U22</f>
        <v>347.01510000000002</v>
      </c>
      <c r="U54" s="69">
        <f>+'Annual Raw'!V22</f>
        <v>-2235.7156</v>
      </c>
      <c r="V54" s="69">
        <f>+'Annual Raw'!W22</f>
        <v>2557.5767999999998</v>
      </c>
      <c r="W54" s="69">
        <f>+'Annual Raw'!X22</f>
        <v>5678.4108999999999</v>
      </c>
      <c r="X54" s="69">
        <f>+'Annual Raw'!Y22</f>
        <v>10603.7649</v>
      </c>
      <c r="Y54" s="69">
        <f>+'Annual Raw'!Z22</f>
        <v>14554.3192</v>
      </c>
      <c r="Z54" s="69">
        <f>+'Annual Raw'!AA22</f>
        <v>17026.671200000001</v>
      </c>
      <c r="AA54" s="69">
        <f>+'Annual Raw'!AB22</f>
        <v>19186.671200000001</v>
      </c>
      <c r="AB54" s="44"/>
      <c r="AC54" s="44"/>
      <c r="AD54" s="44"/>
      <c r="AE54" s="44"/>
      <c r="AG54" s="62"/>
      <c r="AH54" s="70">
        <f>+'QTR Raw'!C21</f>
        <v>478.84</v>
      </c>
      <c r="AI54" s="70">
        <f>+'QTR Raw'!D21</f>
        <v>528.86</v>
      </c>
      <c r="AJ54" s="70">
        <f>+'QTR Raw'!E21</f>
        <v>84.97</v>
      </c>
      <c r="AK54" s="70">
        <f>+'QTR Raw'!F21</f>
        <v>-3905.49</v>
      </c>
      <c r="AL54" s="70">
        <f>+'QTR Raw'!G21</f>
        <v>228.95</v>
      </c>
      <c r="AM54" s="70">
        <f>+'QTR Raw'!H21</f>
        <v>356.91</v>
      </c>
      <c r="AN54" s="70">
        <f>+'QTR Raw'!I21</f>
        <v>321.88</v>
      </c>
      <c r="AO54" s="70">
        <f>+'QTR Raw'!J21</f>
        <v>214.18</v>
      </c>
      <c r="AP54" s="70">
        <f>+'QTR Raw'!K21</f>
        <v>251.6</v>
      </c>
      <c r="AQ54" s="70">
        <f>+'QTR Raw'!L21</f>
        <v>260.18</v>
      </c>
      <c r="AR54" s="70">
        <f>+'QTR Raw'!M21</f>
        <v>125.75</v>
      </c>
      <c r="AS54" s="70">
        <f>+'QTR Raw'!N21</f>
        <v>-4859.7700000000004</v>
      </c>
      <c r="AT54" s="70">
        <f>+'QTR Raw'!O21</f>
        <v>281.49</v>
      </c>
      <c r="AU54" s="70">
        <f>+'QTR Raw'!P21</f>
        <v>299.54000000000002</v>
      </c>
      <c r="AV54" s="70">
        <f>+'QTR Raw'!Q21</f>
        <v>317.52</v>
      </c>
      <c r="AW54" s="70">
        <f>+'QTR Raw'!R21</f>
        <v>-551.53</v>
      </c>
      <c r="AX54" s="70">
        <f>+'QTR Raw'!S21</f>
        <v>329.07</v>
      </c>
      <c r="AY54" s="70">
        <f>+'QTR Raw'!T21</f>
        <v>364.92</v>
      </c>
      <c r="AZ54" s="70">
        <f>+'QTR Raw'!U21</f>
        <v>329.62</v>
      </c>
      <c r="BA54" s="70">
        <f>+'QTR Raw'!V21</f>
        <v>-3259.33</v>
      </c>
      <c r="BB54" s="70">
        <f>+'QTR Raw'!W21</f>
        <v>406.24</v>
      </c>
      <c r="BC54" s="70">
        <f>+'QTR Raw'!X21</f>
        <v>444.41</v>
      </c>
      <c r="BD54" s="70">
        <f>+'QTR Raw'!Y21</f>
        <v>696.06</v>
      </c>
      <c r="BE54" s="70">
        <f>+'QTR Raw'!Z21</f>
        <v>1010.87</v>
      </c>
      <c r="BF54" s="70">
        <f>+'QTR Raw'!AA21</f>
        <v>1177.47</v>
      </c>
      <c r="BG54" s="70">
        <f>+'QTR Raw'!AB21</f>
        <v>1332.61</v>
      </c>
      <c r="BH54" s="70">
        <f>+'QTR Raw'!AC21</f>
        <v>1502.12</v>
      </c>
      <c r="BI54" s="70">
        <f>+'QTR Raw'!AD21</f>
        <v>1666.22</v>
      </c>
      <c r="BJ54" s="70">
        <f>+'QTR Raw'!AE21</f>
        <v>2022.03</v>
      </c>
      <c r="BK54" s="70">
        <f>+'QTR Raw'!AF21</f>
        <v>2525.4699999999998</v>
      </c>
      <c r="BL54" s="70">
        <f>+'QTR Raw'!AG21</f>
        <v>2881.52</v>
      </c>
      <c r="BM54" s="70">
        <f>+'QTR Raw'!AH21</f>
        <v>3174.74</v>
      </c>
      <c r="BN54" s="70">
        <f>+'QTR Raw'!AI21</f>
        <v>3534.84</v>
      </c>
      <c r="BO54" s="70">
        <f>+'QTR Raw'!AJ21</f>
        <v>3606.14</v>
      </c>
      <c r="BP54" s="70">
        <f>+'QTR Raw'!AK21</f>
        <v>3656.12</v>
      </c>
      <c r="BQ54" s="70">
        <f>+'QTR Raw'!AL21</f>
        <v>3757.23</v>
      </c>
      <c r="BR54" s="70">
        <f>+'QTR Raw'!AM21</f>
        <v>3905.28</v>
      </c>
      <c r="BS54" s="70">
        <f>+'QTR Raw'!AN21</f>
        <v>4014.53</v>
      </c>
      <c r="BT54" s="70">
        <f>+'QTR Raw'!AO21</f>
        <v>4104.2</v>
      </c>
      <c r="BU54" s="70">
        <f>+'QTR Raw'!AP21</f>
        <v>5002.66</v>
      </c>
      <c r="BV54" s="70">
        <f>+'QTR Raw'!AQ21</f>
        <v>4752.03</v>
      </c>
      <c r="BW54" s="70">
        <f>+'QTR Raw'!AR21</f>
        <v>4773.96</v>
      </c>
      <c r="BX54" s="70">
        <v>5155.1099999999997</v>
      </c>
      <c r="BY54" s="70">
        <f>+'QTR Raw'!AT21</f>
        <v>4505.57</v>
      </c>
      <c r="BZ54" s="112"/>
      <c r="CA54" s="112"/>
      <c r="CB54" s="112"/>
      <c r="CC54" s="112"/>
      <c r="CD54" s="112"/>
      <c r="CE54" s="112"/>
      <c r="CF54" s="112"/>
      <c r="CG54" s="112"/>
      <c r="CH54" s="112"/>
      <c r="CI54" s="112"/>
      <c r="CJ54" s="112"/>
      <c r="CK54" s="112"/>
      <c r="CL54" s="112"/>
      <c r="CM54" s="112"/>
      <c r="CN54" s="112"/>
      <c r="CO54" s="112"/>
      <c r="CX54" s="69">
        <v>19186.671200000001</v>
      </c>
    </row>
    <row r="55" spans="1:102" s="45" customFormat="1" x14ac:dyDescent="0.2">
      <c r="A55" s="45" t="s">
        <v>387</v>
      </c>
      <c r="B55" s="45">
        <f t="shared" ref="B55:X55" si="846">+B51-B54</f>
        <v>0</v>
      </c>
      <c r="C55" s="45">
        <f t="shared" si="846"/>
        <v>0</v>
      </c>
      <c r="D55" s="45">
        <f t="shared" si="846"/>
        <v>0</v>
      </c>
      <c r="E55" s="45">
        <f t="shared" si="846"/>
        <v>0</v>
      </c>
      <c r="F55" s="45">
        <f t="shared" si="846"/>
        <v>0</v>
      </c>
      <c r="G55" s="45">
        <f t="shared" si="846"/>
        <v>0</v>
      </c>
      <c r="H55" s="45">
        <f t="shared" si="846"/>
        <v>0</v>
      </c>
      <c r="I55" s="45">
        <f t="shared" si="846"/>
        <v>0</v>
      </c>
      <c r="J55" s="45">
        <f t="shared" si="846"/>
        <v>0</v>
      </c>
      <c r="K55" s="45">
        <f t="shared" si="846"/>
        <v>0</v>
      </c>
      <c r="L55" s="45">
        <f t="shared" si="846"/>
        <v>0</v>
      </c>
      <c r="M55" s="45">
        <f t="shared" si="846"/>
        <v>0</v>
      </c>
      <c r="N55" s="45">
        <f t="shared" si="846"/>
        <v>0</v>
      </c>
      <c r="O55" s="45">
        <f t="shared" si="846"/>
        <v>0</v>
      </c>
      <c r="P55" s="45">
        <f t="shared" si="846"/>
        <v>0</v>
      </c>
      <c r="Q55" s="45">
        <f t="shared" si="846"/>
        <v>0</v>
      </c>
      <c r="R55" s="45">
        <f t="shared" si="846"/>
        <v>1.8189894035458565E-12</v>
      </c>
      <c r="S55" s="45">
        <f t="shared" si="846"/>
        <v>0</v>
      </c>
      <c r="T55" s="108">
        <f t="shared" si="846"/>
        <v>2.3305801732931286E-12</v>
      </c>
      <c r="U55" s="108">
        <f t="shared" si="846"/>
        <v>-3.637978807091713E-12</v>
      </c>
      <c r="V55" s="108">
        <f t="shared" si="846"/>
        <v>0</v>
      </c>
      <c r="W55" s="108">
        <f t="shared" si="846"/>
        <v>0</v>
      </c>
      <c r="X55" s="108">
        <f t="shared" si="846"/>
        <v>0</v>
      </c>
      <c r="Y55" s="108">
        <f t="shared" ref="Y55:Z55" si="847">+Y51-Y54</f>
        <v>0</v>
      </c>
      <c r="Z55" s="108">
        <f t="shared" si="847"/>
        <v>0</v>
      </c>
      <c r="AA55" s="108">
        <f t="shared" ref="AA55" si="848">+AA51-AA54</f>
        <v>0</v>
      </c>
      <c r="AB55" s="39"/>
      <c r="AC55" s="39"/>
      <c r="AD55" s="39"/>
      <c r="AE55" s="39"/>
      <c r="AG55" s="60"/>
      <c r="AH55" s="108">
        <f t="shared" ref="AH55" si="849">+AH51-AH54</f>
        <v>0</v>
      </c>
      <c r="AI55" s="108">
        <f t="shared" ref="AI55" si="850">+AI51-AI54</f>
        <v>0</v>
      </c>
      <c r="AJ55" s="108">
        <f t="shared" ref="AJ55" si="851">+AJ51-AJ54</f>
        <v>3.694822225952521E-13</v>
      </c>
      <c r="AK55" s="108">
        <f t="shared" ref="AK55" si="852">+AK51-AK54</f>
        <v>0</v>
      </c>
      <c r="AL55" s="108">
        <f t="shared" ref="AL55" si="853">+AL51-AL54</f>
        <v>7.3896444519050419E-13</v>
      </c>
      <c r="AM55" s="108">
        <f t="shared" ref="AM55" si="854">+AM51-AM54</f>
        <v>8.5265128291212022E-13</v>
      </c>
      <c r="AN55" s="108">
        <f t="shared" ref="AN55" si="855">+AN51-AN54</f>
        <v>0</v>
      </c>
      <c r="AO55" s="108">
        <f t="shared" ref="AO55" si="856">+AO51-AO54</f>
        <v>2.8421709430404007E-13</v>
      </c>
      <c r="AP55" s="108">
        <f t="shared" ref="AP55" si="857">+AP51-AP54</f>
        <v>0</v>
      </c>
      <c r="AQ55" s="108">
        <f t="shared" ref="AQ55" si="858">+AQ51-AQ54</f>
        <v>1.6484591469634324E-12</v>
      </c>
      <c r="AR55" s="108">
        <f t="shared" ref="AR55" si="859">+AR51-AR54</f>
        <v>-9.0949470177292824E-13</v>
      </c>
      <c r="AS55" s="108">
        <f t="shared" ref="AS55" si="860">+AS51-AS54</f>
        <v>0</v>
      </c>
      <c r="AT55" s="108">
        <f t="shared" ref="AT55" si="861">+AT51-AT54</f>
        <v>-6.8212102632969618E-13</v>
      </c>
      <c r="AU55" s="108">
        <f t="shared" ref="AU55" si="862">+AU51-AU54</f>
        <v>0</v>
      </c>
      <c r="AV55" s="108">
        <f t="shared" ref="AV55" si="863">+AV51-AV54</f>
        <v>-5.6843418860808015E-13</v>
      </c>
      <c r="AW55" s="108">
        <f t="shared" ref="AW55" si="864">+AW51-AW54</f>
        <v>0</v>
      </c>
      <c r="AX55" s="108">
        <f t="shared" ref="AX55" si="865">+AX51-AX54</f>
        <v>5.6843418860808015E-13</v>
      </c>
      <c r="AY55" s="108">
        <f t="shared" ref="AY55" si="866">+AY51-AY54</f>
        <v>5.1159076974727213E-13</v>
      </c>
      <c r="AZ55" s="108">
        <f t="shared" ref="AZ55" si="867">+AZ51-AZ54</f>
        <v>-1.5347723092418164E-12</v>
      </c>
      <c r="BA55" s="108">
        <f t="shared" ref="BA55" si="868">+BA51-BA54</f>
        <v>0</v>
      </c>
      <c r="BB55" s="108">
        <f t="shared" ref="BB55" si="869">+BB51-BB54</f>
        <v>1.4779288903810084E-12</v>
      </c>
      <c r="BC55" s="108">
        <f t="shared" ref="BC55" si="870">+BC51-BC54</f>
        <v>2.1032064978498966E-12</v>
      </c>
      <c r="BD55" s="108">
        <f t="shared" ref="BD55" si="871">+BD51-BD54</f>
        <v>0</v>
      </c>
      <c r="BE55" s="108">
        <f t="shared" ref="BE55" si="872">+BE51-BE54</f>
        <v>0</v>
      </c>
      <c r="BF55" s="108">
        <f t="shared" ref="BF55" si="873">+BF51-BF54</f>
        <v>0</v>
      </c>
      <c r="BG55" s="108">
        <f t="shared" ref="BG55" si="874">+BG51-BG54</f>
        <v>0</v>
      </c>
      <c r="BH55" s="108">
        <f t="shared" ref="BH55" si="875">+BH51-BH54</f>
        <v>-2.2737367544323206E-12</v>
      </c>
      <c r="BI55" s="108">
        <f t="shared" ref="BI55" si="876">+BI51-BI54</f>
        <v>0</v>
      </c>
      <c r="BJ55" s="108">
        <f t="shared" ref="BJ55" si="877">+BJ51-BJ54</f>
        <v>0</v>
      </c>
      <c r="BK55" s="108">
        <f t="shared" ref="BK55" si="878">+BK51-BK54</f>
        <v>0</v>
      </c>
      <c r="BL55" s="108">
        <f t="shared" ref="BL55" si="879">+BL51-BL54</f>
        <v>0</v>
      </c>
      <c r="BM55" s="108">
        <f t="shared" ref="BM55" si="880">+BM51-BM54</f>
        <v>0</v>
      </c>
      <c r="BN55" s="108">
        <f t="shared" ref="BN55" si="881">+BN51-BN54</f>
        <v>0</v>
      </c>
      <c r="BO55" s="108">
        <f t="shared" ref="BO55" si="882">+BO51-BO54</f>
        <v>0</v>
      </c>
      <c r="BP55" s="108">
        <f t="shared" ref="BP55" si="883">+BP51-BP54</f>
        <v>0</v>
      </c>
      <c r="BQ55" s="108">
        <f t="shared" ref="BQ55" si="884">+BQ51-BQ54</f>
        <v>0</v>
      </c>
      <c r="BR55" s="108">
        <f t="shared" ref="BR55" si="885">+BR51-BR54</f>
        <v>0</v>
      </c>
      <c r="BS55" s="108">
        <f t="shared" ref="BS55" si="886">+BS51-BS54</f>
        <v>0</v>
      </c>
      <c r="BT55" s="108">
        <f t="shared" ref="BT55" si="887">+BT51-BT54</f>
        <v>0</v>
      </c>
      <c r="BU55" s="108">
        <f t="shared" ref="BU55" si="888">+BU51-BU54</f>
        <v>0</v>
      </c>
      <c r="BV55" s="108">
        <f t="shared" ref="BV55:BX55" si="889">+BV51-BV54</f>
        <v>0</v>
      </c>
      <c r="BW55" s="108">
        <f t="shared" si="889"/>
        <v>0</v>
      </c>
      <c r="BX55" s="108">
        <f t="shared" si="889"/>
        <v>0</v>
      </c>
      <c r="BY55" s="108">
        <f t="shared" ref="BY55" si="890">+BY51-BY54</f>
        <v>0</v>
      </c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X55" s="45">
        <v>0</v>
      </c>
    </row>
    <row r="56" spans="1:102" s="45" customFormat="1" x14ac:dyDescent="0.2">
      <c r="A56" s="121" t="s">
        <v>362</v>
      </c>
      <c r="AB56" s="39"/>
      <c r="AC56" s="39"/>
      <c r="AD56" s="39"/>
      <c r="AE56" s="39"/>
      <c r="AG56" s="60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S56" s="142"/>
    </row>
    <row r="57" spans="1:102" s="50" customFormat="1" x14ac:dyDescent="0.2">
      <c r="A57" s="50" t="s">
        <v>33</v>
      </c>
      <c r="B57" s="50">
        <f t="shared" ref="B57:X57" si="891">+C57</f>
        <v>1814.1303</v>
      </c>
      <c r="C57" s="50">
        <f t="shared" si="891"/>
        <v>1814.1303</v>
      </c>
      <c r="D57" s="50">
        <f t="shared" si="891"/>
        <v>1814.1303</v>
      </c>
      <c r="E57" s="50">
        <f t="shared" si="891"/>
        <v>1814.1303</v>
      </c>
      <c r="F57" s="50">
        <f t="shared" si="891"/>
        <v>1814.1303</v>
      </c>
      <c r="G57" s="50">
        <f t="shared" si="891"/>
        <v>1814.1303</v>
      </c>
      <c r="H57" s="50">
        <f t="shared" si="891"/>
        <v>1814.1303</v>
      </c>
      <c r="I57" s="50">
        <f t="shared" si="891"/>
        <v>1814.1303</v>
      </c>
      <c r="J57" s="50">
        <f t="shared" si="891"/>
        <v>1814.1303</v>
      </c>
      <c r="K57" s="50">
        <f t="shared" si="891"/>
        <v>1814.1303</v>
      </c>
      <c r="L57" s="50">
        <f t="shared" si="891"/>
        <v>1814.1303</v>
      </c>
      <c r="M57" s="50">
        <f t="shared" si="891"/>
        <v>1814.1303</v>
      </c>
      <c r="N57" s="50">
        <f t="shared" si="891"/>
        <v>1814.1303</v>
      </c>
      <c r="O57" s="50">
        <f t="shared" si="891"/>
        <v>1814.1303</v>
      </c>
      <c r="P57" s="50">
        <f t="shared" si="891"/>
        <v>1814.1303</v>
      </c>
      <c r="Q57" s="50">
        <f t="shared" si="891"/>
        <v>1814.1303</v>
      </c>
      <c r="R57" s="50">
        <f t="shared" si="891"/>
        <v>1814.1303</v>
      </c>
      <c r="S57" s="50">
        <f t="shared" si="891"/>
        <v>1814.1303</v>
      </c>
      <c r="T57" s="50">
        <f t="shared" si="891"/>
        <v>1814.1303</v>
      </c>
      <c r="U57" s="50">
        <f t="shared" si="891"/>
        <v>1814.1303</v>
      </c>
      <c r="V57" s="50">
        <f t="shared" si="891"/>
        <v>1814.1303</v>
      </c>
      <c r="W57" s="50">
        <f t="shared" si="891"/>
        <v>1814.1303</v>
      </c>
      <c r="X57" s="50">
        <f t="shared" si="891"/>
        <v>1814.1303</v>
      </c>
      <c r="Y57" s="50">
        <f>+Z57</f>
        <v>1814.1303</v>
      </c>
      <c r="Z57" s="50">
        <f>+'Annual Raw'!AA38</f>
        <v>1814.1303</v>
      </c>
      <c r="AA57" s="50">
        <f>+'Annual Raw'!AB38</f>
        <v>1814.1303</v>
      </c>
      <c r="AB57" s="51">
        <f>+CC57</f>
        <v>1814.13</v>
      </c>
      <c r="AC57" s="51">
        <f>+CG57</f>
        <v>1814.13</v>
      </c>
      <c r="AD57" s="51">
        <f>+CK57</f>
        <v>1814.13</v>
      </c>
      <c r="AE57" s="51">
        <f>+CO57</f>
        <v>1814.13</v>
      </c>
      <c r="AG57" s="64"/>
      <c r="AH57" s="50">
        <f>+'QTR Raw'!C29</f>
        <v>515.20000000000005</v>
      </c>
      <c r="AI57" s="50">
        <f>+'QTR Raw'!D29</f>
        <v>542.99</v>
      </c>
      <c r="AJ57" s="50">
        <f>+'QTR Raw'!E29</f>
        <v>542.99</v>
      </c>
      <c r="AK57" s="50">
        <f>+'QTR Raw'!F29</f>
        <v>542.99</v>
      </c>
      <c r="AL57" s="50">
        <f>+'QTR Raw'!G29</f>
        <v>542.99</v>
      </c>
      <c r="AM57" s="50">
        <f>+'QTR Raw'!H29</f>
        <v>542.99</v>
      </c>
      <c r="AN57" s="50">
        <f>+'QTR Raw'!I29</f>
        <v>542.99</v>
      </c>
      <c r="AO57" s="50">
        <f>+'QTR Raw'!J29</f>
        <v>597.29</v>
      </c>
      <c r="AP57" s="50">
        <f>+'QTR Raw'!K29</f>
        <v>597.29</v>
      </c>
      <c r="AQ57" s="50">
        <f>+'QTR Raw'!L29</f>
        <v>597.29</v>
      </c>
      <c r="AR57" s="50">
        <f>+'QTR Raw'!M29</f>
        <v>597.29</v>
      </c>
      <c r="AS57" s="50">
        <f>+'QTR Raw'!N29</f>
        <v>733.24</v>
      </c>
      <c r="AT57" s="50">
        <f t="shared" ref="AT57:BU57" si="892">+AU57</f>
        <v>1814.13</v>
      </c>
      <c r="AU57" s="50">
        <f t="shared" si="892"/>
        <v>1814.13</v>
      </c>
      <c r="AV57" s="50">
        <f t="shared" si="892"/>
        <v>1814.13</v>
      </c>
      <c r="AW57" s="50">
        <f t="shared" si="892"/>
        <v>1814.13</v>
      </c>
      <c r="AX57" s="50">
        <f t="shared" si="892"/>
        <v>1814.13</v>
      </c>
      <c r="AY57" s="50">
        <f t="shared" si="892"/>
        <v>1814.13</v>
      </c>
      <c r="AZ57" s="50">
        <f t="shared" si="892"/>
        <v>1814.13</v>
      </c>
      <c r="BA57" s="50">
        <f t="shared" si="892"/>
        <v>1814.13</v>
      </c>
      <c r="BB57" s="50">
        <f t="shared" si="892"/>
        <v>1814.13</v>
      </c>
      <c r="BC57" s="50">
        <f t="shared" si="892"/>
        <v>1814.13</v>
      </c>
      <c r="BD57" s="50">
        <f t="shared" si="892"/>
        <v>1814.13</v>
      </c>
      <c r="BE57" s="50">
        <f t="shared" si="892"/>
        <v>1814.13</v>
      </c>
      <c r="BF57" s="50">
        <f t="shared" si="892"/>
        <v>1814.13</v>
      </c>
      <c r="BG57" s="50">
        <f t="shared" si="892"/>
        <v>1814.13</v>
      </c>
      <c r="BH57" s="50">
        <f t="shared" si="892"/>
        <v>1814.13</v>
      </c>
      <c r="BI57" s="50">
        <f t="shared" si="892"/>
        <v>1814.13</v>
      </c>
      <c r="BJ57" s="50">
        <f t="shared" si="892"/>
        <v>1814.13</v>
      </c>
      <c r="BK57" s="50">
        <f t="shared" si="892"/>
        <v>1814.13</v>
      </c>
      <c r="BL57" s="50">
        <f t="shared" si="892"/>
        <v>1814.13</v>
      </c>
      <c r="BM57" s="50">
        <f t="shared" si="892"/>
        <v>1814.13</v>
      </c>
      <c r="BN57" s="50">
        <f t="shared" si="892"/>
        <v>1814.13</v>
      </c>
      <c r="BO57" s="50">
        <f t="shared" si="892"/>
        <v>1814.13</v>
      </c>
      <c r="BP57" s="50">
        <f t="shared" si="892"/>
        <v>1814.13</v>
      </c>
      <c r="BQ57" s="50">
        <f t="shared" si="892"/>
        <v>1814.13</v>
      </c>
      <c r="BR57" s="50">
        <f t="shared" si="892"/>
        <v>1814.13</v>
      </c>
      <c r="BS57" s="50">
        <f t="shared" si="892"/>
        <v>1814.13</v>
      </c>
      <c r="BT57" s="50">
        <f t="shared" si="892"/>
        <v>1814.13</v>
      </c>
      <c r="BU57" s="50">
        <f t="shared" si="892"/>
        <v>1814.13</v>
      </c>
      <c r="BV57" s="50">
        <f>+BW57</f>
        <v>1814.13</v>
      </c>
      <c r="BW57" s="50">
        <f>+'QTR Raw'!AR29</f>
        <v>1814.13</v>
      </c>
      <c r="BX57" s="50">
        <v>1814.13</v>
      </c>
      <c r="BY57" s="50">
        <f>+'QTR Raw'!AT29</f>
        <v>1814.13</v>
      </c>
      <c r="BZ57" s="51">
        <f t="shared" ref="BZ57:CO57" si="893">+BY57</f>
        <v>1814.13</v>
      </c>
      <c r="CA57" s="51">
        <f t="shared" si="893"/>
        <v>1814.13</v>
      </c>
      <c r="CB57" s="51">
        <f t="shared" si="893"/>
        <v>1814.13</v>
      </c>
      <c r="CC57" s="51">
        <f t="shared" si="893"/>
        <v>1814.13</v>
      </c>
      <c r="CD57" s="51">
        <f t="shared" si="893"/>
        <v>1814.13</v>
      </c>
      <c r="CE57" s="51">
        <f t="shared" si="893"/>
        <v>1814.13</v>
      </c>
      <c r="CF57" s="51">
        <f t="shared" si="893"/>
        <v>1814.13</v>
      </c>
      <c r="CG57" s="51">
        <f t="shared" si="893"/>
        <v>1814.13</v>
      </c>
      <c r="CH57" s="51">
        <f t="shared" si="893"/>
        <v>1814.13</v>
      </c>
      <c r="CI57" s="51">
        <f t="shared" si="893"/>
        <v>1814.13</v>
      </c>
      <c r="CJ57" s="51">
        <f t="shared" si="893"/>
        <v>1814.13</v>
      </c>
      <c r="CK57" s="51">
        <f t="shared" si="893"/>
        <v>1814.13</v>
      </c>
      <c r="CL57" s="51">
        <f t="shared" si="893"/>
        <v>1814.13</v>
      </c>
      <c r="CM57" s="51">
        <f t="shared" si="893"/>
        <v>1814.13</v>
      </c>
      <c r="CN57" s="51">
        <f t="shared" si="893"/>
        <v>1814.13</v>
      </c>
      <c r="CO57" s="51">
        <f t="shared" si="893"/>
        <v>1814.13</v>
      </c>
      <c r="CS57" s="50">
        <v>1814.13</v>
      </c>
      <c r="CX57" s="50">
        <v>1814.1303</v>
      </c>
    </row>
    <row r="58" spans="1:102" s="50" customFormat="1" x14ac:dyDescent="0.2">
      <c r="A58" s="50" t="s">
        <v>34</v>
      </c>
      <c r="B58" s="50">
        <f t="shared" ref="B58:X58" si="894">+C58</f>
        <v>2</v>
      </c>
      <c r="C58" s="50">
        <f t="shared" si="894"/>
        <v>2</v>
      </c>
      <c r="D58" s="50">
        <f t="shared" si="894"/>
        <v>2</v>
      </c>
      <c r="E58" s="50">
        <f t="shared" si="894"/>
        <v>2</v>
      </c>
      <c r="F58" s="50">
        <f t="shared" si="894"/>
        <v>2</v>
      </c>
      <c r="G58" s="50">
        <f t="shared" si="894"/>
        <v>2</v>
      </c>
      <c r="H58" s="50">
        <f t="shared" si="894"/>
        <v>2</v>
      </c>
      <c r="I58" s="50">
        <f t="shared" si="894"/>
        <v>2</v>
      </c>
      <c r="J58" s="50">
        <f t="shared" si="894"/>
        <v>2</v>
      </c>
      <c r="K58" s="50">
        <f t="shared" si="894"/>
        <v>2</v>
      </c>
      <c r="L58" s="50">
        <f t="shared" si="894"/>
        <v>2</v>
      </c>
      <c r="M58" s="50">
        <f t="shared" si="894"/>
        <v>2</v>
      </c>
      <c r="N58" s="50">
        <f t="shared" si="894"/>
        <v>2</v>
      </c>
      <c r="O58" s="50">
        <f t="shared" si="894"/>
        <v>2</v>
      </c>
      <c r="P58" s="50">
        <f t="shared" si="894"/>
        <v>2</v>
      </c>
      <c r="Q58" s="50">
        <f t="shared" si="894"/>
        <v>2</v>
      </c>
      <c r="R58" s="50">
        <f t="shared" si="894"/>
        <v>2</v>
      </c>
      <c r="S58" s="50">
        <f t="shared" si="894"/>
        <v>2</v>
      </c>
      <c r="T58" s="50">
        <f t="shared" si="894"/>
        <v>2</v>
      </c>
      <c r="U58" s="50">
        <f t="shared" si="894"/>
        <v>2</v>
      </c>
      <c r="V58" s="50">
        <f t="shared" si="894"/>
        <v>2</v>
      </c>
      <c r="W58" s="50">
        <f t="shared" si="894"/>
        <v>2</v>
      </c>
      <c r="X58" s="50">
        <f t="shared" si="894"/>
        <v>2</v>
      </c>
      <c r="Y58" s="50">
        <f>+Z58</f>
        <v>2</v>
      </c>
      <c r="Z58" s="50">
        <f>+'Annual Raw'!AA50</f>
        <v>2</v>
      </c>
      <c r="AA58" s="50">
        <f>+'Annual Raw'!AB50</f>
        <v>2</v>
      </c>
      <c r="AB58" s="51">
        <f>+CC58</f>
        <v>2</v>
      </c>
      <c r="AC58" s="51">
        <f>+CG58</f>
        <v>2</v>
      </c>
      <c r="AD58" s="51">
        <f>+CK58</f>
        <v>2</v>
      </c>
      <c r="AE58" s="51">
        <f>+CO58</f>
        <v>2</v>
      </c>
      <c r="AG58" s="64"/>
      <c r="AH58" s="50">
        <f>+'QTR Raw'!C30</f>
        <v>10</v>
      </c>
      <c r="AI58" s="50">
        <f>+'QTR Raw'!D30</f>
        <v>10</v>
      </c>
      <c r="AJ58" s="50">
        <f>+'QTR Raw'!E30</f>
        <v>10</v>
      </c>
      <c r="AK58" s="50">
        <f>+'QTR Raw'!F30</f>
        <v>10</v>
      </c>
      <c r="AL58" s="50">
        <f>+'QTR Raw'!G30</f>
        <v>10</v>
      </c>
      <c r="AM58" s="50">
        <f>+'QTR Raw'!H30</f>
        <v>10</v>
      </c>
      <c r="AN58" s="50">
        <f>+'QTR Raw'!I30</f>
        <v>10</v>
      </c>
      <c r="AO58" s="50">
        <f>+'QTR Raw'!J30</f>
        <v>10</v>
      </c>
      <c r="AP58" s="50">
        <f>+'QTR Raw'!K30</f>
        <v>10</v>
      </c>
      <c r="AQ58" s="50">
        <f>+'QTR Raw'!L30</f>
        <v>10</v>
      </c>
      <c r="AR58" s="50">
        <f>+'QTR Raw'!M30</f>
        <v>10</v>
      </c>
      <c r="AS58" s="50">
        <f>+'QTR Raw'!N30</f>
        <v>10</v>
      </c>
      <c r="AT58" s="50">
        <f t="shared" ref="AT58:BU58" si="895">+AU58</f>
        <v>2</v>
      </c>
      <c r="AU58" s="50">
        <f t="shared" si="895"/>
        <v>2</v>
      </c>
      <c r="AV58" s="50">
        <f t="shared" si="895"/>
        <v>2</v>
      </c>
      <c r="AW58" s="50">
        <f t="shared" si="895"/>
        <v>2</v>
      </c>
      <c r="AX58" s="50">
        <f t="shared" si="895"/>
        <v>2</v>
      </c>
      <c r="AY58" s="50">
        <f t="shared" si="895"/>
        <v>2</v>
      </c>
      <c r="AZ58" s="50">
        <f t="shared" si="895"/>
        <v>2</v>
      </c>
      <c r="BA58" s="50">
        <f t="shared" si="895"/>
        <v>2</v>
      </c>
      <c r="BB58" s="50">
        <f t="shared" si="895"/>
        <v>2</v>
      </c>
      <c r="BC58" s="50">
        <f t="shared" si="895"/>
        <v>2</v>
      </c>
      <c r="BD58" s="50">
        <f t="shared" si="895"/>
        <v>2</v>
      </c>
      <c r="BE58" s="50">
        <f t="shared" si="895"/>
        <v>2</v>
      </c>
      <c r="BF58" s="50">
        <f t="shared" si="895"/>
        <v>2</v>
      </c>
      <c r="BG58" s="50">
        <f t="shared" si="895"/>
        <v>2</v>
      </c>
      <c r="BH58" s="50">
        <f t="shared" si="895"/>
        <v>2</v>
      </c>
      <c r="BI58" s="50">
        <f t="shared" si="895"/>
        <v>2</v>
      </c>
      <c r="BJ58" s="50">
        <f t="shared" si="895"/>
        <v>2</v>
      </c>
      <c r="BK58" s="50">
        <f t="shared" si="895"/>
        <v>2</v>
      </c>
      <c r="BL58" s="50">
        <f t="shared" si="895"/>
        <v>2</v>
      </c>
      <c r="BM58" s="50">
        <f t="shared" si="895"/>
        <v>2</v>
      </c>
      <c r="BN58" s="50">
        <f t="shared" si="895"/>
        <v>2</v>
      </c>
      <c r="BO58" s="50">
        <f t="shared" si="895"/>
        <v>2</v>
      </c>
      <c r="BP58" s="50">
        <f t="shared" si="895"/>
        <v>2</v>
      </c>
      <c r="BQ58" s="50">
        <f t="shared" si="895"/>
        <v>2</v>
      </c>
      <c r="BR58" s="50">
        <f t="shared" si="895"/>
        <v>2</v>
      </c>
      <c r="BS58" s="50">
        <f t="shared" si="895"/>
        <v>2</v>
      </c>
      <c r="BT58" s="50">
        <f t="shared" si="895"/>
        <v>2</v>
      </c>
      <c r="BU58" s="50">
        <f t="shared" si="895"/>
        <v>2</v>
      </c>
      <c r="BV58" s="50">
        <f>+BW58</f>
        <v>2</v>
      </c>
      <c r="BW58" s="50">
        <f>+'QTR Raw'!AR30</f>
        <v>2</v>
      </c>
      <c r="BX58" s="50">
        <f t="shared" ref="BX58:CO58" si="896">+BW58</f>
        <v>2</v>
      </c>
      <c r="BY58" s="50">
        <f>+'QTR Raw'!AT30</f>
        <v>2</v>
      </c>
      <c r="BZ58" s="51">
        <f t="shared" si="896"/>
        <v>2</v>
      </c>
      <c r="CA58" s="51">
        <f t="shared" si="896"/>
        <v>2</v>
      </c>
      <c r="CB58" s="51">
        <f t="shared" si="896"/>
        <v>2</v>
      </c>
      <c r="CC58" s="51">
        <f t="shared" si="896"/>
        <v>2</v>
      </c>
      <c r="CD58" s="51">
        <f t="shared" si="896"/>
        <v>2</v>
      </c>
      <c r="CE58" s="51">
        <f t="shared" si="896"/>
        <v>2</v>
      </c>
      <c r="CF58" s="51">
        <f t="shared" si="896"/>
        <v>2</v>
      </c>
      <c r="CG58" s="51">
        <f t="shared" si="896"/>
        <v>2</v>
      </c>
      <c r="CH58" s="51">
        <f t="shared" si="896"/>
        <v>2</v>
      </c>
      <c r="CI58" s="51">
        <f t="shared" si="896"/>
        <v>2</v>
      </c>
      <c r="CJ58" s="51">
        <f t="shared" si="896"/>
        <v>2</v>
      </c>
      <c r="CK58" s="51">
        <f t="shared" si="896"/>
        <v>2</v>
      </c>
      <c r="CL58" s="51">
        <f t="shared" si="896"/>
        <v>2</v>
      </c>
      <c r="CM58" s="51">
        <f t="shared" si="896"/>
        <v>2</v>
      </c>
      <c r="CN58" s="51">
        <f t="shared" si="896"/>
        <v>2</v>
      </c>
      <c r="CO58" s="51">
        <f t="shared" si="896"/>
        <v>2</v>
      </c>
      <c r="CS58" s="50">
        <v>2</v>
      </c>
      <c r="CX58" s="50">
        <v>2</v>
      </c>
    </row>
    <row r="59" spans="1:102" s="66" customFormat="1" x14ac:dyDescent="0.2">
      <c r="A59" s="66" t="s">
        <v>42</v>
      </c>
      <c r="B59" s="66">
        <f t="shared" ref="B59:X59" si="897">B57/B58</f>
        <v>907.06515000000002</v>
      </c>
      <c r="C59" s="66">
        <f t="shared" si="897"/>
        <v>907.06515000000002</v>
      </c>
      <c r="D59" s="66">
        <f t="shared" si="897"/>
        <v>907.06515000000002</v>
      </c>
      <c r="E59" s="66">
        <f t="shared" si="897"/>
        <v>907.06515000000002</v>
      </c>
      <c r="F59" s="66">
        <f t="shared" si="897"/>
        <v>907.06515000000002</v>
      </c>
      <c r="G59" s="66">
        <f t="shared" si="897"/>
        <v>907.06515000000002</v>
      </c>
      <c r="H59" s="66">
        <f t="shared" si="897"/>
        <v>907.06515000000002</v>
      </c>
      <c r="I59" s="66">
        <f t="shared" si="897"/>
        <v>907.06515000000002</v>
      </c>
      <c r="J59" s="66">
        <f t="shared" si="897"/>
        <v>907.06515000000002</v>
      </c>
      <c r="K59" s="66">
        <f t="shared" si="897"/>
        <v>907.06515000000002</v>
      </c>
      <c r="L59" s="66">
        <f t="shared" si="897"/>
        <v>907.06515000000002</v>
      </c>
      <c r="M59" s="66">
        <f t="shared" si="897"/>
        <v>907.06515000000002</v>
      </c>
      <c r="N59" s="66">
        <f t="shared" si="897"/>
        <v>907.06515000000002</v>
      </c>
      <c r="O59" s="67">
        <f t="shared" si="897"/>
        <v>907.06515000000002</v>
      </c>
      <c r="P59" s="67">
        <f t="shared" si="897"/>
        <v>907.06515000000002</v>
      </c>
      <c r="Q59" s="67">
        <f t="shared" si="897"/>
        <v>907.06515000000002</v>
      </c>
      <c r="R59" s="67">
        <f t="shared" si="897"/>
        <v>907.06515000000002</v>
      </c>
      <c r="S59" s="67">
        <f t="shared" si="897"/>
        <v>907.06515000000002</v>
      </c>
      <c r="T59" s="67">
        <f t="shared" si="897"/>
        <v>907.06515000000002</v>
      </c>
      <c r="U59" s="67">
        <f t="shared" si="897"/>
        <v>907.06515000000002</v>
      </c>
      <c r="V59" s="67">
        <f t="shared" si="897"/>
        <v>907.06515000000002</v>
      </c>
      <c r="W59" s="67">
        <f t="shared" si="897"/>
        <v>907.06515000000002</v>
      </c>
      <c r="X59" s="67">
        <f t="shared" si="897"/>
        <v>907.06515000000002</v>
      </c>
      <c r="Y59" s="67">
        <f t="shared" ref="Y59" si="898">Y57/Y58</f>
        <v>907.06515000000002</v>
      </c>
      <c r="Z59" s="67">
        <f t="shared" ref="Z59:AA59" si="899">Z57/Z58</f>
        <v>907.06515000000002</v>
      </c>
      <c r="AA59" s="67">
        <f t="shared" ref="AA59" si="900">AA57/AA58</f>
        <v>907.06515000000002</v>
      </c>
      <c r="AB59" s="68">
        <f t="shared" ref="AB59" si="901">AB57/AB58</f>
        <v>907.06500000000005</v>
      </c>
      <c r="AC59" s="68">
        <f t="shared" ref="AC59" si="902">AC57/AC58</f>
        <v>907.06500000000005</v>
      </c>
      <c r="AD59" s="68">
        <f t="shared" ref="AD59" si="903">AD57/AD58</f>
        <v>907.06500000000005</v>
      </c>
      <c r="AE59" s="68">
        <f t="shared" ref="AE59" si="904">AE57/AE58</f>
        <v>907.06500000000005</v>
      </c>
      <c r="AG59" s="54"/>
      <c r="AH59" s="67">
        <f t="shared" ref="AH59:AL59" si="905">AH57/AH58</f>
        <v>51.52</v>
      </c>
      <c r="AI59" s="67">
        <f t="shared" si="905"/>
        <v>54.298999999999999</v>
      </c>
      <c r="AJ59" s="67">
        <f t="shared" si="905"/>
        <v>54.298999999999999</v>
      </c>
      <c r="AK59" s="67">
        <f t="shared" si="905"/>
        <v>54.298999999999999</v>
      </c>
      <c r="AL59" s="67">
        <f t="shared" si="905"/>
        <v>54.298999999999999</v>
      </c>
      <c r="AM59" s="67">
        <f t="shared" ref="AM59" si="906">AM57/AM58</f>
        <v>54.298999999999999</v>
      </c>
      <c r="AN59" s="67">
        <f t="shared" ref="AN59" si="907">AN57/AN58</f>
        <v>54.298999999999999</v>
      </c>
      <c r="AO59" s="67">
        <f t="shared" ref="AO59" si="908">AO57/AO58</f>
        <v>59.728999999999999</v>
      </c>
      <c r="AP59" s="67">
        <f t="shared" ref="AP59" si="909">AP57/AP58</f>
        <v>59.728999999999999</v>
      </c>
      <c r="AQ59" s="67">
        <f t="shared" ref="AQ59" si="910">AQ57/AQ58</f>
        <v>59.728999999999999</v>
      </c>
      <c r="AR59" s="67">
        <f t="shared" ref="AR59" si="911">AR57/AR58</f>
        <v>59.728999999999999</v>
      </c>
      <c r="AS59" s="67">
        <f t="shared" ref="AS59" si="912">AS57/AS58</f>
        <v>73.323999999999998</v>
      </c>
      <c r="AT59" s="67">
        <f t="shared" ref="AT59" si="913">AT57/AT58</f>
        <v>907.06500000000005</v>
      </c>
      <c r="AU59" s="67">
        <f t="shared" ref="AU59" si="914">AU57/AU58</f>
        <v>907.06500000000005</v>
      </c>
      <c r="AV59" s="67">
        <f t="shared" ref="AV59:AW59" si="915">AV57/AV58</f>
        <v>907.06500000000005</v>
      </c>
      <c r="AW59" s="67">
        <f t="shared" si="915"/>
        <v>907.06500000000005</v>
      </c>
      <c r="AX59" s="67">
        <f t="shared" ref="AX59:BB59" si="916">AX57/AX58</f>
        <v>907.06500000000005</v>
      </c>
      <c r="AY59" s="67">
        <f t="shared" si="916"/>
        <v>907.06500000000005</v>
      </c>
      <c r="AZ59" s="67">
        <f t="shared" si="916"/>
        <v>907.06500000000005</v>
      </c>
      <c r="BA59" s="67">
        <f t="shared" si="916"/>
        <v>907.06500000000005</v>
      </c>
      <c r="BB59" s="67">
        <f t="shared" si="916"/>
        <v>907.06500000000005</v>
      </c>
      <c r="BC59" s="67">
        <f t="shared" ref="BC59:BG59" si="917">BC57/BC58</f>
        <v>907.06500000000005</v>
      </c>
      <c r="BD59" s="67">
        <f t="shared" si="917"/>
        <v>907.06500000000005</v>
      </c>
      <c r="BE59" s="67">
        <f t="shared" si="917"/>
        <v>907.06500000000005</v>
      </c>
      <c r="BF59" s="67">
        <f t="shared" si="917"/>
        <v>907.06500000000005</v>
      </c>
      <c r="BG59" s="67">
        <f t="shared" si="917"/>
        <v>907.06500000000005</v>
      </c>
      <c r="BH59" s="67">
        <f t="shared" ref="BH59:BJ59" si="918">BH57/BH58</f>
        <v>907.06500000000005</v>
      </c>
      <c r="BI59" s="67">
        <f t="shared" si="918"/>
        <v>907.06500000000005</v>
      </c>
      <c r="BJ59" s="67">
        <f t="shared" si="918"/>
        <v>907.06500000000005</v>
      </c>
      <c r="BK59" s="67">
        <f t="shared" ref="BK59" si="919">BK57/BK58</f>
        <v>907.06500000000005</v>
      </c>
      <c r="BL59" s="67">
        <f t="shared" ref="BL59:BM59" si="920">BL57/BL58</f>
        <v>907.06500000000005</v>
      </c>
      <c r="BM59" s="67">
        <f t="shared" si="920"/>
        <v>907.06500000000005</v>
      </c>
      <c r="BN59" s="67">
        <f t="shared" ref="BN59:BO59" si="921">BN57/BN58</f>
        <v>907.06500000000005</v>
      </c>
      <c r="BO59" s="67">
        <f t="shared" si="921"/>
        <v>907.06500000000005</v>
      </c>
      <c r="BP59" s="67">
        <f t="shared" ref="BP59:BQ59" si="922">BP57/BP58</f>
        <v>907.06500000000005</v>
      </c>
      <c r="BQ59" s="67">
        <f t="shared" si="922"/>
        <v>907.06500000000005</v>
      </c>
      <c r="BR59" s="67">
        <f t="shared" ref="BR59" si="923">BR57/BR58</f>
        <v>907.06500000000005</v>
      </c>
      <c r="BS59" s="67">
        <f t="shared" ref="BS59:BT59" si="924">BS57/BS58</f>
        <v>907.06500000000005</v>
      </c>
      <c r="BT59" s="67">
        <f t="shared" si="924"/>
        <v>907.06500000000005</v>
      </c>
      <c r="BU59" s="67">
        <f t="shared" ref="BU59" si="925">BU57/BU58</f>
        <v>907.06500000000005</v>
      </c>
      <c r="BV59" s="67">
        <f t="shared" ref="BV59:BX59" si="926">BV57/BV58</f>
        <v>907.06500000000005</v>
      </c>
      <c r="BW59" s="67">
        <f t="shared" ref="BW59:BY59" si="927">BW57/BW58</f>
        <v>907.06500000000005</v>
      </c>
      <c r="BX59" s="67">
        <f t="shared" si="926"/>
        <v>907.06500000000005</v>
      </c>
      <c r="BY59" s="67">
        <f t="shared" si="927"/>
        <v>907.06500000000005</v>
      </c>
      <c r="BZ59" s="68">
        <f t="shared" ref="BZ59:CC59" si="928">BZ57/BZ58</f>
        <v>907.06500000000005</v>
      </c>
      <c r="CA59" s="68">
        <f t="shared" si="928"/>
        <v>907.06500000000005</v>
      </c>
      <c r="CB59" s="68">
        <f t="shared" si="928"/>
        <v>907.06500000000005</v>
      </c>
      <c r="CC59" s="68">
        <f t="shared" si="928"/>
        <v>907.06500000000005</v>
      </c>
      <c r="CD59" s="68">
        <f t="shared" ref="CD59:CO59" si="929">CD57/CD58</f>
        <v>907.06500000000005</v>
      </c>
      <c r="CE59" s="68">
        <f t="shared" si="929"/>
        <v>907.06500000000005</v>
      </c>
      <c r="CF59" s="68">
        <f t="shared" si="929"/>
        <v>907.06500000000005</v>
      </c>
      <c r="CG59" s="68">
        <f t="shared" si="929"/>
        <v>907.06500000000005</v>
      </c>
      <c r="CH59" s="68">
        <f t="shared" si="929"/>
        <v>907.06500000000005</v>
      </c>
      <c r="CI59" s="68">
        <f t="shared" si="929"/>
        <v>907.06500000000005</v>
      </c>
      <c r="CJ59" s="68">
        <f t="shared" si="929"/>
        <v>907.06500000000005</v>
      </c>
      <c r="CK59" s="68">
        <f t="shared" si="929"/>
        <v>907.06500000000005</v>
      </c>
      <c r="CL59" s="68">
        <f t="shared" si="929"/>
        <v>907.06500000000005</v>
      </c>
      <c r="CM59" s="68">
        <f t="shared" si="929"/>
        <v>907.06500000000005</v>
      </c>
      <c r="CN59" s="68">
        <f t="shared" si="929"/>
        <v>907.06500000000005</v>
      </c>
      <c r="CO59" s="68">
        <f t="shared" si="929"/>
        <v>907.06500000000005</v>
      </c>
      <c r="CS59" s="67">
        <v>907.06500000000005</v>
      </c>
      <c r="CX59" s="66">
        <v>907.06515000000002</v>
      </c>
    </row>
    <row r="60" spans="1:102" s="38" customFormat="1" x14ac:dyDescent="0.2">
      <c r="A60" s="38" t="s">
        <v>35</v>
      </c>
      <c r="B60" s="38">
        <f t="shared" ref="B60:X60" si="930">B51/B59</f>
        <v>0.31431038884031626</v>
      </c>
      <c r="C60" s="38">
        <f t="shared" si="930"/>
        <v>0.81736135491480422</v>
      </c>
      <c r="D60" s="38">
        <f t="shared" si="930"/>
        <v>1.1232841433716199</v>
      </c>
      <c r="E60" s="38">
        <f t="shared" si="930"/>
        <v>1.4750931617205227</v>
      </c>
      <c r="F60" s="38">
        <f t="shared" si="930"/>
        <v>1.223180606156018</v>
      </c>
      <c r="G60" s="38">
        <f t="shared" si="930"/>
        <v>1.4808418116383371</v>
      </c>
      <c r="H60" s="38">
        <f t="shared" si="930"/>
        <v>1.5663814225472128</v>
      </c>
      <c r="I60" s="38">
        <f t="shared" si="930"/>
        <v>1.7253520323209406</v>
      </c>
      <c r="J60" s="38">
        <f t="shared" si="930"/>
        <v>2.284753195511922</v>
      </c>
      <c r="K60" s="38">
        <f t="shared" si="930"/>
        <v>3.3309960150050939</v>
      </c>
      <c r="L60" s="38">
        <f t="shared" si="930"/>
        <v>4.4383671889499885</v>
      </c>
      <c r="M60" s="38">
        <f t="shared" si="930"/>
        <v>3.6190487530030224</v>
      </c>
      <c r="N60" s="38">
        <f t="shared" si="930"/>
        <v>3.1663689206888814</v>
      </c>
      <c r="O60" s="38">
        <f t="shared" si="930"/>
        <v>2.688003833021253</v>
      </c>
      <c r="P60" s="38">
        <f t="shared" si="930"/>
        <v>2.979526002073829</v>
      </c>
      <c r="Q60" s="38">
        <f t="shared" si="930"/>
        <v>-3.1010152909082631</v>
      </c>
      <c r="R60" s="38">
        <f t="shared" si="930"/>
        <v>1.2368705820083616</v>
      </c>
      <c r="S60" s="38">
        <f t="shared" si="930"/>
        <v>-4.6548338892746601</v>
      </c>
      <c r="T60" s="38">
        <f t="shared" si="930"/>
        <v>0.38256910212017553</v>
      </c>
      <c r="U60" s="38">
        <f t="shared" si="930"/>
        <v>-2.4647795144593569</v>
      </c>
      <c r="V60" s="38">
        <f t="shared" si="930"/>
        <v>2.8196175324341328</v>
      </c>
      <c r="W60" s="38">
        <f t="shared" si="930"/>
        <v>6.2602018168154761</v>
      </c>
      <c r="X60" s="38">
        <f t="shared" si="930"/>
        <v>11.690191051877584</v>
      </c>
      <c r="Y60" s="38">
        <f t="shared" ref="Y60" si="931">Y51/Y59</f>
        <v>16.045505882350355</v>
      </c>
      <c r="Z60" s="38">
        <f t="shared" ref="Z60:AA60" si="932">Z51/Z59</f>
        <v>18.77116676789975</v>
      </c>
      <c r="AA60" s="38">
        <f t="shared" ref="AA60" si="933">AA51/AA59</f>
        <v>21.152473116181334</v>
      </c>
      <c r="AB60" s="39">
        <f t="shared" ref="AB60" si="934">AB51/AB59</f>
        <v>21.28434912921265</v>
      </c>
      <c r="AC60" s="39">
        <f t="shared" ref="AC60" si="935">AC51/AC59</f>
        <v>23.095428450167816</v>
      </c>
      <c r="AD60" s="39">
        <f t="shared" ref="AD60" si="936">AD51/AD59</f>
        <v>23.825485182057111</v>
      </c>
      <c r="AE60" s="39">
        <f t="shared" ref="AE60" si="937">AE51/AE59</f>
        <v>26.144682510222548</v>
      </c>
      <c r="AG60" s="60"/>
      <c r="AH60" s="38">
        <f t="shared" ref="AH60:AL60" si="938">AH51/AH59</f>
        <v>9.2942546583850874</v>
      </c>
      <c r="AI60" s="38">
        <f t="shared" si="938"/>
        <v>9.7397742131530958</v>
      </c>
      <c r="AJ60" s="38">
        <f t="shared" si="938"/>
        <v>1.564853864712064</v>
      </c>
      <c r="AK60" s="38">
        <f t="shared" si="938"/>
        <v>-71.925633989576227</v>
      </c>
      <c r="AL60" s="38">
        <f t="shared" si="938"/>
        <v>4.2164680749185202</v>
      </c>
      <c r="AM60" s="38">
        <f t="shared" ref="AM60" si="939">AM51/AM59</f>
        <v>6.573049227425936</v>
      </c>
      <c r="AN60" s="38">
        <f t="shared" ref="AN60" si="940">AN51/AN59</f>
        <v>5.9279176412088619</v>
      </c>
      <c r="AO60" s="38">
        <f t="shared" ref="AO60" si="941">AO51/AO59</f>
        <v>3.5858628137085886</v>
      </c>
      <c r="AP60" s="38">
        <f t="shared" ref="AP60" si="942">AP51/AP59</f>
        <v>4.2123591555190929</v>
      </c>
      <c r="AQ60" s="38">
        <f t="shared" ref="AQ60" si="943">AQ51/AQ59</f>
        <v>4.3560079693281599</v>
      </c>
      <c r="AR60" s="38">
        <f t="shared" ref="AR60" si="944">AR51/AR59</f>
        <v>2.1053424634599458</v>
      </c>
      <c r="AS60" s="38">
        <f t="shared" ref="AS60" si="945">AS51/AS59</f>
        <v>-66.278026294255653</v>
      </c>
      <c r="AT60" s="38">
        <f t="shared" ref="AT60" si="946">AT51/AT59</f>
        <v>0.31033057167898587</v>
      </c>
      <c r="AU60" s="38">
        <f t="shared" ref="AU60" si="947">AU51/AU59</f>
        <v>0.33022991737086116</v>
      </c>
      <c r="AV60" s="38">
        <f t="shared" ref="AV60:AW60" si="948">AV51/AV59</f>
        <v>0.3500520910849822</v>
      </c>
      <c r="AW60" s="38">
        <f t="shared" si="948"/>
        <v>-0.60803801271132762</v>
      </c>
      <c r="AX60" s="38">
        <f t="shared" ref="AX60:BB60" si="949">AX51/AX59</f>
        <v>0.36278546741413298</v>
      </c>
      <c r="AY60" s="38">
        <f t="shared" si="949"/>
        <v>0.40230854459162296</v>
      </c>
      <c r="AZ60" s="38">
        <f t="shared" si="949"/>
        <v>0.36339181866789971</v>
      </c>
      <c r="BA60" s="38">
        <f t="shared" si="949"/>
        <v>-3.5932706035399886</v>
      </c>
      <c r="BB60" s="38">
        <f t="shared" si="949"/>
        <v>0.4478620606020533</v>
      </c>
      <c r="BC60" s="38">
        <f t="shared" ref="BC60:BF60" si="950">BC51/BC59</f>
        <v>0.48994283761362428</v>
      </c>
      <c r="BD60" s="38">
        <f t="shared" si="950"/>
        <v>0.76737609763357661</v>
      </c>
      <c r="BE60" s="38">
        <f t="shared" si="950"/>
        <v>1.1144405307227156</v>
      </c>
      <c r="BF60" s="38">
        <f t="shared" si="950"/>
        <v>1.2981098377734763</v>
      </c>
      <c r="BG60" s="38">
        <f t="shared" ref="BG60:BH60" si="951">BG51/BG59</f>
        <v>1.4691449896093447</v>
      </c>
      <c r="BH60" s="38">
        <f t="shared" si="951"/>
        <v>1.6560224460209549</v>
      </c>
      <c r="BI60" s="38">
        <f t="shared" ref="BI60:BJ60" si="952">BI51/BI59</f>
        <v>1.8369356110091355</v>
      </c>
      <c r="BJ60" s="38">
        <f t="shared" si="952"/>
        <v>2.2292007739246902</v>
      </c>
      <c r="BK60" s="38">
        <f t="shared" ref="BK60" si="953">BK51/BK59</f>
        <v>2.784221637920103</v>
      </c>
      <c r="BL60" s="38">
        <f t="shared" ref="BL60:BM60" si="954">BL51/BL59</f>
        <v>3.1767513904736697</v>
      </c>
      <c r="BM60" s="38">
        <f t="shared" si="954"/>
        <v>3.5000137807103116</v>
      </c>
      <c r="BN60" s="38">
        <f t="shared" ref="BN60:BO60" si="955">BN51/BN59</f>
        <v>3.8970084834052687</v>
      </c>
      <c r="BO60" s="38">
        <f t="shared" si="955"/>
        <v>3.9756136550302372</v>
      </c>
      <c r="BP60" s="38">
        <f t="shared" ref="BP60:BQ60" si="956">BP51/BP59</f>
        <v>4.0307144471454661</v>
      </c>
      <c r="BQ60" s="38">
        <f t="shared" si="956"/>
        <v>4.1421838567247082</v>
      </c>
      <c r="BR60" s="38">
        <f t="shared" ref="BR60" si="957">BR51/BR59</f>
        <v>4.305402589671079</v>
      </c>
      <c r="BS60" s="38">
        <f t="shared" ref="BS60:BT60" si="958">BS51/BS59</f>
        <v>4.4258459978061113</v>
      </c>
      <c r="BT60" s="38">
        <f t="shared" si="958"/>
        <v>4.5247033013069622</v>
      </c>
      <c r="BU60" s="38">
        <f t="shared" ref="BU60" si="959">BU51/BU59</f>
        <v>5.5152166603275417</v>
      </c>
      <c r="BV60" s="38">
        <f t="shared" ref="BV60:BX60" si="960">BV51/BV59</f>
        <v>5.2389079062691231</v>
      </c>
      <c r="BW60" s="38">
        <f t="shared" ref="BW60:BY60" si="961">BW51/BW59</f>
        <v>5.2630847844421282</v>
      </c>
      <c r="BX60" s="38">
        <f t="shared" si="960"/>
        <v>5.6832862033040632</v>
      </c>
      <c r="BY60" s="38">
        <f t="shared" si="961"/>
        <v>4.9671963971710928</v>
      </c>
      <c r="BZ60" s="39">
        <f t="shared" ref="BZ60:CC60" si="962">BZ51/BZ59</f>
        <v>5.3444215688683556</v>
      </c>
      <c r="CA60" s="39">
        <f t="shared" si="962"/>
        <v>5.4403668843578803</v>
      </c>
      <c r="CB60" s="39">
        <f t="shared" si="962"/>
        <v>5.2987688080126141</v>
      </c>
      <c r="CC60" s="39">
        <f t="shared" si="962"/>
        <v>5.2007918679737948</v>
      </c>
      <c r="CD60" s="39">
        <f t="shared" ref="CD60:CO60" si="963">CD51/CD59</f>
        <v>5.7103138690437527</v>
      </c>
      <c r="CE60" s="39">
        <f t="shared" si="963"/>
        <v>5.857204055937161</v>
      </c>
      <c r="CF60" s="39">
        <f t="shared" si="963"/>
        <v>5.7300656265172787</v>
      </c>
      <c r="CG60" s="39">
        <f t="shared" si="963"/>
        <v>5.7978448986695943</v>
      </c>
      <c r="CH60" s="39">
        <f t="shared" si="963"/>
        <v>5.7071878155217473</v>
      </c>
      <c r="CI60" s="39">
        <f t="shared" si="963"/>
        <v>5.7465574426877621</v>
      </c>
      <c r="CJ60" s="39">
        <f t="shared" si="963"/>
        <v>6.1564234805802736</v>
      </c>
      <c r="CK60" s="39">
        <f t="shared" si="963"/>
        <v>6.2153164432673274</v>
      </c>
      <c r="CL60" s="39">
        <f t="shared" si="963"/>
        <v>6.2304055388278261</v>
      </c>
      <c r="CM60" s="39">
        <f t="shared" si="963"/>
        <v>6.421916089100594</v>
      </c>
      <c r="CN60" s="39">
        <f t="shared" si="963"/>
        <v>6.7026019379397672</v>
      </c>
      <c r="CO60" s="39">
        <f t="shared" si="963"/>
        <v>6.7897589443543849</v>
      </c>
      <c r="CS60" s="38">
        <v>5.2090201138278989</v>
      </c>
      <c r="CX60" s="38">
        <v>21.152473116181334</v>
      </c>
    </row>
    <row r="61" spans="1:102" s="43" customFormat="1" x14ac:dyDescent="0.2">
      <c r="A61" s="43" t="s">
        <v>43</v>
      </c>
      <c r="B61" s="43">
        <f t="shared" ref="B61:AB61" si="964">+B60</f>
        <v>0.31431038884031626</v>
      </c>
      <c r="C61" s="43">
        <f t="shared" si="964"/>
        <v>0.81736135491480422</v>
      </c>
      <c r="D61" s="43">
        <f t="shared" si="964"/>
        <v>1.1232841433716199</v>
      </c>
      <c r="E61" s="43">
        <f t="shared" si="964"/>
        <v>1.4750931617205227</v>
      </c>
      <c r="F61" s="43">
        <f t="shared" si="964"/>
        <v>1.223180606156018</v>
      </c>
      <c r="G61" s="43">
        <f t="shared" si="964"/>
        <v>1.4808418116383371</v>
      </c>
      <c r="H61" s="43">
        <f t="shared" si="964"/>
        <v>1.5663814225472128</v>
      </c>
      <c r="I61" s="43">
        <f t="shared" si="964"/>
        <v>1.7253520323209406</v>
      </c>
      <c r="J61" s="43">
        <f t="shared" si="964"/>
        <v>2.284753195511922</v>
      </c>
      <c r="K61" s="43">
        <f t="shared" si="964"/>
        <v>3.3309960150050939</v>
      </c>
      <c r="L61" s="43">
        <f t="shared" si="964"/>
        <v>4.4383671889499885</v>
      </c>
      <c r="M61" s="43">
        <f t="shared" si="964"/>
        <v>3.6190487530030224</v>
      </c>
      <c r="N61" s="43">
        <f t="shared" si="964"/>
        <v>3.1663689206888814</v>
      </c>
      <c r="O61" s="43">
        <f t="shared" si="964"/>
        <v>2.688003833021253</v>
      </c>
      <c r="P61" s="43">
        <f t="shared" si="964"/>
        <v>2.979526002073829</v>
      </c>
      <c r="Q61" s="43">
        <f t="shared" si="964"/>
        <v>-3.1010152909082631</v>
      </c>
      <c r="R61" s="43">
        <f t="shared" si="964"/>
        <v>1.2368705820083616</v>
      </c>
      <c r="S61" s="43">
        <f t="shared" si="964"/>
        <v>-4.6548338892746601</v>
      </c>
      <c r="T61" s="43">
        <f t="shared" si="964"/>
        <v>0.38256910212017553</v>
      </c>
      <c r="U61" s="43">
        <f t="shared" si="964"/>
        <v>-2.4647795144593569</v>
      </c>
      <c r="V61" s="43">
        <f t="shared" si="964"/>
        <v>2.8196175324341328</v>
      </c>
      <c r="W61" s="43">
        <f t="shared" si="964"/>
        <v>6.2602018168154761</v>
      </c>
      <c r="X61" s="43">
        <f t="shared" si="964"/>
        <v>11.690191051877584</v>
      </c>
      <c r="Y61" s="43">
        <f t="shared" si="964"/>
        <v>16.045505882350355</v>
      </c>
      <c r="Z61" s="43">
        <f t="shared" si="964"/>
        <v>18.77116676789975</v>
      </c>
      <c r="AA61" s="43">
        <f t="shared" ref="AA61" si="965">+AA60</f>
        <v>21.152473116181334</v>
      </c>
      <c r="AB61" s="44">
        <f t="shared" si="964"/>
        <v>21.28434912921265</v>
      </c>
      <c r="AC61" s="44">
        <f t="shared" ref="AC61" si="966">+AC60</f>
        <v>23.095428450167816</v>
      </c>
      <c r="AD61" s="44">
        <f t="shared" ref="AD61" si="967">+AD60</f>
        <v>23.825485182057111</v>
      </c>
      <c r="AE61" s="44">
        <f t="shared" ref="AE61" si="968">+AE60</f>
        <v>26.144682510222548</v>
      </c>
      <c r="AG61" s="62"/>
      <c r="AK61" s="43">
        <f t="shared" ref="AK61:AN61" si="969">AK60+AJ60+AI60+AH60</f>
        <v>-51.32675125332598</v>
      </c>
      <c r="AL61" s="43">
        <f t="shared" si="969"/>
        <v>-56.404537836792542</v>
      </c>
      <c r="AM61" s="43">
        <f t="shared" si="969"/>
        <v>-59.571262822519707</v>
      </c>
      <c r="AN61" s="43">
        <f t="shared" si="969"/>
        <v>-55.208199046022912</v>
      </c>
      <c r="AO61" s="43">
        <f>AO60+AN60+AM60+AL60</f>
        <v>20.303297757261905</v>
      </c>
      <c r="AP61" s="43">
        <f t="shared" ref="AP61:AV61" si="970">AP60+AO60+AN60+AM60</f>
        <v>20.299188837862481</v>
      </c>
      <c r="AQ61" s="43">
        <f t="shared" si="970"/>
        <v>18.082147579764705</v>
      </c>
      <c r="AR61" s="43">
        <f t="shared" si="970"/>
        <v>14.259572402015786</v>
      </c>
      <c r="AS61" s="43">
        <f t="shared" si="970"/>
        <v>-55.604316705948449</v>
      </c>
      <c r="AT61" s="43">
        <f t="shared" si="970"/>
        <v>-59.506345289788555</v>
      </c>
      <c r="AU61" s="43">
        <f t="shared" si="970"/>
        <v>-63.532123341745859</v>
      </c>
      <c r="AV61" s="43">
        <f t="shared" si="970"/>
        <v>-65.287413714120831</v>
      </c>
      <c r="AW61" s="43">
        <f>AW60+AV60+AU60+AT60</f>
        <v>0.3825745674235016</v>
      </c>
      <c r="AX61" s="43">
        <f t="shared" ref="AX61:BB61" si="971">AX60+AW60+AV60+AU60</f>
        <v>0.43502946315864871</v>
      </c>
      <c r="AY61" s="43">
        <f t="shared" si="971"/>
        <v>0.50710809037941051</v>
      </c>
      <c r="AZ61" s="43">
        <f t="shared" si="971"/>
        <v>0.52044781796232797</v>
      </c>
      <c r="BA61" s="43">
        <f t="shared" si="971"/>
        <v>-2.464784772866333</v>
      </c>
      <c r="BB61" s="43">
        <f t="shared" si="971"/>
        <v>-2.3797081796784125</v>
      </c>
      <c r="BC61" s="43">
        <f t="shared" ref="BC61" si="972">BC60+BB60+BA60+AZ60</f>
        <v>-2.2920738866564112</v>
      </c>
      <c r="BD61" s="43">
        <f t="shared" ref="BD61" si="973">BD60+BC60+BB60+BA60</f>
        <v>-1.8880896076907343</v>
      </c>
      <c r="BE61" s="43">
        <f t="shared" ref="BE61" si="974">BE60+BD60+BC60+BB60</f>
        <v>2.8196215265719697</v>
      </c>
      <c r="BF61" s="43">
        <f t="shared" ref="BF61:BH61" si="975">BF60+BE60+BD60+BC60</f>
        <v>3.6698693037433929</v>
      </c>
      <c r="BG61" s="43">
        <f t="shared" si="975"/>
        <v>4.6490714557391133</v>
      </c>
      <c r="BH61" s="43">
        <f t="shared" si="975"/>
        <v>5.5377178041264914</v>
      </c>
      <c r="BI61" s="43">
        <f t="shared" ref="BI61" si="976">BI60+BH60+BG60+BF60</f>
        <v>6.2602128844129119</v>
      </c>
      <c r="BJ61" s="43">
        <f t="shared" ref="BJ61:BK61" si="977">BJ60+BI60+BH60+BG60</f>
        <v>7.1913038205641255</v>
      </c>
      <c r="BK61" s="43">
        <f t="shared" si="977"/>
        <v>8.5063804688748839</v>
      </c>
      <c r="BL61" s="43">
        <f t="shared" ref="BL61" si="978">BL60+BK60+BJ60+BI60</f>
        <v>10.027109413327597</v>
      </c>
      <c r="BM61" s="43">
        <f t="shared" ref="BM61" si="979">BM60+BL60+BK60+BJ60</f>
        <v>11.690187583028775</v>
      </c>
      <c r="BN61" s="43">
        <f t="shared" ref="BN61" si="980">BN60+BM60+BL60+BK60</f>
        <v>13.357995292509353</v>
      </c>
      <c r="BO61" s="43">
        <f t="shared" ref="BO61" si="981">BO60+BN60+BM60+BL60</f>
        <v>14.549387309619487</v>
      </c>
      <c r="BP61" s="43">
        <f t="shared" ref="BP61" si="982">BP60+BO60+BN60+BM60</f>
        <v>15.403350366291285</v>
      </c>
      <c r="BQ61" s="43">
        <f t="shared" ref="BQ61" si="983">BQ60+BP60+BO60+BN60</f>
        <v>16.04552044230568</v>
      </c>
      <c r="BR61" s="43">
        <f t="shared" ref="BR61" si="984">BR60+BQ60+BP60+BO60</f>
        <v>16.45391454857149</v>
      </c>
      <c r="BS61" s="43">
        <f t="shared" ref="BS61" si="985">BS60+BR60+BQ60+BP60</f>
        <v>16.904146891347363</v>
      </c>
      <c r="BT61" s="43">
        <f t="shared" ref="BT61:BU61" si="986">BT60+BS60+BR60+BQ60</f>
        <v>17.39813574550886</v>
      </c>
      <c r="BU61" s="43">
        <f t="shared" si="986"/>
        <v>18.771168549111692</v>
      </c>
      <c r="BV61" s="43">
        <f t="shared" ref="BV61:BY61" si="987">BV60+BU60+BT60+BS60</f>
        <v>19.70467386570974</v>
      </c>
      <c r="BW61" s="43">
        <f t="shared" si="987"/>
        <v>20.541912652345758</v>
      </c>
      <c r="BX61" s="43">
        <f t="shared" ref="BX61" si="988">BX60+BW60+BV60+BU60</f>
        <v>21.700495554342858</v>
      </c>
      <c r="BY61" s="43">
        <f t="shared" si="987"/>
        <v>21.152475291186406</v>
      </c>
      <c r="BZ61" s="44">
        <f t="shared" ref="BZ61" si="989">BZ60+BY60+BX60+BW60</f>
        <v>21.257988953785642</v>
      </c>
      <c r="CA61" s="44">
        <f t="shared" ref="CA61" si="990">CA60+BZ60+BY60+BX60</f>
        <v>21.435271053701392</v>
      </c>
      <c r="CB61" s="44">
        <f t="shared" ref="CB61" si="991">CB60+CA60+BZ60+BY60</f>
        <v>21.050753658409946</v>
      </c>
      <c r="CC61" s="44">
        <f t="shared" ref="CC61" si="992">CC60+CB60+CA60+BZ60</f>
        <v>21.284349129212643</v>
      </c>
      <c r="CD61" s="44">
        <f t="shared" ref="CD61" si="993">CD60+CC60+CB60+CA60</f>
        <v>21.650241429388039</v>
      </c>
      <c r="CE61" s="44">
        <f t="shared" ref="CE61" si="994">CE60+CD60+CC60+CB60</f>
        <v>22.067078600967324</v>
      </c>
      <c r="CF61" s="44">
        <f t="shared" ref="CF61" si="995">CF60+CE60+CD60+CC60</f>
        <v>22.498375419471987</v>
      </c>
      <c r="CG61" s="44">
        <f t="shared" ref="CG61" si="996">CG60+CF60+CE60+CD60</f>
        <v>23.095428450167784</v>
      </c>
      <c r="CH61" s="44">
        <f t="shared" ref="CH61" si="997">CH60+CG60+CF60+CE60</f>
        <v>23.092302396645778</v>
      </c>
      <c r="CI61" s="44">
        <f t="shared" ref="CI61" si="998">CI60+CH60+CG60+CF60</f>
        <v>22.981655783396384</v>
      </c>
      <c r="CJ61" s="44">
        <f t="shared" ref="CJ61" si="999">CJ60+CI60+CH60+CG60</f>
        <v>23.408013637459376</v>
      </c>
      <c r="CK61" s="44">
        <f t="shared" ref="CK61" si="1000">CK60+CJ60+CI60+CH60</f>
        <v>23.825485182057108</v>
      </c>
      <c r="CL61" s="44">
        <f t="shared" ref="CL61" si="1001">CL60+CK60+CJ60+CI60</f>
        <v>24.34870290536319</v>
      </c>
      <c r="CM61" s="44">
        <f t="shared" ref="CM61" si="1002">CM60+CL60+CK60+CJ60</f>
        <v>25.024061551776018</v>
      </c>
      <c r="CN61" s="44">
        <f t="shared" ref="CN61" si="1003">CN60+CM60+CL60+CK60</f>
        <v>25.570240009135514</v>
      </c>
      <c r="CO61" s="44">
        <f t="shared" ref="CO61" si="1004">CO60+CN60+CM60+CL60</f>
        <v>26.144682510222573</v>
      </c>
      <c r="CS61" s="43">
        <v>21.226229464866691</v>
      </c>
      <c r="CX61" s="43">
        <v>21.152473116181334</v>
      </c>
    </row>
    <row r="62" spans="1:102" s="129" customFormat="1" x14ac:dyDescent="0.2">
      <c r="A62" s="129" t="s">
        <v>384</v>
      </c>
      <c r="AB62" s="130"/>
      <c r="AC62" s="130"/>
      <c r="AD62" s="130"/>
      <c r="AE62" s="130"/>
      <c r="AG62" s="131"/>
      <c r="BZ62" s="130"/>
      <c r="CA62" s="130"/>
      <c r="CB62" s="130"/>
      <c r="CC62" s="145">
        <v>20.5</v>
      </c>
      <c r="CD62" s="130"/>
      <c r="CE62" s="130"/>
      <c r="CF62" s="130"/>
      <c r="CG62" s="145">
        <v>22.9</v>
      </c>
      <c r="CH62" s="130"/>
      <c r="CI62" s="130"/>
      <c r="CJ62" s="130"/>
      <c r="CK62" s="130">
        <v>23.1</v>
      </c>
      <c r="CL62" s="130"/>
      <c r="CM62" s="130"/>
      <c r="CN62" s="130"/>
      <c r="CO62" s="130"/>
    </row>
    <row r="63" spans="1:102" s="129" customFormat="1" x14ac:dyDescent="0.2">
      <c r="A63" s="129" t="s">
        <v>385</v>
      </c>
      <c r="AB63" s="130"/>
      <c r="AC63" s="130"/>
      <c r="AD63" s="130"/>
      <c r="AE63" s="130"/>
      <c r="AG63" s="131"/>
      <c r="BZ63" s="130"/>
      <c r="CA63" s="130"/>
      <c r="CB63" s="130"/>
      <c r="CC63" s="130">
        <f>+CC61/CC62-1</f>
        <v>3.8260933132324038E-2</v>
      </c>
      <c r="CD63" s="130"/>
      <c r="CE63" s="130"/>
      <c r="CF63" s="130"/>
      <c r="CG63" s="130">
        <f>+CG61/CG62-1</f>
        <v>8.5339934571084797E-3</v>
      </c>
      <c r="CH63" s="130"/>
      <c r="CI63" s="130"/>
      <c r="CJ63" s="130"/>
      <c r="CK63" s="130">
        <f>+CK61/CK62-1</f>
        <v>3.1406284937537166E-2</v>
      </c>
      <c r="CL63" s="130"/>
      <c r="CM63" s="130"/>
      <c r="CN63" s="130"/>
      <c r="CO63" s="130"/>
    </row>
    <row r="64" spans="1:102" s="50" customFormat="1" x14ac:dyDescent="0.2">
      <c r="A64" s="50" t="s">
        <v>36</v>
      </c>
      <c r="B64" s="50">
        <f t="shared" ref="B64:AE64" si="1005">B104/B59</f>
        <v>3.1028090981116407</v>
      </c>
      <c r="C64" s="50">
        <f t="shared" si="1005"/>
        <v>3.8271727229295496</v>
      </c>
      <c r="D64" s="50">
        <f t="shared" si="1005"/>
        <v>4.5739033188520137</v>
      </c>
      <c r="E64" s="50">
        <f t="shared" si="1005"/>
        <v>5.7897087105595446</v>
      </c>
      <c r="F64" s="50">
        <f t="shared" si="1005"/>
        <v>6.7348604452502663</v>
      </c>
      <c r="G64" s="50">
        <f t="shared" si="1005"/>
        <v>7.86298073517652</v>
      </c>
      <c r="H64" s="50">
        <f t="shared" si="1005"/>
        <v>11.414820754606215</v>
      </c>
      <c r="I64" s="50">
        <f t="shared" si="1005"/>
        <v>11.576337487996314</v>
      </c>
      <c r="J64" s="50">
        <f t="shared" si="1005"/>
        <v>13.45853624736878</v>
      </c>
      <c r="K64" s="50">
        <f t="shared" si="1005"/>
        <v>16.175005069922484</v>
      </c>
      <c r="L64" s="50">
        <f t="shared" si="1005"/>
        <v>22.0930313550245</v>
      </c>
      <c r="M64" s="50">
        <f t="shared" si="1005"/>
        <v>25.014692274309073</v>
      </c>
      <c r="N64" s="50">
        <f t="shared" si="1005"/>
        <v>27.42668362906457</v>
      </c>
      <c r="O64" s="50">
        <f t="shared" si="1005"/>
        <v>32.654890555546089</v>
      </c>
      <c r="P64" s="50">
        <f t="shared" si="1005"/>
        <v>35.123422501680281</v>
      </c>
      <c r="Q64" s="50">
        <f t="shared" si="1005"/>
        <v>34.841158322530632</v>
      </c>
      <c r="R64" s="50">
        <f t="shared" si="1005"/>
        <v>37.13684458056845</v>
      </c>
      <c r="S64" s="50">
        <f t="shared" si="1005"/>
        <v>39.252788953472638</v>
      </c>
      <c r="T64" s="50">
        <f t="shared" si="1005"/>
        <v>39.883829623484047</v>
      </c>
      <c r="U64" s="50">
        <f t="shared" si="1005"/>
        <v>43.318789835548195</v>
      </c>
      <c r="V64" s="50">
        <f t="shared" si="1005"/>
        <v>64.918084549935571</v>
      </c>
      <c r="W64" s="50">
        <f t="shared" si="1005"/>
        <v>72.884854632547615</v>
      </c>
      <c r="X64" s="50">
        <f t="shared" si="1005"/>
        <v>81.148724543104763</v>
      </c>
      <c r="Y64" s="50">
        <f t="shared" si="1005"/>
        <v>95.863666242716974</v>
      </c>
      <c r="Z64" s="50">
        <f t="shared" si="1005"/>
        <v>110.13553646063902</v>
      </c>
      <c r="AA64" s="50">
        <f t="shared" ref="AA64" si="1006">AA104/AA59</f>
        <v>124.99941586334786</v>
      </c>
      <c r="AB64" s="51">
        <f t="shared" si="1005"/>
        <v>146.28378136394772</v>
      </c>
      <c r="AC64" s="51">
        <f t="shared" si="1005"/>
        <v>169.37920981411554</v>
      </c>
      <c r="AD64" s="51">
        <f t="shared" si="1005"/>
        <v>193.20469499617263</v>
      </c>
      <c r="AE64" s="51">
        <f t="shared" si="1005"/>
        <v>219.34937750639523</v>
      </c>
      <c r="AG64" s="64"/>
      <c r="AH64" s="50">
        <f t="shared" ref="AH64:BM64" si="1007">AH104/AH59</f>
        <v>657.8569487577638</v>
      </c>
      <c r="AI64" s="50">
        <f t="shared" si="1007"/>
        <v>653.42142580894676</v>
      </c>
      <c r="AJ64" s="50">
        <f t="shared" si="1007"/>
        <v>654.38074366010426</v>
      </c>
      <c r="AK64" s="50">
        <f t="shared" si="1007"/>
        <v>582.02176835669172</v>
      </c>
      <c r="AL64" s="50">
        <f t="shared" si="1007"/>
        <v>585.80452678686538</v>
      </c>
      <c r="AM64" s="50">
        <f t="shared" si="1007"/>
        <v>591.48069025212249</v>
      </c>
      <c r="AN64" s="50">
        <f t="shared" si="1007"/>
        <v>597.22462660454153</v>
      </c>
      <c r="AO64" s="50">
        <f t="shared" si="1007"/>
        <v>563.97294446583737</v>
      </c>
      <c r="AP64" s="50">
        <f t="shared" si="1007"/>
        <v>566.97299469269535</v>
      </c>
      <c r="AQ64" s="50">
        <f t="shared" si="1007"/>
        <v>571.38642870297519</v>
      </c>
      <c r="AR64" s="50">
        <f t="shared" si="1007"/>
        <v>572.92470993989525</v>
      </c>
      <c r="AS64" s="50">
        <f t="shared" si="1007"/>
        <v>485.58221046314981</v>
      </c>
      <c r="AT64" s="50">
        <f t="shared" si="1007"/>
        <v>39.594946337914031</v>
      </c>
      <c r="AU64" s="50">
        <f t="shared" si="1007"/>
        <v>40.019546559507852</v>
      </c>
      <c r="AV64" s="50">
        <f t="shared" si="1007"/>
        <v>40.277995513000711</v>
      </c>
      <c r="AW64" s="50">
        <f t="shared" si="1007"/>
        <v>39.883834124346102</v>
      </c>
      <c r="AX64" s="50">
        <f t="shared" si="1007"/>
        <v>40.356137652759173</v>
      </c>
      <c r="AY64" s="50">
        <f t="shared" si="1007"/>
        <v>48.050558669996079</v>
      </c>
      <c r="AZ64" s="50">
        <f t="shared" si="1007"/>
        <v>48.575570659214058</v>
      </c>
      <c r="BA64" s="50">
        <f t="shared" si="1007"/>
        <v>43.318791927811134</v>
      </c>
      <c r="BB64" s="50">
        <f t="shared" si="1007"/>
        <v>58.127653475770749</v>
      </c>
      <c r="BC64" s="50">
        <f t="shared" si="1007"/>
        <v>60.026458963800827</v>
      </c>
      <c r="BD64" s="50">
        <f t="shared" si="1007"/>
        <v>62.554833446335152</v>
      </c>
      <c r="BE64" s="50">
        <f t="shared" si="1007"/>
        <v>64.918092970184048</v>
      </c>
      <c r="BF64" s="50">
        <f t="shared" si="1007"/>
        <v>66.166029997850202</v>
      </c>
      <c r="BG64" s="50">
        <f t="shared" si="1007"/>
        <v>70.443375061324147</v>
      </c>
      <c r="BH64" s="50">
        <f t="shared" si="1007"/>
        <v>72.057195460082781</v>
      </c>
      <c r="BI64" s="50">
        <f t="shared" si="1007"/>
        <v>72.884864921477501</v>
      </c>
      <c r="BJ64" s="50">
        <f t="shared" si="1007"/>
        <v>75.067145132928729</v>
      </c>
      <c r="BK64" s="50">
        <f t="shared" si="1007"/>
        <v>77.763589158439586</v>
      </c>
      <c r="BL64" s="50">
        <f t="shared" si="1007"/>
        <v>80.085087617756173</v>
      </c>
      <c r="BM64" s="50">
        <f t="shared" si="1007"/>
        <v>81.148737962549546</v>
      </c>
      <c r="BN64" s="50">
        <f t="shared" ref="BN64:CO64" si="1008">BN104/BN59</f>
        <v>85.017688919757688</v>
      </c>
      <c r="BO64" s="50">
        <f t="shared" si="1008"/>
        <v>88.994548351000205</v>
      </c>
      <c r="BP64" s="50">
        <f t="shared" si="1008"/>
        <v>93.025097429621908</v>
      </c>
      <c r="BQ64" s="50">
        <f t="shared" si="1008"/>
        <v>95.863681213584485</v>
      </c>
      <c r="BR64" s="50">
        <f t="shared" si="1008"/>
        <v>102.15974599394751</v>
      </c>
      <c r="BS64" s="50">
        <f t="shared" si="1008"/>
        <v>107.02237436126407</v>
      </c>
      <c r="BT64" s="50">
        <f t="shared" si="1008"/>
        <v>108.28535992459194</v>
      </c>
      <c r="BU64" s="50">
        <f t="shared" si="1008"/>
        <v>110.13555809120625</v>
      </c>
      <c r="BV64" s="50">
        <f t="shared" si="1008"/>
        <v>115.15686306935005</v>
      </c>
      <c r="BW64" s="50">
        <f t="shared" ref="BW64:BX64" si="1009">BW104/BW59</f>
        <v>119.38594257302397</v>
      </c>
      <c r="BX64" s="50">
        <f t="shared" si="1009"/>
        <v>124.84135095059339</v>
      </c>
      <c r="BY64" s="50">
        <f t="shared" ref="BY64" si="1010">BY104/BY59</f>
        <v>124.9994322347351</v>
      </c>
      <c r="BZ64" s="51">
        <f t="shared" si="1008"/>
        <v>130.34385380360345</v>
      </c>
      <c r="CA64" s="51">
        <f t="shared" si="1008"/>
        <v>135.78422068796135</v>
      </c>
      <c r="CB64" s="51">
        <f t="shared" si="1008"/>
        <v>141.08298949597395</v>
      </c>
      <c r="CC64" s="51">
        <f t="shared" si="1008"/>
        <v>146.28378136394772</v>
      </c>
      <c r="CD64" s="51">
        <f t="shared" si="1008"/>
        <v>151.9940952329915</v>
      </c>
      <c r="CE64" s="51">
        <f t="shared" si="1008"/>
        <v>157.85129928892869</v>
      </c>
      <c r="CF64" s="51">
        <f t="shared" si="1008"/>
        <v>163.58136491544596</v>
      </c>
      <c r="CG64" s="51">
        <f t="shared" si="1008"/>
        <v>169.37920981411554</v>
      </c>
      <c r="CH64" s="51">
        <f t="shared" si="1008"/>
        <v>175.08639762963728</v>
      </c>
      <c r="CI64" s="51">
        <f t="shared" si="1008"/>
        <v>180.83295507232503</v>
      </c>
      <c r="CJ64" s="51">
        <f t="shared" si="1008"/>
        <v>186.98937855290529</v>
      </c>
      <c r="CK64" s="51">
        <f t="shared" si="1008"/>
        <v>193.20469499617263</v>
      </c>
      <c r="CL64" s="51">
        <f t="shared" si="1008"/>
        <v>199.43510053500046</v>
      </c>
      <c r="CM64" s="51">
        <f t="shared" si="1008"/>
        <v>205.85701662410108</v>
      </c>
      <c r="CN64" s="51">
        <f t="shared" si="1008"/>
        <v>212.55961856204084</v>
      </c>
      <c r="CO64" s="51">
        <f t="shared" si="1008"/>
        <v>219.34937750639523</v>
      </c>
      <c r="CS64" s="50">
        <v>124.59496268685187</v>
      </c>
      <c r="CX64" s="50">
        <v>124.99941586334786</v>
      </c>
    </row>
    <row r="65" spans="1:102" s="50" customFormat="1" x14ac:dyDescent="0.2">
      <c r="A65" s="50" t="s">
        <v>349</v>
      </c>
      <c r="C65" s="50">
        <f t="shared" ref="C65:AB65" si="1011">+C64-C73</f>
        <v>2.4067786090117123</v>
      </c>
      <c r="D65" s="50">
        <f t="shared" si="1011"/>
        <v>2.9710636551299539</v>
      </c>
      <c r="E65" s="50">
        <f t="shared" si="1011"/>
        <v>4.2701816953280591</v>
      </c>
      <c r="F65" s="50">
        <f t="shared" si="1011"/>
        <v>5.4942880343269715</v>
      </c>
      <c r="G65" s="50">
        <f t="shared" si="1011"/>
        <v>6.8937229040273458</v>
      </c>
      <c r="H65" s="50">
        <f t="shared" si="1011"/>
        <v>10.392876520501311</v>
      </c>
      <c r="I65" s="50">
        <f t="shared" si="1011"/>
        <v>10.585195892489089</v>
      </c>
      <c r="J65" s="50">
        <f t="shared" si="1011"/>
        <v>11.796858472624596</v>
      </c>
      <c r="K65" s="50">
        <f t="shared" si="1011"/>
        <v>14.19091385001397</v>
      </c>
      <c r="L65" s="50">
        <f t="shared" si="1011"/>
        <v>19.524406598577844</v>
      </c>
      <c r="M65" s="50">
        <f t="shared" si="1011"/>
        <v>21.281432320489881</v>
      </c>
      <c r="N65" s="50">
        <f t="shared" si="1011"/>
        <v>21.607840296807787</v>
      </c>
      <c r="O65" s="50">
        <f t="shared" si="1011"/>
        <v>26.078229551647969</v>
      </c>
      <c r="P65" s="50">
        <f t="shared" si="1011"/>
        <v>25.487852223183747</v>
      </c>
      <c r="Q65" s="50">
        <f t="shared" si="1011"/>
        <v>11.873778305781009</v>
      </c>
      <c r="R65" s="50">
        <f t="shared" si="1011"/>
        <v>13.269782771391899</v>
      </c>
      <c r="S65" s="50">
        <f t="shared" si="1011"/>
        <v>7.7860304742167656</v>
      </c>
      <c r="T65" s="50">
        <f t="shared" si="1011"/>
        <v>14.576816119547754</v>
      </c>
      <c r="U65" s="50">
        <f t="shared" si="1011"/>
        <v>23.197908772043551</v>
      </c>
      <c r="V65" s="50">
        <f t="shared" si="1011"/>
        <v>37.971839288500931</v>
      </c>
      <c r="W65" s="50">
        <f t="shared" si="1011"/>
        <v>52.304194026195361</v>
      </c>
      <c r="X65" s="50">
        <f t="shared" si="1011"/>
        <v>65.329574176672978</v>
      </c>
      <c r="Y65" s="50">
        <f t="shared" si="1011"/>
        <v>82.829321355803387</v>
      </c>
      <c r="Z65" s="50">
        <f t="shared" si="1011"/>
        <v>102.02917276669707</v>
      </c>
      <c r="AA65" s="50">
        <f t="shared" ref="AA65" si="1012">+AA64-AA73</f>
        <v>119.25671921140395</v>
      </c>
      <c r="AB65" s="51">
        <f t="shared" si="1011"/>
        <v>146.28378136394772</v>
      </c>
      <c r="AC65" s="51">
        <f t="shared" ref="AC65" si="1013">+AC64-AC73</f>
        <v>169.37920981411554</v>
      </c>
      <c r="AD65" s="51">
        <f t="shared" ref="AD65" si="1014">+AD64-AD73</f>
        <v>193.20469499617263</v>
      </c>
      <c r="AE65" s="51">
        <f t="shared" ref="AE65" si="1015">+AE64-AE73</f>
        <v>219.34937750639523</v>
      </c>
      <c r="AG65" s="64"/>
      <c r="AI65" s="50">
        <f t="shared" ref="AI65:AS65" si="1016">+AI64-AI73</f>
        <v>480.62763586806386</v>
      </c>
      <c r="AJ65" s="50">
        <f t="shared" si="1016"/>
        <v>416.06880421370562</v>
      </c>
      <c r="AK65" s="50">
        <f t="shared" si="1016"/>
        <v>198.3515350190612</v>
      </c>
      <c r="AL65" s="50">
        <f t="shared" si="1016"/>
        <v>189.96077275824609</v>
      </c>
      <c r="AM65" s="50">
        <f t="shared" si="1016"/>
        <v>188.39610305898816</v>
      </c>
      <c r="AN65" s="50">
        <f t="shared" si="1016"/>
        <v>186.61319729645112</v>
      </c>
      <c r="AO65" s="50">
        <f t="shared" si="1016"/>
        <v>201.51952987660934</v>
      </c>
      <c r="AP65" s="50">
        <f t="shared" si="1016"/>
        <v>160.12489745349831</v>
      </c>
      <c r="AQ65" s="50">
        <f t="shared" si="1016"/>
        <v>150.05725861809179</v>
      </c>
      <c r="AR65" s="50">
        <f t="shared" si="1016"/>
        <v>149.4242327847445</v>
      </c>
      <c r="AS65" s="50">
        <f t="shared" si="1016"/>
        <v>96.318122306475288</v>
      </c>
      <c r="AT65" s="50">
        <f t="shared" ref="AT65:CO65" si="1017">+AT64-AT73</f>
        <v>10.166515078853216</v>
      </c>
      <c r="AU65" s="50">
        <f t="shared" si="1017"/>
        <v>10.498354583188625</v>
      </c>
      <c r="AV65" s="50">
        <f t="shared" si="1017"/>
        <v>10.96248890652819</v>
      </c>
      <c r="AW65" s="50">
        <f t="shared" si="1017"/>
        <v>14.576816435426345</v>
      </c>
      <c r="AX65" s="50">
        <f t="shared" si="1017"/>
        <v>14.83468108680194</v>
      </c>
      <c r="AY65" s="50">
        <f t="shared" si="1017"/>
        <v>23.697243306708994</v>
      </c>
      <c r="AZ65" s="50">
        <f t="shared" si="1017"/>
        <v>25.051633565400493</v>
      </c>
      <c r="BA65" s="50">
        <f t="shared" si="1017"/>
        <v>23.19790753694609</v>
      </c>
      <c r="BB65" s="50">
        <f t="shared" si="1017"/>
        <v>31.277063936983563</v>
      </c>
      <c r="BC65" s="50">
        <f t="shared" si="1017"/>
        <v>36.80510217018626</v>
      </c>
      <c r="BD65" s="50">
        <f t="shared" si="1017"/>
        <v>44.062729793344459</v>
      </c>
      <c r="BE65" s="50">
        <f t="shared" si="1017"/>
        <v>37.971766080710864</v>
      </c>
      <c r="BF65" s="50">
        <f t="shared" si="1017"/>
        <v>41.433447437614717</v>
      </c>
      <c r="BG65" s="50">
        <f t="shared" si="1017"/>
        <v>47.443931802020785</v>
      </c>
      <c r="BH65" s="50">
        <f t="shared" si="1017"/>
        <v>50.207294956811239</v>
      </c>
      <c r="BI65" s="50">
        <f t="shared" si="1017"/>
        <v>52.304178862595279</v>
      </c>
      <c r="BJ65" s="50">
        <f t="shared" si="1017"/>
        <v>54.666258757641401</v>
      </c>
      <c r="BK65" s="50">
        <f t="shared" si="1017"/>
        <v>58.70637716150442</v>
      </c>
      <c r="BL65" s="50">
        <f t="shared" si="1017"/>
        <v>62.465909278827873</v>
      </c>
      <c r="BM65" s="50">
        <f t="shared" si="1017"/>
        <v>65.329221169375955</v>
      </c>
      <c r="BN65" s="50">
        <f t="shared" si="1017"/>
        <v>70.177043541532313</v>
      </c>
      <c r="BO65" s="50">
        <f t="shared" si="1017"/>
        <v>75.154305369515967</v>
      </c>
      <c r="BP65" s="50">
        <f t="shared" si="1017"/>
        <v>79.601693373683247</v>
      </c>
      <c r="BQ65" s="50">
        <f t="shared" si="1017"/>
        <v>82.829521588860786</v>
      </c>
      <c r="BR65" s="50">
        <f t="shared" si="1017"/>
        <v>89.259049792462505</v>
      </c>
      <c r="BS65" s="50">
        <f t="shared" si="1017"/>
        <v>96.243168901897874</v>
      </c>
      <c r="BT65" s="50">
        <f t="shared" si="1017"/>
        <v>98.273839250770337</v>
      </c>
      <c r="BU65" s="50">
        <f t="shared" si="1017"/>
        <v>102.02885129511115</v>
      </c>
      <c r="BV65" s="50">
        <f t="shared" si="1017"/>
        <v>107.69847805835305</v>
      </c>
      <c r="BW65" s="50">
        <f t="shared" ref="BW65:BX65" si="1018">+BW64-BW73</f>
        <v>112.64638146108601</v>
      </c>
      <c r="BX65" s="50">
        <f t="shared" si="1018"/>
        <v>118.97374499071179</v>
      </c>
      <c r="BY65" s="50">
        <f t="shared" ref="BY65" si="1019">+BY64-BY73</f>
        <v>119.25632672410465</v>
      </c>
      <c r="BZ65" s="51">
        <f t="shared" si="1017"/>
        <v>124.54294955584453</v>
      </c>
      <c r="CA65" s="51">
        <f t="shared" si="1017"/>
        <v>129.65999346953532</v>
      </c>
      <c r="CB65" s="51">
        <f t="shared" si="1017"/>
        <v>134.72355766207443</v>
      </c>
      <c r="CC65" s="51">
        <f t="shared" si="1017"/>
        <v>139.65943351710939</v>
      </c>
      <c r="CD65" s="51">
        <f t="shared" si="1017"/>
        <v>145.31673177004262</v>
      </c>
      <c r="CE65" s="51">
        <f t="shared" si="1017"/>
        <v>150.79678871691709</v>
      </c>
      <c r="CF65" s="51">
        <f t="shared" si="1017"/>
        <v>156.25479500176448</v>
      </c>
      <c r="CG65" s="51">
        <f t="shared" si="1017"/>
        <v>161.74710803174878</v>
      </c>
      <c r="CH65" s="51">
        <f t="shared" si="1017"/>
        <v>167.39540978792942</v>
      </c>
      <c r="CI65" s="51">
        <f t="shared" si="1017"/>
        <v>172.70631700088541</v>
      </c>
      <c r="CJ65" s="51">
        <f t="shared" si="1017"/>
        <v>178.5491960638947</v>
      </c>
      <c r="CK65" s="51">
        <f t="shared" si="1017"/>
        <v>184.41269901317057</v>
      </c>
      <c r="CL65" s="51">
        <f t="shared" si="1017"/>
        <v>190.57556352138556</v>
      </c>
      <c r="CM65" s="51">
        <f t="shared" si="1017"/>
        <v>196.49535869898372</v>
      </c>
      <c r="CN65" s="51">
        <f t="shared" si="1017"/>
        <v>202.83677851089556</v>
      </c>
      <c r="CO65" s="51">
        <f t="shared" si="1017"/>
        <v>209.22131607382431</v>
      </c>
      <c r="CS65" s="50">
        <v>117.69464304726922</v>
      </c>
      <c r="CX65" s="50">
        <v>119.25671921140395</v>
      </c>
    </row>
    <row r="66" spans="1:102" s="50" customFormat="1" x14ac:dyDescent="0.2">
      <c r="AB66" s="51"/>
      <c r="AC66" s="51"/>
      <c r="AD66" s="51"/>
      <c r="AE66" s="51"/>
      <c r="AG66" s="64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</row>
    <row r="67" spans="1:102" s="50" customFormat="1" x14ac:dyDescent="0.2">
      <c r="A67" s="50" t="s">
        <v>342</v>
      </c>
      <c r="B67" s="50">
        <f>+'Annual Raw'!C92</f>
        <v>0</v>
      </c>
      <c r="C67" s="50">
        <f>+'Annual Raw'!D92</f>
        <v>0</v>
      </c>
      <c r="D67" s="50">
        <f>+'Annual Raw'!E92</f>
        <v>0</v>
      </c>
      <c r="E67" s="50">
        <f>+'Annual Raw'!F92</f>
        <v>0</v>
      </c>
      <c r="F67" s="50">
        <f>+'Annual Raw'!G92</f>
        <v>0</v>
      </c>
      <c r="G67" s="50">
        <f>+'Annual Raw'!H92</f>
        <v>0</v>
      </c>
      <c r="H67" s="50">
        <f>+'Annual Raw'!I92</f>
        <v>0</v>
      </c>
      <c r="I67" s="50">
        <f>+'Annual Raw'!J92</f>
        <v>0</v>
      </c>
      <c r="J67" s="50">
        <f>+'Annual Raw'!K92</f>
        <v>0</v>
      </c>
      <c r="K67" s="50">
        <f>+'Annual Raw'!L92</f>
        <v>0</v>
      </c>
      <c r="L67" s="50">
        <f>+'Annual Raw'!M92</f>
        <v>0</v>
      </c>
      <c r="M67" s="50">
        <f>+'Annual Raw'!N92</f>
        <v>0</v>
      </c>
      <c r="N67" s="50">
        <f>+'Annual Raw'!O92</f>
        <v>0</v>
      </c>
      <c r="O67" s="50">
        <f>+'Annual Raw'!P92</f>
        <v>10.63</v>
      </c>
      <c r="P67" s="50">
        <f>+'Annual Raw'!Q92</f>
        <v>10.56</v>
      </c>
      <c r="Q67" s="50">
        <f>+'Annual Raw'!R92</f>
        <v>11.08</v>
      </c>
      <c r="R67" s="50">
        <f>+'Annual Raw'!S92</f>
        <v>12.86</v>
      </c>
      <c r="S67" s="50">
        <f>+'Annual Raw'!T92</f>
        <v>13.22</v>
      </c>
      <c r="T67" s="50">
        <f>+'Annual Raw'!U92</f>
        <v>11.9</v>
      </c>
      <c r="U67" s="50">
        <f>+'Annual Raw'!V92</f>
        <v>13.65</v>
      </c>
      <c r="V67" s="50">
        <f>+'Annual Raw'!W92</f>
        <v>13.18</v>
      </c>
      <c r="W67" s="50">
        <f>+'Annual Raw'!X92</f>
        <v>14.9</v>
      </c>
      <c r="X67" s="50">
        <f>+'Annual Raw'!Y92</f>
        <v>16.68</v>
      </c>
      <c r="Y67" s="50">
        <f>+'Annual Raw'!Z92</f>
        <v>16.28</v>
      </c>
      <c r="Z67" s="50">
        <f>+'Annual Raw'!AA92</f>
        <v>16.329999999999998</v>
      </c>
      <c r="AA67" s="50">
        <f>+'Annual Raw'!AB92</f>
        <v>17.04</v>
      </c>
      <c r="AB67" s="51"/>
      <c r="AC67" s="51"/>
      <c r="AD67" s="51"/>
      <c r="AE67" s="51"/>
      <c r="AG67" s="64"/>
      <c r="AI67" s="50">
        <f>+'QTR Raw'!D36</f>
        <v>11.04</v>
      </c>
      <c r="AJ67" s="50">
        <f>+'QTR Raw'!E36</f>
        <v>11.54</v>
      </c>
      <c r="AK67" s="50">
        <f>+'QTR Raw'!F36</f>
        <v>11.08</v>
      </c>
      <c r="AL67" s="50">
        <f>+'QTR Raw'!G36</f>
        <v>12.11</v>
      </c>
      <c r="AM67" s="50">
        <f>+'QTR Raw'!H36</f>
        <v>12.19</v>
      </c>
      <c r="AN67" s="50">
        <f>+'QTR Raw'!I36</f>
        <v>12.28</v>
      </c>
      <c r="AO67" s="50">
        <f>+'QTR Raw'!J36</f>
        <v>12.86</v>
      </c>
      <c r="AP67" s="50">
        <f>+'QTR Raw'!K36</f>
        <v>12.61</v>
      </c>
      <c r="AQ67" s="50">
        <f>+'QTR Raw'!L36</f>
        <v>12.45</v>
      </c>
      <c r="AR67" s="50">
        <f>+'QTR Raw'!M36</f>
        <v>12.49</v>
      </c>
      <c r="AS67" s="50">
        <f>+'QTR Raw'!N36</f>
        <v>13.22</v>
      </c>
      <c r="AT67" s="50">
        <f>+'QTR Raw'!O36</f>
        <v>13</v>
      </c>
      <c r="AU67" s="50">
        <f>+'QTR Raw'!P36</f>
        <v>12.62</v>
      </c>
      <c r="AV67" s="50">
        <f>+'QTR Raw'!Q36</f>
        <v>12.21</v>
      </c>
      <c r="AW67" s="50">
        <f>+'QTR Raw'!R36</f>
        <v>11.9</v>
      </c>
      <c r="AX67" s="50">
        <f>+'QTR Raw'!S36</f>
        <v>11.7</v>
      </c>
      <c r="AY67" s="50">
        <f>+'QTR Raw'!T36</f>
        <v>13.99</v>
      </c>
      <c r="AZ67" s="50">
        <f>+'QTR Raw'!U36</f>
        <v>13.86</v>
      </c>
      <c r="BA67" s="50">
        <f>+'QTR Raw'!V36</f>
        <v>13.65</v>
      </c>
      <c r="BB67" s="50">
        <f>+'QTR Raw'!W36</f>
        <v>12.77</v>
      </c>
      <c r="BC67" s="50">
        <f>+'QTR Raw'!X36</f>
        <v>12.77</v>
      </c>
      <c r="BD67" s="50">
        <f>+'QTR Raw'!Y36</f>
        <v>13.69</v>
      </c>
      <c r="BE67" s="50">
        <f>+'QTR Raw'!Z36</f>
        <v>13.18</v>
      </c>
      <c r="BF67" s="50">
        <f>+'QTR Raw'!AA36</f>
        <v>13.36</v>
      </c>
      <c r="BG67" s="50">
        <f>+'QTR Raw'!AB36</f>
        <v>14.37</v>
      </c>
      <c r="BH67" s="50">
        <f>+'QTR Raw'!AC36</f>
        <v>14.8</v>
      </c>
      <c r="BI67" s="50">
        <f>+'QTR Raw'!AD36</f>
        <v>14.9</v>
      </c>
      <c r="BJ67" s="50">
        <f>+'QTR Raw'!AE36</f>
        <v>14.91</v>
      </c>
      <c r="BK67" s="50">
        <f>+'QTR Raw'!AF36</f>
        <v>16.510000000000002</v>
      </c>
      <c r="BL67" s="50">
        <f>+'QTR Raw'!AG36</f>
        <v>16.72</v>
      </c>
      <c r="BM67" s="50">
        <f>+'QTR Raw'!AH36</f>
        <v>16.68</v>
      </c>
      <c r="BN67" s="50">
        <f>+'QTR Raw'!AI36</f>
        <v>16.239999999999998</v>
      </c>
      <c r="BO67" s="50">
        <f>+'QTR Raw'!AJ36</f>
        <v>16.2</v>
      </c>
      <c r="BP67" s="50">
        <f>+'QTR Raw'!AK36</f>
        <v>15.78</v>
      </c>
      <c r="BQ67" s="50">
        <f>+'QTR Raw'!AL36</f>
        <v>16.28</v>
      </c>
      <c r="BR67" s="50">
        <f>+'QTR Raw'!AM36</f>
        <v>16.38</v>
      </c>
      <c r="BS67" s="50">
        <f>+'QTR Raw'!AN36</f>
        <v>16.57</v>
      </c>
      <c r="BT67" s="50">
        <f>+'QTR Raw'!AO36</f>
        <v>16.440000000000001</v>
      </c>
      <c r="BU67" s="50">
        <f>+'QTR Raw'!AP36</f>
        <v>16.329999999999998</v>
      </c>
      <c r="BV67" s="50">
        <f>+'QTR Raw'!AQ36</f>
        <v>16.52</v>
      </c>
      <c r="BW67" s="50">
        <f>+'QTR Raw'!AR36</f>
        <v>16.2</v>
      </c>
      <c r="BY67" s="50">
        <f>+'QTR Raw'!AT36</f>
        <v>17.04</v>
      </c>
      <c r="BZ67" s="116"/>
      <c r="CA67" s="116"/>
      <c r="CB67" s="116"/>
      <c r="CC67" s="116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X67" s="50">
        <v>17.04</v>
      </c>
    </row>
    <row r="68" spans="1:102" s="50" customFormat="1" x14ac:dyDescent="0.2">
      <c r="A68" s="50" t="s">
        <v>343</v>
      </c>
      <c r="B68" s="50">
        <f>+'Annual Raw'!C93</f>
        <v>0</v>
      </c>
      <c r="C68" s="50">
        <f>+'Annual Raw'!D93</f>
        <v>0</v>
      </c>
      <c r="D68" s="50">
        <f>+'Annual Raw'!E93</f>
        <v>0</v>
      </c>
      <c r="E68" s="50">
        <f>+'Annual Raw'!F93</f>
        <v>0</v>
      </c>
      <c r="F68" s="50">
        <f>+'Annual Raw'!G93</f>
        <v>0</v>
      </c>
      <c r="G68" s="50">
        <f>+'Annual Raw'!H93</f>
        <v>0</v>
      </c>
      <c r="H68" s="50">
        <f>+'Annual Raw'!I93</f>
        <v>0</v>
      </c>
      <c r="I68" s="50">
        <f>+'Annual Raw'!J93</f>
        <v>0</v>
      </c>
      <c r="J68" s="50">
        <f>+'Annual Raw'!K93</f>
        <v>0</v>
      </c>
      <c r="K68" s="50">
        <f>+'Annual Raw'!L93</f>
        <v>0</v>
      </c>
      <c r="L68" s="50">
        <f>+'Annual Raw'!M93</f>
        <v>0</v>
      </c>
      <c r="M68" s="50">
        <f>+'Annual Raw'!N93</f>
        <v>0</v>
      </c>
      <c r="N68" s="50">
        <f>+'Annual Raw'!O93</f>
        <v>0</v>
      </c>
      <c r="O68" s="50">
        <f>+'Annual Raw'!P93</f>
        <v>7.68</v>
      </c>
      <c r="P68" s="50">
        <f>+'Annual Raw'!Q93</f>
        <v>8.02</v>
      </c>
      <c r="Q68" s="50">
        <f>+'Annual Raw'!R93</f>
        <v>8.8000000000000007</v>
      </c>
      <c r="R68" s="50">
        <f>+'Annual Raw'!S93</f>
        <v>9.77</v>
      </c>
      <c r="S68" s="50">
        <f>+'Annual Raw'!T93</f>
        <v>10.3</v>
      </c>
      <c r="T68" s="50">
        <f>+'Annual Raw'!U93</f>
        <v>9.0399999999999991</v>
      </c>
      <c r="U68" s="50">
        <f>+'Annual Raw'!V93</f>
        <v>10.119999999999999</v>
      </c>
      <c r="V68" s="50">
        <f>+'Annual Raw'!W93</f>
        <v>10.08</v>
      </c>
      <c r="W68" s="50">
        <f>+'Annual Raw'!X93</f>
        <v>11.91</v>
      </c>
      <c r="X68" s="50">
        <f>+'Annual Raw'!Y93</f>
        <v>13.78</v>
      </c>
      <c r="Y68" s="50">
        <f>+'Annual Raw'!Z93</f>
        <v>13.95</v>
      </c>
      <c r="Z68" s="50">
        <f>+'Annual Raw'!AA93</f>
        <v>14.37</v>
      </c>
      <c r="AA68" s="50">
        <f>+'Annual Raw'!AB93</f>
        <v>14.59</v>
      </c>
      <c r="AB68" s="51"/>
      <c r="AC68" s="51"/>
      <c r="AD68" s="51"/>
      <c r="AE68" s="51"/>
      <c r="AG68" s="64"/>
      <c r="AI68" s="50">
        <f>+'QTR Raw'!D37</f>
        <v>8.6300000000000008</v>
      </c>
      <c r="AJ68" s="50">
        <f>+'QTR Raw'!E37</f>
        <v>8.68</v>
      </c>
      <c r="AK68" s="50">
        <f>+'QTR Raw'!F37</f>
        <v>8.8000000000000007</v>
      </c>
      <c r="AL68" s="50">
        <f>+'QTR Raw'!G37</f>
        <v>8.83</v>
      </c>
      <c r="AM68" s="50">
        <f>+'QTR Raw'!H37</f>
        <v>8.8699999999999992</v>
      </c>
      <c r="AN68" s="50">
        <f>+'QTR Raw'!I37</f>
        <v>9.01</v>
      </c>
      <c r="AO68" s="50">
        <f>+'QTR Raw'!J37</f>
        <v>9.77</v>
      </c>
      <c r="AP68" s="50">
        <f>+'QTR Raw'!K37</f>
        <v>9.57</v>
      </c>
      <c r="AQ68" s="50">
        <f>+'QTR Raw'!L37</f>
        <v>9.5</v>
      </c>
      <c r="AR68" s="50">
        <f>+'QTR Raw'!M37</f>
        <v>9.57</v>
      </c>
      <c r="AS68" s="50">
        <f>+'QTR Raw'!N37</f>
        <v>10.3</v>
      </c>
      <c r="AT68" s="50">
        <f>+'QTR Raw'!O37</f>
        <v>10.119999999999999</v>
      </c>
      <c r="AU68" s="50">
        <f>+'QTR Raw'!P37</f>
        <v>9.86</v>
      </c>
      <c r="AV68" s="50">
        <f>+'QTR Raw'!Q37</f>
        <v>9.5399999999999991</v>
      </c>
      <c r="AW68" s="50">
        <f>+'QTR Raw'!R37</f>
        <v>9.0299999999999994</v>
      </c>
      <c r="AX68" s="50">
        <f>+'QTR Raw'!S37</f>
        <v>8.92</v>
      </c>
      <c r="AY68" s="50">
        <f>+'QTR Raw'!T37</f>
        <v>11.12</v>
      </c>
      <c r="AZ68" s="50">
        <f>+'QTR Raw'!U37</f>
        <v>11.05</v>
      </c>
      <c r="BA68" s="50">
        <f>+'QTR Raw'!V37</f>
        <v>10.119999999999999</v>
      </c>
      <c r="BB68" s="50">
        <f>+'QTR Raw'!W37</f>
        <v>9.2899999999999991</v>
      </c>
      <c r="BC68" s="50">
        <f>+'QTR Raw'!X37</f>
        <v>9.5399999999999991</v>
      </c>
      <c r="BD68" s="50">
        <f>+'QTR Raw'!Y37</f>
        <v>10.45</v>
      </c>
      <c r="BE68" s="50">
        <f>+'QTR Raw'!Z37</f>
        <v>10.08</v>
      </c>
      <c r="BF68" s="50">
        <f>+'QTR Raw'!AA37</f>
        <v>10.34</v>
      </c>
      <c r="BG68" s="50">
        <f>+'QTR Raw'!AB37</f>
        <v>11.41</v>
      </c>
      <c r="BH68" s="50">
        <f>+'QTR Raw'!AC37</f>
        <v>11.58</v>
      </c>
      <c r="BI68" s="50">
        <f>+'QTR Raw'!AD37</f>
        <v>11.91</v>
      </c>
      <c r="BJ68" s="50">
        <f>+'QTR Raw'!AE37</f>
        <v>12.13</v>
      </c>
      <c r="BK68" s="50">
        <f>+'QTR Raw'!AF37</f>
        <v>13.4</v>
      </c>
      <c r="BL68" s="50">
        <f>+'QTR Raw'!AG37</f>
        <v>13.68</v>
      </c>
      <c r="BM68" s="50">
        <f>+'QTR Raw'!AH37</f>
        <v>13.78</v>
      </c>
      <c r="BN68" s="50">
        <f>+'QTR Raw'!AI37</f>
        <v>13.58</v>
      </c>
      <c r="BO68" s="50">
        <f>+'QTR Raw'!AJ37</f>
        <v>13.6</v>
      </c>
      <c r="BP68" s="50">
        <f>+'QTR Raw'!AK37</f>
        <v>13.38</v>
      </c>
      <c r="BQ68" s="50">
        <f>+'QTR Raw'!AL37</f>
        <v>13.95</v>
      </c>
      <c r="BR68" s="50">
        <f>+'QTR Raw'!AM37</f>
        <v>14.37</v>
      </c>
      <c r="BS68" s="50">
        <f>+'QTR Raw'!AN37</f>
        <v>14.64</v>
      </c>
      <c r="BT68" s="50">
        <f>+'QTR Raw'!AO37</f>
        <v>14.55</v>
      </c>
      <c r="BU68" s="50">
        <f>+'QTR Raw'!AP37</f>
        <v>14.37</v>
      </c>
      <c r="BV68" s="50">
        <f>+'QTR Raw'!AQ37</f>
        <v>14.58</v>
      </c>
      <c r="BW68" s="50">
        <f>+'QTR Raw'!AR37</f>
        <v>14.28</v>
      </c>
      <c r="BY68" s="50">
        <f>+'QTR Raw'!AT37</f>
        <v>14.59</v>
      </c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X68" s="50">
        <v>14.59</v>
      </c>
    </row>
    <row r="69" spans="1:102" s="50" customFormat="1" x14ac:dyDescent="0.2">
      <c r="A69" s="50" t="s">
        <v>236</v>
      </c>
      <c r="B69" s="50">
        <f>+'Annual Raw'!C94</f>
        <v>0</v>
      </c>
      <c r="C69" s="50">
        <f>+'Annual Raw'!D94</f>
        <v>0</v>
      </c>
      <c r="D69" s="50">
        <f>+'Annual Raw'!E94</f>
        <v>0</v>
      </c>
      <c r="E69" s="50">
        <f>+'Annual Raw'!F94</f>
        <v>0</v>
      </c>
      <c r="F69" s="50">
        <f>+'Annual Raw'!G94</f>
        <v>0</v>
      </c>
      <c r="G69" s="50">
        <f>+'Annual Raw'!H94</f>
        <v>0</v>
      </c>
      <c r="H69" s="50">
        <f>+'Annual Raw'!I94</f>
        <v>0</v>
      </c>
      <c r="I69" s="50">
        <f>+'Annual Raw'!J94</f>
        <v>0</v>
      </c>
      <c r="J69" s="50">
        <f>+'Annual Raw'!K94</f>
        <v>0</v>
      </c>
      <c r="K69" s="50">
        <f>+'Annual Raw'!L94</f>
        <v>0</v>
      </c>
      <c r="L69" s="50">
        <f>+'Annual Raw'!M94</f>
        <v>0</v>
      </c>
      <c r="M69" s="50">
        <f>+'Annual Raw'!N94</f>
        <v>0</v>
      </c>
      <c r="N69" s="50">
        <f>+'Annual Raw'!O94</f>
        <v>0</v>
      </c>
      <c r="O69" s="50">
        <f>+'Annual Raw'!P94</f>
        <v>2.95</v>
      </c>
      <c r="P69" s="50">
        <f>+'Annual Raw'!Q94</f>
        <v>2.54</v>
      </c>
      <c r="Q69" s="50">
        <f>+'Annual Raw'!R94</f>
        <v>2.2799999999999998</v>
      </c>
      <c r="R69" s="50">
        <f>+'Annual Raw'!S94</f>
        <v>3.09</v>
      </c>
      <c r="S69" s="50">
        <f>+'Annual Raw'!T94</f>
        <v>2.92</v>
      </c>
      <c r="T69" s="50">
        <f>+'Annual Raw'!U94</f>
        <v>2.86</v>
      </c>
      <c r="U69" s="50">
        <f>+'Annual Raw'!V94</f>
        <v>3.53</v>
      </c>
      <c r="V69" s="50">
        <f>+'Annual Raw'!W94</f>
        <v>3.1</v>
      </c>
      <c r="W69" s="50">
        <f>+'Annual Raw'!X94</f>
        <v>2.99</v>
      </c>
      <c r="X69" s="50">
        <f>+'Annual Raw'!Y94</f>
        <v>2.9</v>
      </c>
      <c r="Y69" s="50">
        <f>+'Annual Raw'!Z94</f>
        <v>2.33</v>
      </c>
      <c r="Z69" s="50">
        <f>+'Annual Raw'!AA94</f>
        <v>1.96</v>
      </c>
      <c r="AA69" s="50">
        <f>+'Annual Raw'!AB94</f>
        <v>2.4500000000000002</v>
      </c>
      <c r="AB69" s="51"/>
      <c r="AC69" s="51"/>
      <c r="AD69" s="51"/>
      <c r="AE69" s="51"/>
      <c r="AG69" s="64"/>
      <c r="AI69" s="50">
        <f>+'QTR Raw'!D38</f>
        <v>2.41</v>
      </c>
      <c r="AJ69" s="50">
        <f>+'QTR Raw'!E38</f>
        <v>2.86</v>
      </c>
      <c r="AK69" s="50">
        <f>+'QTR Raw'!F38</f>
        <v>2.2799999999999998</v>
      </c>
      <c r="AL69" s="50">
        <f>+'QTR Raw'!G38</f>
        <v>3.28</v>
      </c>
      <c r="AM69" s="50">
        <f>+'QTR Raw'!H38</f>
        <v>3.32</v>
      </c>
      <c r="AN69" s="50">
        <f>+'QTR Raw'!I38</f>
        <v>3.27</v>
      </c>
      <c r="AO69" s="50">
        <f>+'QTR Raw'!J38</f>
        <v>3.09</v>
      </c>
      <c r="AP69" s="50">
        <f>+'QTR Raw'!K38</f>
        <v>3.04</v>
      </c>
      <c r="AQ69" s="50">
        <f>+'QTR Raw'!L38</f>
        <v>2.95</v>
      </c>
      <c r="AR69" s="50">
        <f>+'QTR Raw'!M38</f>
        <v>2.92</v>
      </c>
      <c r="AS69" s="50">
        <f>+'QTR Raw'!N38</f>
        <v>2.92</v>
      </c>
      <c r="AT69" s="50">
        <f>+'QTR Raw'!O38</f>
        <v>2.88</v>
      </c>
      <c r="AU69" s="50">
        <f>+'QTR Raw'!P38</f>
        <v>2.76</v>
      </c>
      <c r="AV69" s="50">
        <f>+'QTR Raw'!Q38</f>
        <v>2.67</v>
      </c>
      <c r="AW69" s="50">
        <f>+'QTR Raw'!R38</f>
        <v>2.87</v>
      </c>
      <c r="AX69" s="50">
        <f>+'QTR Raw'!S38</f>
        <v>2.78</v>
      </c>
      <c r="AY69" s="50">
        <f>+'QTR Raw'!T38</f>
        <v>2.87</v>
      </c>
      <c r="AZ69" s="50">
        <f>+'QTR Raw'!U38</f>
        <v>2.81</v>
      </c>
      <c r="BA69" s="50">
        <f>+'QTR Raw'!V38</f>
        <v>3.53</v>
      </c>
      <c r="BB69" s="50">
        <f>+'QTR Raw'!W38</f>
        <v>3.48</v>
      </c>
      <c r="BC69" s="50">
        <f>+'QTR Raw'!X38</f>
        <v>3.23</v>
      </c>
      <c r="BD69" s="50">
        <f>+'QTR Raw'!Y38</f>
        <v>3.24</v>
      </c>
      <c r="BE69" s="50">
        <f>+'QTR Raw'!Z38</f>
        <v>3.1</v>
      </c>
      <c r="BF69" s="50">
        <f>+'QTR Raw'!AA38</f>
        <v>3.02</v>
      </c>
      <c r="BG69" s="50">
        <f>+'QTR Raw'!AB38</f>
        <v>2.96</v>
      </c>
      <c r="BH69" s="50">
        <f>+'QTR Raw'!AC38</f>
        <v>3.22</v>
      </c>
      <c r="BI69" s="50">
        <f>+'QTR Raw'!AD38</f>
        <v>2.99</v>
      </c>
      <c r="BJ69" s="50">
        <f>+'QTR Raw'!AE38</f>
        <v>2.78</v>
      </c>
      <c r="BK69" s="50">
        <f>+'QTR Raw'!AF38</f>
        <v>3.11</v>
      </c>
      <c r="BL69" s="50">
        <f>+'QTR Raw'!AG38</f>
        <v>3.04</v>
      </c>
      <c r="BM69" s="50">
        <f>+'QTR Raw'!AH38</f>
        <v>2.9</v>
      </c>
      <c r="BN69" s="50">
        <f>+'QTR Raw'!AI38</f>
        <v>2.66</v>
      </c>
      <c r="BO69" s="50">
        <f>+'QTR Raw'!AJ38</f>
        <v>2.6</v>
      </c>
      <c r="BP69" s="50">
        <f>+'QTR Raw'!AK38</f>
        <v>2.4</v>
      </c>
      <c r="BQ69" s="50">
        <f>+'QTR Raw'!AL38</f>
        <v>2.33</v>
      </c>
      <c r="BR69" s="50">
        <f>+'QTR Raw'!AM38</f>
        <v>2.0099999999999998</v>
      </c>
      <c r="BS69" s="50">
        <f>+'QTR Raw'!AN38</f>
        <v>1.93</v>
      </c>
      <c r="BT69" s="50">
        <f>+'QTR Raw'!AO38</f>
        <v>1.89</v>
      </c>
      <c r="BU69" s="50">
        <f>+'QTR Raw'!AP38</f>
        <v>1.96</v>
      </c>
      <c r="BV69" s="50">
        <f>+'QTR Raw'!AQ38</f>
        <v>1.94</v>
      </c>
      <c r="BW69" s="50">
        <f>+'QTR Raw'!AR38</f>
        <v>1.92</v>
      </c>
      <c r="BY69" s="50">
        <f>+'QTR Raw'!AT38</f>
        <v>2.4500000000000002</v>
      </c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X69" s="50">
        <v>2.4500000000000002</v>
      </c>
    </row>
    <row r="70" spans="1:102" s="50" customFormat="1" x14ac:dyDescent="0.2">
      <c r="AB70" s="51"/>
      <c r="AC70" s="51"/>
      <c r="AD70" s="51"/>
      <c r="AE70" s="51"/>
      <c r="AG70" s="64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</row>
    <row r="71" spans="1:102" s="50" customFormat="1" x14ac:dyDescent="0.2">
      <c r="A71" s="50" t="s">
        <v>211</v>
      </c>
      <c r="B71" s="50">
        <f>+'Annual Raw'!C52</f>
        <v>0</v>
      </c>
      <c r="C71" s="50">
        <f>+'Annual Raw'!D52</f>
        <v>2112.44</v>
      </c>
      <c r="D71" s="50">
        <f>+'Annual Raw'!E52</f>
        <v>2474.7800000000002</v>
      </c>
      <c r="E71" s="50">
        <f>+'Annual Raw'!F52</f>
        <v>3126.84</v>
      </c>
      <c r="F71" s="50">
        <f>+'Annual Raw'!G52</f>
        <v>2370.5500000000002</v>
      </c>
      <c r="G71" s="50">
        <f>+'Annual Raw'!H52</f>
        <v>1792.61</v>
      </c>
      <c r="H71" s="50">
        <f>+'Annual Raw'!I52</f>
        <v>1493.43</v>
      </c>
      <c r="I71" s="50">
        <f>+'Annual Raw'!J52</f>
        <v>1415.55</v>
      </c>
      <c r="J71" s="50">
        <f>+'Annual Raw'!K52</f>
        <v>2167.9699999999998</v>
      </c>
      <c r="K71" s="50">
        <f>+'Annual Raw'!L52</f>
        <v>2590.31</v>
      </c>
      <c r="L71" s="50">
        <f>+'Annual Raw'!M52</f>
        <v>3137.36</v>
      </c>
      <c r="M71" s="50">
        <f>+'Annual Raw'!N52</f>
        <v>4031.75</v>
      </c>
      <c r="N71" s="50">
        <f>+'Annual Raw'!O52</f>
        <v>6260.16</v>
      </c>
      <c r="O71" s="50">
        <f>+'Annual Raw'!P52</f>
        <v>7570.21</v>
      </c>
      <c r="P71" s="50">
        <f>+'Annual Raw'!Q52</f>
        <v>13039.96</v>
      </c>
      <c r="Q71" s="50">
        <f>+'Annual Raw'!R52</f>
        <v>31637.83</v>
      </c>
      <c r="R71" s="50">
        <f>+'Annual Raw'!S52</f>
        <v>34202.04</v>
      </c>
      <c r="S71" s="50">
        <f>+'Annual Raw'!T52</f>
        <v>47468.47</v>
      </c>
      <c r="T71" s="50">
        <f>+'Annual Raw'!U52</f>
        <v>39224.120000000003</v>
      </c>
      <c r="U71" s="50">
        <f>+'Annual Raw'!V52</f>
        <v>37041.75</v>
      </c>
      <c r="V71" s="50">
        <f>+'Annual Raw'!W52</f>
        <v>60288</v>
      </c>
      <c r="W71" s="50">
        <f>+'Annual Raw'!X52</f>
        <v>55652</v>
      </c>
      <c r="X71" s="50">
        <f>+'Annual Raw'!Y52</f>
        <v>46160</v>
      </c>
      <c r="Y71" s="50">
        <f>+'Annual Raw'!Z52</f>
        <v>40605</v>
      </c>
      <c r="Z71" s="50">
        <f>+'Annual Raw'!AA52</f>
        <v>31530</v>
      </c>
      <c r="AA71" s="50">
        <f>+'Annual Raw'!AB52</f>
        <v>22740</v>
      </c>
      <c r="AB71" s="51"/>
      <c r="AC71" s="51"/>
      <c r="AD71" s="51"/>
      <c r="AE71" s="51"/>
      <c r="AG71" s="64"/>
      <c r="AH71" s="50">
        <f>+'QTR Raw'!C40</f>
        <v>13080.63</v>
      </c>
      <c r="AI71" s="50">
        <f>+'QTR Raw'!D40</f>
        <v>14021.34</v>
      </c>
      <c r="AJ71" s="50">
        <f>+'QTR Raw'!E40</f>
        <v>19813.439999999999</v>
      </c>
      <c r="AK71" s="50">
        <f>+'QTR Raw'!F40</f>
        <v>31637.83</v>
      </c>
      <c r="AL71" s="50">
        <f>+'QTR Raw'!G40</f>
        <v>32334.07</v>
      </c>
      <c r="AM71" s="50">
        <f>+'QTR Raw'!H40</f>
        <v>33315.4</v>
      </c>
      <c r="AN71" s="50">
        <f>+'QTR Raw'!I40</f>
        <v>34338.65</v>
      </c>
      <c r="AO71" s="50">
        <f>+'QTR Raw'!J40</f>
        <v>34202.04</v>
      </c>
      <c r="AP71" s="50">
        <f>+'QTR Raw'!K40</f>
        <v>37657.760000000002</v>
      </c>
      <c r="AQ71" s="50">
        <f>+'QTR Raw'!L40</f>
        <v>39164.080000000002</v>
      </c>
      <c r="AR71" s="50">
        <f>+'QTR Raw'!M40</f>
        <v>40311.980000000003</v>
      </c>
      <c r="AS71" s="50">
        <f>+'QTR Raw'!N40</f>
        <v>47468.47</v>
      </c>
      <c r="AT71" s="50">
        <f>+'QTR Raw'!O40</f>
        <v>44659.56</v>
      </c>
      <c r="AU71" s="50">
        <f>+'QTR Raw'!P40</f>
        <v>45233.22</v>
      </c>
      <c r="AV71" s="50">
        <f>+'QTR Raw'!Q40</f>
        <v>44621.27</v>
      </c>
      <c r="AW71" s="50">
        <f>+'QTR Raw'!R40</f>
        <v>39224.120000000003</v>
      </c>
      <c r="AX71" s="50">
        <f>+'QTR Raw'!S40</f>
        <v>39399.019999999997</v>
      </c>
      <c r="AY71" s="50">
        <f>+'QTR Raw'!T40</f>
        <v>38711.33</v>
      </c>
      <c r="AZ71" s="50">
        <f>+'QTR Raw'!U40</f>
        <v>36644.97</v>
      </c>
      <c r="BA71" s="50">
        <f>+'QTR Raw'!V40</f>
        <v>37041.15</v>
      </c>
      <c r="BB71" s="50">
        <f>+'QTR Raw'!W40</f>
        <v>57525.52</v>
      </c>
      <c r="BC71" s="50">
        <f>+'QTR Raw'!X40</f>
        <v>53437.919999999998</v>
      </c>
      <c r="BD71" s="50">
        <f>+'QTR Raw'!Y40</f>
        <v>49788.61</v>
      </c>
      <c r="BE71" s="50">
        <f>+'QTR Raw'!Z40</f>
        <v>60287.839999999997</v>
      </c>
      <c r="BF71" s="50">
        <f>+'QTR Raw'!AA40</f>
        <v>58215.46</v>
      </c>
      <c r="BG71" s="50">
        <f>+'QTR Raw'!AB40</f>
        <v>57853.09</v>
      </c>
      <c r="BH71" s="50">
        <f>+'QTR Raw'!AC40</f>
        <v>56893.3</v>
      </c>
      <c r="BI71" s="50">
        <f>+'QTR Raw'!AD40</f>
        <v>55651.58</v>
      </c>
      <c r="BJ71" s="50">
        <f>+'QTR Raw'!AE40</f>
        <v>54733.88</v>
      </c>
      <c r="BK71" s="50">
        <f>+'QTR Raw'!AF40</f>
        <v>52485.14</v>
      </c>
      <c r="BL71" s="50">
        <f>+'QTR Raw'!AG40</f>
        <v>50142.77</v>
      </c>
      <c r="BM71" s="50">
        <f>+'QTR Raw'!AH40</f>
        <v>46159.51</v>
      </c>
      <c r="BN71" s="50">
        <f>+'QTR Raw'!AI40</f>
        <v>45727.37</v>
      </c>
      <c r="BO71" s="50">
        <f>+'QTR Raw'!AJ40</f>
        <v>43955.59</v>
      </c>
      <c r="BP71" s="50">
        <f>+'QTR Raw'!AK40</f>
        <v>41721.9</v>
      </c>
      <c r="BQ71" s="50">
        <f>+'QTR Raw'!AL40</f>
        <v>40604.57</v>
      </c>
      <c r="BR71" s="50">
        <f>+'QTR Raw'!AM40</f>
        <v>40356.379999999997</v>
      </c>
      <c r="BS71" s="50">
        <f>+'QTR Raw'!AN40</f>
        <v>37733.300000000003</v>
      </c>
      <c r="BT71" s="50">
        <f>+'QTR Raw'!AO40</f>
        <v>35060.639999999999</v>
      </c>
      <c r="BU71" s="50">
        <f>+'QTR Raw'!AP40</f>
        <v>31530.03</v>
      </c>
      <c r="BV71" s="50">
        <f>+'QTR Raw'!AQ40</f>
        <v>29518.43</v>
      </c>
      <c r="BW71" s="50">
        <f>+'QTR Raw'!AR40</f>
        <v>27040.27</v>
      </c>
      <c r="BX71" s="50">
        <v>24832.58</v>
      </c>
      <c r="BY71" s="50">
        <f>+'QTR Raw'!AT40</f>
        <v>22740.01</v>
      </c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X71" s="50">
        <v>22740</v>
      </c>
    </row>
    <row r="72" spans="1:102" s="50" customFormat="1" x14ac:dyDescent="0.2">
      <c r="A72" s="50" t="s">
        <v>212</v>
      </c>
      <c r="B72" s="50">
        <f>+'Annual Raw'!C53</f>
        <v>0</v>
      </c>
      <c r="C72" s="50">
        <f>+'Annual Raw'!D53</f>
        <v>1288.3900000000001</v>
      </c>
      <c r="D72" s="50">
        <f>+'Annual Raw'!E53</f>
        <v>1453.88</v>
      </c>
      <c r="E72" s="50">
        <f>+'Annual Raw'!F53</f>
        <v>1378.31</v>
      </c>
      <c r="F72" s="50">
        <f>+'Annual Raw'!G53</f>
        <v>1125.28</v>
      </c>
      <c r="G72" s="50">
        <f>+'Annual Raw'!H53</f>
        <v>879.18</v>
      </c>
      <c r="H72" s="50">
        <f>+'Annual Raw'!I53</f>
        <v>926.97</v>
      </c>
      <c r="I72" s="50">
        <f>+'Annual Raw'!J53</f>
        <v>899.03</v>
      </c>
      <c r="J72" s="50">
        <f>+'Annual Raw'!K53</f>
        <v>1507.25</v>
      </c>
      <c r="K72" s="50">
        <f>+'Annual Raw'!L53</f>
        <v>1799.7</v>
      </c>
      <c r="L72" s="50">
        <f>+'Annual Raw'!M53</f>
        <v>2329.91</v>
      </c>
      <c r="M72" s="50">
        <f>+'Annual Raw'!N53</f>
        <v>3386.31</v>
      </c>
      <c r="N72" s="50">
        <f>+'Annual Raw'!O53</f>
        <v>5278.07</v>
      </c>
      <c r="O72" s="50">
        <f>+'Annual Raw'!P53</f>
        <v>5965.46</v>
      </c>
      <c r="P72" s="50">
        <f>+'Annual Raw'!Q53</f>
        <v>8740.09</v>
      </c>
      <c r="Q72" s="50">
        <f>+'Annual Raw'!R53</f>
        <v>20832.91</v>
      </c>
      <c r="R72" s="50">
        <f>+'Annual Raw'!S53</f>
        <v>21648.98</v>
      </c>
      <c r="S72" s="50">
        <f>+'Annual Raw'!T53</f>
        <v>28542.400000000001</v>
      </c>
      <c r="T72" s="50">
        <f>+'Annual Raw'!U53</f>
        <v>22955.11</v>
      </c>
      <c r="U72" s="50">
        <f>+'Annual Raw'!V53</f>
        <v>18250.95</v>
      </c>
      <c r="V72" s="50">
        <f>+'Annual Raw'!W53</f>
        <v>24442</v>
      </c>
      <c r="W72" s="50">
        <f>+'Annual Raw'!X53</f>
        <v>18668</v>
      </c>
      <c r="X72" s="50">
        <f>+'Annual Raw'!Y53</f>
        <v>14349</v>
      </c>
      <c r="Y72" s="50">
        <f>+'Annual Raw'!Z53</f>
        <v>11823</v>
      </c>
      <c r="Z72" s="50">
        <f>+'Annual Raw'!AA53</f>
        <v>7353</v>
      </c>
      <c r="AA72" s="50">
        <f>+'Annual Raw'!AB53</f>
        <v>5209</v>
      </c>
      <c r="AB72" s="51"/>
      <c r="AC72" s="51"/>
      <c r="AD72" s="51"/>
      <c r="AE72" s="51"/>
      <c r="AG72" s="64"/>
      <c r="AH72" s="50">
        <f>+'QTR Raw'!C41</f>
        <v>8888.14</v>
      </c>
      <c r="AI72" s="50">
        <f>+'QTR Raw'!D41</f>
        <v>9382.5300000000007</v>
      </c>
      <c r="AJ72" s="50">
        <f>+'QTR Raw'!E41</f>
        <v>12940.1</v>
      </c>
      <c r="AK72" s="50">
        <f>+'QTR Raw'!F41</f>
        <v>20832.91</v>
      </c>
      <c r="AL72" s="50">
        <f>+'QTR Raw'!G41</f>
        <v>21493.919999999998</v>
      </c>
      <c r="AM72" s="50">
        <f>+'QTR Raw'!H41</f>
        <v>21887.09</v>
      </c>
      <c r="AN72" s="50">
        <f>+'QTR Raw'!I41</f>
        <v>22295.79</v>
      </c>
      <c r="AO72" s="50">
        <f>+'QTR Raw'!J41</f>
        <v>21648.98</v>
      </c>
      <c r="AP72" s="50">
        <f>+'QTR Raw'!K41</f>
        <v>24300.63</v>
      </c>
      <c r="AQ72" s="50">
        <f>+'QTR Raw'!L41</f>
        <v>25165.57</v>
      </c>
      <c r="AR72" s="50">
        <f>+'QTR Raw'!M41</f>
        <v>25295.26</v>
      </c>
      <c r="AS72" s="50">
        <f>+'QTR Raw'!N41</f>
        <v>28542.400000000001</v>
      </c>
      <c r="AT72" s="50">
        <f>+'QTR Raw'!O41</f>
        <v>26693.5</v>
      </c>
      <c r="AU72" s="50">
        <f>+'QTR Raw'!P41</f>
        <v>26777.64</v>
      </c>
      <c r="AV72" s="50">
        <f>+'QTR Raw'!Q41</f>
        <v>26591.07</v>
      </c>
      <c r="AW72" s="50">
        <f>+'QTR Raw'!R41</f>
        <v>22955.11</v>
      </c>
      <c r="AX72" s="50">
        <f>+'QTR Raw'!S41</f>
        <v>23149.62</v>
      </c>
      <c r="AY72" s="50">
        <f>+'QTR Raw'!T41</f>
        <v>22090.04</v>
      </c>
      <c r="AZ72" s="50">
        <f>+'QTR Raw'!U41</f>
        <v>21337.74</v>
      </c>
      <c r="BA72" s="50">
        <f>+'QTR Raw'!V41</f>
        <v>18250.95</v>
      </c>
      <c r="BB72" s="50">
        <f>+'QTR Raw'!W41</f>
        <v>24355.23</v>
      </c>
      <c r="BC72" s="50">
        <f>+'QTR Raw'!X41</f>
        <v>21063.279999999999</v>
      </c>
      <c r="BD72" s="50">
        <f>+'QTR Raw'!Y41</f>
        <v>16773.54</v>
      </c>
      <c r="BE72" s="50">
        <f>+'QTR Raw'!Z41</f>
        <v>24442.07</v>
      </c>
      <c r="BF72" s="50">
        <f>+'QTR Raw'!AA41</f>
        <v>22434.06</v>
      </c>
      <c r="BG72" s="50">
        <f>+'QTR Raw'!AB41</f>
        <v>20861.990000000002</v>
      </c>
      <c r="BH72" s="50">
        <f>+'QTR Raw'!AC41</f>
        <v>19819.28</v>
      </c>
      <c r="BI72" s="50">
        <f>+'QTR Raw'!AD41</f>
        <v>18668.02</v>
      </c>
      <c r="BJ72" s="50">
        <f>+'QTR Raw'!AE41</f>
        <v>18504.93</v>
      </c>
      <c r="BK72" s="50">
        <f>+'QTR Raw'!AF41</f>
        <v>17286.13</v>
      </c>
      <c r="BL72" s="50">
        <f>+'QTR Raw'!AG41</f>
        <v>15981.74</v>
      </c>
      <c r="BM72" s="50">
        <f>+'QTR Raw'!AH41</f>
        <v>14349.33</v>
      </c>
      <c r="BN72" s="50">
        <f>+'QTR Raw'!AI41</f>
        <v>13461.43</v>
      </c>
      <c r="BO72" s="50">
        <f>+'QTR Raw'!AJ41</f>
        <v>12554</v>
      </c>
      <c r="BP72" s="50">
        <f>+'QTR Raw'!AK41</f>
        <v>12175.9</v>
      </c>
      <c r="BQ72" s="50">
        <f>+'QTR Raw'!AL41</f>
        <v>11822.83</v>
      </c>
      <c r="BR72" s="50">
        <f>+'QTR Raw'!AM41</f>
        <v>11701.77</v>
      </c>
      <c r="BS72" s="50">
        <f>+'QTR Raw'!AN41</f>
        <v>9777.44</v>
      </c>
      <c r="BT72" s="50">
        <f>+'QTR Raw'!AO41</f>
        <v>9081.1</v>
      </c>
      <c r="BU72" s="50">
        <f>+'QTR Raw'!AP41</f>
        <v>7353.31</v>
      </c>
      <c r="BV72" s="50">
        <f>+'QTR Raw'!AQ41</f>
        <v>6765.24</v>
      </c>
      <c r="BW72" s="50">
        <f>+'QTR Raw'!AR41</f>
        <v>6113.22</v>
      </c>
      <c r="BX72" s="50">
        <v>5322.3</v>
      </c>
      <c r="BY72" s="50">
        <f>+'QTR Raw'!AT41</f>
        <v>5209.37</v>
      </c>
      <c r="BZ72" s="51">
        <f t="shared" ref="BZ72:CO72" si="1020">+BZ76*BZ114</f>
        <v>5261.7972114934428</v>
      </c>
      <c r="CA72" s="51">
        <f t="shared" si="1020"/>
        <v>5555.0721618815987</v>
      </c>
      <c r="CB72" s="51">
        <f t="shared" si="1020"/>
        <v>5768.4180364160648</v>
      </c>
      <c r="CC72" s="51">
        <f t="shared" si="1020"/>
        <v>6008.7140796924159</v>
      </c>
      <c r="CD72" s="51">
        <f t="shared" si="1020"/>
        <v>6056.8026895197163</v>
      </c>
      <c r="CE72" s="51">
        <f t="shared" si="1020"/>
        <v>6398.8996320016913</v>
      </c>
      <c r="CF72" s="51">
        <f t="shared" si="1020"/>
        <v>6645.6751387534841</v>
      </c>
      <c r="CG72" s="51">
        <f t="shared" si="1020"/>
        <v>6922.8124032225187</v>
      </c>
      <c r="CH72" s="51">
        <f t="shared" si="1020"/>
        <v>6976.2258866387265</v>
      </c>
      <c r="CI72" s="51">
        <f t="shared" si="1020"/>
        <v>7371.3889622703819</v>
      </c>
      <c r="CJ72" s="51">
        <f t="shared" si="1020"/>
        <v>7655.7941293944059</v>
      </c>
      <c r="CK72" s="51">
        <f t="shared" si="1020"/>
        <v>7974.911836321774</v>
      </c>
      <c r="CL72" s="51">
        <f t="shared" si="1020"/>
        <v>8036.1759412545844</v>
      </c>
      <c r="CM72" s="51">
        <f t="shared" si="1020"/>
        <v>8491.6322458465802</v>
      </c>
      <c r="CN72" s="51">
        <f t="shared" si="1020"/>
        <v>8819.2479109921096</v>
      </c>
      <c r="CO72" s="51">
        <f t="shared" si="1020"/>
        <v>9186.81004333495</v>
      </c>
      <c r="CS72" s="50">
        <v>6259.0384338780405</v>
      </c>
      <c r="CX72" s="50">
        <v>5209</v>
      </c>
    </row>
    <row r="73" spans="1:102" s="50" customFormat="1" x14ac:dyDescent="0.2">
      <c r="A73" s="50" t="s">
        <v>350</v>
      </c>
      <c r="C73" s="50">
        <f t="shared" ref="C73:Z73" si="1021">+C72/C59</f>
        <v>1.4203941139178371</v>
      </c>
      <c r="D73" s="50">
        <f t="shared" si="1021"/>
        <v>1.6028396637220601</v>
      </c>
      <c r="E73" s="50">
        <f t="shared" si="1021"/>
        <v>1.5195270152314857</v>
      </c>
      <c r="F73" s="50">
        <f t="shared" si="1021"/>
        <v>1.2405724109232947</v>
      </c>
      <c r="G73" s="50">
        <f t="shared" si="1021"/>
        <v>0.96925783114917374</v>
      </c>
      <c r="H73" s="50">
        <f t="shared" si="1021"/>
        <v>1.0219442341049041</v>
      </c>
      <c r="I73" s="50">
        <f t="shared" si="1021"/>
        <v>0.99114159550722458</v>
      </c>
      <c r="J73" s="50">
        <f t="shared" si="1021"/>
        <v>1.6616777747441847</v>
      </c>
      <c r="K73" s="50">
        <f t="shared" si="1021"/>
        <v>1.9840912199085148</v>
      </c>
      <c r="L73" s="50">
        <f t="shared" si="1021"/>
        <v>2.5686247564466562</v>
      </c>
      <c r="M73" s="50">
        <f t="shared" si="1021"/>
        <v>3.7332599538191937</v>
      </c>
      <c r="N73" s="50">
        <f t="shared" si="1021"/>
        <v>5.8188433322567841</v>
      </c>
      <c r="O73" s="50">
        <f t="shared" si="1021"/>
        <v>6.5766610038981215</v>
      </c>
      <c r="P73" s="50">
        <f t="shared" si="1021"/>
        <v>9.6355702784965338</v>
      </c>
      <c r="Q73" s="50">
        <f t="shared" si="1021"/>
        <v>22.967380016749622</v>
      </c>
      <c r="R73" s="50">
        <f t="shared" si="1021"/>
        <v>23.867061809176551</v>
      </c>
      <c r="S73" s="50">
        <f t="shared" si="1021"/>
        <v>31.466758479255873</v>
      </c>
      <c r="T73" s="50">
        <f t="shared" si="1021"/>
        <v>25.307013503936293</v>
      </c>
      <c r="U73" s="50">
        <f t="shared" si="1021"/>
        <v>20.120881063504644</v>
      </c>
      <c r="V73" s="50">
        <f t="shared" si="1021"/>
        <v>26.946245261434637</v>
      </c>
      <c r="W73" s="50">
        <f t="shared" si="1021"/>
        <v>20.580660606352257</v>
      </c>
      <c r="X73" s="50">
        <f t="shared" si="1021"/>
        <v>15.819150366431783</v>
      </c>
      <c r="Y73" s="50">
        <f t="shared" si="1021"/>
        <v>13.03434488691358</v>
      </c>
      <c r="Z73" s="50">
        <f t="shared" si="1021"/>
        <v>8.1063636939419403</v>
      </c>
      <c r="AA73" s="50">
        <f t="shared" ref="AA73" si="1022">+AA72/AA59</f>
        <v>5.7426966519439091</v>
      </c>
      <c r="AB73" s="51"/>
      <c r="AC73" s="51"/>
      <c r="AD73" s="51"/>
      <c r="AE73" s="51"/>
      <c r="AG73" s="64"/>
      <c r="AI73" s="50">
        <f t="shared" ref="AI73:AS73" si="1023">+AI72/AI59</f>
        <v>172.7937899408829</v>
      </c>
      <c r="AJ73" s="50">
        <f t="shared" si="1023"/>
        <v>238.31193944639864</v>
      </c>
      <c r="AK73" s="50">
        <f t="shared" si="1023"/>
        <v>383.67023333763052</v>
      </c>
      <c r="AL73" s="50">
        <f t="shared" si="1023"/>
        <v>395.84375402861929</v>
      </c>
      <c r="AM73" s="50">
        <f t="shared" si="1023"/>
        <v>403.08458719313433</v>
      </c>
      <c r="AN73" s="50">
        <f t="shared" si="1023"/>
        <v>410.61142930809041</v>
      </c>
      <c r="AO73" s="50">
        <f t="shared" si="1023"/>
        <v>362.45341458922803</v>
      </c>
      <c r="AP73" s="50">
        <f t="shared" si="1023"/>
        <v>406.84809723919705</v>
      </c>
      <c r="AQ73" s="50">
        <f t="shared" si="1023"/>
        <v>421.3291700848834</v>
      </c>
      <c r="AR73" s="50">
        <f t="shared" si="1023"/>
        <v>423.50047715515075</v>
      </c>
      <c r="AS73" s="50">
        <f t="shared" si="1023"/>
        <v>389.26408815667452</v>
      </c>
      <c r="AT73" s="50">
        <f t="shared" ref="AT73:CO73" si="1024">+AT72/AT59</f>
        <v>29.428431259060815</v>
      </c>
      <c r="AU73" s="50">
        <f t="shared" si="1024"/>
        <v>29.521191976319226</v>
      </c>
      <c r="AV73" s="50">
        <f t="shared" si="1024"/>
        <v>29.315506606472521</v>
      </c>
      <c r="AW73" s="50">
        <f t="shared" si="1024"/>
        <v>25.307017688919757</v>
      </c>
      <c r="AX73" s="50">
        <f t="shared" si="1024"/>
        <v>25.521456565957234</v>
      </c>
      <c r="AY73" s="50">
        <f t="shared" si="1024"/>
        <v>24.353315363287084</v>
      </c>
      <c r="AZ73" s="50">
        <f t="shared" si="1024"/>
        <v>23.523937093813565</v>
      </c>
      <c r="BA73" s="50">
        <f t="shared" si="1024"/>
        <v>20.120884390865044</v>
      </c>
      <c r="BB73" s="50">
        <f t="shared" si="1024"/>
        <v>26.850589538787187</v>
      </c>
      <c r="BC73" s="50">
        <f t="shared" si="1024"/>
        <v>23.221356793614568</v>
      </c>
      <c r="BD73" s="50">
        <f t="shared" si="1024"/>
        <v>18.492103652990689</v>
      </c>
      <c r="BE73" s="50">
        <f t="shared" si="1024"/>
        <v>26.946326889473188</v>
      </c>
      <c r="BF73" s="50">
        <f t="shared" si="1024"/>
        <v>24.732582560235485</v>
      </c>
      <c r="BG73" s="50">
        <f t="shared" si="1024"/>
        <v>22.999443259303359</v>
      </c>
      <c r="BH73" s="50">
        <f t="shared" si="1024"/>
        <v>21.849900503271538</v>
      </c>
      <c r="BI73" s="50">
        <f t="shared" si="1024"/>
        <v>20.580686058882218</v>
      </c>
      <c r="BJ73" s="50">
        <f t="shared" si="1024"/>
        <v>20.400886375287328</v>
      </c>
      <c r="BK73" s="50">
        <f t="shared" si="1024"/>
        <v>19.05721199693517</v>
      </c>
      <c r="BL73" s="50">
        <f t="shared" si="1024"/>
        <v>17.6191783389283</v>
      </c>
      <c r="BM73" s="50">
        <f t="shared" si="1024"/>
        <v>15.819516793173586</v>
      </c>
      <c r="BN73" s="50">
        <f t="shared" si="1024"/>
        <v>14.840645378225375</v>
      </c>
      <c r="BO73" s="50">
        <f t="shared" si="1024"/>
        <v>13.840242981484236</v>
      </c>
      <c r="BP73" s="50">
        <f t="shared" si="1024"/>
        <v>13.423404055938658</v>
      </c>
      <c r="BQ73" s="50">
        <f t="shared" si="1024"/>
        <v>13.034159624723696</v>
      </c>
      <c r="BR73" s="50">
        <f t="shared" si="1024"/>
        <v>12.900696201485008</v>
      </c>
      <c r="BS73" s="50">
        <f t="shared" si="1024"/>
        <v>10.779205459366198</v>
      </c>
      <c r="BT73" s="50">
        <f t="shared" si="1024"/>
        <v>10.011520673821611</v>
      </c>
      <c r="BU73" s="50">
        <f t="shared" si="1024"/>
        <v>8.1067067960950983</v>
      </c>
      <c r="BV73" s="50">
        <f t="shared" si="1024"/>
        <v>7.4583850109970058</v>
      </c>
      <c r="BW73" s="50">
        <f t="shared" ref="BW73:BX73" si="1025">+BW72/BW59</f>
        <v>6.7395611119379533</v>
      </c>
      <c r="BX73" s="50">
        <f t="shared" si="1025"/>
        <v>5.8676059598815957</v>
      </c>
      <c r="BY73" s="50">
        <f t="shared" ref="BY73" si="1026">+BY72/BY59</f>
        <v>5.7431055106304392</v>
      </c>
      <c r="BZ73" s="51">
        <f t="shared" si="1024"/>
        <v>5.8009042477589174</v>
      </c>
      <c r="CA73" s="51">
        <f t="shared" si="1024"/>
        <v>6.1242272184260207</v>
      </c>
      <c r="CB73" s="51">
        <f t="shared" si="1024"/>
        <v>6.3594318338995155</v>
      </c>
      <c r="CC73" s="51">
        <f t="shared" si="1024"/>
        <v>6.6243478468383366</v>
      </c>
      <c r="CD73" s="51">
        <f t="shared" si="1024"/>
        <v>6.6773634629488692</v>
      </c>
      <c r="CE73" s="51">
        <f t="shared" si="1024"/>
        <v>7.0545105720115879</v>
      </c>
      <c r="CF73" s="51">
        <f t="shared" si="1024"/>
        <v>7.326569913681471</v>
      </c>
      <c r="CG73" s="51">
        <f t="shared" si="1024"/>
        <v>7.6321017823667745</v>
      </c>
      <c r="CH73" s="51">
        <f t="shared" si="1024"/>
        <v>7.6909878417078446</v>
      </c>
      <c r="CI73" s="51">
        <f t="shared" si="1024"/>
        <v>8.126638071439622</v>
      </c>
      <c r="CJ73" s="51">
        <f t="shared" si="1024"/>
        <v>8.4401824890106063</v>
      </c>
      <c r="CK73" s="51">
        <f t="shared" si="1024"/>
        <v>8.7919959830020709</v>
      </c>
      <c r="CL73" s="51">
        <f t="shared" si="1024"/>
        <v>8.859537013614883</v>
      </c>
      <c r="CM73" s="51">
        <f t="shared" si="1024"/>
        <v>9.3616579251173615</v>
      </c>
      <c r="CN73" s="51">
        <f t="shared" si="1024"/>
        <v>9.7228400511452975</v>
      </c>
      <c r="CO73" s="51">
        <f t="shared" si="1024"/>
        <v>10.128061432570929</v>
      </c>
      <c r="CS73" s="50">
        <v>6.900319639582654</v>
      </c>
      <c r="CX73" s="50">
        <v>5.7426966519439091</v>
      </c>
    </row>
    <row r="74" spans="1:102" s="50" customFormat="1" x14ac:dyDescent="0.2">
      <c r="AB74" s="51"/>
      <c r="AC74" s="51"/>
      <c r="AD74" s="51"/>
      <c r="AE74" s="51"/>
      <c r="AG74" s="64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</row>
    <row r="75" spans="1:102" s="50" customFormat="1" x14ac:dyDescent="0.2">
      <c r="A75" s="50" t="s">
        <v>340</v>
      </c>
      <c r="B75" s="114">
        <f t="shared" ref="B75:Z75" si="1027">+B71/B114</f>
        <v>0</v>
      </c>
      <c r="C75" s="114">
        <f t="shared" si="1027"/>
        <v>6.3768490927374216E-2</v>
      </c>
      <c r="D75" s="114">
        <f t="shared" si="1027"/>
        <v>6.1148561063870815E-2</v>
      </c>
      <c r="E75" s="114">
        <f t="shared" si="1027"/>
        <v>6.5636651272310581E-2</v>
      </c>
      <c r="F75" s="114">
        <f t="shared" si="1027"/>
        <v>3.9233613371899824E-2</v>
      </c>
      <c r="G75" s="114">
        <f t="shared" si="1027"/>
        <v>2.2569646909173343E-2</v>
      </c>
      <c r="H75" s="114">
        <f t="shared" si="1027"/>
        <v>1.5160850560841222E-2</v>
      </c>
      <c r="I75" s="114">
        <f t="shared" si="1027"/>
        <v>1.3200073296005166E-2</v>
      </c>
      <c r="J75" s="114">
        <f t="shared" si="1027"/>
        <v>1.5684990617507416E-2</v>
      </c>
      <c r="K75" s="114">
        <f t="shared" si="1027"/>
        <v>1.529698910861769E-2</v>
      </c>
      <c r="L75" s="114">
        <f t="shared" si="1027"/>
        <v>1.4850122386443768E-2</v>
      </c>
      <c r="M75" s="114">
        <f t="shared" si="1027"/>
        <v>1.7341619628818285E-2</v>
      </c>
      <c r="N75" s="114">
        <f t="shared" si="1027"/>
        <v>2.584956335211883E-2</v>
      </c>
      <c r="O75" s="114">
        <f t="shared" si="1027"/>
        <v>2.514456237576199E-2</v>
      </c>
      <c r="P75" s="114">
        <f t="shared" si="1027"/>
        <v>3.9510778165057138E-2</v>
      </c>
      <c r="Q75" s="114">
        <f t="shared" si="1027"/>
        <v>9.7432662944886061E-2</v>
      </c>
      <c r="R75" s="114">
        <f t="shared" si="1027"/>
        <v>0.10000340318767648</v>
      </c>
      <c r="S75" s="114">
        <f t="shared" si="1027"/>
        <v>0.12435970293996107</v>
      </c>
      <c r="T75" s="114">
        <f t="shared" si="1027"/>
        <v>9.1703575848053179E-2</v>
      </c>
      <c r="U75" s="114">
        <f t="shared" si="1027"/>
        <v>8.5710030535282575E-2</v>
      </c>
      <c r="V75" s="114">
        <f t="shared" si="1027"/>
        <v>9.4340185668592841E-2</v>
      </c>
      <c r="W75" s="114">
        <f t="shared" si="1027"/>
        <v>7.9095872281180424E-2</v>
      </c>
      <c r="X75" s="114">
        <f t="shared" si="1027"/>
        <v>5.5569429694809783E-2</v>
      </c>
      <c r="Y75" s="114">
        <f t="shared" si="1027"/>
        <v>4.3585702726833764E-2</v>
      </c>
      <c r="Z75" s="114">
        <f t="shared" si="1027"/>
        <v>3.0052756178029653E-2</v>
      </c>
      <c r="AA75" s="114">
        <f t="shared" ref="AA75" si="1028">+AA71/AA114</f>
        <v>1.8639077372096219E-2</v>
      </c>
      <c r="AB75" s="51"/>
      <c r="AC75" s="51"/>
      <c r="AD75" s="51"/>
      <c r="AE75" s="51"/>
      <c r="AG75" s="64"/>
      <c r="AI75" s="114">
        <f t="shared" ref="AI75:AS75" si="1029">+AI71/AI114</f>
        <v>4.3399313588759793E-2</v>
      </c>
      <c r="AJ75" s="114">
        <f t="shared" si="1029"/>
        <v>5.9694344507504118E-2</v>
      </c>
      <c r="AK75" s="114">
        <f t="shared" si="1029"/>
        <v>9.7432661144549515E-2</v>
      </c>
      <c r="AL75" s="114">
        <f t="shared" si="1029"/>
        <v>0.10064037568341558</v>
      </c>
      <c r="AM75" s="114">
        <f t="shared" si="1029"/>
        <v>0.1018416845619856</v>
      </c>
      <c r="AN75" s="114">
        <f t="shared" si="1029"/>
        <v>0.10354307329008959</v>
      </c>
      <c r="AO75" s="114">
        <f t="shared" si="1029"/>
        <v>0.10000340342159657</v>
      </c>
      <c r="AP75" s="114">
        <f t="shared" si="1029"/>
        <v>0.1098484433030469</v>
      </c>
      <c r="AQ75" s="114">
        <f t="shared" si="1029"/>
        <v>0.10931894664247573</v>
      </c>
      <c r="AR75" s="114">
        <f t="shared" si="1029"/>
        <v>0.10803949940208664</v>
      </c>
      <c r="AS75" s="114">
        <f t="shared" si="1029"/>
        <v>0.12435970176707288</v>
      </c>
      <c r="AT75" s="114">
        <f t="shared" ref="AT75:BV75" si="1030">+AT71/AT114</f>
        <v>0.11562266304192345</v>
      </c>
      <c r="AU75" s="114">
        <f t="shared" si="1030"/>
        <v>0.11045190880911283</v>
      </c>
      <c r="AV75" s="114">
        <f t="shared" si="1030"/>
        <v>0.10694712540324833</v>
      </c>
      <c r="AW75" s="114">
        <f t="shared" si="1030"/>
        <v>9.1703575505017482E-2</v>
      </c>
      <c r="AX75" s="114">
        <f t="shared" si="1030"/>
        <v>9.1039561786575213E-2</v>
      </c>
      <c r="AY75" s="114">
        <f t="shared" si="1030"/>
        <v>9.0169239821859093E-2</v>
      </c>
      <c r="AZ75" s="114">
        <f t="shared" si="1030"/>
        <v>8.6711487396760711E-2</v>
      </c>
      <c r="BA75" s="114">
        <f t="shared" si="1030"/>
        <v>8.5708643161384546E-2</v>
      </c>
      <c r="BB75" s="114">
        <f t="shared" si="1030"/>
        <v>9.3208828096524421E-2</v>
      </c>
      <c r="BC75" s="114">
        <f t="shared" si="1030"/>
        <v>8.6707403208525963E-2</v>
      </c>
      <c r="BD75" s="114">
        <f t="shared" si="1030"/>
        <v>7.8500454098151859E-2</v>
      </c>
      <c r="BE75" s="114">
        <f t="shared" si="1030"/>
        <v>9.4339934720810675E-2</v>
      </c>
      <c r="BF75" s="114">
        <f t="shared" si="1030"/>
        <v>8.976716525766304E-2</v>
      </c>
      <c r="BG75" s="114">
        <f t="shared" si="1030"/>
        <v>8.9061732802439827E-2</v>
      </c>
      <c r="BH75" s="114">
        <f t="shared" si="1030"/>
        <v>8.2195832021632914E-2</v>
      </c>
      <c r="BI75" s="114">
        <f t="shared" si="1030"/>
        <v>7.9095275791071729E-2</v>
      </c>
      <c r="BJ75" s="114">
        <f t="shared" si="1030"/>
        <v>7.3276969626111396E-2</v>
      </c>
      <c r="BK75" s="114">
        <f t="shared" si="1030"/>
        <v>6.6563143721016543E-2</v>
      </c>
      <c r="BL75" s="114">
        <f t="shared" si="1030"/>
        <v>6.1418335598953516E-2</v>
      </c>
      <c r="BM75" s="114">
        <f t="shared" si="1030"/>
        <v>5.5568839971899875E-2</v>
      </c>
      <c r="BN75" s="114">
        <f t="shared" si="1030"/>
        <v>5.347340561853637E-2</v>
      </c>
      <c r="BO75" s="114">
        <f t="shared" si="1030"/>
        <v>4.9260440425572663E-2</v>
      </c>
      <c r="BP75" s="114">
        <f t="shared" si="1030"/>
        <v>4.5318037157512335E-2</v>
      </c>
      <c r="BQ75" s="114">
        <f t="shared" si="1030"/>
        <v>4.358524130673469E-2</v>
      </c>
      <c r="BR75" s="114">
        <f t="shared" si="1030"/>
        <v>4.2644106234982805E-2</v>
      </c>
      <c r="BS75" s="114">
        <f t="shared" si="1030"/>
        <v>3.8345242912230418E-2</v>
      </c>
      <c r="BT75" s="114">
        <f t="shared" si="1030"/>
        <v>3.424804184827232E-2</v>
      </c>
      <c r="BU75" s="114">
        <f t="shared" si="1030"/>
        <v>3.0052784763875979E-2</v>
      </c>
      <c r="BV75" s="114">
        <f t="shared" si="1030"/>
        <v>2.7495420353192617E-2</v>
      </c>
      <c r="BW75" s="114">
        <f t="shared" ref="BW75:BX75" si="1031">+BW71/BW114</f>
        <v>2.3927030929599497E-2</v>
      </c>
      <c r="BX75" s="114">
        <f t="shared" si="1031"/>
        <v>2.1173471852171419E-2</v>
      </c>
      <c r="BY75" s="114">
        <f t="shared" ref="BY75" si="1032">+BY71/BY114</f>
        <v>1.8639085553422443E-2</v>
      </c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X75" s="50">
        <v>1.8639077372096219E-2</v>
      </c>
    </row>
    <row r="76" spans="1:102" s="50" customFormat="1" x14ac:dyDescent="0.2">
      <c r="A76" s="50" t="s">
        <v>341</v>
      </c>
      <c r="B76" s="114">
        <f t="shared" ref="B76:Z76" si="1033">+B72/B114</f>
        <v>0</v>
      </c>
      <c r="C76" s="114">
        <f t="shared" si="1033"/>
        <v>3.8892790340042636E-2</v>
      </c>
      <c r="D76" s="114">
        <f t="shared" si="1033"/>
        <v>3.5923463887513434E-2</v>
      </c>
      <c r="E76" s="114">
        <f t="shared" si="1033"/>
        <v>2.8932613378087266E-2</v>
      </c>
      <c r="F76" s="114">
        <f t="shared" si="1033"/>
        <v>1.8623863852326013E-2</v>
      </c>
      <c r="G76" s="114">
        <f t="shared" si="1033"/>
        <v>1.1069213141512666E-2</v>
      </c>
      <c r="H76" s="114">
        <f t="shared" si="1033"/>
        <v>9.4103196295661582E-3</v>
      </c>
      <c r="I76" s="114">
        <f t="shared" si="1033"/>
        <v>8.3834989193652815E-3</v>
      </c>
      <c r="J76" s="114">
        <f t="shared" si="1033"/>
        <v>1.090476441474654E-2</v>
      </c>
      <c r="K76" s="114">
        <f t="shared" si="1033"/>
        <v>1.0628068184417794E-2</v>
      </c>
      <c r="L76" s="114">
        <f t="shared" si="1033"/>
        <v>1.1028204812134786E-2</v>
      </c>
      <c r="M76" s="114">
        <f t="shared" si="1033"/>
        <v>1.4565412033301578E-2</v>
      </c>
      <c r="N76" s="114">
        <f t="shared" si="1033"/>
        <v>2.1794299960690756E-2</v>
      </c>
      <c r="O76" s="114">
        <f t="shared" si="1033"/>
        <v>1.9814361962232636E-2</v>
      </c>
      <c r="P76" s="114">
        <f t="shared" si="1033"/>
        <v>2.6482271198119803E-2</v>
      </c>
      <c r="Q76" s="114">
        <f t="shared" si="1033"/>
        <v>6.4157557524999229E-2</v>
      </c>
      <c r="R76" s="114">
        <f t="shared" si="1033"/>
        <v>6.3299489607694284E-2</v>
      </c>
      <c r="S76" s="114">
        <f t="shared" si="1033"/>
        <v>7.4776464992310582E-2</v>
      </c>
      <c r="T76" s="114">
        <f t="shared" si="1033"/>
        <v>5.3667632849007295E-2</v>
      </c>
      <c r="U76" s="114">
        <f t="shared" si="1033"/>
        <v>4.2230442184775709E-2</v>
      </c>
      <c r="V76" s="114">
        <f t="shared" si="1033"/>
        <v>3.824745916453931E-2</v>
      </c>
      <c r="W76" s="114">
        <f t="shared" si="1033"/>
        <v>2.6532051745581042E-2</v>
      </c>
      <c r="X76" s="114">
        <f t="shared" si="1033"/>
        <v>1.7273954651014421E-2</v>
      </c>
      <c r="Y76" s="114">
        <f t="shared" si="1033"/>
        <v>1.2690894307089166E-2</v>
      </c>
      <c r="Z76" s="114">
        <f t="shared" si="1033"/>
        <v>7.0084971829068206E-3</v>
      </c>
      <c r="AA76" s="114">
        <f t="shared" ref="AA76" si="1034">+AA72/AA114</f>
        <v>4.2696109952176427E-3</v>
      </c>
      <c r="AB76" s="51"/>
      <c r="AC76" s="51"/>
      <c r="AD76" s="51"/>
      <c r="AE76" s="51"/>
      <c r="AG76" s="64"/>
      <c r="AI76" s="114">
        <f t="shared" ref="AI76:AS76" si="1035">+AI72/AI114</f>
        <v>2.9041116022145277E-2</v>
      </c>
      <c r="AJ76" s="114">
        <f t="shared" si="1035"/>
        <v>3.8986202666551298E-2</v>
      </c>
      <c r="AK76" s="114">
        <f t="shared" si="1035"/>
        <v>6.4157556339511812E-2</v>
      </c>
      <c r="AL76" s="114">
        <f t="shared" si="1035"/>
        <v>6.6900213419135893E-2</v>
      </c>
      <c r="AM76" s="114">
        <f t="shared" si="1035"/>
        <v>6.690653919087837E-2</v>
      </c>
      <c r="AN76" s="114">
        <f t="shared" si="1035"/>
        <v>6.722962661695922E-2</v>
      </c>
      <c r="AO76" s="114">
        <f t="shared" si="1035"/>
        <v>6.3299489755759469E-2</v>
      </c>
      <c r="AP76" s="114">
        <f t="shared" si="1035"/>
        <v>7.0885426450838299E-2</v>
      </c>
      <c r="AQ76" s="114">
        <f t="shared" si="1035"/>
        <v>7.0244816271887084E-2</v>
      </c>
      <c r="AR76" s="114">
        <f t="shared" si="1035"/>
        <v>6.7793425866098003E-2</v>
      </c>
      <c r="AS76" s="114">
        <f t="shared" si="1035"/>
        <v>7.4776464287062569E-2</v>
      </c>
      <c r="AT76" s="114">
        <f t="shared" ref="AT76:BV76" si="1036">+AT72/AT114</f>
        <v>6.9108910967989476E-2</v>
      </c>
      <c r="AU76" s="114">
        <f t="shared" si="1036"/>
        <v>6.5386489208666812E-2</v>
      </c>
      <c r="AV76" s="114">
        <f t="shared" si="1036"/>
        <v>6.3732800476018606E-2</v>
      </c>
      <c r="AW76" s="114">
        <f t="shared" si="1036"/>
        <v>5.3667632648252701E-2</v>
      </c>
      <c r="AX76" s="114">
        <f t="shared" si="1036"/>
        <v>5.3491971635988345E-2</v>
      </c>
      <c r="AY76" s="114">
        <f t="shared" si="1036"/>
        <v>5.1453724644295616E-2</v>
      </c>
      <c r="AZ76" s="114">
        <f t="shared" si="1036"/>
        <v>5.049061775969136E-2</v>
      </c>
      <c r="BA76" s="114">
        <f t="shared" si="1036"/>
        <v>4.2230442653812622E-2</v>
      </c>
      <c r="BB76" s="114">
        <f t="shared" si="1036"/>
        <v>3.9462875717095898E-2</v>
      </c>
      <c r="BC76" s="114">
        <f t="shared" si="1036"/>
        <v>3.417689745136189E-2</v>
      </c>
      <c r="BD76" s="114">
        <f t="shared" si="1036"/>
        <v>2.6446420312467335E-2</v>
      </c>
      <c r="BE76" s="114">
        <f t="shared" si="1036"/>
        <v>3.8247568468889999E-2</v>
      </c>
      <c r="BF76" s="114">
        <f t="shared" si="1036"/>
        <v>3.4592906616564195E-2</v>
      </c>
      <c r="BG76" s="114">
        <f t="shared" si="1036"/>
        <v>3.2115916005647616E-2</v>
      </c>
      <c r="BH76" s="114">
        <f t="shared" si="1036"/>
        <v>2.8633638928831844E-2</v>
      </c>
      <c r="BI76" s="114">
        <f t="shared" si="1036"/>
        <v>2.6532080317813848E-2</v>
      </c>
      <c r="BJ76" s="114">
        <f t="shared" si="1036"/>
        <v>2.4774147083000832E-2</v>
      </c>
      <c r="BK76" s="114">
        <f t="shared" si="1036"/>
        <v>2.1922760529364611E-2</v>
      </c>
      <c r="BL76" s="114">
        <f t="shared" si="1036"/>
        <v>1.9575541414549286E-2</v>
      </c>
      <c r="BM76" s="114">
        <f t="shared" si="1036"/>
        <v>1.7274351969377103E-2</v>
      </c>
      <c r="BN76" s="114">
        <f t="shared" si="1036"/>
        <v>1.574174299977309E-2</v>
      </c>
      <c r="BO76" s="114">
        <f t="shared" si="1036"/>
        <v>1.4069099495710084E-2</v>
      </c>
      <c r="BP76" s="114">
        <f t="shared" si="1036"/>
        <v>1.3225377766260751E-2</v>
      </c>
      <c r="BQ76" s="114">
        <f t="shared" si="1036"/>
        <v>1.2690711870080192E-2</v>
      </c>
      <c r="BR76" s="114">
        <f t="shared" si="1036"/>
        <v>1.2365121029619971E-2</v>
      </c>
      <c r="BS76" s="114">
        <f t="shared" si="1036"/>
        <v>9.9360064415187164E-3</v>
      </c>
      <c r="BT76" s="114">
        <f t="shared" si="1036"/>
        <v>8.8706279414279311E-3</v>
      </c>
      <c r="BU76" s="114">
        <f t="shared" si="1036"/>
        <v>7.0087926567801205E-3</v>
      </c>
      <c r="BV76" s="114">
        <f t="shared" si="1036"/>
        <v>6.3015925166153078E-3</v>
      </c>
      <c r="BW76" s="114">
        <f t="shared" ref="BW76:BX76" si="1037">+BW72/BW114</f>
        <v>5.4093840046510718E-3</v>
      </c>
      <c r="BX76" s="114">
        <f t="shared" si="1037"/>
        <v>4.5380532042507042E-3</v>
      </c>
      <c r="BY76" s="114">
        <f t="shared" ref="BY76" si="1038">+BY72/BY114</f>
        <v>4.2699142660637471E-3</v>
      </c>
      <c r="BZ76" s="117">
        <f t="shared" ref="BZ76:CO76" si="1039">+BY76</f>
        <v>4.2699142660637471E-3</v>
      </c>
      <c r="CA76" s="117">
        <f t="shared" si="1039"/>
        <v>4.2699142660637471E-3</v>
      </c>
      <c r="CB76" s="117">
        <f t="shared" si="1039"/>
        <v>4.2699142660637471E-3</v>
      </c>
      <c r="CC76" s="117">
        <f t="shared" si="1039"/>
        <v>4.2699142660637471E-3</v>
      </c>
      <c r="CD76" s="117">
        <f t="shared" si="1039"/>
        <v>4.2699142660637471E-3</v>
      </c>
      <c r="CE76" s="117">
        <f t="shared" si="1039"/>
        <v>4.2699142660637471E-3</v>
      </c>
      <c r="CF76" s="117">
        <f t="shared" si="1039"/>
        <v>4.2699142660637471E-3</v>
      </c>
      <c r="CG76" s="117">
        <f t="shared" si="1039"/>
        <v>4.2699142660637471E-3</v>
      </c>
      <c r="CH76" s="117">
        <f t="shared" si="1039"/>
        <v>4.2699142660637471E-3</v>
      </c>
      <c r="CI76" s="117">
        <f t="shared" si="1039"/>
        <v>4.2699142660637471E-3</v>
      </c>
      <c r="CJ76" s="117">
        <f t="shared" si="1039"/>
        <v>4.2699142660637471E-3</v>
      </c>
      <c r="CK76" s="117">
        <f t="shared" si="1039"/>
        <v>4.2699142660637471E-3</v>
      </c>
      <c r="CL76" s="117">
        <f t="shared" si="1039"/>
        <v>4.2699142660637471E-3</v>
      </c>
      <c r="CM76" s="117">
        <f t="shared" si="1039"/>
        <v>4.2699142660637471E-3</v>
      </c>
      <c r="CN76" s="117">
        <f t="shared" si="1039"/>
        <v>4.2699142660637471E-3</v>
      </c>
      <c r="CO76" s="117">
        <f t="shared" si="1039"/>
        <v>4.2699142660637471E-3</v>
      </c>
      <c r="CS76" s="143">
        <v>5.4093840046510718E-3</v>
      </c>
      <c r="CX76" s="50">
        <v>4.2696109952176427E-3</v>
      </c>
    </row>
    <row r="77" spans="1:102" s="50" customFormat="1" x14ac:dyDescent="0.2">
      <c r="AB77" s="51"/>
      <c r="AC77" s="51"/>
      <c r="AD77" s="51"/>
      <c r="AE77" s="51"/>
      <c r="AG77" s="64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</row>
    <row r="78" spans="1:102" s="50" customFormat="1" x14ac:dyDescent="0.2">
      <c r="A78" s="50" t="s">
        <v>346</v>
      </c>
      <c r="B78" s="50">
        <f>+'Annual Raw'!C54</f>
        <v>0</v>
      </c>
      <c r="C78" s="50">
        <f>+'Annual Raw'!D54</f>
        <v>0</v>
      </c>
      <c r="D78" s="50">
        <f>+'Annual Raw'!E54</f>
        <v>3.53</v>
      </c>
      <c r="E78" s="50">
        <f>+'Annual Raw'!F54</f>
        <v>3.49</v>
      </c>
      <c r="F78" s="50">
        <f>+'Annual Raw'!G54</f>
        <v>3.41</v>
      </c>
      <c r="G78" s="50">
        <f>+'Annual Raw'!H54</f>
        <v>3.36</v>
      </c>
      <c r="H78" s="50">
        <f>+'Annual Raw'!I54</f>
        <v>3.15</v>
      </c>
      <c r="I78" s="50">
        <f>+'Annual Raw'!J54</f>
        <v>2.42</v>
      </c>
      <c r="J78" s="50">
        <f>+'Annual Raw'!K54</f>
        <v>2.78</v>
      </c>
      <c r="K78" s="50">
        <f>+'Annual Raw'!L54</f>
        <v>2.8</v>
      </c>
      <c r="L78" s="50">
        <f>+'Annual Raw'!M54</f>
        <v>3.12</v>
      </c>
      <c r="M78" s="50">
        <f>+'Annual Raw'!N54</f>
        <v>2.5</v>
      </c>
      <c r="N78" s="50">
        <f>+'Annual Raw'!O54</f>
        <v>2.4</v>
      </c>
      <c r="O78" s="50">
        <f>+'Annual Raw'!P54</f>
        <v>2.27</v>
      </c>
      <c r="P78" s="50">
        <f>+'Annual Raw'!Q54</f>
        <v>2.25</v>
      </c>
      <c r="Q78" s="50">
        <f>+'Annual Raw'!R54</f>
        <v>2.19</v>
      </c>
      <c r="R78" s="50">
        <f>+'Annual Raw'!S54</f>
        <v>2.23</v>
      </c>
      <c r="S78" s="50">
        <f>+'Annual Raw'!T54</f>
        <v>2.42</v>
      </c>
      <c r="T78" s="50">
        <f>+'Annual Raw'!U54</f>
        <v>2.63</v>
      </c>
      <c r="U78" s="50">
        <f>+'Annual Raw'!V54</f>
        <v>2.29</v>
      </c>
      <c r="V78" s="50">
        <f>+'Annual Raw'!W54</f>
        <v>2.75</v>
      </c>
      <c r="W78" s="50">
        <f>+'Annual Raw'!X54</f>
        <v>2.82</v>
      </c>
      <c r="X78" s="50">
        <f>+'Annual Raw'!Y54</f>
        <v>2.95</v>
      </c>
      <c r="Y78" s="50">
        <f>+'Annual Raw'!Z54</f>
        <v>3.05</v>
      </c>
      <c r="Z78" s="50">
        <f>+'Annual Raw'!AA54</f>
        <v>2.8</v>
      </c>
      <c r="AA78" s="50">
        <f>+'Annual Raw'!AB54</f>
        <v>2.5099999999999998</v>
      </c>
      <c r="AB78" s="51"/>
      <c r="AC78" s="51"/>
      <c r="AD78" s="51"/>
      <c r="AE78" s="51"/>
      <c r="AG78" s="64"/>
      <c r="AH78" s="50">
        <f>+'QTR Raw'!C48</f>
        <v>2.21</v>
      </c>
      <c r="AI78" s="50">
        <f>+'QTR Raw'!D48</f>
        <v>2.38</v>
      </c>
      <c r="AJ78" s="50">
        <f>+'QTR Raw'!E48</f>
        <v>2.29</v>
      </c>
      <c r="AK78" s="50">
        <f>+'QTR Raw'!F48</f>
        <v>2.34</v>
      </c>
      <c r="AL78" s="50">
        <f>+'QTR Raw'!G48</f>
        <v>2.29</v>
      </c>
      <c r="AM78" s="50">
        <f>+'QTR Raw'!H48</f>
        <v>2.35</v>
      </c>
      <c r="AN78" s="50">
        <f>+'QTR Raw'!I48</f>
        <v>2.34</v>
      </c>
      <c r="AO78" s="50">
        <f>+'QTR Raw'!J48</f>
        <v>2.39</v>
      </c>
      <c r="AP78" s="50">
        <f>+'QTR Raw'!K48</f>
        <v>2.56</v>
      </c>
      <c r="AQ78" s="50">
        <f>+'QTR Raw'!L48</f>
        <v>2.6</v>
      </c>
      <c r="AR78" s="50">
        <f>+'QTR Raw'!M48</f>
        <v>2.64</v>
      </c>
      <c r="AS78" s="50">
        <f>+'QTR Raw'!N48</f>
        <v>2.65</v>
      </c>
      <c r="AT78" s="50">
        <f>+'QTR Raw'!O48</f>
        <v>2.75</v>
      </c>
      <c r="AU78" s="50">
        <f>+'QTR Raw'!P48</f>
        <v>2.74</v>
      </c>
      <c r="AV78" s="50">
        <f>+'QTR Raw'!Q48</f>
        <v>2.85</v>
      </c>
      <c r="AW78" s="50">
        <f>+'QTR Raw'!R48</f>
        <v>2.76</v>
      </c>
      <c r="AX78" s="50">
        <f>+'QTR Raw'!S48</f>
        <v>2.29</v>
      </c>
      <c r="AY78" s="50">
        <f>+'QTR Raw'!T48</f>
        <v>2.4700000000000002</v>
      </c>
      <c r="AZ78" s="50">
        <f>+'QTR Raw'!U48</f>
        <v>2.5</v>
      </c>
      <c r="BA78" s="50">
        <f>+'QTR Raw'!V48</f>
        <v>2.5099999999999998</v>
      </c>
      <c r="BB78" s="50">
        <f>+'QTR Raw'!W48</f>
        <v>2.84</v>
      </c>
      <c r="BC78" s="50">
        <f>+'QTR Raw'!X48</f>
        <v>2.82</v>
      </c>
      <c r="BD78" s="50">
        <f>+'QTR Raw'!Y48</f>
        <v>2.8</v>
      </c>
      <c r="BE78" s="50">
        <f>+'QTR Raw'!Z48</f>
        <v>2.5099999999999998</v>
      </c>
      <c r="BF78" s="50">
        <f>+'QTR Raw'!AA48</f>
        <v>2.71</v>
      </c>
      <c r="BG78" s="50">
        <f>+'QTR Raw'!AB48</f>
        <v>2.72</v>
      </c>
      <c r="BH78" s="50">
        <f>+'QTR Raw'!AC48</f>
        <v>2.83</v>
      </c>
      <c r="BI78" s="50">
        <f>+'QTR Raw'!AD48</f>
        <v>2.93</v>
      </c>
      <c r="BJ78" s="50">
        <f>+'QTR Raw'!AE48</f>
        <v>2.78</v>
      </c>
      <c r="BK78" s="50">
        <f>+'QTR Raw'!AF48</f>
        <v>2.83</v>
      </c>
      <c r="BL78" s="50">
        <f>+'QTR Raw'!AG48</f>
        <v>2.93</v>
      </c>
      <c r="BM78" s="50">
        <f>+'QTR Raw'!AH48</f>
        <v>3.07</v>
      </c>
      <c r="BN78" s="50">
        <f>+'QTR Raw'!AI48</f>
        <v>3.05</v>
      </c>
      <c r="BO78" s="50">
        <f>+'QTR Raw'!AJ48</f>
        <v>3</v>
      </c>
      <c r="BP78" s="50">
        <f>+'QTR Raw'!AK48</f>
        <v>3.03</v>
      </c>
      <c r="BQ78" s="50">
        <f>+'QTR Raw'!AL48</f>
        <v>3.07</v>
      </c>
      <c r="BR78" s="50">
        <f>+'QTR Raw'!AM48</f>
        <v>2.9</v>
      </c>
      <c r="BS78" s="50">
        <f>+'QTR Raw'!AN48</f>
        <v>2.86</v>
      </c>
      <c r="BT78" s="50">
        <f>+'QTR Raw'!AO48</f>
        <v>2.83</v>
      </c>
      <c r="BU78" s="50">
        <f>+'QTR Raw'!AP48</f>
        <v>2.73</v>
      </c>
      <c r="BV78" s="50">
        <f>+'QTR Raw'!AQ48</f>
        <v>2.5499999999999998</v>
      </c>
      <c r="BW78" s="50">
        <f>+'QTR Raw'!AR48</f>
        <v>2.5</v>
      </c>
      <c r="BX78" s="50">
        <f>+'QTR Raw'!AS48</f>
        <v>2.4500000000000002</v>
      </c>
      <c r="BY78" s="50">
        <f>+'QTR Raw'!AT48</f>
        <v>2.54</v>
      </c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X78" s="50">
        <v>2.5099999999999998</v>
      </c>
    </row>
    <row r="79" spans="1:102" s="38" customFormat="1" x14ac:dyDescent="0.2">
      <c r="A79" s="38" t="s">
        <v>345</v>
      </c>
      <c r="D79" s="114">
        <f t="shared" ref="D79:Z79" si="1040">+D31/D81</f>
        <v>3.5088133536094697E-2</v>
      </c>
      <c r="E79" s="114">
        <f t="shared" si="1040"/>
        <v>3.4754208837990422E-2</v>
      </c>
      <c r="F79" s="114">
        <f t="shared" si="1040"/>
        <v>3.4638261864724025E-2</v>
      </c>
      <c r="G79" s="114">
        <f t="shared" si="1040"/>
        <v>3.3335684109054083E-2</v>
      </c>
      <c r="H79" s="114">
        <f t="shared" si="1040"/>
        <v>3.0959970361591697E-2</v>
      </c>
      <c r="I79" s="114">
        <f t="shared" si="1040"/>
        <v>2.352405573671416E-2</v>
      </c>
      <c r="J79" s="114">
        <f t="shared" si="1040"/>
        <v>2.6726309348543208E-2</v>
      </c>
      <c r="K79" s="114">
        <f t="shared" si="1040"/>
        <v>2.6116923690519725E-2</v>
      </c>
      <c r="L79" s="114">
        <f t="shared" si="1040"/>
        <v>2.8840996373310258E-2</v>
      </c>
      <c r="M79" s="114">
        <f t="shared" si="1040"/>
        <v>2.4431776481013759E-2</v>
      </c>
      <c r="N79" s="114">
        <f t="shared" si="1040"/>
        <v>2.2580543203025962E-2</v>
      </c>
      <c r="O79" s="114">
        <f t="shared" si="1040"/>
        <v>2.2609675790160794E-2</v>
      </c>
      <c r="P79" s="114">
        <f t="shared" si="1040"/>
        <v>2.14749930787742E-2</v>
      </c>
      <c r="Q79" s="114">
        <f t="shared" si="1040"/>
        <v>2.0792549933300233E-2</v>
      </c>
      <c r="R79" s="114">
        <f t="shared" si="1040"/>
        <v>2.0581235099068181E-2</v>
      </c>
      <c r="S79" s="114">
        <f t="shared" si="1040"/>
        <v>2.3895778117435568E-2</v>
      </c>
      <c r="T79" s="114">
        <f t="shared" si="1040"/>
        <v>2.616994928118838E-2</v>
      </c>
      <c r="U79" s="114">
        <f t="shared" si="1040"/>
        <v>2.2073073417546923E-2</v>
      </c>
      <c r="V79" s="114">
        <f t="shared" si="1040"/>
        <v>3.1942068545478375E-2</v>
      </c>
      <c r="W79" s="114">
        <f t="shared" si="1040"/>
        <v>2.797351424830611E-2</v>
      </c>
      <c r="X79" s="114">
        <f t="shared" si="1040"/>
        <v>2.9443091335815318E-2</v>
      </c>
      <c r="Y79" s="114">
        <f t="shared" si="1040"/>
        <v>2.9987094470395902E-2</v>
      </c>
      <c r="Z79" s="114">
        <f t="shared" si="1040"/>
        <v>2.7254766677265056E-2</v>
      </c>
      <c r="AA79" s="114">
        <f t="shared" ref="AA79" si="1041">+AA31/AA81</f>
        <v>2.436208507019498E-2</v>
      </c>
      <c r="AB79" s="39"/>
      <c r="AC79" s="39"/>
      <c r="AD79" s="39"/>
      <c r="AE79" s="39"/>
      <c r="AG79" s="60"/>
      <c r="AI79" s="114">
        <f t="shared" ref="AI79:AT79" si="1042">+AI31/AI81*4</f>
        <v>2.2225119041168136E-2</v>
      </c>
      <c r="AJ79" s="114">
        <f t="shared" si="1042"/>
        <v>1.8475888171421661E-2</v>
      </c>
      <c r="AK79" s="114">
        <f t="shared" si="1042"/>
        <v>1.988850669509877E-2</v>
      </c>
      <c r="AL79" s="114">
        <f t="shared" si="1042"/>
        <v>2.0086991542313627E-2</v>
      </c>
      <c r="AM79" s="114">
        <f t="shared" si="1042"/>
        <v>2.1227268750989455E-2</v>
      </c>
      <c r="AN79" s="114">
        <f t="shared" si="1042"/>
        <v>1.9924271589497604E-2</v>
      </c>
      <c r="AO79" s="114">
        <f t="shared" si="1042"/>
        <v>2.1819684344848614E-2</v>
      </c>
      <c r="AP79" s="114">
        <f t="shared" si="1042"/>
        <v>2.2081644255790452E-2</v>
      </c>
      <c r="AQ79" s="114">
        <f t="shared" si="1042"/>
        <v>2.2583324829200817E-2</v>
      </c>
      <c r="AR79" s="114">
        <f t="shared" si="1042"/>
        <v>2.9134996560287361E-2</v>
      </c>
      <c r="AS79" s="114">
        <f t="shared" si="1042"/>
        <v>2.2965886692419075E-2</v>
      </c>
      <c r="AT79" s="114">
        <f t="shared" si="1042"/>
        <v>2.9402753307849968E-2</v>
      </c>
      <c r="AU79" s="114">
        <f t="shared" ref="AU79:CO79" si="1043">+AU31/AU81*4</f>
        <v>2.4040091191340259E-2</v>
      </c>
      <c r="AV79" s="114">
        <f t="shared" si="1043"/>
        <v>2.6973172901137824E-2</v>
      </c>
      <c r="AW79" s="114">
        <f t="shared" si="1043"/>
        <v>2.4335443172187918E-2</v>
      </c>
      <c r="AX79" s="114">
        <f t="shared" si="1043"/>
        <v>2.2207291277243128E-2</v>
      </c>
      <c r="AY79" s="114">
        <f t="shared" si="1043"/>
        <v>2.1268394834740734E-2</v>
      </c>
      <c r="AZ79" s="114">
        <f t="shared" si="1043"/>
        <v>2.3323632580643568E-2</v>
      </c>
      <c r="BA79" s="114">
        <f t="shared" si="1043"/>
        <v>2.219599207075787E-2</v>
      </c>
      <c r="BB79" s="114">
        <f t="shared" si="1043"/>
        <v>3.3027107695357952E-2</v>
      </c>
      <c r="BC79" s="114">
        <f t="shared" si="1043"/>
        <v>2.8828505217441486E-2</v>
      </c>
      <c r="BD79" s="114">
        <f t="shared" si="1043"/>
        <v>2.7241846971291884E-2</v>
      </c>
      <c r="BE79" s="114">
        <f t="shared" si="1043"/>
        <v>2.4847439607145187E-2</v>
      </c>
      <c r="BF79" s="114">
        <f t="shared" si="1043"/>
        <v>2.7039474612392807E-2</v>
      </c>
      <c r="BG79" s="114">
        <f t="shared" si="1043"/>
        <v>2.7061625817490925E-2</v>
      </c>
      <c r="BH79" s="114">
        <f t="shared" si="1043"/>
        <v>2.92410744113226E-2</v>
      </c>
      <c r="BI79" s="114">
        <f t="shared" si="1043"/>
        <v>2.8703968570906558E-2</v>
      </c>
      <c r="BJ79" s="114">
        <f t="shared" si="1043"/>
        <v>2.6602367668673674E-2</v>
      </c>
      <c r="BK79" s="114">
        <f t="shared" si="1043"/>
        <v>2.76353315395119E-2</v>
      </c>
      <c r="BL79" s="114">
        <f t="shared" si="1043"/>
        <v>3.091920499610519E-2</v>
      </c>
      <c r="BM79" s="114">
        <f t="shared" si="1043"/>
        <v>3.0266201540933884E-2</v>
      </c>
      <c r="BN79" s="114">
        <f t="shared" si="1043"/>
        <v>2.966846589647822E-2</v>
      </c>
      <c r="BO79" s="114">
        <f t="shared" si="1043"/>
        <v>2.9387660912570997E-2</v>
      </c>
      <c r="BP79" s="114">
        <f t="shared" si="1043"/>
        <v>3.0126638348503189E-2</v>
      </c>
      <c r="BQ79" s="114">
        <f t="shared" si="1043"/>
        <v>3.0019151144907844E-2</v>
      </c>
      <c r="BR79" s="114">
        <f t="shared" si="1043"/>
        <v>2.8144967259621699E-2</v>
      </c>
      <c r="BS79" s="114">
        <f t="shared" si="1043"/>
        <v>2.7875592644276821E-2</v>
      </c>
      <c r="BT79" s="114">
        <f t="shared" si="1043"/>
        <v>2.651677660228665E-2</v>
      </c>
      <c r="BU79" s="114">
        <f t="shared" si="1043"/>
        <v>2.6649192885755364E-2</v>
      </c>
      <c r="BV79" s="114">
        <f t="shared" si="1043"/>
        <v>2.4832621357681807E-2</v>
      </c>
      <c r="BW79" s="114">
        <f t="shared" ref="BW79:BX79" si="1044">+BW31/BW81*4</f>
        <v>2.4412111731627242E-2</v>
      </c>
      <c r="BX79" s="114">
        <f t="shared" si="1044"/>
        <v>2.3936588602398445E-2</v>
      </c>
      <c r="BY79" s="114">
        <f t="shared" ref="BY79" si="1045">+BY31/BY81*4</f>
        <v>2.4589204083569034E-2</v>
      </c>
      <c r="BZ79" s="116">
        <f t="shared" si="1043"/>
        <v>2.5423087862055598E-2</v>
      </c>
      <c r="CA79" s="116">
        <f t="shared" si="1043"/>
        <v>2.5471102293613598E-2</v>
      </c>
      <c r="CB79" s="116">
        <f t="shared" si="1043"/>
        <v>2.4986217876141269E-2</v>
      </c>
      <c r="CC79" s="116">
        <f t="shared" si="1043"/>
        <v>2.4928843613419408E-2</v>
      </c>
      <c r="CD79" s="116">
        <f t="shared" si="1043"/>
        <v>2.5257055395202014E-2</v>
      </c>
      <c r="CE79" s="116">
        <f t="shared" si="1043"/>
        <v>2.538396421787922E-2</v>
      </c>
      <c r="CF79" s="116">
        <f t="shared" si="1043"/>
        <v>2.477289929773981E-2</v>
      </c>
      <c r="CG79" s="116">
        <f t="shared" si="1043"/>
        <v>2.4527628361325441E-2</v>
      </c>
      <c r="CH79" s="116">
        <f t="shared" si="1043"/>
        <v>2.343800142588056E-2</v>
      </c>
      <c r="CI79" s="116">
        <f t="shared" si="1043"/>
        <v>2.3165518233478007E-2</v>
      </c>
      <c r="CJ79" s="116">
        <f t="shared" si="1043"/>
        <v>2.3603094320088665E-2</v>
      </c>
      <c r="CK79" s="116">
        <f t="shared" si="1043"/>
        <v>2.3134563695312166E-2</v>
      </c>
      <c r="CL79" s="116">
        <f t="shared" si="1043"/>
        <v>2.2611838127179564E-2</v>
      </c>
      <c r="CM79" s="116">
        <f t="shared" si="1043"/>
        <v>2.2576751793042513E-2</v>
      </c>
      <c r="CN79" s="116">
        <f t="shared" si="1043"/>
        <v>2.2622031359933403E-2</v>
      </c>
      <c r="CO79" s="116">
        <f t="shared" si="1043"/>
        <v>2.2203548624713652E-2</v>
      </c>
      <c r="CS79" s="144">
        <v>2.4292382076305543E-2</v>
      </c>
      <c r="CX79" s="38">
        <v>2.436208507019498E-2</v>
      </c>
    </row>
    <row r="80" spans="1:102" s="50" customFormat="1" x14ac:dyDescent="0.2">
      <c r="A80" s="50" t="s">
        <v>347</v>
      </c>
      <c r="C80" s="50">
        <f t="shared" ref="C80:Z80" si="1046">+SUM(C113:C114)</f>
        <v>56346.810799999992</v>
      </c>
      <c r="D80" s="50">
        <f t="shared" si="1046"/>
        <v>70929.842299999989</v>
      </c>
      <c r="E80" s="50">
        <f t="shared" si="1046"/>
        <v>83431.617200000008</v>
      </c>
      <c r="F80" s="50">
        <f t="shared" si="1046"/>
        <v>98475.287500000006</v>
      </c>
      <c r="G80" s="50">
        <f t="shared" si="1046"/>
        <v>116399.88279999999</v>
      </c>
      <c r="H80" s="50">
        <f t="shared" si="1046"/>
        <v>143731.2254</v>
      </c>
      <c r="I80" s="50">
        <f t="shared" si="1046"/>
        <v>157049.6127</v>
      </c>
      <c r="J80" s="50">
        <f t="shared" si="1046"/>
        <v>195996.30459999997</v>
      </c>
      <c r="K80" s="50">
        <f t="shared" si="1046"/>
        <v>239011.5828</v>
      </c>
      <c r="L80" s="50">
        <f t="shared" si="1046"/>
        <v>294904.3125</v>
      </c>
      <c r="M80" s="50">
        <f t="shared" si="1046"/>
        <v>334547.24670000002</v>
      </c>
      <c r="N80" s="50">
        <f t="shared" si="1046"/>
        <v>363309.45490000001</v>
      </c>
      <c r="O80" s="50">
        <f t="shared" si="1046"/>
        <v>427895.73379999999</v>
      </c>
      <c r="P80" s="50">
        <f t="shared" si="1046"/>
        <v>472096.93810000003</v>
      </c>
      <c r="Q80" s="50">
        <f t="shared" si="1046"/>
        <v>467024.12510000006</v>
      </c>
      <c r="R80" s="50">
        <f t="shared" si="1046"/>
        <v>492274.64899999998</v>
      </c>
      <c r="S80" s="50">
        <f t="shared" si="1046"/>
        <v>525756.6568</v>
      </c>
      <c r="T80" s="50">
        <f t="shared" si="1046"/>
        <v>580712.56440000003</v>
      </c>
      <c r="U80" s="50">
        <f t="shared" si="1046"/>
        <v>608420.14509999997</v>
      </c>
      <c r="V80" s="50">
        <f t="shared" si="1046"/>
        <v>900739.38009999995</v>
      </c>
      <c r="W80" s="50">
        <f t="shared" si="1046"/>
        <v>985614.72369999997</v>
      </c>
      <c r="X80" s="50">
        <f t="shared" si="1046"/>
        <v>1149711.0029</v>
      </c>
      <c r="Y80" s="50">
        <f t="shared" si="1046"/>
        <v>1289067.2546000001</v>
      </c>
      <c r="Z80" s="50">
        <f t="shared" si="1046"/>
        <v>1431334.4013</v>
      </c>
      <c r="AA80" s="50">
        <f t="shared" ref="AA80" si="1047">+SUM(AA113:AA114)</f>
        <v>1623432.0518</v>
      </c>
      <c r="AB80" s="51"/>
      <c r="AC80" s="51"/>
      <c r="AD80" s="51"/>
      <c r="AE80" s="51"/>
      <c r="AG80" s="64"/>
      <c r="AI80" s="50">
        <f t="shared" ref="AI80:AT80" si="1048">+SUM(AI113:AI114)</f>
        <v>476307.91000000003</v>
      </c>
      <c r="AJ80" s="50">
        <f t="shared" si="1048"/>
        <v>487802.70999999996</v>
      </c>
      <c r="AK80" s="50">
        <f t="shared" si="1048"/>
        <v>467024.13</v>
      </c>
      <c r="AL80" s="50">
        <f t="shared" si="1048"/>
        <v>451938.77</v>
      </c>
      <c r="AM80" s="50">
        <f t="shared" si="1048"/>
        <v>468518.79000000004</v>
      </c>
      <c r="AN80" s="50">
        <f t="shared" si="1048"/>
        <v>500670.97</v>
      </c>
      <c r="AO80" s="50">
        <f t="shared" si="1048"/>
        <v>492274.65</v>
      </c>
      <c r="AP80" s="50">
        <f t="shared" si="1048"/>
        <v>490710.12</v>
      </c>
      <c r="AQ80" s="50">
        <f t="shared" si="1048"/>
        <v>495281.1</v>
      </c>
      <c r="AR80" s="50">
        <f t="shared" si="1048"/>
        <v>514948.64</v>
      </c>
      <c r="AS80" s="50">
        <f t="shared" si="1048"/>
        <v>525756.66</v>
      </c>
      <c r="AT80" s="50">
        <f t="shared" si="1048"/>
        <v>530715.83000000007</v>
      </c>
      <c r="AU80" s="50">
        <f t="shared" ref="AU80:CO80" si="1049">+SUM(AU113:AU114)</f>
        <v>561216.80000000005</v>
      </c>
      <c r="AV80" s="50">
        <f t="shared" si="1049"/>
        <v>569921.91</v>
      </c>
      <c r="AW80" s="50">
        <f t="shared" si="1049"/>
        <v>580712.57000000007</v>
      </c>
      <c r="AX80" s="50">
        <f t="shared" si="1049"/>
        <v>586691.4</v>
      </c>
      <c r="AY80" s="50">
        <f t="shared" si="1049"/>
        <v>590552.12</v>
      </c>
      <c r="AZ80" s="50">
        <f t="shared" si="1049"/>
        <v>587658.86</v>
      </c>
      <c r="BA80" s="50">
        <f t="shared" si="1049"/>
        <v>608420.14</v>
      </c>
      <c r="BB80" s="50">
        <f t="shared" si="1049"/>
        <v>868076.09000000008</v>
      </c>
      <c r="BC80" s="50">
        <f t="shared" si="1049"/>
        <v>881547.75</v>
      </c>
      <c r="BD80" s="50">
        <f t="shared" si="1049"/>
        <v>905843.54</v>
      </c>
      <c r="BE80" s="50">
        <f t="shared" si="1049"/>
        <v>900739.38</v>
      </c>
      <c r="BF80" s="50">
        <f t="shared" si="1049"/>
        <v>921583.01</v>
      </c>
      <c r="BG80" s="50">
        <f t="shared" si="1049"/>
        <v>933090.48</v>
      </c>
      <c r="BH80" s="50">
        <f t="shared" si="1049"/>
        <v>966971.03</v>
      </c>
      <c r="BI80" s="50">
        <f t="shared" si="1049"/>
        <v>985614.72</v>
      </c>
      <c r="BJ80" s="50">
        <f t="shared" si="1049"/>
        <v>1054723.97</v>
      </c>
      <c r="BK80" s="50">
        <f t="shared" si="1049"/>
        <v>1097251.6600000001</v>
      </c>
      <c r="BL80" s="50">
        <f t="shared" si="1049"/>
        <v>1127889.6399999999</v>
      </c>
      <c r="BM80" s="50">
        <f t="shared" si="1049"/>
        <v>1149711</v>
      </c>
      <c r="BN80" s="50">
        <f t="shared" si="1049"/>
        <v>1186951.78</v>
      </c>
      <c r="BO80" s="50">
        <f t="shared" si="1049"/>
        <v>1236647.71</v>
      </c>
      <c r="BP80" s="50">
        <f t="shared" si="1049"/>
        <v>1264022.9300000002</v>
      </c>
      <c r="BQ80" s="50">
        <f t="shared" si="1049"/>
        <v>1289067.25</v>
      </c>
      <c r="BR80" s="50">
        <f t="shared" si="1049"/>
        <v>1316377.6000000001</v>
      </c>
      <c r="BS80" s="50">
        <f t="shared" si="1049"/>
        <v>1356986.19</v>
      </c>
      <c r="BT80" s="50">
        <f t="shared" si="1049"/>
        <v>1403098.91</v>
      </c>
      <c r="BU80" s="50">
        <f t="shared" si="1049"/>
        <v>1431334.4</v>
      </c>
      <c r="BV80" s="50">
        <f t="shared" si="1049"/>
        <v>1470899.68</v>
      </c>
      <c r="BW80" s="50">
        <f t="shared" ref="BW80:BX80" si="1050">+SUM(BW113:BW114)</f>
        <v>1524724.8199999998</v>
      </c>
      <c r="BX80" s="50">
        <f t="shared" si="1050"/>
        <v>1567552.08</v>
      </c>
      <c r="BY80" s="50">
        <f t="shared" ref="BY80" si="1051">+SUM(BY113:BY114)</f>
        <v>1623432.05</v>
      </c>
      <c r="BZ80" s="39">
        <f t="shared" si="1049"/>
        <v>1661065.7301658019</v>
      </c>
      <c r="CA80" s="39">
        <f t="shared" si="1049"/>
        <v>1742133.528736688</v>
      </c>
      <c r="CB80" s="39">
        <f t="shared" si="1049"/>
        <v>1785863.4616428667</v>
      </c>
      <c r="CC80" s="39">
        <f t="shared" si="1049"/>
        <v>1852641.1147864405</v>
      </c>
      <c r="CD80" s="39">
        <f t="shared" si="1049"/>
        <v>1882837.6460872893</v>
      </c>
      <c r="CE80" s="39">
        <f t="shared" si="1049"/>
        <v>1979600.3725341447</v>
      </c>
      <c r="CF80" s="39">
        <f t="shared" si="1049"/>
        <v>2032139.9098759342</v>
      </c>
      <c r="CG80" s="39">
        <f t="shared" si="1049"/>
        <v>2108187.7931072721</v>
      </c>
      <c r="CH80" s="39">
        <f t="shared" si="1049"/>
        <v>2140205.9090044936</v>
      </c>
      <c r="CI80" s="39">
        <f t="shared" si="1049"/>
        <v>2251872.7859076355</v>
      </c>
      <c r="CJ80" s="39">
        <f t="shared" si="1049"/>
        <v>2312880.7883540043</v>
      </c>
      <c r="CK80" s="39">
        <f t="shared" si="1049"/>
        <v>2399670.0707542021</v>
      </c>
      <c r="CL80" s="39">
        <f t="shared" si="1049"/>
        <v>2435329.6253855401</v>
      </c>
      <c r="CM80" s="39">
        <f t="shared" si="1049"/>
        <v>2563209.5741534182</v>
      </c>
      <c r="CN80" s="39">
        <f t="shared" si="1049"/>
        <v>2633775.2833566121</v>
      </c>
      <c r="CO80" s="39">
        <f t="shared" si="1049"/>
        <v>2733066.7462733407</v>
      </c>
      <c r="CS80" s="38">
        <v>1558614.5805772669</v>
      </c>
      <c r="CX80" s="50">
        <v>1623432.0518</v>
      </c>
    </row>
    <row r="81" spans="1:102" x14ac:dyDescent="0.2">
      <c r="A81" s="47" t="s">
        <v>348</v>
      </c>
      <c r="D81" s="115">
        <f t="shared" ref="D81:AA81" si="1052">+AVERAGE(C80:D80)</f>
        <v>63638.326549999991</v>
      </c>
      <c r="E81" s="115">
        <f t="shared" si="1052"/>
        <v>77180.729749999999</v>
      </c>
      <c r="F81" s="115">
        <f t="shared" si="1052"/>
        <v>90953.452350000007</v>
      </c>
      <c r="G81" s="115">
        <f t="shared" si="1052"/>
        <v>107437.58515</v>
      </c>
      <c r="H81" s="115">
        <f t="shared" si="1052"/>
        <v>130065.55409999999</v>
      </c>
      <c r="I81" s="115">
        <f t="shared" si="1052"/>
        <v>150390.41905</v>
      </c>
      <c r="J81" s="115">
        <f t="shared" si="1052"/>
        <v>176522.95864999999</v>
      </c>
      <c r="K81" s="115">
        <f t="shared" si="1052"/>
        <v>217503.9437</v>
      </c>
      <c r="L81" s="115">
        <f t="shared" si="1052"/>
        <v>266957.94764999999</v>
      </c>
      <c r="M81" s="115">
        <f t="shared" si="1052"/>
        <v>314725.77960000001</v>
      </c>
      <c r="N81" s="115">
        <f t="shared" si="1052"/>
        <v>348928.35080000001</v>
      </c>
      <c r="O81" s="115">
        <f t="shared" si="1052"/>
        <v>395602.59435000003</v>
      </c>
      <c r="P81" s="115">
        <f t="shared" si="1052"/>
        <v>449996.33594999998</v>
      </c>
      <c r="Q81" s="115">
        <f t="shared" si="1052"/>
        <v>469560.53160000005</v>
      </c>
      <c r="R81" s="115">
        <f t="shared" si="1052"/>
        <v>479649.38705000002</v>
      </c>
      <c r="S81" s="115">
        <f t="shared" si="1052"/>
        <v>509015.65289999999</v>
      </c>
      <c r="T81" s="115">
        <f t="shared" si="1052"/>
        <v>553234.61060000001</v>
      </c>
      <c r="U81" s="115">
        <f t="shared" si="1052"/>
        <v>594566.35474999994</v>
      </c>
      <c r="V81" s="115">
        <f t="shared" si="1052"/>
        <v>754579.76260000002</v>
      </c>
      <c r="W81" s="115">
        <f t="shared" si="1052"/>
        <v>943177.05189999996</v>
      </c>
      <c r="X81" s="115">
        <f t="shared" si="1052"/>
        <v>1067662.8632999999</v>
      </c>
      <c r="Y81" s="115">
        <f t="shared" si="1052"/>
        <v>1219389.1287500001</v>
      </c>
      <c r="Z81" s="115">
        <f t="shared" si="1052"/>
        <v>1360200.8279500001</v>
      </c>
      <c r="AA81" s="115">
        <f t="shared" si="1052"/>
        <v>1527383.22655</v>
      </c>
      <c r="AH81" s="48"/>
      <c r="AI81" s="115">
        <f t="shared" ref="AI81" si="1053">+AVERAGE(AH80:AI80)</f>
        <v>476307.91000000003</v>
      </c>
      <c r="AJ81" s="115">
        <f t="shared" ref="AJ81" si="1054">+AVERAGE(AI80:AJ80)</f>
        <v>482055.31</v>
      </c>
      <c r="AK81" s="115">
        <f t="shared" ref="AK81" si="1055">+AVERAGE(AJ80:AK80)</f>
        <v>477413.42</v>
      </c>
      <c r="AL81" s="115">
        <f t="shared" ref="AL81" si="1056">+AVERAGE(AK80:AL80)</f>
        <v>459481.45</v>
      </c>
      <c r="AM81" s="115">
        <f t="shared" ref="AM81" si="1057">+AVERAGE(AL80:AM80)</f>
        <v>460228.78</v>
      </c>
      <c r="AN81" s="115">
        <f t="shared" ref="AN81" si="1058">+AVERAGE(AM80:AN80)</f>
        <v>484594.88</v>
      </c>
      <c r="AO81" s="115">
        <f t="shared" ref="AO81" si="1059">+AVERAGE(AN80:AO80)</f>
        <v>496472.81</v>
      </c>
      <c r="AP81" s="115">
        <f t="shared" ref="AP81" si="1060">+AVERAGE(AO80:AP80)</f>
        <v>491492.38500000001</v>
      </c>
      <c r="AQ81" s="115">
        <f t="shared" ref="AQ81" si="1061">+AVERAGE(AP80:AQ80)</f>
        <v>492995.61</v>
      </c>
      <c r="AR81" s="115">
        <f t="shared" ref="AR81" si="1062">+AVERAGE(AQ80:AR80)</f>
        <v>505114.87</v>
      </c>
      <c r="AS81" s="115">
        <f t="shared" ref="AS81" si="1063">+AVERAGE(AR80:AS80)</f>
        <v>520352.65</v>
      </c>
      <c r="AT81" s="115">
        <f t="shared" ref="AT81" si="1064">+AVERAGE(AS80:AT80)</f>
        <v>528236.24500000011</v>
      </c>
      <c r="AU81" s="115">
        <f t="shared" ref="AU81:CO81" si="1065">+AVERAGE(AT80:AU80)</f>
        <v>545966.31500000006</v>
      </c>
      <c r="AV81" s="115">
        <f t="shared" si="1065"/>
        <v>565569.35499999998</v>
      </c>
      <c r="AW81" s="115">
        <f t="shared" si="1065"/>
        <v>575317.24</v>
      </c>
      <c r="AX81" s="115">
        <f t="shared" si="1065"/>
        <v>583701.9850000001</v>
      </c>
      <c r="AY81" s="115">
        <f t="shared" si="1065"/>
        <v>588621.76</v>
      </c>
      <c r="AZ81" s="115">
        <f t="shared" si="1065"/>
        <v>589105.49</v>
      </c>
      <c r="BA81" s="115">
        <f t="shared" si="1065"/>
        <v>598039.5</v>
      </c>
      <c r="BB81" s="115">
        <f t="shared" si="1065"/>
        <v>738248.11499999999</v>
      </c>
      <c r="BC81" s="115">
        <f t="shared" si="1065"/>
        <v>874811.92</v>
      </c>
      <c r="BD81" s="115">
        <f t="shared" si="1065"/>
        <v>893695.64500000002</v>
      </c>
      <c r="BE81" s="115">
        <f t="shared" si="1065"/>
        <v>903291.46</v>
      </c>
      <c r="BF81" s="115">
        <f t="shared" si="1065"/>
        <v>911161.19500000007</v>
      </c>
      <c r="BG81" s="115">
        <f t="shared" si="1065"/>
        <v>927336.745</v>
      </c>
      <c r="BH81" s="115">
        <f t="shared" si="1065"/>
        <v>950030.755</v>
      </c>
      <c r="BI81" s="115">
        <f t="shared" si="1065"/>
        <v>976292.875</v>
      </c>
      <c r="BJ81" s="115">
        <f t="shared" si="1065"/>
        <v>1020169.345</v>
      </c>
      <c r="BK81" s="115">
        <f t="shared" si="1065"/>
        <v>1075987.8149999999</v>
      </c>
      <c r="BL81" s="115">
        <f t="shared" si="1065"/>
        <v>1112570.6499999999</v>
      </c>
      <c r="BM81" s="115">
        <f t="shared" si="1065"/>
        <v>1138800.3199999998</v>
      </c>
      <c r="BN81" s="115">
        <f t="shared" si="1065"/>
        <v>1168331.3900000001</v>
      </c>
      <c r="BO81" s="115">
        <f t="shared" si="1065"/>
        <v>1211799.7450000001</v>
      </c>
      <c r="BP81" s="115">
        <f t="shared" si="1065"/>
        <v>1250335.32</v>
      </c>
      <c r="BQ81" s="115">
        <f t="shared" si="1065"/>
        <v>1276545.0900000001</v>
      </c>
      <c r="BR81" s="115">
        <f t="shared" si="1065"/>
        <v>1302722.425</v>
      </c>
      <c r="BS81" s="115">
        <f t="shared" si="1065"/>
        <v>1336681.895</v>
      </c>
      <c r="BT81" s="115">
        <f t="shared" si="1065"/>
        <v>1380042.5499999998</v>
      </c>
      <c r="BU81" s="115">
        <f t="shared" si="1065"/>
        <v>1417216.6549999998</v>
      </c>
      <c r="BV81" s="115">
        <f>+AVERAGE(BU80:BV80)</f>
        <v>1451117.04</v>
      </c>
      <c r="BW81" s="115">
        <f>+AVERAGE(BV80:BW80)</f>
        <v>1497812.25</v>
      </c>
      <c r="BX81" s="115">
        <f>+AVERAGE(BW80:BX80)</f>
        <v>1546138.45</v>
      </c>
      <c r="BY81" s="115">
        <f>+AVERAGE(BX80:BY80)</f>
        <v>1595492.0649999999</v>
      </c>
      <c r="BZ81" s="39">
        <f t="shared" si="1065"/>
        <v>1642248.8900829009</v>
      </c>
      <c r="CA81" s="39">
        <f t="shared" si="1065"/>
        <v>1701599.6294512451</v>
      </c>
      <c r="CB81" s="39">
        <f t="shared" si="1065"/>
        <v>1763998.4951897773</v>
      </c>
      <c r="CC81" s="39">
        <f t="shared" si="1065"/>
        <v>1819252.2882146537</v>
      </c>
      <c r="CD81" s="39">
        <f t="shared" si="1065"/>
        <v>1867739.3804368649</v>
      </c>
      <c r="CE81" s="39">
        <f t="shared" si="1065"/>
        <v>1931219.009310717</v>
      </c>
      <c r="CF81" s="39">
        <f t="shared" si="1065"/>
        <v>2005870.1412050393</v>
      </c>
      <c r="CG81" s="39">
        <f t="shared" si="1065"/>
        <v>2070163.8514916031</v>
      </c>
      <c r="CH81" s="39">
        <f t="shared" si="1065"/>
        <v>2124196.8510558829</v>
      </c>
      <c r="CI81" s="39">
        <f t="shared" si="1065"/>
        <v>2196039.3474560645</v>
      </c>
      <c r="CJ81" s="39">
        <f t="shared" si="1065"/>
        <v>2282376.7871308196</v>
      </c>
      <c r="CK81" s="39">
        <f t="shared" si="1065"/>
        <v>2356275.4295541029</v>
      </c>
      <c r="CL81" s="39">
        <f t="shared" si="1065"/>
        <v>2417499.8480698708</v>
      </c>
      <c r="CM81" s="39">
        <f t="shared" si="1065"/>
        <v>2499269.5997694791</v>
      </c>
      <c r="CN81" s="39">
        <f t="shared" si="1065"/>
        <v>2598492.4287550151</v>
      </c>
      <c r="CO81" s="39">
        <f t="shared" si="1065"/>
        <v>2683421.0148149766</v>
      </c>
      <c r="CS81" s="48">
        <v>1541669.7002886334</v>
      </c>
      <c r="CX81" s="47">
        <v>1527383.22655</v>
      </c>
    </row>
    <row r="82" spans="1:102" s="111" customFormat="1" x14ac:dyDescent="0.2">
      <c r="A82" s="111" t="s">
        <v>375</v>
      </c>
      <c r="D82" s="125">
        <f t="shared" ref="D82:AE82" si="1066">D51/D104</f>
        <v>0.2455854584293112</v>
      </c>
      <c r="E82" s="111">
        <f t="shared" si="1066"/>
        <v>0.25477847599313208</v>
      </c>
      <c r="F82" s="111">
        <f t="shared" si="1066"/>
        <v>0.18161929502468921</v>
      </c>
      <c r="G82" s="111">
        <f t="shared" si="1066"/>
        <v>0.18833084570759703</v>
      </c>
      <c r="H82" s="111">
        <f t="shared" si="1066"/>
        <v>0.13722347956406866</v>
      </c>
      <c r="I82" s="111">
        <f t="shared" si="1066"/>
        <v>0.14904126923649083</v>
      </c>
      <c r="J82" s="111">
        <f t="shared" si="1066"/>
        <v>0.16976238377770125</v>
      </c>
      <c r="K82" s="111">
        <f t="shared" si="1066"/>
        <v>0.20593477409160757</v>
      </c>
      <c r="L82" s="111">
        <f t="shared" si="1066"/>
        <v>0.20089444122119504</v>
      </c>
      <c r="M82" s="111">
        <f t="shared" si="1066"/>
        <v>0.14467692479750818</v>
      </c>
      <c r="N82" s="111">
        <f t="shared" si="1066"/>
        <v>0.11544847942656185</v>
      </c>
      <c r="O82" s="111">
        <f t="shared" si="1066"/>
        <v>8.2315505802995986E-2</v>
      </c>
      <c r="P82" s="111">
        <f t="shared" si="1066"/>
        <v>8.4830172854917257E-2</v>
      </c>
      <c r="Q82" s="111">
        <f t="shared" si="1066"/>
        <v>-8.9004368402497633E-2</v>
      </c>
      <c r="R82" s="111">
        <f t="shared" si="1066"/>
        <v>3.3305753247962915E-2</v>
      </c>
      <c r="S82" s="111">
        <f t="shared" si="1066"/>
        <v>-0.11858606772609602</v>
      </c>
      <c r="T82" s="111">
        <f t="shared" si="1066"/>
        <v>9.5920854574836154E-3</v>
      </c>
      <c r="U82" s="111">
        <f t="shared" si="1066"/>
        <v>-5.6898623526105835E-2</v>
      </c>
      <c r="V82" s="111">
        <f t="shared" si="1066"/>
        <v>4.3433467761441073E-2</v>
      </c>
      <c r="W82" s="111">
        <f t="shared" si="1066"/>
        <v>8.5891669104323179E-2</v>
      </c>
      <c r="X82" s="111">
        <f t="shared" si="1066"/>
        <v>0.14405883909694675</v>
      </c>
      <c r="Y82" s="111">
        <f t="shared" si="1066"/>
        <v>0.16737838757099879</v>
      </c>
      <c r="Z82" s="111">
        <f t="shared" si="1066"/>
        <v>0.17043696676965217</v>
      </c>
      <c r="AA82" s="111">
        <f t="shared" ref="AA82" si="1067">AA51/AA104</f>
        <v>0.16922057571297522</v>
      </c>
      <c r="AB82" s="126">
        <f t="shared" si="1066"/>
        <v>0.14550040292066355</v>
      </c>
      <c r="AC82" s="126">
        <f t="shared" si="1066"/>
        <v>0.13635338407537614</v>
      </c>
      <c r="AD82" s="126">
        <f t="shared" si="1066"/>
        <v>0.12331731991569403</v>
      </c>
      <c r="AE82" s="126">
        <f t="shared" si="1066"/>
        <v>0.11919196127857845</v>
      </c>
      <c r="AG82" s="127"/>
      <c r="BZ82" s="113"/>
      <c r="CA82" s="113"/>
      <c r="CB82" s="113"/>
      <c r="CC82" s="113"/>
      <c r="CD82" s="113"/>
      <c r="CE82" s="113"/>
      <c r="CF82" s="113"/>
      <c r="CG82" s="113"/>
      <c r="CH82" s="113"/>
      <c r="CI82" s="113"/>
      <c r="CJ82" s="113"/>
      <c r="CK82" s="113"/>
      <c r="CL82" s="113"/>
      <c r="CM82" s="113"/>
      <c r="CN82" s="113"/>
      <c r="CO82" s="113"/>
      <c r="CX82" s="111">
        <v>0.16922057571297522</v>
      </c>
    </row>
    <row r="83" spans="1:102" x14ac:dyDescent="0.2"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115"/>
      <c r="AV83" s="115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 s="115"/>
      <c r="BH83" s="115"/>
      <c r="BI83" s="115"/>
      <c r="BJ83" s="115"/>
      <c r="BK83" s="115"/>
      <c r="BL83" s="115"/>
      <c r="BM83" s="115"/>
      <c r="BN83" s="115"/>
      <c r="BO83" s="115"/>
      <c r="BP83" s="115"/>
      <c r="BQ83" s="115"/>
      <c r="BR83" s="115"/>
      <c r="BS83" s="115"/>
      <c r="BT83" s="115"/>
      <c r="BU83" s="115"/>
      <c r="BV83" s="115"/>
      <c r="BW83" s="115"/>
      <c r="BX83" s="115"/>
      <c r="BY83" s="115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S83" s="48"/>
    </row>
    <row r="84" spans="1:102" x14ac:dyDescent="0.2">
      <c r="A84" s="121" t="s">
        <v>363</v>
      </c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115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 s="115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115"/>
      <c r="BU84" s="115"/>
      <c r="BV84" s="115"/>
      <c r="BW84" s="115"/>
      <c r="BX84" s="115"/>
      <c r="BY84" s="115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S84" s="48"/>
    </row>
    <row r="85" spans="1:102" x14ac:dyDescent="0.2">
      <c r="A85" s="121" t="s">
        <v>364</v>
      </c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115"/>
      <c r="AV85" s="115"/>
      <c r="AW85" s="115"/>
      <c r="AX85" s="115"/>
      <c r="AY85" s="115"/>
      <c r="AZ85" s="115"/>
      <c r="BA85" s="115"/>
      <c r="BB85" s="115"/>
      <c r="BC85" s="115"/>
      <c r="BD85" s="115"/>
      <c r="BE85" s="115"/>
      <c r="BF85" s="115"/>
      <c r="BG85" s="115"/>
      <c r="BH85" s="115"/>
      <c r="BI85" s="115"/>
      <c r="BJ85" s="115"/>
      <c r="BK85" s="115"/>
      <c r="BL85" s="115"/>
      <c r="BM85" s="115"/>
      <c r="BN85" s="115"/>
      <c r="BO85" s="115"/>
      <c r="BP85" s="115"/>
      <c r="BQ85" s="115"/>
      <c r="BR85" s="115"/>
      <c r="BS85" s="115"/>
      <c r="BT85" s="115"/>
      <c r="BU85" s="115"/>
      <c r="BV85" s="115"/>
      <c r="BW85" s="115"/>
      <c r="BX85" s="115"/>
      <c r="BY85" s="115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S85" s="48"/>
    </row>
    <row r="86" spans="1:102" s="52" customFormat="1" x14ac:dyDescent="0.2"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49"/>
      <c r="AC86" s="49"/>
      <c r="AD86" s="49"/>
      <c r="AE86" s="49"/>
      <c r="AG86" s="63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</row>
    <row r="87" spans="1:102" s="90" customFormat="1" x14ac:dyDescent="0.2">
      <c r="A87" s="90" t="s">
        <v>37</v>
      </c>
      <c r="AB87" s="19"/>
      <c r="AC87" s="19"/>
      <c r="AD87" s="19"/>
      <c r="AE87" s="19"/>
      <c r="AG87" s="86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</row>
    <row r="88" spans="1:102" s="98" customFormat="1" x14ac:dyDescent="0.2">
      <c r="A88" s="98" t="s">
        <v>41</v>
      </c>
      <c r="B88" s="98">
        <f>+'Annual Raw'!C45</f>
        <v>0</v>
      </c>
      <c r="C88" s="98">
        <f>+'Annual Raw'!D45</f>
        <v>0</v>
      </c>
      <c r="D88" s="98">
        <f>+'Annual Raw'!E45</f>
        <v>13.8509146200986</v>
      </c>
      <c r="E88" s="98">
        <f>+'Annual Raw'!F45</f>
        <v>28.129806939132799</v>
      </c>
      <c r="F88" s="98">
        <f>+'Annual Raw'!G45</f>
        <v>38.984877666682003</v>
      </c>
      <c r="G88" s="98">
        <f>+'Annual Raw'!H45</f>
        <v>51.921476293600001</v>
      </c>
      <c r="H88" s="98">
        <f>+'Annual Raw'!I45</f>
        <v>37.876026355803297</v>
      </c>
      <c r="I88" s="98">
        <f>+'Annual Raw'!J45</f>
        <v>43.809353545592799</v>
      </c>
      <c r="J88" s="98">
        <f>+'Annual Raw'!K45</f>
        <v>32.273409206100503</v>
      </c>
      <c r="K88" s="98">
        <f>+'Annual Raw'!L45</f>
        <v>79.827567617380097</v>
      </c>
      <c r="L88" s="98">
        <f>+'Annual Raw'!M45</f>
        <v>121.80828917661201</v>
      </c>
      <c r="M88" s="98">
        <f>+'Annual Raw'!N45</f>
        <v>92.141653227664406</v>
      </c>
      <c r="N88" s="98">
        <f>+'Annual Raw'!O45</f>
        <v>74.789102889001498</v>
      </c>
      <c r="O88" s="98">
        <f>+'Annual Raw'!P45</f>
        <v>51.425411233470001</v>
      </c>
      <c r="P88" s="98">
        <f>+'Annual Raw'!Q45</f>
        <v>71.569543381099393</v>
      </c>
      <c r="Q88" s="98">
        <f>+'Annual Raw'!R45</f>
        <v>36.932530064967999</v>
      </c>
      <c r="R88" s="98">
        <f>+'Annual Raw'!S45</f>
        <v>60.6</v>
      </c>
      <c r="S88" s="98">
        <f>+'Annual Raw'!T45</f>
        <v>52.85</v>
      </c>
      <c r="T88" s="98">
        <f>+'Annual Raw'!U45</f>
        <v>58.39</v>
      </c>
      <c r="U88" s="98">
        <f>+'Annual Raw'!V45</f>
        <v>18.079999999999998</v>
      </c>
      <c r="V88" s="98">
        <f>+'Annual Raw'!W45</f>
        <v>30.45</v>
      </c>
      <c r="W88" s="98">
        <f>+'Annual Raw'!X45</f>
        <v>45.52</v>
      </c>
      <c r="X88" s="98">
        <f>+'Annual Raw'!Y45</f>
        <v>56.9</v>
      </c>
      <c r="Y88" s="98">
        <f>+'Annual Raw'!Z45</f>
        <v>116.22</v>
      </c>
      <c r="Z88" s="98">
        <f>+'Annual Raw'!AA45</f>
        <v>89.02</v>
      </c>
      <c r="AA88" s="98">
        <f>+'Annual Raw'!AB45</f>
        <v>123.55</v>
      </c>
      <c r="AB88" s="80">
        <f>+CC88</f>
        <v>128</v>
      </c>
      <c r="AC88" s="80">
        <f>+CG88</f>
        <v>128</v>
      </c>
      <c r="AD88" s="80">
        <f>+CK88</f>
        <v>128</v>
      </c>
      <c r="AE88" s="80">
        <f>+CO88</f>
        <v>128</v>
      </c>
      <c r="AG88" s="79"/>
      <c r="AH88" s="98">
        <f>+'QTR Share Price'!IA21</f>
        <v>54.071091554162997</v>
      </c>
      <c r="AI88" s="98">
        <f>+'QTR Share Price'!IB21</f>
        <v>54.411528360134497</v>
      </c>
      <c r="AJ88" s="98">
        <f>+'QTR Share Price'!IC21</f>
        <v>45.453176980141002</v>
      </c>
      <c r="AK88" s="98">
        <f>+'QTR Share Price'!ID21</f>
        <v>36.932530064967999</v>
      </c>
      <c r="AL88" s="98">
        <f>+'QTR Share Price'!IE21</f>
        <v>42.496240151131197</v>
      </c>
      <c r="AM88" s="98">
        <f>+'QTR Share Price'!IF21</f>
        <v>59.984965212182701</v>
      </c>
      <c r="AN88" s="98">
        <f>+'QTR Share Price'!IG21</f>
        <v>51.133608256922997</v>
      </c>
      <c r="AO88" s="98">
        <f>+'QTR Share Price'!IH21</f>
        <v>60.6</v>
      </c>
      <c r="AP88" s="98">
        <f>+'QTR Share Price'!II21</f>
        <v>65.8</v>
      </c>
      <c r="AQ88" s="98">
        <f>+'QTR Share Price'!IJ21</f>
        <v>61.61</v>
      </c>
      <c r="AR88" s="98">
        <f>+'QTR Share Price'!IK21</f>
        <v>72.180000000000007</v>
      </c>
      <c r="AS88" s="98">
        <f>+'QTR Share Price'!IL21</f>
        <v>52.85</v>
      </c>
      <c r="AT88" s="98">
        <f>+'QTR Share Price'!IM21</f>
        <v>50.32</v>
      </c>
      <c r="AU88" s="98">
        <f>+'QTR Share Price'!IN21</f>
        <v>44.17</v>
      </c>
      <c r="AV88" s="98">
        <f>+'QTR Share Price'!IO21</f>
        <v>55</v>
      </c>
      <c r="AW88" s="98">
        <f>+'QTR Share Price'!IP21</f>
        <v>58.39</v>
      </c>
      <c r="AX88" s="98">
        <f>+'QTR Share Price'!IQ21</f>
        <v>56.88</v>
      </c>
      <c r="AY88" s="98">
        <f>+'QTR Share Price'!IR21</f>
        <v>36.46</v>
      </c>
      <c r="AZ88" s="98">
        <f>+'QTR Share Price'!IS21</f>
        <v>44.26</v>
      </c>
      <c r="BA88" s="98">
        <f>+'QTR Share Price'!IT21</f>
        <v>18.079999999999998</v>
      </c>
      <c r="BB88" s="98">
        <f>+'QTR Share Price'!IU21</f>
        <v>20.12</v>
      </c>
      <c r="BC88" s="98">
        <f>+'QTR Share Price'!IV21</f>
        <v>17.78</v>
      </c>
      <c r="BD88" s="98">
        <f>+'QTR Share Price'!IW21</f>
        <v>25.79</v>
      </c>
      <c r="BE88" s="98">
        <f>+'QTR Share Price'!IX21</f>
        <v>30.45</v>
      </c>
      <c r="BF88" s="98">
        <f>+'QTR Share Price'!IY21</f>
        <v>30.37</v>
      </c>
      <c r="BG88" s="98">
        <f>+'QTR Share Price'!IZ21</f>
        <v>34.6</v>
      </c>
      <c r="BH88" s="98">
        <f>+'QTR Share Price'!JA21</f>
        <v>39.979999999999997</v>
      </c>
      <c r="BI88" s="98">
        <f>+'QTR Share Price'!JB21</f>
        <v>45.52</v>
      </c>
      <c r="BJ88" s="98">
        <f>+'QTR Share Price'!JC21</f>
        <v>36.25</v>
      </c>
      <c r="BK88" s="98">
        <f>+'QTR Share Price'!JD21</f>
        <v>45.74</v>
      </c>
      <c r="BL88" s="98">
        <f>+'QTR Share Price'!JE21</f>
        <v>66.709999999999994</v>
      </c>
      <c r="BM88" s="98">
        <f>+'QTR Share Price'!JF21</f>
        <v>56.9</v>
      </c>
      <c r="BN88" s="98">
        <f>+'QTR Share Price'!JG21</f>
        <v>60.36</v>
      </c>
      <c r="BO88" s="98">
        <f>+'QTR Share Price'!JH21</f>
        <v>75.27</v>
      </c>
      <c r="BP88" s="98">
        <f>+'QTR Share Price'!JI21</f>
        <v>87.54</v>
      </c>
      <c r="BQ88" s="98">
        <f>+'QTR Share Price'!JJ21</f>
        <v>116.22</v>
      </c>
      <c r="BR88" s="98">
        <f>+'QTR Share Price'!JK21</f>
        <v>119.4</v>
      </c>
      <c r="BS88" s="98">
        <f>+'QTR Share Price'!JL21</f>
        <v>111.45</v>
      </c>
      <c r="BT88" s="98">
        <f>+'QTR Share Price'!JM21</f>
        <v>100.15</v>
      </c>
      <c r="BU88" s="98">
        <f>+'QTR Share Price'!JN21</f>
        <v>89.02</v>
      </c>
      <c r="BV88" s="98">
        <f>+'QTR Share Price'!JO21</f>
        <v>114.2</v>
      </c>
      <c r="BW88" s="98">
        <f>+'QTR Share Price'!JP21</f>
        <v>123.7</v>
      </c>
      <c r="BX88" s="98">
        <f>+'QTR Share Price'!JQ21</f>
        <v>154.9</v>
      </c>
      <c r="BY88" s="98">
        <f>+'QTR Share Price'!JR21</f>
        <v>123.55</v>
      </c>
      <c r="BZ88" s="80">
        <v>128</v>
      </c>
      <c r="CA88" s="80">
        <f t="shared" ref="CA88" si="1068">+BZ88</f>
        <v>128</v>
      </c>
      <c r="CB88" s="80">
        <f t="shared" ref="CB88" si="1069">+CA88</f>
        <v>128</v>
      </c>
      <c r="CC88" s="80">
        <f t="shared" ref="CC88" si="1070">+CB88</f>
        <v>128</v>
      </c>
      <c r="CD88" s="80">
        <f t="shared" ref="CD88" si="1071">+CC88</f>
        <v>128</v>
      </c>
      <c r="CE88" s="80">
        <f t="shared" ref="CE88" si="1072">+CD88</f>
        <v>128</v>
      </c>
      <c r="CF88" s="80">
        <f t="shared" ref="CF88" si="1073">+CE88</f>
        <v>128</v>
      </c>
      <c r="CG88" s="80">
        <f t="shared" ref="CG88" si="1074">+CF88</f>
        <v>128</v>
      </c>
      <c r="CH88" s="80">
        <f t="shared" ref="CH88" si="1075">+CG88</f>
        <v>128</v>
      </c>
      <c r="CI88" s="80">
        <f t="shared" ref="CI88" si="1076">+CH88</f>
        <v>128</v>
      </c>
      <c r="CJ88" s="80">
        <f t="shared" ref="CJ88" si="1077">+CI88</f>
        <v>128</v>
      </c>
      <c r="CK88" s="80">
        <f t="shared" ref="CK88" si="1078">+CJ88</f>
        <v>128</v>
      </c>
      <c r="CL88" s="80">
        <f t="shared" ref="CL88" si="1079">+CK88</f>
        <v>128</v>
      </c>
      <c r="CM88" s="80">
        <f t="shared" ref="CM88" si="1080">+CL88</f>
        <v>128</v>
      </c>
      <c r="CN88" s="80">
        <f t="shared" ref="CN88" si="1081">+CM88</f>
        <v>128</v>
      </c>
      <c r="CO88" s="80">
        <f t="shared" ref="CO88" si="1082">+CN88</f>
        <v>128</v>
      </c>
      <c r="CS88" s="98">
        <v>148.55000000000001</v>
      </c>
      <c r="CX88" s="98">
        <v>123.55</v>
      </c>
    </row>
    <row r="89" spans="1:102" s="98" customFormat="1" x14ac:dyDescent="0.2">
      <c r="A89" s="98" t="s">
        <v>38</v>
      </c>
      <c r="B89" s="98">
        <f>+'Annual Raw'!C46</f>
        <v>0</v>
      </c>
      <c r="C89" s="98">
        <f>+'Annual Raw'!D46</f>
        <v>0</v>
      </c>
      <c r="D89" s="98">
        <f>+'Annual Raw'!E46</f>
        <v>14.8041376768189</v>
      </c>
      <c r="E89" s="98">
        <f>+'Annual Raw'!F46</f>
        <v>32.584665714417397</v>
      </c>
      <c r="F89" s="98">
        <f>+'Annual Raw'!G46</f>
        <v>46.9900059899553</v>
      </c>
      <c r="G89" s="98">
        <f>+'Annual Raw'!H46</f>
        <v>58.360595309404196</v>
      </c>
      <c r="H89" s="98">
        <f>+'Annual Raw'!I46</f>
        <v>62.231848131594703</v>
      </c>
      <c r="I89" s="98">
        <f>+'Annual Raw'!J46</f>
        <v>81.986909643828</v>
      </c>
      <c r="J89" s="98">
        <f>+'Annual Raw'!K46</f>
        <v>48.633829424503503</v>
      </c>
      <c r="K89" s="98">
        <f>+'Annual Raw'!L46</f>
        <v>85.887342763673203</v>
      </c>
      <c r="L89" s="98">
        <f>+'Annual Raw'!M46</f>
        <v>164.18780813712399</v>
      </c>
      <c r="M89" s="98">
        <f>+'Annual Raw'!N46</f>
        <v>129.93013869050401</v>
      </c>
      <c r="N89" s="98">
        <f>+'Annual Raw'!O46</f>
        <v>106.99442473390801</v>
      </c>
      <c r="O89" s="98">
        <f>+'Annual Raw'!P46</f>
        <v>88.805372529143398</v>
      </c>
      <c r="P89" s="98">
        <f>+'Annual Raw'!Q46</f>
        <v>96.878588213610996</v>
      </c>
      <c r="Q89" s="98">
        <f>+'Annual Raw'!R46</f>
        <v>80.041556466847894</v>
      </c>
      <c r="R89" s="98">
        <f>+'Annual Raw'!S46</f>
        <v>65.986379763166397</v>
      </c>
      <c r="S89" s="98">
        <f>+'Annual Raw'!T46</f>
        <v>92.68</v>
      </c>
      <c r="T89" s="98">
        <f>+'Annual Raw'!U46</f>
        <v>60.42</v>
      </c>
      <c r="U89" s="98">
        <f>+'Annual Raw'!V46</f>
        <v>60.4</v>
      </c>
      <c r="V89" s="98">
        <f>+'Annual Raw'!W46</f>
        <v>34.880000000000003</v>
      </c>
      <c r="W89" s="98">
        <f>+'Annual Raw'!X46</f>
        <v>54.56</v>
      </c>
      <c r="X89" s="98">
        <f>+'Annual Raw'!Y46</f>
        <v>68.319999999999993</v>
      </c>
      <c r="Y89" s="98">
        <f>+'Annual Raw'!Z46</f>
        <v>121.2</v>
      </c>
      <c r="Z89" s="98">
        <f>+'Annual Raw'!AA46</f>
        <v>129.35</v>
      </c>
      <c r="AA89" s="98">
        <f>+'Annual Raw'!AB46</f>
        <v>162.9</v>
      </c>
      <c r="AB89" s="80">
        <f>+MAX(BZ89:CC89)</f>
        <v>167.59132022053126</v>
      </c>
      <c r="AC89" s="80">
        <f>+MAX(CD89:CG89)</f>
        <v>194.09652963809853</v>
      </c>
      <c r="AD89" s="80">
        <f>+MAX(CH89:CK89)</f>
        <v>221.29523881580468</v>
      </c>
      <c r="AE89" s="80">
        <f>+MAX(CL89:CO89)</f>
        <v>251.06557928858916</v>
      </c>
      <c r="AG89" s="79"/>
      <c r="AH89" s="98">
        <f>+'QTR Share Price'!IA19</f>
        <v>80.041556466847894</v>
      </c>
      <c r="AI89" s="98">
        <f>+'QTR Share Price'!IB19</f>
        <v>70.003534073630405</v>
      </c>
      <c r="AJ89" s="98">
        <f>+'QTR Share Price'!IC19</f>
        <v>59.333271897894299</v>
      </c>
      <c r="AK89" s="98">
        <f>+'QTR Share Price'!ID19</f>
        <v>46.591208588674398</v>
      </c>
      <c r="AL89" s="98">
        <f>+'QTR Share Price'!IE19</f>
        <v>43.011758743030903</v>
      </c>
      <c r="AM89" s="98">
        <f>+'QTR Share Price'!IF19</f>
        <v>62.047039579781597</v>
      </c>
      <c r="AN89" s="98">
        <f>+'QTR Share Price'!IG19</f>
        <v>65.986379763166397</v>
      </c>
      <c r="AO89" s="98">
        <f>+'QTR Share Price'!IH19</f>
        <v>61.910864857393001</v>
      </c>
      <c r="AP89" s="98">
        <f>+'QTR Share Price'!II19</f>
        <v>82.98</v>
      </c>
      <c r="AQ89" s="98">
        <f>+'QTR Share Price'!IJ19</f>
        <v>74.88</v>
      </c>
      <c r="AR89" s="98">
        <f>+'QTR Share Price'!IK19</f>
        <v>92.68</v>
      </c>
      <c r="AS89" s="98">
        <f>+'QTR Share Price'!IL19</f>
        <v>76.989999999999995</v>
      </c>
      <c r="AT89" s="98">
        <f>+'QTR Share Price'!IM19</f>
        <v>59.18</v>
      </c>
      <c r="AU89" s="98">
        <f>+'QTR Share Price'!IN19</f>
        <v>60.42</v>
      </c>
      <c r="AV89" s="98">
        <f>+'QTR Share Price'!IO19</f>
        <v>56.3</v>
      </c>
      <c r="AW89" s="98">
        <f>+'QTR Share Price'!IP19</f>
        <v>59.67</v>
      </c>
      <c r="AX89" s="98">
        <f>+'QTR Share Price'!IQ19</f>
        <v>60.4</v>
      </c>
      <c r="AY89" s="98">
        <f>+'QTR Share Price'!IR19</f>
        <v>59.3</v>
      </c>
      <c r="AZ89" s="98">
        <f>+'QTR Share Price'!IS19</f>
        <v>46.86</v>
      </c>
      <c r="BA89" s="98">
        <f>+'QTR Share Price'!IT19</f>
        <v>46</v>
      </c>
      <c r="BB89" s="98">
        <f>+'QTR Share Price'!IU19</f>
        <v>23.65</v>
      </c>
      <c r="BC89" s="98">
        <f>+'QTR Share Price'!IV19</f>
        <v>23.86</v>
      </c>
      <c r="BD89" s="98">
        <f>+'QTR Share Price'!IW19</f>
        <v>29.28</v>
      </c>
      <c r="BE89" s="98">
        <f>+'QTR Share Price'!IX19</f>
        <v>34.880000000000003</v>
      </c>
      <c r="BF89" s="98">
        <f>+'QTR Share Price'!IY19</f>
        <v>33.130000000000003</v>
      </c>
      <c r="BG89" s="98">
        <f>+'QTR Share Price'!IZ19</f>
        <v>35.479999999999997</v>
      </c>
      <c r="BH89" s="98">
        <f>+'QTR Share Price'!JA19</f>
        <v>49.52</v>
      </c>
      <c r="BI89" s="98">
        <f>+'QTR Share Price'!JB19</f>
        <v>54.56</v>
      </c>
      <c r="BJ89" s="98">
        <f>+'QTR Share Price'!JC19</f>
        <v>50.5</v>
      </c>
      <c r="BK89" s="98">
        <f>+'QTR Share Price'!JD19</f>
        <v>51.51</v>
      </c>
      <c r="BL89" s="98">
        <f>+'QTR Share Price'!JE19</f>
        <v>67.33</v>
      </c>
      <c r="BM89" s="98">
        <f>+'QTR Share Price'!JF19</f>
        <v>68.319999999999993</v>
      </c>
      <c r="BN89" s="98">
        <f>+'QTR Share Price'!JG19</f>
        <v>65.33</v>
      </c>
      <c r="BO89" s="98">
        <f>+'QTR Share Price'!JH19</f>
        <v>77.17</v>
      </c>
      <c r="BP89" s="98">
        <f>+'QTR Share Price'!JI19</f>
        <v>90.94</v>
      </c>
      <c r="BQ89" s="98">
        <f>+'QTR Share Price'!JJ19</f>
        <v>121.2</v>
      </c>
      <c r="BR89" s="98">
        <f>+'QTR Share Price'!JK19</f>
        <v>129.35</v>
      </c>
      <c r="BS89" s="98">
        <f>+'QTR Share Price'!JL19</f>
        <v>120.2</v>
      </c>
      <c r="BT89" s="98">
        <f>+'QTR Share Price'!JM19</f>
        <v>112.45</v>
      </c>
      <c r="BU89" s="98">
        <f>+'QTR Share Price'!JN19</f>
        <v>103.1</v>
      </c>
      <c r="BV89" s="98">
        <f>+'QTR Share Price'!JO19</f>
        <v>119.3</v>
      </c>
      <c r="BW89" s="98">
        <f>+'QTR Share Price'!JP19</f>
        <v>124.6</v>
      </c>
      <c r="BX89" s="98">
        <f>+'QTR Share Price'!JQ19</f>
        <v>158</v>
      </c>
      <c r="BY89" s="98">
        <f>+'QTR Share Price'!JR19</f>
        <v>162.9</v>
      </c>
      <c r="BZ89" s="80">
        <f t="shared" ref="BZ89:CO89" si="1083">+BZ97*BZ65</f>
        <v>149.45153946701342</v>
      </c>
      <c r="CA89" s="80">
        <f t="shared" si="1083"/>
        <v>155.59199216344237</v>
      </c>
      <c r="CB89" s="80">
        <f t="shared" si="1083"/>
        <v>161.66826919448931</v>
      </c>
      <c r="CC89" s="80">
        <f t="shared" si="1083"/>
        <v>167.59132022053126</v>
      </c>
      <c r="CD89" s="80">
        <f t="shared" si="1083"/>
        <v>174.38007812405115</v>
      </c>
      <c r="CE89" s="80">
        <f t="shared" si="1083"/>
        <v>180.95614646030052</v>
      </c>
      <c r="CF89" s="80">
        <f t="shared" si="1083"/>
        <v>187.50575400211736</v>
      </c>
      <c r="CG89" s="80">
        <f t="shared" si="1083"/>
        <v>194.09652963809853</v>
      </c>
      <c r="CH89" s="80">
        <f t="shared" si="1083"/>
        <v>200.87449174551531</v>
      </c>
      <c r="CI89" s="80">
        <f t="shared" si="1083"/>
        <v>207.24758040106249</v>
      </c>
      <c r="CJ89" s="80">
        <f t="shared" si="1083"/>
        <v>214.25903527667364</v>
      </c>
      <c r="CK89" s="80">
        <f t="shared" si="1083"/>
        <v>221.29523881580468</v>
      </c>
      <c r="CL89" s="80">
        <f t="shared" si="1083"/>
        <v>228.69067622566266</v>
      </c>
      <c r="CM89" s="80">
        <f t="shared" si="1083"/>
        <v>235.79443043878047</v>
      </c>
      <c r="CN89" s="80">
        <f t="shared" si="1083"/>
        <v>243.40413421307466</v>
      </c>
      <c r="CO89" s="80">
        <f t="shared" si="1083"/>
        <v>251.06557928858916</v>
      </c>
      <c r="CS89" s="98">
        <v>154.19999999999999</v>
      </c>
      <c r="CX89" s="98">
        <v>162.9</v>
      </c>
    </row>
    <row r="90" spans="1:102" s="98" customFormat="1" x14ac:dyDescent="0.2">
      <c r="A90" s="98" t="s">
        <v>39</v>
      </c>
      <c r="B90" s="98">
        <f>+'Annual Raw'!C47</f>
        <v>0</v>
      </c>
      <c r="C90" s="98">
        <f>+'Annual Raw'!D47</f>
        <v>0</v>
      </c>
      <c r="D90" s="98">
        <f>+'Annual Raw'!E47</f>
        <v>7.7814127079205599</v>
      </c>
      <c r="E90" s="98">
        <f>+'Annual Raw'!F47</f>
        <v>13.831461088328799</v>
      </c>
      <c r="F90" s="98">
        <f>+'Annual Raw'!G47</f>
        <v>17.7416209740589</v>
      </c>
      <c r="G90" s="98">
        <f>+'Annual Raw'!H47</f>
        <v>33.177998433396297</v>
      </c>
      <c r="H90" s="98">
        <f>+'Annual Raw'!I47</f>
        <v>32.117780951942102</v>
      </c>
      <c r="I90" s="98">
        <f>+'Annual Raw'!J47</f>
        <v>34.345210339584398</v>
      </c>
      <c r="J90" s="98">
        <f>+'Annual Raw'!K47</f>
        <v>26.2622678892319</v>
      </c>
      <c r="K90" s="98">
        <f>+'Annual Raw'!L47</f>
        <v>30.8338478551352</v>
      </c>
      <c r="L90" s="98">
        <f>+'Annual Raw'!M47</f>
        <v>67.114684605814901</v>
      </c>
      <c r="M90" s="98">
        <f>+'Annual Raw'!N47</f>
        <v>67.902552642491798</v>
      </c>
      <c r="N90" s="98">
        <f>+'Annual Raw'!O47</f>
        <v>59.527807215592297</v>
      </c>
      <c r="O90" s="98">
        <f>+'Annual Raw'!P47</f>
        <v>36.942256830852898</v>
      </c>
      <c r="P90" s="98">
        <f>+'Annual Raw'!Q47</f>
        <v>48.633829424503503</v>
      </c>
      <c r="Q90" s="98">
        <f>+'Annual Raw'!R47</f>
        <v>30.386416624429799</v>
      </c>
      <c r="R90" s="98">
        <f>+'Annual Raw'!S47</f>
        <v>34.199308851310903</v>
      </c>
      <c r="S90" s="98">
        <f>+'Annual Raw'!T47</f>
        <v>45.07</v>
      </c>
      <c r="T90" s="98">
        <f>+'Annual Raw'!U47</f>
        <v>41.03</v>
      </c>
      <c r="U90" s="98">
        <f>+'Annual Raw'!V47</f>
        <v>14.77</v>
      </c>
      <c r="V90" s="98">
        <f>+'Annual Raw'!W47</f>
        <v>15.16</v>
      </c>
      <c r="W90" s="98">
        <f>+'Annual Raw'!X47</f>
        <v>24.87</v>
      </c>
      <c r="X90" s="98">
        <f>+'Annual Raw'!Y47</f>
        <v>34.340000000000003</v>
      </c>
      <c r="Y90" s="98">
        <f>+'Annual Raw'!Z47</f>
        <v>56.28</v>
      </c>
      <c r="Z90" s="98">
        <f>+'Annual Raw'!AA47</f>
        <v>78.58</v>
      </c>
      <c r="AA90" s="98">
        <f>+'Annual Raw'!AB47</f>
        <v>83.36</v>
      </c>
      <c r="AB90" s="80">
        <f>+MIN(BZ90:CC90)</f>
        <v>124.54294955584453</v>
      </c>
      <c r="AC90" s="80">
        <f>+MIN(CD90:CG90)</f>
        <v>145.31673177004262</v>
      </c>
      <c r="AD90" s="80">
        <f>+MIN(CH90:CK90)</f>
        <v>167.39540978792942</v>
      </c>
      <c r="AE90" s="80">
        <f>+MIN(CL90:CO90)</f>
        <v>190.57556352138556</v>
      </c>
      <c r="AG90" s="79"/>
      <c r="AH90" s="98">
        <f>+'QTR Share Price'!IA20</f>
        <v>53.4485785375294</v>
      </c>
      <c r="AI90" s="98">
        <f>+'QTR Share Price'!IB20</f>
        <v>48.799184444546803</v>
      </c>
      <c r="AJ90" s="98">
        <f>+'QTR Share Price'!IC20</f>
        <v>45.346182555407097</v>
      </c>
      <c r="AK90" s="98">
        <f>+'QTR Share Price'!ID20</f>
        <v>30.386416624429799</v>
      </c>
      <c r="AL90" s="98">
        <f>+'QTR Share Price'!IE20</f>
        <v>34.199308851310903</v>
      </c>
      <c r="AM90" s="98">
        <f>+'QTR Share Price'!IF20</f>
        <v>42.272524535778501</v>
      </c>
      <c r="AN90" s="98">
        <f>+'QTR Share Price'!IG20</f>
        <v>50.384647283785696</v>
      </c>
      <c r="AO90" s="98">
        <f>+'QTR Share Price'!IH20</f>
        <v>50.034483711929198</v>
      </c>
      <c r="AP90" s="98">
        <f>+'QTR Share Price'!II20</f>
        <v>60.41</v>
      </c>
      <c r="AQ90" s="98">
        <f>+'QTR Share Price'!IJ20</f>
        <v>61.37</v>
      </c>
      <c r="AR90" s="98">
        <f>+'QTR Share Price'!IK20</f>
        <v>59.37</v>
      </c>
      <c r="AS90" s="98">
        <f>+'QTR Share Price'!IL20</f>
        <v>45.07</v>
      </c>
      <c r="AT90" s="98">
        <f>+'QTR Share Price'!IM20</f>
        <v>46.8</v>
      </c>
      <c r="AU90" s="98">
        <f>+'QTR Share Price'!IN20</f>
        <v>41.91</v>
      </c>
      <c r="AV90" s="98">
        <f>+'QTR Share Price'!IO20</f>
        <v>41.03</v>
      </c>
      <c r="AW90" s="98">
        <f>+'QTR Share Price'!IP20</f>
        <v>42.59</v>
      </c>
      <c r="AX90" s="98">
        <f>+'QTR Share Price'!IQ20</f>
        <v>47.76</v>
      </c>
      <c r="AY90" s="98">
        <f>+'QTR Share Price'!IR20</f>
        <v>36</v>
      </c>
      <c r="AZ90" s="98">
        <f>+'QTR Share Price'!IS20</f>
        <v>34.11</v>
      </c>
      <c r="BA90" s="98">
        <f>+'QTR Share Price'!IT20</f>
        <v>14.77</v>
      </c>
      <c r="BB90" s="98">
        <f>+'QTR Share Price'!IU20</f>
        <v>15.16</v>
      </c>
      <c r="BC90" s="98">
        <f>+'QTR Share Price'!IV20</f>
        <v>16.45</v>
      </c>
      <c r="BD90" s="98">
        <f>+'QTR Share Price'!IW20</f>
        <v>16.88</v>
      </c>
      <c r="BE90" s="98">
        <f>+'QTR Share Price'!IX20</f>
        <v>24.77</v>
      </c>
      <c r="BF90" s="98">
        <f>+'QTR Share Price'!IY20</f>
        <v>24.87</v>
      </c>
      <c r="BG90" s="98">
        <f>+'QTR Share Price'!IZ20</f>
        <v>28.42</v>
      </c>
      <c r="BH90" s="98">
        <f>+'QTR Share Price'!JA20</f>
        <v>34</v>
      </c>
      <c r="BI90" s="98">
        <f>+'QTR Share Price'!JB20</f>
        <v>39.299999999999997</v>
      </c>
      <c r="BJ90" s="98">
        <f>+'QTR Share Price'!JC20</f>
        <v>34.340000000000003</v>
      </c>
      <c r="BK90" s="98">
        <f>+'QTR Share Price'!JD20</f>
        <v>35.700000000000003</v>
      </c>
      <c r="BL90" s="98">
        <f>+'QTR Share Price'!JE20</f>
        <v>44.1</v>
      </c>
      <c r="BM90" s="98">
        <f>+'QTR Share Price'!JF20</f>
        <v>53.77</v>
      </c>
      <c r="BN90" s="98">
        <f>+'QTR Share Price'!JG20</f>
        <v>56.28</v>
      </c>
      <c r="BO90" s="98">
        <f>+'QTR Share Price'!JH20</f>
        <v>60.47</v>
      </c>
      <c r="BP90" s="98">
        <f>+'QTR Share Price'!JI20</f>
        <v>68.44</v>
      </c>
      <c r="BQ90" s="98">
        <f>+'QTR Share Price'!JJ20</f>
        <v>87.7</v>
      </c>
      <c r="BR90" s="98">
        <f>+'QTR Share Price'!JK20</f>
        <v>99.6</v>
      </c>
      <c r="BS90" s="98">
        <f>+'QTR Share Price'!JL20</f>
        <v>100.7</v>
      </c>
      <c r="BT90" s="98">
        <f>+'QTR Share Price'!JM20</f>
        <v>92.55</v>
      </c>
      <c r="BU90" s="98">
        <f>+'QTR Share Price'!JN20</f>
        <v>78.58</v>
      </c>
      <c r="BV90" s="98">
        <f>+'QTR Share Price'!JO20</f>
        <v>83.36</v>
      </c>
      <c r="BW90" s="98">
        <f>+'QTR Share Price'!JP20</f>
        <v>103.5</v>
      </c>
      <c r="BX90" s="98">
        <f>+'QTR Share Price'!JQ20</f>
        <v>121.2</v>
      </c>
      <c r="BY90" s="98">
        <f>+'QTR Share Price'!JR20</f>
        <v>123</v>
      </c>
      <c r="BZ90" s="80">
        <f t="shared" ref="BZ90:CO90" si="1084">+BZ98*BZ65</f>
        <v>124.54294955584453</v>
      </c>
      <c r="CA90" s="80">
        <f t="shared" si="1084"/>
        <v>129.65999346953532</v>
      </c>
      <c r="CB90" s="80">
        <f t="shared" si="1084"/>
        <v>134.72355766207443</v>
      </c>
      <c r="CC90" s="80">
        <f t="shared" si="1084"/>
        <v>139.65943351710939</v>
      </c>
      <c r="CD90" s="80">
        <f t="shared" si="1084"/>
        <v>145.31673177004262</v>
      </c>
      <c r="CE90" s="80">
        <f t="shared" si="1084"/>
        <v>150.79678871691709</v>
      </c>
      <c r="CF90" s="80">
        <f t="shared" si="1084"/>
        <v>156.25479500176448</v>
      </c>
      <c r="CG90" s="80">
        <f t="shared" si="1084"/>
        <v>161.74710803174878</v>
      </c>
      <c r="CH90" s="80">
        <f t="shared" si="1084"/>
        <v>167.39540978792942</v>
      </c>
      <c r="CI90" s="80">
        <f t="shared" si="1084"/>
        <v>172.70631700088541</v>
      </c>
      <c r="CJ90" s="80">
        <f t="shared" si="1084"/>
        <v>178.5491960638947</v>
      </c>
      <c r="CK90" s="80">
        <f t="shared" si="1084"/>
        <v>184.41269901317057</v>
      </c>
      <c r="CL90" s="80">
        <f t="shared" si="1084"/>
        <v>190.57556352138556</v>
      </c>
      <c r="CM90" s="80">
        <f t="shared" si="1084"/>
        <v>196.49535869898372</v>
      </c>
      <c r="CN90" s="80">
        <f t="shared" si="1084"/>
        <v>202.83677851089556</v>
      </c>
      <c r="CO90" s="80">
        <f t="shared" si="1084"/>
        <v>209.22131607382431</v>
      </c>
      <c r="CS90" s="98">
        <v>121.2</v>
      </c>
      <c r="CX90" s="98">
        <v>83.36</v>
      </c>
    </row>
    <row r="91" spans="1:102" s="91" customFormat="1" x14ac:dyDescent="0.2">
      <c r="AB91" s="85"/>
      <c r="AC91" s="85"/>
      <c r="AD91" s="85"/>
      <c r="AE91" s="85"/>
      <c r="AG91" s="84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</row>
    <row r="92" spans="1:102" s="92" customFormat="1" x14ac:dyDescent="0.2">
      <c r="A92" s="92" t="s">
        <v>47</v>
      </c>
      <c r="AB92" s="71"/>
      <c r="AC92" s="71"/>
      <c r="AD92" s="71"/>
      <c r="AE92" s="71"/>
      <c r="AG92" s="72"/>
      <c r="BZ92" s="71">
        <f t="shared" ref="BZ92:CC92" si="1085">+BZ89/BZ88-1</f>
        <v>0.16759015208604233</v>
      </c>
      <c r="CA92" s="71">
        <f t="shared" si="1085"/>
        <v>0.21556243877689352</v>
      </c>
      <c r="CB92" s="71">
        <f t="shared" si="1085"/>
        <v>0.26303335308194775</v>
      </c>
      <c r="CC92" s="71">
        <f t="shared" si="1085"/>
        <v>0.30930718922290046</v>
      </c>
      <c r="CD92" s="71">
        <f t="shared" ref="CD92:CO92" si="1086">+CD89/CD88-1</f>
        <v>0.36234436034414963</v>
      </c>
      <c r="CE92" s="71">
        <f t="shared" si="1086"/>
        <v>0.41371989422109778</v>
      </c>
      <c r="CF92" s="71">
        <f t="shared" si="1086"/>
        <v>0.46488870314154185</v>
      </c>
      <c r="CG92" s="71">
        <f t="shared" si="1086"/>
        <v>0.51637913779764477</v>
      </c>
      <c r="CH92" s="71">
        <f t="shared" si="1086"/>
        <v>0.56933196676183839</v>
      </c>
      <c r="CI92" s="71">
        <f t="shared" si="1086"/>
        <v>0.61912172188330072</v>
      </c>
      <c r="CJ92" s="71">
        <f t="shared" si="1086"/>
        <v>0.67389871309901284</v>
      </c>
      <c r="CK92" s="71">
        <f t="shared" si="1086"/>
        <v>0.72886905324847406</v>
      </c>
      <c r="CL92" s="71">
        <f t="shared" si="1086"/>
        <v>0.7866459080129895</v>
      </c>
      <c r="CM92" s="71">
        <f t="shared" si="1086"/>
        <v>0.84214398780297239</v>
      </c>
      <c r="CN92" s="71">
        <f t="shared" si="1086"/>
        <v>0.90159479853964575</v>
      </c>
      <c r="CO92" s="71">
        <f t="shared" si="1086"/>
        <v>0.96144983819210283</v>
      </c>
    </row>
    <row r="93" spans="1:102" s="92" customFormat="1" x14ac:dyDescent="0.2">
      <c r="A93" s="92" t="s">
        <v>48</v>
      </c>
      <c r="AB93" s="71"/>
      <c r="AC93" s="71"/>
      <c r="AD93" s="71"/>
      <c r="AE93" s="71"/>
      <c r="AG93" s="72"/>
      <c r="BZ93" s="71">
        <f t="shared" ref="BZ93:CC93" si="1087">+BZ90/BZ88-1</f>
        <v>-2.7008206594964612E-2</v>
      </c>
      <c r="CA93" s="71">
        <f t="shared" si="1087"/>
        <v>1.2968698980744708E-2</v>
      </c>
      <c r="CB93" s="71">
        <f t="shared" si="1087"/>
        <v>5.252779423495646E-2</v>
      </c>
      <c r="CC93" s="71">
        <f t="shared" si="1087"/>
        <v>9.1089324352417123E-2</v>
      </c>
      <c r="CD93" s="71">
        <f t="shared" ref="CD93:CO93" si="1088">+CD90/CD88-1</f>
        <v>0.13528696695345799</v>
      </c>
      <c r="CE93" s="71">
        <f t="shared" si="1088"/>
        <v>0.17809991185091478</v>
      </c>
      <c r="CF93" s="71">
        <f t="shared" si="1088"/>
        <v>0.22074058595128498</v>
      </c>
      <c r="CG93" s="71">
        <f t="shared" si="1088"/>
        <v>0.26364928149803735</v>
      </c>
      <c r="CH93" s="71">
        <f t="shared" si="1088"/>
        <v>0.30777663896819862</v>
      </c>
      <c r="CI93" s="71">
        <f t="shared" si="1088"/>
        <v>0.34926810156941723</v>
      </c>
      <c r="CJ93" s="71">
        <f t="shared" si="1088"/>
        <v>0.39491559424917733</v>
      </c>
      <c r="CK93" s="71">
        <f t="shared" si="1088"/>
        <v>0.44072421104039505</v>
      </c>
      <c r="CL93" s="71">
        <f t="shared" si="1088"/>
        <v>0.4888715900108247</v>
      </c>
      <c r="CM93" s="71">
        <f t="shared" si="1088"/>
        <v>0.53511998983581033</v>
      </c>
      <c r="CN93" s="71">
        <f t="shared" si="1088"/>
        <v>0.58466233211637153</v>
      </c>
      <c r="CO93" s="71">
        <f t="shared" si="1088"/>
        <v>0.63454153182675244</v>
      </c>
    </row>
    <row r="94" spans="1:102" s="92" customFormat="1" x14ac:dyDescent="0.2">
      <c r="AB94" s="71"/>
      <c r="AC94" s="71"/>
      <c r="AD94" s="71"/>
      <c r="AE94" s="71"/>
      <c r="AG94" s="72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</row>
    <row r="95" spans="1:102" s="91" customFormat="1" x14ac:dyDescent="0.2">
      <c r="A95" s="91" t="s">
        <v>351</v>
      </c>
      <c r="AB95" s="85"/>
      <c r="AC95" s="85"/>
      <c r="AD95" s="85"/>
      <c r="AE95" s="85"/>
      <c r="AG95" s="84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</row>
    <row r="96" spans="1:102" s="91" customFormat="1" x14ac:dyDescent="0.2">
      <c r="A96" s="91" t="s">
        <v>41</v>
      </c>
      <c r="B96" s="91" t="e">
        <f t="shared" ref="B96:AE96" si="1089">+B88/B65</f>
        <v>#DIV/0!</v>
      </c>
      <c r="C96" s="91">
        <f t="shared" si="1089"/>
        <v>0</v>
      </c>
      <c r="D96" s="91">
        <f t="shared" si="1089"/>
        <v>4.6619380221568365</v>
      </c>
      <c r="E96" s="91">
        <f t="shared" si="1089"/>
        <v>6.5874964922240178</v>
      </c>
      <c r="F96" s="91">
        <f t="shared" si="1089"/>
        <v>7.0955285604092824</v>
      </c>
      <c r="G96" s="91">
        <f t="shared" si="1089"/>
        <v>7.5317034085119996</v>
      </c>
      <c r="H96" s="91">
        <f t="shared" si="1089"/>
        <v>3.6444218577106997</v>
      </c>
      <c r="I96" s="91">
        <f t="shared" si="1089"/>
        <v>4.1387381008865871</v>
      </c>
      <c r="J96" s="91">
        <f t="shared" si="1089"/>
        <v>2.7357630237739246</v>
      </c>
      <c r="K96" s="91">
        <f t="shared" si="1089"/>
        <v>5.625259124330567</v>
      </c>
      <c r="L96" s="91">
        <f t="shared" si="1089"/>
        <v>6.2387703596320572</v>
      </c>
      <c r="M96" s="91">
        <f t="shared" si="1089"/>
        <v>4.3296734843805558</v>
      </c>
      <c r="N96" s="91">
        <f t="shared" si="1089"/>
        <v>3.4612021313416683</v>
      </c>
      <c r="O96" s="91">
        <f t="shared" si="1089"/>
        <v>1.971967120376094</v>
      </c>
      <c r="P96" s="91">
        <f t="shared" si="1089"/>
        <v>2.8079864381824899</v>
      </c>
      <c r="Q96" s="91">
        <f t="shared" si="1089"/>
        <v>3.1104277942419212</v>
      </c>
      <c r="R96" s="91">
        <f t="shared" si="1089"/>
        <v>4.5667665435071418</v>
      </c>
      <c r="S96" s="91">
        <f t="shared" si="1089"/>
        <v>6.787797732748591</v>
      </c>
      <c r="T96" s="91">
        <f t="shared" si="1089"/>
        <v>4.0056758294219019</v>
      </c>
      <c r="U96" s="91">
        <f t="shared" si="1089"/>
        <v>0.77938059752130384</v>
      </c>
      <c r="V96" s="91">
        <f t="shared" si="1089"/>
        <v>0.80191006205014725</v>
      </c>
      <c r="W96" s="91">
        <f t="shared" si="1089"/>
        <v>0.87029349839904524</v>
      </c>
      <c r="X96" s="91">
        <f t="shared" si="1089"/>
        <v>0.87096848122908932</v>
      </c>
      <c r="Y96" s="91">
        <f t="shared" si="1089"/>
        <v>1.4031263095922626</v>
      </c>
      <c r="Z96" s="91">
        <f t="shared" si="1089"/>
        <v>0.87249555775146548</v>
      </c>
      <c r="AA96" s="91">
        <f t="shared" ref="AA96" si="1090">+AA88/AA65</f>
        <v>1.0360003261617943</v>
      </c>
      <c r="AB96" s="85">
        <f t="shared" si="1089"/>
        <v>0.87501156181861017</v>
      </c>
      <c r="AC96" s="85">
        <f t="shared" si="1089"/>
        <v>0.7557007742595625</v>
      </c>
      <c r="AD96" s="85">
        <f t="shared" si="1089"/>
        <v>0.66250978011965844</v>
      </c>
      <c r="AE96" s="85">
        <f t="shared" si="1089"/>
        <v>0.58354394006095645</v>
      </c>
      <c r="AG96" s="84"/>
      <c r="AH96" s="91" t="e">
        <f t="shared" ref="AH96:AR96" si="1091">+AH88/AH65</f>
        <v>#DIV/0!</v>
      </c>
      <c r="AI96" s="91">
        <f t="shared" si="1091"/>
        <v>0.11320932110335598</v>
      </c>
      <c r="AJ96" s="91">
        <f t="shared" si="1091"/>
        <v>0.10924437621810951</v>
      </c>
      <c r="AK96" s="91">
        <f t="shared" si="1091"/>
        <v>0.18619734937477975</v>
      </c>
      <c r="AL96" s="91">
        <f t="shared" si="1091"/>
        <v>0.22371060895406081</v>
      </c>
      <c r="AM96" s="91">
        <f t="shared" si="1091"/>
        <v>0.31839812097069214</v>
      </c>
      <c r="AN96" s="91">
        <f t="shared" si="1091"/>
        <v>0.27400853207446452</v>
      </c>
      <c r="AO96" s="91">
        <f t="shared" si="1091"/>
        <v>0.30071527080827082</v>
      </c>
      <c r="AP96" s="91">
        <f t="shared" si="1091"/>
        <v>0.4109292249140013</v>
      </c>
      <c r="AQ96" s="91">
        <f t="shared" si="1091"/>
        <v>0.41057660633933463</v>
      </c>
      <c r="AR96" s="91">
        <f t="shared" si="1091"/>
        <v>0.48305417839407666</v>
      </c>
      <c r="AS96" s="91">
        <f>+AS88/AS65</f>
        <v>0.54870255705189341</v>
      </c>
      <c r="AT96" s="91">
        <f t="shared" ref="AT96:CO96" si="1092">+AT88/AT65</f>
        <v>4.9495819963585888</v>
      </c>
      <c r="AU96" s="91">
        <f t="shared" si="1092"/>
        <v>4.2073259814191202</v>
      </c>
      <c r="AV96" s="91">
        <f t="shared" si="1092"/>
        <v>5.0171088398773529</v>
      </c>
      <c r="AW96" s="91">
        <f t="shared" si="1092"/>
        <v>4.0056757426191876</v>
      </c>
      <c r="AX96" s="91">
        <f t="shared" si="1092"/>
        <v>3.8342583616849555</v>
      </c>
      <c r="AY96" s="91">
        <f t="shared" si="1092"/>
        <v>1.5385755856959829</v>
      </c>
      <c r="AZ96" s="91">
        <f t="shared" si="1092"/>
        <v>1.7667510537567783</v>
      </c>
      <c r="BA96" s="91">
        <f t="shared" si="1092"/>
        <v>0.77938063901689969</v>
      </c>
      <c r="BB96" s="91">
        <f t="shared" si="1092"/>
        <v>0.64328288743909579</v>
      </c>
      <c r="BC96" s="91">
        <f t="shared" si="1092"/>
        <v>0.48308519611725403</v>
      </c>
      <c r="BD96" s="91">
        <f t="shared" si="1092"/>
        <v>0.58530191209114557</v>
      </c>
      <c r="BE96" s="91">
        <f t="shared" si="1092"/>
        <v>0.80191160809526263</v>
      </c>
      <c r="BF96" s="91">
        <f t="shared" si="1092"/>
        <v>0.73298269582146969</v>
      </c>
      <c r="BG96" s="91">
        <f t="shared" si="1092"/>
        <v>0.72928188465455723</v>
      </c>
      <c r="BH96" s="91">
        <f t="shared" si="1092"/>
        <v>0.79629862621340475</v>
      </c>
      <c r="BI96" s="91">
        <f t="shared" si="1092"/>
        <v>0.87029375070742387</v>
      </c>
      <c r="BJ96" s="91">
        <f t="shared" si="1092"/>
        <v>0.66311470409401074</v>
      </c>
      <c r="BK96" s="91">
        <f t="shared" si="1092"/>
        <v>0.77913170956141253</v>
      </c>
      <c r="BL96" s="91">
        <f t="shared" si="1092"/>
        <v>1.0679425108858633</v>
      </c>
      <c r="BM96" s="91">
        <f t="shared" si="1092"/>
        <v>0.87097318751861563</v>
      </c>
      <c r="BN96" s="91">
        <f t="shared" si="1092"/>
        <v>0.86011032887524863</v>
      </c>
      <c r="BO96" s="91">
        <f t="shared" si="1092"/>
        <v>1.001539427846684</v>
      </c>
      <c r="BP96" s="91">
        <f t="shared" si="1092"/>
        <v>1.099725348668791</v>
      </c>
      <c r="BQ96" s="91">
        <f t="shared" si="1092"/>
        <v>1.4031229176582578</v>
      </c>
      <c r="BR96" s="91">
        <f t="shared" si="1092"/>
        <v>1.3376794877115392</v>
      </c>
      <c r="BS96" s="91">
        <f t="shared" si="1092"/>
        <v>1.158004264319296</v>
      </c>
      <c r="BT96" s="91">
        <f t="shared" si="1092"/>
        <v>1.0190911514552941</v>
      </c>
      <c r="BU96" s="91">
        <f t="shared" si="1092"/>
        <v>0.87249830680261231</v>
      </c>
      <c r="BV96" s="91">
        <f t="shared" si="1092"/>
        <v>1.0603678163225696</v>
      </c>
      <c r="BW96" s="91">
        <f t="shared" ref="BW96:BX96" si="1093">+BW88/BW65</f>
        <v>1.0981267076273773</v>
      </c>
      <c r="BX96" s="91">
        <f t="shared" si="1093"/>
        <v>1.3019679258822436</v>
      </c>
      <c r="BY96" s="91">
        <f t="shared" ref="BY96" si="1094">+BY88/BY65</f>
        <v>1.0360037357668126</v>
      </c>
      <c r="BZ96" s="85">
        <f t="shared" si="1092"/>
        <v>1.0277578976287642</v>
      </c>
      <c r="CA96" s="85">
        <f t="shared" si="1092"/>
        <v>0.98719733492871609</v>
      </c>
      <c r="CB96" s="85">
        <f t="shared" si="1092"/>
        <v>0.95009367493887709</v>
      </c>
      <c r="CC96" s="85">
        <f t="shared" si="1092"/>
        <v>0.91651524552631802</v>
      </c>
      <c r="CD96" s="85">
        <f t="shared" si="1092"/>
        <v>0.88083456351436806</v>
      </c>
      <c r="CE96" s="85">
        <f t="shared" si="1092"/>
        <v>0.84882444174781257</v>
      </c>
      <c r="CF96" s="85">
        <f t="shared" si="1092"/>
        <v>0.81917486115261029</v>
      </c>
      <c r="CG96" s="85">
        <f t="shared" si="1092"/>
        <v>0.79135881659705054</v>
      </c>
      <c r="CH96" s="85">
        <f t="shared" si="1092"/>
        <v>0.76465657070382731</v>
      </c>
      <c r="CI96" s="85">
        <f t="shared" si="1092"/>
        <v>0.74114254893956077</v>
      </c>
      <c r="CJ96" s="85">
        <f t="shared" si="1092"/>
        <v>0.71688925417616878</v>
      </c>
      <c r="CK96" s="85">
        <f t="shared" si="1092"/>
        <v>0.69409536699453855</v>
      </c>
      <c r="CL96" s="85">
        <f t="shared" si="1092"/>
        <v>0.67164959470596763</v>
      </c>
      <c r="CM96" s="85">
        <f t="shared" si="1092"/>
        <v>0.65141487741746862</v>
      </c>
      <c r="CN96" s="85">
        <f t="shared" si="1092"/>
        <v>0.63104926502825698</v>
      </c>
      <c r="CO96" s="85">
        <f t="shared" si="1092"/>
        <v>0.61179234698454366</v>
      </c>
      <c r="CS96" s="91">
        <v>1.2621644974983142</v>
      </c>
      <c r="CX96" s="91">
        <v>1.0360003261617943</v>
      </c>
    </row>
    <row r="97" spans="1:102" s="91" customFormat="1" x14ac:dyDescent="0.2">
      <c r="A97" s="91" t="s">
        <v>38</v>
      </c>
      <c r="B97" s="91">
        <f>B89/B60</f>
        <v>0</v>
      </c>
      <c r="C97" s="91">
        <f>C89/C60</f>
        <v>0</v>
      </c>
      <c r="D97" s="91">
        <f t="shared" ref="D97:AE97" si="1095">D89/D65</f>
        <v>4.9827736444682031</v>
      </c>
      <c r="E97" s="91">
        <f t="shared" si="1095"/>
        <v>7.6307445535790164</v>
      </c>
      <c r="F97" s="91">
        <f t="shared" si="1095"/>
        <v>8.5525195796749642</v>
      </c>
      <c r="G97" s="91">
        <f t="shared" si="1095"/>
        <v>8.4657587956298119</v>
      </c>
      <c r="H97" s="91">
        <f t="shared" si="1095"/>
        <v>5.9879329855246741</v>
      </c>
      <c r="I97" s="91">
        <f t="shared" si="1095"/>
        <v>7.7454314947542198</v>
      </c>
      <c r="J97" s="91">
        <f t="shared" si="1095"/>
        <v>4.122608534921528</v>
      </c>
      <c r="K97" s="91">
        <f t="shared" si="1095"/>
        <v>6.0522770888069797</v>
      </c>
      <c r="L97" s="91">
        <f t="shared" si="1095"/>
        <v>8.4093622670756822</v>
      </c>
      <c r="M97" s="91">
        <f t="shared" si="1095"/>
        <v>6.1053286608630453</v>
      </c>
      <c r="N97" s="91">
        <f t="shared" si="1095"/>
        <v>4.951648256568923</v>
      </c>
      <c r="O97" s="91">
        <f t="shared" si="1095"/>
        <v>3.4053451501860676</v>
      </c>
      <c r="P97" s="91">
        <f t="shared" si="1095"/>
        <v>3.8009710416278324</v>
      </c>
      <c r="Q97" s="91">
        <f t="shared" si="1095"/>
        <v>6.7410351116188441</v>
      </c>
      <c r="R97" s="91">
        <f t="shared" si="1095"/>
        <v>4.9726797265608083</v>
      </c>
      <c r="S97" s="91">
        <f t="shared" si="1095"/>
        <v>11.903369798886272</v>
      </c>
      <c r="T97" s="91">
        <f t="shared" si="1095"/>
        <v>4.1449380649712504</v>
      </c>
      <c r="U97" s="91">
        <f t="shared" si="1095"/>
        <v>2.6036829695955062</v>
      </c>
      <c r="V97" s="91">
        <f t="shared" si="1095"/>
        <v>0.91857546680818181</v>
      </c>
      <c r="W97" s="91">
        <f t="shared" si="1095"/>
        <v>1.043128586833302</v>
      </c>
      <c r="X97" s="91">
        <f t="shared" si="1095"/>
        <v>1.0457744576023089</v>
      </c>
      <c r="Y97" s="91">
        <f t="shared" si="1095"/>
        <v>1.4632499459867685</v>
      </c>
      <c r="Z97" s="91">
        <f t="shared" si="1095"/>
        <v>1.2677746618192773</v>
      </c>
      <c r="AA97" s="91">
        <f t="shared" ref="AA97" si="1096">AA89/AA65</f>
        <v>1.3659607699858867</v>
      </c>
      <c r="AB97" s="85">
        <f t="shared" si="1095"/>
        <v>1.1456589285422647</v>
      </c>
      <c r="AC97" s="85">
        <f t="shared" si="1095"/>
        <v>1.1459288885047278</v>
      </c>
      <c r="AD97" s="85">
        <f t="shared" si="1095"/>
        <v>1.1453926563233285</v>
      </c>
      <c r="AE97" s="85">
        <f t="shared" si="1095"/>
        <v>1.1445921668105452</v>
      </c>
      <c r="AG97" s="84"/>
      <c r="AH97" s="91" t="e">
        <f t="shared" ref="AH97:AS97" si="1097">AH89/AH65</f>
        <v>#DIV/0!</v>
      </c>
      <c r="AI97" s="91">
        <f t="shared" si="1097"/>
        <v>0.14565024740451449</v>
      </c>
      <c r="AJ97" s="91">
        <f t="shared" si="1097"/>
        <v>0.14260447141674895</v>
      </c>
      <c r="AK97" s="91">
        <f t="shared" si="1097"/>
        <v>0.23489209994869498</v>
      </c>
      <c r="AL97" s="91">
        <f t="shared" si="1097"/>
        <v>0.2264244249931005</v>
      </c>
      <c r="AM97" s="91">
        <f t="shared" si="1097"/>
        <v>0.3293435404040933</v>
      </c>
      <c r="AN97" s="91">
        <f t="shared" si="1097"/>
        <v>0.35359974920927673</v>
      </c>
      <c r="AO97" s="91">
        <f t="shared" si="1097"/>
        <v>0.30722017312813849</v>
      </c>
      <c r="AP97" s="91">
        <f t="shared" si="1097"/>
        <v>0.51822047239154756</v>
      </c>
      <c r="AQ97" s="91">
        <f t="shared" si="1097"/>
        <v>0.49900951603131594</v>
      </c>
      <c r="AR97" s="91">
        <f t="shared" si="1097"/>
        <v>0.62024745433032724</v>
      </c>
      <c r="AS97" s="91">
        <f t="shared" si="1097"/>
        <v>0.79933036646027</v>
      </c>
      <c r="AT97" s="91">
        <f t="shared" ref="AT97:BV97" si="1098">AT89/AT65</f>
        <v>5.821070400327927</v>
      </c>
      <c r="AU97" s="91">
        <f t="shared" si="1098"/>
        <v>5.7551875888010695</v>
      </c>
      <c r="AV97" s="91">
        <f t="shared" si="1098"/>
        <v>5.1356950488199082</v>
      </c>
      <c r="AW97" s="91">
        <f t="shared" si="1098"/>
        <v>4.0934864114075511</v>
      </c>
      <c r="AX97" s="91">
        <f t="shared" si="1098"/>
        <v>4.0715401730972456</v>
      </c>
      <c r="AY97" s="91">
        <f t="shared" si="1098"/>
        <v>2.5024007743217713</v>
      </c>
      <c r="AZ97" s="91">
        <f t="shared" si="1098"/>
        <v>1.8705367008369325</v>
      </c>
      <c r="BA97" s="91">
        <f t="shared" si="1098"/>
        <v>1.9829374665252981</v>
      </c>
      <c r="BB97" s="91">
        <f t="shared" si="1098"/>
        <v>0.75614514353551765</v>
      </c>
      <c r="BC97" s="91">
        <f t="shared" si="1098"/>
        <v>0.64827968387838475</v>
      </c>
      <c r="BD97" s="91">
        <f t="shared" si="1098"/>
        <v>0.66450717278126181</v>
      </c>
      <c r="BE97" s="91">
        <f t="shared" si="1098"/>
        <v>0.91857723777874434</v>
      </c>
      <c r="BF97" s="91">
        <f t="shared" si="1098"/>
        <v>0.79959554535941035</v>
      </c>
      <c r="BG97" s="91">
        <f t="shared" si="1098"/>
        <v>0.74783009443767878</v>
      </c>
      <c r="BH97" s="91">
        <f t="shared" si="1098"/>
        <v>0.98631085467953505</v>
      </c>
      <c r="BI97" s="91">
        <f t="shared" si="1098"/>
        <v>1.043128889248617</v>
      </c>
      <c r="BJ97" s="91">
        <f t="shared" si="1098"/>
        <v>0.92378738087579426</v>
      </c>
      <c r="BK97" s="91">
        <f t="shared" si="1098"/>
        <v>0.87741745429620366</v>
      </c>
      <c r="BL97" s="91">
        <f t="shared" si="1098"/>
        <v>1.0778679247181111</v>
      </c>
      <c r="BM97" s="91">
        <f t="shared" si="1098"/>
        <v>1.0457801084582041</v>
      </c>
      <c r="BN97" s="91">
        <f t="shared" si="1098"/>
        <v>0.93093120916865457</v>
      </c>
      <c r="BO97" s="91">
        <f t="shared" si="1098"/>
        <v>1.0268207472688802</v>
      </c>
      <c r="BP97" s="91">
        <f t="shared" si="1098"/>
        <v>1.1424380078585772</v>
      </c>
      <c r="BQ97" s="91">
        <f t="shared" si="1098"/>
        <v>1.4632464087091797</v>
      </c>
      <c r="BR97" s="91">
        <f t="shared" si="1098"/>
        <v>1.4491527783541673</v>
      </c>
      <c r="BS97" s="91">
        <f t="shared" si="1098"/>
        <v>1.2489198077270469</v>
      </c>
      <c r="BT97" s="91">
        <f t="shared" si="1098"/>
        <v>1.1442516223779111</v>
      </c>
      <c r="BU97" s="91">
        <f t="shared" si="1098"/>
        <v>1.0104984883323895</v>
      </c>
      <c r="BV97" s="91">
        <f t="shared" si="1098"/>
        <v>1.1077222459481835</v>
      </c>
      <c r="BW97" s="91">
        <f t="shared" ref="BW97:BX97" si="1099">BW89/BW65</f>
        <v>1.1061163118057493</v>
      </c>
      <c r="BX97" s="91">
        <f t="shared" si="1099"/>
        <v>1.3280240948314685</v>
      </c>
      <c r="BY97" s="91">
        <f t="shared" ref="BY97" si="1100">BY89/BY65</f>
        <v>1.3659652655314756</v>
      </c>
      <c r="BZ97" s="85">
        <v>1.2</v>
      </c>
      <c r="CA97" s="85">
        <f t="shared" ref="CA97:CA98" si="1101">BZ97</f>
        <v>1.2</v>
      </c>
      <c r="CB97" s="85">
        <f t="shared" ref="CB97:CB98" si="1102">CA97</f>
        <v>1.2</v>
      </c>
      <c r="CC97" s="85">
        <f t="shared" ref="CC97:CC98" si="1103">CB97</f>
        <v>1.2</v>
      </c>
      <c r="CD97" s="85">
        <f t="shared" ref="CD97:CD98" si="1104">CC97</f>
        <v>1.2</v>
      </c>
      <c r="CE97" s="85">
        <f t="shared" ref="CE97:CE98" si="1105">CD97</f>
        <v>1.2</v>
      </c>
      <c r="CF97" s="85">
        <f t="shared" ref="CF97:CF98" si="1106">CE97</f>
        <v>1.2</v>
      </c>
      <c r="CG97" s="85">
        <f t="shared" ref="CG97:CG98" si="1107">CF97</f>
        <v>1.2</v>
      </c>
      <c r="CH97" s="85">
        <f t="shared" ref="CH97:CH98" si="1108">CG97</f>
        <v>1.2</v>
      </c>
      <c r="CI97" s="85">
        <f t="shared" ref="CI97:CI98" si="1109">CH97</f>
        <v>1.2</v>
      </c>
      <c r="CJ97" s="85">
        <f t="shared" ref="CJ97:CJ98" si="1110">CI97</f>
        <v>1.2</v>
      </c>
      <c r="CK97" s="85">
        <f t="shared" ref="CK97:CK98" si="1111">CJ97</f>
        <v>1.2</v>
      </c>
      <c r="CL97" s="85">
        <f t="shared" ref="CL97:CL98" si="1112">CK97</f>
        <v>1.2</v>
      </c>
      <c r="CM97" s="85">
        <f t="shared" ref="CM97:CM98" si="1113">CL97</f>
        <v>1.2</v>
      </c>
      <c r="CN97" s="85">
        <f t="shared" ref="CN97:CN98" si="1114">CM97</f>
        <v>1.2</v>
      </c>
      <c r="CO97" s="85">
        <f t="shared" ref="CO97:CO98" si="1115">CN97</f>
        <v>1.2</v>
      </c>
      <c r="CS97" s="91">
        <v>1.3101700808767418</v>
      </c>
      <c r="CX97" s="91">
        <v>1.3659607699858867</v>
      </c>
    </row>
    <row r="98" spans="1:102" s="91" customFormat="1" x14ac:dyDescent="0.2">
      <c r="A98" s="91" t="s">
        <v>39</v>
      </c>
      <c r="B98" s="91">
        <f>B90/B60</f>
        <v>0</v>
      </c>
      <c r="C98" s="91">
        <f>C90/C60</f>
        <v>0</v>
      </c>
      <c r="D98" s="91">
        <f t="shared" ref="D98:AE98" si="1116">D90/D65</f>
        <v>2.6190663045824922</v>
      </c>
      <c r="E98" s="91">
        <f t="shared" si="1116"/>
        <v>3.2390802254296558</v>
      </c>
      <c r="F98" s="91">
        <f t="shared" si="1116"/>
        <v>3.2291028179108157</v>
      </c>
      <c r="G98" s="91">
        <f t="shared" si="1116"/>
        <v>4.8127838753155503</v>
      </c>
      <c r="H98" s="91">
        <f t="shared" si="1116"/>
        <v>3.0903649137546827</v>
      </c>
      <c r="I98" s="91">
        <f t="shared" si="1116"/>
        <v>3.2446457003176143</v>
      </c>
      <c r="J98" s="91">
        <f t="shared" si="1116"/>
        <v>2.2262086088576258</v>
      </c>
      <c r="K98" s="91">
        <f t="shared" si="1116"/>
        <v>2.1727880375445197</v>
      </c>
      <c r="L98" s="91">
        <f t="shared" si="1116"/>
        <v>3.4374762821577138</v>
      </c>
      <c r="M98" s="91">
        <f t="shared" si="1116"/>
        <v>3.1906946684746798</v>
      </c>
      <c r="N98" s="91">
        <f t="shared" si="1116"/>
        <v>2.7549170300183392</v>
      </c>
      <c r="O98" s="91">
        <f t="shared" si="1116"/>
        <v>1.4165937437466263</v>
      </c>
      <c r="P98" s="91">
        <f t="shared" si="1116"/>
        <v>1.9081179927850562</v>
      </c>
      <c r="Q98" s="91">
        <f t="shared" si="1116"/>
        <v>2.5591194177539518</v>
      </c>
      <c r="R98" s="91">
        <f t="shared" si="1116"/>
        <v>2.5772320045088164</v>
      </c>
      <c r="S98" s="91">
        <f t="shared" si="1116"/>
        <v>5.7885722576154972</v>
      </c>
      <c r="T98" s="91">
        <f t="shared" si="1116"/>
        <v>2.814743608172301</v>
      </c>
      <c r="U98" s="91">
        <f t="shared" si="1116"/>
        <v>0.63669532220075542</v>
      </c>
      <c r="V98" s="91">
        <f t="shared" si="1116"/>
        <v>0.39924323614713408</v>
      </c>
      <c r="W98" s="91">
        <f t="shared" si="1116"/>
        <v>0.47548768245132367</v>
      </c>
      <c r="X98" s="91">
        <f t="shared" si="1116"/>
        <v>0.52564248937446278</v>
      </c>
      <c r="Y98" s="91">
        <f t="shared" si="1116"/>
        <v>0.67946952937405392</v>
      </c>
      <c r="Z98" s="91">
        <f t="shared" si="1116"/>
        <v>0.77017188191541408</v>
      </c>
      <c r="AA98" s="91">
        <f t="shared" ref="AA98" si="1117">AA90/AA65</f>
        <v>0.69899625405784838</v>
      </c>
      <c r="AB98" s="85">
        <f t="shared" si="1116"/>
        <v>0.85137906878403047</v>
      </c>
      <c r="AC98" s="85">
        <f t="shared" si="1116"/>
        <v>0.85793723993351856</v>
      </c>
      <c r="AD98" s="85">
        <f t="shared" si="1116"/>
        <v>0.86641481352844718</v>
      </c>
      <c r="AE98" s="85">
        <f t="shared" si="1116"/>
        <v>0.86882199387973758</v>
      </c>
      <c r="AG98" s="84"/>
      <c r="AH98" s="91" t="e">
        <f t="shared" ref="AH98:AS98" si="1118">AH90/AH65</f>
        <v>#DIV/0!</v>
      </c>
      <c r="AI98" s="91">
        <f t="shared" si="1118"/>
        <v>0.10153220664560905</v>
      </c>
      <c r="AJ98" s="91">
        <f t="shared" si="1118"/>
        <v>0.10898722061391537</v>
      </c>
      <c r="AK98" s="91">
        <f t="shared" si="1118"/>
        <v>0.15319476414190453</v>
      </c>
      <c r="AL98" s="91">
        <f t="shared" si="1118"/>
        <v>0.18003353194838131</v>
      </c>
      <c r="AM98" s="91">
        <f t="shared" si="1118"/>
        <v>0.22438109838472972</v>
      </c>
      <c r="AN98" s="91">
        <f t="shared" si="1118"/>
        <v>0.26999509152477225</v>
      </c>
      <c r="AO98" s="91">
        <f t="shared" si="1118"/>
        <v>0.24828602836938621</v>
      </c>
      <c r="AP98" s="91">
        <f t="shared" si="1118"/>
        <v>0.37726800117104586</v>
      </c>
      <c r="AQ98" s="91">
        <f t="shared" si="1118"/>
        <v>0.40897721686487526</v>
      </c>
      <c r="AR98" s="91">
        <f t="shared" si="1118"/>
        <v>0.39732511182122926</v>
      </c>
      <c r="AS98" s="91">
        <f t="shared" si="1118"/>
        <v>0.46792855716800064</v>
      </c>
      <c r="AT98" s="91">
        <f t="shared" ref="AT98:BV98" si="1119">AT90/AT65</f>
        <v>4.603347325707114</v>
      </c>
      <c r="AU98" s="91">
        <f t="shared" si="1119"/>
        <v>3.9920541517155379</v>
      </c>
      <c r="AV98" s="91">
        <f t="shared" si="1119"/>
        <v>3.7427631945485054</v>
      </c>
      <c r="AW98" s="91">
        <f t="shared" si="1119"/>
        <v>2.9217627997628224</v>
      </c>
      <c r="AX98" s="91">
        <f t="shared" si="1119"/>
        <v>3.2194827593894773</v>
      </c>
      <c r="AY98" s="91">
        <f t="shared" si="1119"/>
        <v>1.5191640451194564</v>
      </c>
      <c r="AZ98" s="91">
        <f t="shared" si="1119"/>
        <v>1.3615878545784841</v>
      </c>
      <c r="BA98" s="91">
        <f t="shared" si="1119"/>
        <v>0.63669535609953598</v>
      </c>
      <c r="BB98" s="91">
        <f t="shared" si="1119"/>
        <v>0.48470022731494494</v>
      </c>
      <c r="BC98" s="91">
        <f t="shared" si="1119"/>
        <v>0.44694890191950665</v>
      </c>
      <c r="BD98" s="91">
        <f t="shared" si="1119"/>
        <v>0.38309020070176569</v>
      </c>
      <c r="BE98" s="91">
        <f t="shared" si="1119"/>
        <v>0.65232678267716437</v>
      </c>
      <c r="BF98" s="91">
        <f t="shared" si="1119"/>
        <v>0.60023969855383441</v>
      </c>
      <c r="BG98" s="91">
        <f t="shared" si="1119"/>
        <v>0.5990228659503618</v>
      </c>
      <c r="BH98" s="91">
        <f t="shared" si="1119"/>
        <v>0.67719242849564198</v>
      </c>
      <c r="BI98" s="91">
        <f t="shared" si="1119"/>
        <v>0.75137399830408069</v>
      </c>
      <c r="BJ98" s="91">
        <f t="shared" si="1119"/>
        <v>0.62817541899554019</v>
      </c>
      <c r="BK98" s="91">
        <f t="shared" si="1119"/>
        <v>0.608111106937963</v>
      </c>
      <c r="BL98" s="91">
        <f t="shared" si="1119"/>
        <v>0.70598508064857723</v>
      </c>
      <c r="BM98" s="91">
        <f t="shared" si="1119"/>
        <v>0.82306200866214352</v>
      </c>
      <c r="BN98" s="91">
        <f t="shared" si="1119"/>
        <v>0.8019716585337805</v>
      </c>
      <c r="BO98" s="91">
        <f t="shared" si="1119"/>
        <v>0.80461125550536716</v>
      </c>
      <c r="BP98" s="91">
        <f t="shared" si="1119"/>
        <v>0.85978070439675636</v>
      </c>
      <c r="BQ98" s="91">
        <f t="shared" si="1119"/>
        <v>1.0588012379851077</v>
      </c>
      <c r="BR98" s="91">
        <f t="shared" si="1119"/>
        <v>1.1158532410056055</v>
      </c>
      <c r="BS98" s="91">
        <f t="shared" si="1119"/>
        <v>1.0463080252754877</v>
      </c>
      <c r="BT98" s="91">
        <f t="shared" si="1119"/>
        <v>0.94175622633237588</v>
      </c>
      <c r="BU98" s="91">
        <f t="shared" si="1119"/>
        <v>0.77017430856604441</v>
      </c>
      <c r="BV98" s="91">
        <f t="shared" si="1119"/>
        <v>0.77401279482179863</v>
      </c>
      <c r="BW98" s="91">
        <f t="shared" ref="BW98:BX98" si="1120">BW90/BW65</f>
        <v>0.9188044805128015</v>
      </c>
      <c r="BX98" s="91">
        <f t="shared" si="1120"/>
        <v>1.0187121537567974</v>
      </c>
      <c r="BY98" s="91">
        <f t="shared" ref="BY98" si="1121">BY90/BY65</f>
        <v>1.0313918211195303</v>
      </c>
      <c r="BZ98" s="85">
        <v>1</v>
      </c>
      <c r="CA98" s="85">
        <f t="shared" si="1101"/>
        <v>1</v>
      </c>
      <c r="CB98" s="85">
        <f t="shared" si="1102"/>
        <v>1</v>
      </c>
      <c r="CC98" s="85">
        <f t="shared" si="1103"/>
        <v>1</v>
      </c>
      <c r="CD98" s="85">
        <f t="shared" si="1104"/>
        <v>1</v>
      </c>
      <c r="CE98" s="85">
        <f t="shared" si="1105"/>
        <v>1</v>
      </c>
      <c r="CF98" s="85">
        <f t="shared" si="1106"/>
        <v>1</v>
      </c>
      <c r="CG98" s="85">
        <f t="shared" si="1107"/>
        <v>1</v>
      </c>
      <c r="CH98" s="85">
        <f t="shared" si="1108"/>
        <v>1</v>
      </c>
      <c r="CI98" s="85">
        <f t="shared" si="1109"/>
        <v>1</v>
      </c>
      <c r="CJ98" s="85">
        <f t="shared" si="1110"/>
        <v>1</v>
      </c>
      <c r="CK98" s="85">
        <f t="shared" si="1111"/>
        <v>1</v>
      </c>
      <c r="CL98" s="85">
        <f t="shared" si="1112"/>
        <v>1</v>
      </c>
      <c r="CM98" s="85">
        <f t="shared" si="1113"/>
        <v>1</v>
      </c>
      <c r="CN98" s="85">
        <f t="shared" si="1114"/>
        <v>1</v>
      </c>
      <c r="CO98" s="85">
        <f t="shared" si="1115"/>
        <v>1</v>
      </c>
      <c r="CS98" s="91">
        <v>1.0297834876930034</v>
      </c>
      <c r="CX98" s="91">
        <v>0.69899625405784838</v>
      </c>
    </row>
    <row r="99" spans="1:102" s="88" customFormat="1" x14ac:dyDescent="0.2"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26"/>
      <c r="AC99" s="26"/>
      <c r="AD99" s="26"/>
      <c r="AE99" s="26"/>
      <c r="AG99" s="57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</row>
    <row r="100" spans="1:102" s="88" customFormat="1" x14ac:dyDescent="0.2">
      <c r="A100" s="124" t="s">
        <v>365</v>
      </c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26"/>
      <c r="AC100" s="26"/>
      <c r="AD100" s="26"/>
      <c r="AE100" s="26"/>
      <c r="AG100" s="57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</row>
    <row r="101" spans="1:102" x14ac:dyDescent="0.2">
      <c r="A101" s="123" t="s">
        <v>366</v>
      </c>
      <c r="AA101" s="47"/>
    </row>
    <row r="102" spans="1:102" s="38" customFormat="1" x14ac:dyDescent="0.2">
      <c r="A102" s="38" t="s">
        <v>16</v>
      </c>
      <c r="B102" s="38">
        <f>+'Annual Raw'!C63</f>
        <v>577.86810000000003</v>
      </c>
      <c r="C102" s="38">
        <f>+'Annual Raw'!D63</f>
        <v>577.86810000000003</v>
      </c>
      <c r="D102" s="38">
        <f>+'Annual Raw'!E63</f>
        <v>410</v>
      </c>
      <c r="E102" s="38">
        <f>+'Annual Raw'!F63</f>
        <v>410</v>
      </c>
      <c r="F102" s="38">
        <f>+'Annual Raw'!G63</f>
        <v>410</v>
      </c>
      <c r="G102" s="38">
        <f>+'Annual Raw'!H63</f>
        <v>410</v>
      </c>
      <c r="H102" s="38">
        <f>+'Annual Raw'!I63</f>
        <v>410</v>
      </c>
      <c r="I102" s="38">
        <f>+'Annual Raw'!J63</f>
        <v>410</v>
      </c>
      <c r="J102" s="38">
        <f>+'Annual Raw'!K63</f>
        <v>410</v>
      </c>
      <c r="K102" s="38">
        <f>+'Annual Raw'!L63</f>
        <v>410</v>
      </c>
      <c r="L102" s="38">
        <f>+'Annual Raw'!M63</f>
        <v>443</v>
      </c>
      <c r="M102" s="38">
        <f>+'Annual Raw'!N63</f>
        <v>443</v>
      </c>
      <c r="N102" s="38">
        <f>+'Annual Raw'!O63</f>
        <v>443</v>
      </c>
      <c r="O102" s="38">
        <f>+'Annual Raw'!P63</f>
        <v>461.25880000000001</v>
      </c>
      <c r="P102" s="38">
        <f>+'Annual Raw'!Q63</f>
        <v>475.197</v>
      </c>
      <c r="Q102" s="38">
        <f>+'Annual Raw'!R63</f>
        <v>542.99099999999999</v>
      </c>
      <c r="R102" s="38">
        <f>+'Annual Raw'!S63</f>
        <v>597.29020000000003</v>
      </c>
      <c r="S102" s="38">
        <f>+'Annual Raw'!T63</f>
        <v>733.24480000000005</v>
      </c>
      <c r="T102" s="38">
        <f>+'Annual Raw'!U63</f>
        <v>753.24480000000005</v>
      </c>
      <c r="U102" s="38">
        <f>+'Annual Raw'!V63</f>
        <v>1030.2334000000001</v>
      </c>
      <c r="V102" s="38">
        <f>+'Annual Raw'!W63</f>
        <v>1646.7382</v>
      </c>
      <c r="W102" s="38">
        <f>+'Annual Raw'!X63</f>
        <v>1814.1303</v>
      </c>
      <c r="X102" s="38">
        <f>+'Annual Raw'!Y63</f>
        <v>1814.1303</v>
      </c>
      <c r="Y102" s="38">
        <f>+'Annual Raw'!Z63</f>
        <v>1814.1303</v>
      </c>
      <c r="Z102" s="38">
        <f>+'Annual Raw'!AA63</f>
        <v>1814.1303</v>
      </c>
      <c r="AA102" s="38">
        <f>+'Annual Raw'!AB63</f>
        <v>1814.1303</v>
      </c>
      <c r="AB102" s="39">
        <f>CC102</f>
        <v>1814.13</v>
      </c>
      <c r="AC102" s="39">
        <f>CG102</f>
        <v>1814.13</v>
      </c>
      <c r="AD102" s="39">
        <f>CK102</f>
        <v>1814.13</v>
      </c>
      <c r="AE102" s="39">
        <f>CO102</f>
        <v>1814.13</v>
      </c>
      <c r="AG102" s="60"/>
      <c r="AH102" s="38">
        <f>+'QTR Raw'!C54</f>
        <v>515.20000000000005</v>
      </c>
      <c r="AI102" s="38">
        <f>+'QTR Raw'!D54</f>
        <v>542.99</v>
      </c>
      <c r="AJ102" s="38">
        <f>+'QTR Raw'!E54</f>
        <v>542.99</v>
      </c>
      <c r="AK102" s="38">
        <f>+'QTR Raw'!F54</f>
        <v>542.99</v>
      </c>
      <c r="AL102" s="38">
        <f>+'QTR Raw'!G54</f>
        <v>542.99</v>
      </c>
      <c r="AM102" s="38">
        <f>+'QTR Raw'!H54</f>
        <v>542.99</v>
      </c>
      <c r="AN102" s="38">
        <f>+'QTR Raw'!I54</f>
        <v>542.99</v>
      </c>
      <c r="AO102" s="38">
        <f>+'QTR Raw'!J54</f>
        <v>597.29</v>
      </c>
      <c r="AP102" s="38">
        <f>+'QTR Raw'!K54</f>
        <v>597.29</v>
      </c>
      <c r="AQ102" s="38">
        <f>+'QTR Raw'!L54</f>
        <v>597.29</v>
      </c>
      <c r="AR102" s="38">
        <f>+'QTR Raw'!M54</f>
        <v>597.29</v>
      </c>
      <c r="AS102" s="38">
        <f>+'QTR Raw'!N54</f>
        <v>733.24</v>
      </c>
      <c r="AT102" s="38">
        <f>+'QTR Raw'!O54</f>
        <v>733.24</v>
      </c>
      <c r="AU102" s="38">
        <f>+'QTR Raw'!P54</f>
        <v>733.24</v>
      </c>
      <c r="AV102" s="38">
        <f>+'QTR Raw'!Q54</f>
        <v>733.24</v>
      </c>
      <c r="AW102" s="38">
        <f>+'QTR Raw'!R54</f>
        <v>753.24</v>
      </c>
      <c r="AX102" s="38">
        <f>+'QTR Raw'!S54</f>
        <v>753.24</v>
      </c>
      <c r="AY102" s="38">
        <f>+'QTR Raw'!T54</f>
        <v>753.24</v>
      </c>
      <c r="AZ102" s="38">
        <f>+'QTR Raw'!U54</f>
        <v>1030.23</v>
      </c>
      <c r="BA102" s="38">
        <f>+'QTR Raw'!V54</f>
        <v>1030.23</v>
      </c>
      <c r="BB102" s="38">
        <f>+'QTR Raw'!W54</f>
        <v>1453.5</v>
      </c>
      <c r="BC102" s="38">
        <f>+'QTR Raw'!X54</f>
        <v>1453.5</v>
      </c>
      <c r="BD102" s="38">
        <f>+'QTR Raw'!Y54</f>
        <v>1646.74</v>
      </c>
      <c r="BE102" s="38">
        <f>+'QTR Raw'!Z54</f>
        <v>1646.74</v>
      </c>
      <c r="BF102" s="38">
        <f>+'QTR Raw'!AA54</f>
        <v>1646.74</v>
      </c>
      <c r="BG102" s="38">
        <f>+'QTR Raw'!AB54</f>
        <v>1814.13</v>
      </c>
      <c r="BH102" s="38">
        <f>+'QTR Raw'!AC54</f>
        <v>1814.13</v>
      </c>
      <c r="BI102" s="38">
        <f>+'QTR Raw'!AD54</f>
        <v>1814.13</v>
      </c>
      <c r="BJ102" s="38">
        <f>+'QTR Raw'!AE54</f>
        <v>1814.13</v>
      </c>
      <c r="BK102" s="38">
        <f>+'QTR Raw'!AF54</f>
        <v>1814.13</v>
      </c>
      <c r="BL102" s="38">
        <f>+'QTR Raw'!AG54</f>
        <v>1814.13</v>
      </c>
      <c r="BM102" s="38">
        <f>+'QTR Raw'!AH54</f>
        <v>1814.13</v>
      </c>
      <c r="BN102" s="38">
        <f>+'QTR Raw'!AI54</f>
        <v>1814.13</v>
      </c>
      <c r="BO102" s="38">
        <f>+'QTR Raw'!AJ54</f>
        <v>1814.13</v>
      </c>
      <c r="BP102" s="38">
        <f>+'QTR Raw'!AK54</f>
        <v>1814.13</v>
      </c>
      <c r="BQ102" s="38">
        <f>+'QTR Raw'!AL54</f>
        <v>1814.13</v>
      </c>
      <c r="BR102" s="38">
        <f>+'QTR Raw'!AM54</f>
        <v>1814.13</v>
      </c>
      <c r="BS102" s="38">
        <f>+'QTR Raw'!AN54</f>
        <v>1814.13</v>
      </c>
      <c r="BT102" s="38">
        <f>+'QTR Raw'!AO54</f>
        <v>1814.13</v>
      </c>
      <c r="BU102" s="38">
        <f>+'QTR Raw'!AP54</f>
        <v>1814.13</v>
      </c>
      <c r="BV102" s="38">
        <f>+'QTR Raw'!AQ54</f>
        <v>1814.13</v>
      </c>
      <c r="BW102" s="38">
        <f>+'QTR Raw'!AR54</f>
        <v>1814.13</v>
      </c>
      <c r="BX102" s="38">
        <v>1814.13</v>
      </c>
      <c r="BY102" s="38">
        <f>+'QTR Raw'!AT54</f>
        <v>1814.13</v>
      </c>
      <c r="BZ102" s="39">
        <f t="shared" ref="BZ102" si="1122">BY102</f>
        <v>1814.13</v>
      </c>
      <c r="CA102" s="39">
        <f t="shared" ref="CA102" si="1123">BZ102</f>
        <v>1814.13</v>
      </c>
      <c r="CB102" s="39">
        <f t="shared" ref="CB102" si="1124">CA102</f>
        <v>1814.13</v>
      </c>
      <c r="CC102" s="39">
        <f t="shared" ref="CC102" si="1125">CB102</f>
        <v>1814.13</v>
      </c>
      <c r="CD102" s="39">
        <f t="shared" ref="CD102" si="1126">CC102</f>
        <v>1814.13</v>
      </c>
      <c r="CE102" s="39">
        <f t="shared" ref="CE102" si="1127">CD102</f>
        <v>1814.13</v>
      </c>
      <c r="CF102" s="39">
        <f t="shared" ref="CF102" si="1128">CE102</f>
        <v>1814.13</v>
      </c>
      <c r="CG102" s="39">
        <f t="shared" ref="CG102" si="1129">CF102</f>
        <v>1814.13</v>
      </c>
      <c r="CH102" s="39">
        <f t="shared" ref="CH102" si="1130">CG102</f>
        <v>1814.13</v>
      </c>
      <c r="CI102" s="39">
        <f t="shared" ref="CI102" si="1131">CH102</f>
        <v>1814.13</v>
      </c>
      <c r="CJ102" s="39">
        <f t="shared" ref="CJ102" si="1132">CI102</f>
        <v>1814.13</v>
      </c>
      <c r="CK102" s="39">
        <f t="shared" ref="CK102" si="1133">CJ102</f>
        <v>1814.13</v>
      </c>
      <c r="CL102" s="39">
        <f t="shared" ref="CL102" si="1134">CK102</f>
        <v>1814.13</v>
      </c>
      <c r="CM102" s="39">
        <f t="shared" ref="CM102" si="1135">CL102</f>
        <v>1814.13</v>
      </c>
      <c r="CN102" s="39">
        <f t="shared" ref="CN102" si="1136">CM102</f>
        <v>1814.13</v>
      </c>
      <c r="CO102" s="39">
        <f t="shared" ref="CO102" si="1137">CN102</f>
        <v>1814.13</v>
      </c>
      <c r="CS102" s="38">
        <v>1814.13</v>
      </c>
      <c r="CX102" s="38">
        <v>1814.1303</v>
      </c>
    </row>
    <row r="103" spans="1:102" s="38" customFormat="1" x14ac:dyDescent="0.2">
      <c r="A103" s="38" t="s">
        <v>18</v>
      </c>
      <c r="B103" s="38">
        <f>+'Annual Raw'!C65+'Annual Raw'!C64</f>
        <v>2236.5819000000001</v>
      </c>
      <c r="C103" s="38">
        <f>+'Annual Raw'!D65+'Annual Raw'!D64</f>
        <v>2893.6269000000002</v>
      </c>
      <c r="D103" s="38">
        <f>+'Annual Raw'!E65+'Annual Raw'!E64</f>
        <v>3738.8283000000001</v>
      </c>
      <c r="E103" s="38">
        <f>+'Annual Raw'!F65+'Annual Raw'!F64</f>
        <v>4841.643</v>
      </c>
      <c r="F103" s="38">
        <f>+'Annual Raw'!G65+'Annual Raw'!G64</f>
        <v>5698.9571999999998</v>
      </c>
      <c r="G103" s="38">
        <f>+'Annual Raw'!H65+'Annual Raw'!H64</f>
        <v>6722.2358000000004</v>
      </c>
      <c r="H103" s="38">
        <f>+'Annual Raw'!I65+'Annual Raw'!I64</f>
        <v>9943.9861000000001</v>
      </c>
      <c r="I103" s="38">
        <f>+'Annual Raw'!J65+'Annual Raw'!J64</f>
        <v>10090.4923</v>
      </c>
      <c r="J103" s="38">
        <f>+'Annual Raw'!K65+'Annual Raw'!K64</f>
        <v>11797.769200000001</v>
      </c>
      <c r="K103" s="38">
        <f>+'Annual Raw'!L65+'Annual Raw'!L64</f>
        <v>14261.7834</v>
      </c>
      <c r="L103" s="38">
        <f>+'Annual Raw'!M65+'Annual Raw'!M64</f>
        <v>19596.818800000001</v>
      </c>
      <c r="M103" s="38">
        <f>+'Annual Raw'!N65+'Annual Raw'!N64</f>
        <v>22246.955600000001</v>
      </c>
      <c r="N103" s="38">
        <f>+'Annual Raw'!O65+'Annual Raw'!O64</f>
        <v>24434.7889</v>
      </c>
      <c r="O103" s="38">
        <f>+'Annual Raw'!P65+'Annual Raw'!P64</f>
        <v>29158.8544</v>
      </c>
      <c r="P103" s="38">
        <f>+'Annual Raw'!Q65+'Annual Raw'!Q64</f>
        <v>31384.035500000002</v>
      </c>
      <c r="Q103" s="38">
        <f>+'Annual Raw'!R65+'Annual Raw'!R64</f>
        <v>31060.209500000001</v>
      </c>
      <c r="R103" s="38">
        <f>+'Annual Raw'!S65+'Annual Raw'!S64</f>
        <v>33088.247300000003</v>
      </c>
      <c r="S103" s="38">
        <f>+'Annual Raw'!T65+'Annual Raw'!T64</f>
        <v>34871.592100000002</v>
      </c>
      <c r="T103" s="38">
        <f>+'Annual Raw'!U65+'Annual Raw'!U64</f>
        <v>35423.987099999998</v>
      </c>
      <c r="U103" s="38">
        <f>+'Annual Raw'!V65+'Annual Raw'!V64</f>
        <v>38262.731200000002</v>
      </c>
      <c r="V103" s="38">
        <f>+'Annual Raw'!W65+'Annual Raw'!W64</f>
        <v>57238.193899999998</v>
      </c>
      <c r="W103" s="38">
        <f>+'Annual Raw'!X65+'Annual Raw'!X64</f>
        <v>64297.181299999997</v>
      </c>
      <c r="X103" s="38">
        <f>+'Annual Raw'!Y65+'Annual Raw'!Y64</f>
        <v>71793.049700000003</v>
      </c>
      <c r="Y103" s="38">
        <f>+'Annual Raw'!Z65+'Annual Raw'!Z64</f>
        <v>85140.460500000001</v>
      </c>
      <c r="Z103" s="38">
        <f>+'Annual Raw'!AA65+'Annual Raw'!AA64</f>
        <v>98085.976599999995</v>
      </c>
      <c r="AA103" s="38">
        <f>+'Annual Raw'!AB65+'Annual Raw'!AB64</f>
        <v>111568.48360000001</v>
      </c>
      <c r="AB103" s="39">
        <f>CC103</f>
        <v>130874.76814288927</v>
      </c>
      <c r="AC103" s="39">
        <f>CG103</f>
        <v>151823.82295004072</v>
      </c>
      <c r="AD103" s="39">
        <f>CK103</f>
        <v>173435.08666670334</v>
      </c>
      <c r="AE103" s="39">
        <f>CO103</f>
        <v>197150.0131078384</v>
      </c>
      <c r="AG103" s="60"/>
      <c r="AH103" s="38">
        <f>+'QTR Raw'!C56+'QTR Raw'!C55</f>
        <v>33377.589999999997</v>
      </c>
      <c r="AI103" s="38">
        <f>+'QTR Raw'!D56+'QTR Raw'!D55</f>
        <v>34937.14</v>
      </c>
      <c r="AJ103" s="38">
        <f>+'QTR Raw'!E56+'QTR Raw'!E55</f>
        <v>34989.230000000003</v>
      </c>
      <c r="AK103" s="38">
        <f>+'QTR Raw'!F56+'QTR Raw'!F55</f>
        <v>31060.21</v>
      </c>
      <c r="AL103" s="38">
        <f>+'QTR Raw'!G56+'QTR Raw'!G55</f>
        <v>31265.61</v>
      </c>
      <c r="AM103" s="38">
        <f>+'QTR Raw'!H56+'QTR Raw'!H55</f>
        <v>31573.82</v>
      </c>
      <c r="AN103" s="38">
        <f>+'QTR Raw'!I56+'QTR Raw'!I55</f>
        <v>31885.71</v>
      </c>
      <c r="AO103" s="38">
        <f>+'QTR Raw'!J56+'QTR Raw'!J55</f>
        <v>33088.25</v>
      </c>
      <c r="AP103" s="38">
        <f>+'QTR Raw'!K56+'QTR Raw'!K55</f>
        <v>33267.440000000002</v>
      </c>
      <c r="AQ103" s="38">
        <f>+'QTR Raw'!L56+'QTR Raw'!L55</f>
        <v>33531.050000000003</v>
      </c>
      <c r="AR103" s="38">
        <f>+'QTR Raw'!M56+'QTR Raw'!M55</f>
        <v>33622.93</v>
      </c>
      <c r="AS103" s="38">
        <f>+'QTR Raw'!N56+'QTR Raw'!N55</f>
        <v>34871.589999999997</v>
      </c>
      <c r="AT103" s="38">
        <f>+'QTR Raw'!O56+'QTR Raw'!O55</f>
        <v>35181.949999999997</v>
      </c>
      <c r="AU103" s="38">
        <f>+'QTR Raw'!P56+'QTR Raw'!P55</f>
        <v>35567.089999999997</v>
      </c>
      <c r="AV103" s="38">
        <f>+'QTR Raw'!Q56+'QTR Raw'!Q55</f>
        <v>35801.519999999997</v>
      </c>
      <c r="AW103" s="38">
        <f>+'QTR Raw'!R56+'QTR Raw'!R55</f>
        <v>35423.99</v>
      </c>
      <c r="AX103" s="38">
        <f>+'QTR Raw'!S56+'QTR Raw'!S55</f>
        <v>35852.400000000001</v>
      </c>
      <c r="AY103" s="38">
        <f>+'QTR Raw'!T56+'QTR Raw'!T55</f>
        <v>42831.74</v>
      </c>
      <c r="AZ103" s="38">
        <f>+'QTR Raw'!U56+'QTR Raw'!U55</f>
        <v>43030.97</v>
      </c>
      <c r="BA103" s="38">
        <f>+'QTR Raw'!V56+'QTR Raw'!V55</f>
        <v>38262.730000000003</v>
      </c>
      <c r="BB103" s="38">
        <f>+'QTR Raw'!W56+'QTR Raw'!W55</f>
        <v>51272.06</v>
      </c>
      <c r="BC103" s="38">
        <f>+'QTR Raw'!X56+'QTR Raw'!X55</f>
        <v>52994.400000000001</v>
      </c>
      <c r="BD103" s="38">
        <f>+'QTR Raw'!Y56+'QTR Raw'!Y55</f>
        <v>55094.559999999998</v>
      </c>
      <c r="BE103" s="38">
        <f>+'QTR Raw'!Z56+'QTR Raw'!Z55</f>
        <v>57238.19</v>
      </c>
      <c r="BF103" s="38">
        <f>+'QTR Raw'!AA56+'QTR Raw'!AA55</f>
        <v>58370.15</v>
      </c>
      <c r="BG103" s="38">
        <f>+'QTR Raw'!AB56+'QTR Raw'!AB55</f>
        <v>62082.59</v>
      </c>
      <c r="BH103" s="38">
        <f>+'QTR Raw'!AC56+'QTR Raw'!AC55</f>
        <v>63546.43</v>
      </c>
      <c r="BI103" s="38">
        <f>+'QTR Raw'!AD56+'QTR Raw'!AD55</f>
        <v>64297.18</v>
      </c>
      <c r="BJ103" s="38">
        <f>+'QTR Raw'!AE56+'QTR Raw'!AE55</f>
        <v>66276.649999999994</v>
      </c>
      <c r="BK103" s="38">
        <f>+'QTR Raw'!AF56+'QTR Raw'!AF55</f>
        <v>68722.5</v>
      </c>
      <c r="BL103" s="38">
        <f>+'QTR Raw'!AG56+'QTR Raw'!AG55</f>
        <v>70828.25</v>
      </c>
      <c r="BM103" s="38">
        <f>+'QTR Raw'!AH56+'QTR Raw'!AH55</f>
        <v>71793.05</v>
      </c>
      <c r="BN103" s="38">
        <f>+'QTR Raw'!AI56+'QTR Raw'!AI55</f>
        <v>75302.44</v>
      </c>
      <c r="BO103" s="38">
        <f>+'QTR Raw'!AJ56+'QTR Raw'!AJ55</f>
        <v>78909.710000000006</v>
      </c>
      <c r="BP103" s="38">
        <f>+'QTR Raw'!AK56+'QTR Raw'!AK55</f>
        <v>82565.679999999993</v>
      </c>
      <c r="BQ103" s="38">
        <f>+'QTR Raw'!AL56+'QTR Raw'!AL55</f>
        <v>85140.46</v>
      </c>
      <c r="BR103" s="38">
        <f>+'QTR Raw'!AM56+'QTR Raw'!AM55</f>
        <v>90851.4</v>
      </c>
      <c r="BS103" s="38">
        <f>+'QTR Raw'!AN56+'QTR Raw'!AN55</f>
        <v>95262.12</v>
      </c>
      <c r="BT103" s="38">
        <f>+'QTR Raw'!AO56+'QTR Raw'!AO55</f>
        <v>96407.73</v>
      </c>
      <c r="BU103" s="38">
        <f>+'QTR Raw'!AP56+'QTR Raw'!AP55</f>
        <v>98085.98</v>
      </c>
      <c r="BV103" s="38">
        <f>+'QTR Raw'!AQ56+'QTR Raw'!AQ55</f>
        <v>102640.63</v>
      </c>
      <c r="BW103" s="38">
        <f>+'QTR Raw'!AR56+'QTR Raw'!AR55</f>
        <v>106476.68</v>
      </c>
      <c r="BX103" s="38">
        <v>111425.09</v>
      </c>
      <c r="BY103" s="38">
        <f>+'QTR Raw'!AT56+'QTR Raw'!AT55</f>
        <v>111568.48</v>
      </c>
      <c r="BZ103" s="39">
        <f t="shared" ref="BZ103:CO103" si="1138">BY103+BZ51</f>
        <v>116416.21775036557</v>
      </c>
      <c r="CA103" s="39">
        <f t="shared" si="1138"/>
        <v>121350.98413832566</v>
      </c>
      <c r="CB103" s="39">
        <f t="shared" si="1138"/>
        <v>126157.31186716561</v>
      </c>
      <c r="CC103" s="39">
        <f t="shared" si="1138"/>
        <v>130874.76814288927</v>
      </c>
      <c r="CD103" s="39">
        <f t="shared" si="1138"/>
        <v>136054.39399251345</v>
      </c>
      <c r="CE103" s="39">
        <f t="shared" si="1138"/>
        <v>141367.2587895121</v>
      </c>
      <c r="CF103" s="39">
        <f t="shared" si="1138"/>
        <v>146564.800767029</v>
      </c>
      <c r="CG103" s="39">
        <f t="shared" si="1138"/>
        <v>151823.82295004072</v>
      </c>
      <c r="CH103" s="39">
        <f t="shared" si="1138"/>
        <v>157000.61326592695</v>
      </c>
      <c r="CI103" s="39">
        <f t="shared" si="1138"/>
        <v>162213.11439267852</v>
      </c>
      <c r="CJ103" s="39">
        <f t="shared" si="1138"/>
        <v>167797.39065709105</v>
      </c>
      <c r="CK103" s="39">
        <f t="shared" si="1138"/>
        <v>173435.08666670334</v>
      </c>
      <c r="CL103" s="39">
        <f t="shared" si="1138"/>
        <v>179086.4694667802</v>
      </c>
      <c r="CM103" s="39">
        <f t="shared" si="1138"/>
        <v>184911.56478414024</v>
      </c>
      <c r="CN103" s="39">
        <f t="shared" si="1138"/>
        <v>190991.26041097759</v>
      </c>
      <c r="CO103" s="39">
        <f t="shared" si="1138"/>
        <v>197150.0131078384</v>
      </c>
      <c r="CS103" s="38">
        <v>111201.59982954929</v>
      </c>
      <c r="CX103" s="38">
        <v>111568.48360000001</v>
      </c>
    </row>
    <row r="104" spans="1:102" s="43" customFormat="1" x14ac:dyDescent="0.2">
      <c r="A104" s="43" t="s">
        <v>19</v>
      </c>
      <c r="B104" s="43">
        <f t="shared" ref="B104:AB104" si="1139">SUM(B102:B103)</f>
        <v>2814.4500000000003</v>
      </c>
      <c r="C104" s="43">
        <f t="shared" si="1139"/>
        <v>3471.4950000000003</v>
      </c>
      <c r="D104" s="43">
        <f t="shared" si="1139"/>
        <v>4148.8283000000001</v>
      </c>
      <c r="E104" s="43">
        <f t="shared" si="1139"/>
        <v>5251.643</v>
      </c>
      <c r="F104" s="43">
        <f t="shared" si="1139"/>
        <v>6108.9571999999998</v>
      </c>
      <c r="G104" s="43">
        <f t="shared" si="1139"/>
        <v>7132.2358000000004</v>
      </c>
      <c r="H104" s="43">
        <f t="shared" si="1139"/>
        <v>10353.9861</v>
      </c>
      <c r="I104" s="43">
        <f t="shared" si="1139"/>
        <v>10500.4923</v>
      </c>
      <c r="J104" s="43">
        <f t="shared" si="1139"/>
        <v>12207.769200000001</v>
      </c>
      <c r="K104" s="43">
        <f t="shared" si="1139"/>
        <v>14671.7834</v>
      </c>
      <c r="L104" s="43">
        <f t="shared" si="1139"/>
        <v>20039.818800000001</v>
      </c>
      <c r="M104" s="43">
        <f t="shared" si="1139"/>
        <v>22689.955600000001</v>
      </c>
      <c r="N104" s="43">
        <f t="shared" si="1139"/>
        <v>24877.7889</v>
      </c>
      <c r="O104" s="43">
        <f t="shared" si="1139"/>
        <v>29620.1132</v>
      </c>
      <c r="P104" s="43">
        <f t="shared" si="1139"/>
        <v>31859.232500000002</v>
      </c>
      <c r="Q104" s="43">
        <f t="shared" si="1139"/>
        <v>31603.200499999999</v>
      </c>
      <c r="R104" s="43">
        <f t="shared" si="1139"/>
        <v>33685.537500000006</v>
      </c>
      <c r="S104" s="43">
        <f t="shared" si="1139"/>
        <v>35604.836900000002</v>
      </c>
      <c r="T104" s="43">
        <f t="shared" si="1139"/>
        <v>36177.231899999999</v>
      </c>
      <c r="U104" s="43">
        <f t="shared" si="1139"/>
        <v>39292.964599999999</v>
      </c>
      <c r="V104" s="43">
        <f t="shared" si="1139"/>
        <v>58884.932099999998</v>
      </c>
      <c r="W104" s="43">
        <f t="shared" si="1139"/>
        <v>66111.311600000001</v>
      </c>
      <c r="X104" s="43">
        <f t="shared" si="1139"/>
        <v>73607.180000000008</v>
      </c>
      <c r="Y104" s="43">
        <f t="shared" si="1139"/>
        <v>86954.590800000005</v>
      </c>
      <c r="Z104" s="43">
        <f t="shared" si="1139"/>
        <v>99900.106899999999</v>
      </c>
      <c r="AA104" s="43">
        <f t="shared" ref="AA104" si="1140">SUM(AA102:AA103)</f>
        <v>113382.61390000001</v>
      </c>
      <c r="AB104" s="44">
        <f t="shared" si="1139"/>
        <v>132688.89814288926</v>
      </c>
      <c r="AC104" s="44">
        <f t="shared" ref="AC104" si="1141">SUM(AC102:AC103)</f>
        <v>153637.95295004072</v>
      </c>
      <c r="AD104" s="44">
        <f t="shared" ref="AD104" si="1142">SUM(AD102:AD103)</f>
        <v>175249.21666670335</v>
      </c>
      <c r="AE104" s="44">
        <f t="shared" ref="AE104" si="1143">SUM(AE102:AE103)</f>
        <v>198964.1431078384</v>
      </c>
      <c r="AG104" s="62"/>
      <c r="AH104" s="43">
        <f t="shared" ref="AH104" si="1144">SUM(AH102:AH103)</f>
        <v>33892.789999999994</v>
      </c>
      <c r="AI104" s="43">
        <f t="shared" ref="AI104:BC104" si="1145">SUM(AI102:AI103)</f>
        <v>35480.129999999997</v>
      </c>
      <c r="AJ104" s="43">
        <f t="shared" si="1145"/>
        <v>35532.22</v>
      </c>
      <c r="AK104" s="43">
        <f t="shared" si="1145"/>
        <v>31603.200000000001</v>
      </c>
      <c r="AL104" s="43">
        <f t="shared" si="1145"/>
        <v>31808.600000000002</v>
      </c>
      <c r="AM104" s="43">
        <f t="shared" si="1145"/>
        <v>32116.81</v>
      </c>
      <c r="AN104" s="43">
        <f t="shared" si="1145"/>
        <v>32428.7</v>
      </c>
      <c r="AO104" s="43">
        <f t="shared" si="1145"/>
        <v>33685.54</v>
      </c>
      <c r="AP104" s="43">
        <f t="shared" si="1145"/>
        <v>33864.730000000003</v>
      </c>
      <c r="AQ104" s="43">
        <f t="shared" si="1145"/>
        <v>34128.340000000004</v>
      </c>
      <c r="AR104" s="43">
        <f t="shared" si="1145"/>
        <v>34220.22</v>
      </c>
      <c r="AS104" s="43">
        <f t="shared" si="1145"/>
        <v>35604.829999999994</v>
      </c>
      <c r="AT104" s="43">
        <f t="shared" ref="AT104:BB104" si="1146">SUM(AT102:AT103)</f>
        <v>35915.189999999995</v>
      </c>
      <c r="AU104" s="43">
        <f t="shared" si="1146"/>
        <v>36300.329999999994</v>
      </c>
      <c r="AV104" s="43">
        <f t="shared" si="1146"/>
        <v>36534.759999999995</v>
      </c>
      <c r="AW104" s="43">
        <f t="shared" si="1146"/>
        <v>36177.229999999996</v>
      </c>
      <c r="AX104" s="43">
        <f t="shared" si="1146"/>
        <v>36605.64</v>
      </c>
      <c r="AY104" s="43">
        <f t="shared" si="1146"/>
        <v>43584.979999999996</v>
      </c>
      <c r="AZ104" s="43">
        <f t="shared" si="1146"/>
        <v>44061.200000000004</v>
      </c>
      <c r="BA104" s="43">
        <f t="shared" si="1146"/>
        <v>39292.960000000006</v>
      </c>
      <c r="BB104" s="43">
        <f t="shared" si="1146"/>
        <v>52725.56</v>
      </c>
      <c r="BC104" s="43">
        <f t="shared" si="1145"/>
        <v>54447.9</v>
      </c>
      <c r="BD104" s="43">
        <f t="shared" ref="BD104:BV104" si="1147">SUM(BD102:BD103)</f>
        <v>56741.299999999996</v>
      </c>
      <c r="BE104" s="43">
        <f t="shared" si="1147"/>
        <v>58884.93</v>
      </c>
      <c r="BF104" s="43">
        <f t="shared" si="1147"/>
        <v>60016.89</v>
      </c>
      <c r="BG104" s="43">
        <f t="shared" si="1147"/>
        <v>63896.719999999994</v>
      </c>
      <c r="BH104" s="43">
        <f t="shared" si="1147"/>
        <v>65360.56</v>
      </c>
      <c r="BI104" s="43">
        <f t="shared" si="1147"/>
        <v>66111.31</v>
      </c>
      <c r="BJ104" s="43">
        <f t="shared" si="1147"/>
        <v>68090.78</v>
      </c>
      <c r="BK104" s="43">
        <f t="shared" si="1147"/>
        <v>70536.63</v>
      </c>
      <c r="BL104" s="43">
        <f t="shared" si="1147"/>
        <v>72642.38</v>
      </c>
      <c r="BM104" s="43">
        <f t="shared" si="1147"/>
        <v>73607.180000000008</v>
      </c>
      <c r="BN104" s="43">
        <f t="shared" si="1147"/>
        <v>77116.570000000007</v>
      </c>
      <c r="BO104" s="43">
        <f t="shared" si="1147"/>
        <v>80723.840000000011</v>
      </c>
      <c r="BP104" s="43">
        <f t="shared" si="1147"/>
        <v>84379.81</v>
      </c>
      <c r="BQ104" s="43">
        <f t="shared" si="1147"/>
        <v>86954.590000000011</v>
      </c>
      <c r="BR104" s="43">
        <f t="shared" si="1147"/>
        <v>92665.53</v>
      </c>
      <c r="BS104" s="43">
        <f t="shared" si="1147"/>
        <v>97076.25</v>
      </c>
      <c r="BT104" s="43">
        <f t="shared" si="1147"/>
        <v>98221.86</v>
      </c>
      <c r="BU104" s="43">
        <f t="shared" si="1147"/>
        <v>99900.11</v>
      </c>
      <c r="BV104" s="43">
        <f t="shared" si="1147"/>
        <v>104454.76000000001</v>
      </c>
      <c r="BW104" s="43">
        <f t="shared" ref="BW104:BX104" si="1148">SUM(BW102:BW103)</f>
        <v>108290.81</v>
      </c>
      <c r="BX104" s="43">
        <f t="shared" si="1148"/>
        <v>113239.22</v>
      </c>
      <c r="BY104" s="43">
        <f t="shared" ref="BY104" si="1149">SUM(BY102:BY103)</f>
        <v>113382.61</v>
      </c>
      <c r="BZ104" s="44">
        <f t="shared" ref="BZ104:CO104" si="1150">SUM(BZ102:BZ103)</f>
        <v>118230.34775036557</v>
      </c>
      <c r="CA104" s="44">
        <f t="shared" si="1150"/>
        <v>123165.11413832566</v>
      </c>
      <c r="CB104" s="44">
        <f t="shared" si="1150"/>
        <v>127971.44186716562</v>
      </c>
      <c r="CC104" s="44">
        <f t="shared" si="1150"/>
        <v>132688.89814288926</v>
      </c>
      <c r="CD104" s="44">
        <f t="shared" si="1150"/>
        <v>137868.52399251345</v>
      </c>
      <c r="CE104" s="44">
        <f t="shared" si="1150"/>
        <v>143181.3887895121</v>
      </c>
      <c r="CF104" s="44">
        <f t="shared" si="1150"/>
        <v>148378.930767029</v>
      </c>
      <c r="CG104" s="44">
        <f t="shared" si="1150"/>
        <v>153637.95295004072</v>
      </c>
      <c r="CH104" s="44">
        <f t="shared" si="1150"/>
        <v>158814.74326592695</v>
      </c>
      <c r="CI104" s="44">
        <f t="shared" si="1150"/>
        <v>164027.24439267852</v>
      </c>
      <c r="CJ104" s="44">
        <f t="shared" si="1150"/>
        <v>169611.52065709105</v>
      </c>
      <c r="CK104" s="44">
        <f t="shared" si="1150"/>
        <v>175249.21666670335</v>
      </c>
      <c r="CL104" s="44">
        <f t="shared" si="1150"/>
        <v>180900.5994667802</v>
      </c>
      <c r="CM104" s="44">
        <f t="shared" si="1150"/>
        <v>186725.69478414024</v>
      </c>
      <c r="CN104" s="44">
        <f t="shared" si="1150"/>
        <v>192805.39041097759</v>
      </c>
      <c r="CO104" s="44">
        <f t="shared" si="1150"/>
        <v>198964.1431078384</v>
      </c>
      <c r="CS104" s="43">
        <v>113015.72982954929</v>
      </c>
      <c r="CX104" s="43">
        <v>113382.61390000001</v>
      </c>
    </row>
    <row r="105" spans="1:102" s="38" customFormat="1" x14ac:dyDescent="0.2">
      <c r="AB105" s="39"/>
      <c r="AC105" s="39"/>
      <c r="AD105" s="39"/>
      <c r="AE105" s="39"/>
      <c r="AG105" s="60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</row>
    <row r="106" spans="1:102" s="38" customFormat="1" x14ac:dyDescent="0.2">
      <c r="A106" s="38" t="s">
        <v>5</v>
      </c>
      <c r="B106" s="38">
        <f>+'Annual Raw'!C66</f>
        <v>0</v>
      </c>
      <c r="C106" s="38">
        <f>+'Annual Raw'!D66</f>
        <v>0</v>
      </c>
      <c r="D106" s="38">
        <f>+'Annual Raw'!E66</f>
        <v>0</v>
      </c>
      <c r="E106" s="38">
        <f>+'Annual Raw'!F66</f>
        <v>0</v>
      </c>
      <c r="F106" s="38">
        <f>+'Annual Raw'!G66</f>
        <v>0</v>
      </c>
      <c r="G106" s="38">
        <f>+'Annual Raw'!H66</f>
        <v>0</v>
      </c>
      <c r="H106" s="38">
        <f>+'Annual Raw'!I66</f>
        <v>0</v>
      </c>
      <c r="I106" s="38">
        <f>+'Annual Raw'!J66</f>
        <v>0</v>
      </c>
      <c r="J106" s="38">
        <f>+'Annual Raw'!K66</f>
        <v>0</v>
      </c>
      <c r="K106" s="38">
        <f>+'Annual Raw'!L66</f>
        <v>0</v>
      </c>
      <c r="L106" s="38">
        <f>+'Annual Raw'!M66</f>
        <v>0</v>
      </c>
      <c r="M106" s="38">
        <f>+'Annual Raw'!N66</f>
        <v>0</v>
      </c>
      <c r="N106" s="38">
        <f>+'Annual Raw'!O66</f>
        <v>0</v>
      </c>
      <c r="O106" s="38">
        <f>+'Annual Raw'!P66</f>
        <v>0</v>
      </c>
      <c r="P106" s="38">
        <f>+'Annual Raw'!Q66</f>
        <v>0</v>
      </c>
      <c r="Q106" s="38">
        <f>+'Annual Raw'!R66</f>
        <v>0</v>
      </c>
      <c r="R106" s="38">
        <f>+'Annual Raw'!S66</f>
        <v>0</v>
      </c>
      <c r="S106" s="38">
        <f>+'Annual Raw'!T66</f>
        <v>0</v>
      </c>
      <c r="T106" s="38">
        <f>+'Annual Raw'!U66</f>
        <v>0</v>
      </c>
      <c r="U106" s="38">
        <f>+'Annual Raw'!V66</f>
        <v>0</v>
      </c>
      <c r="V106" s="38">
        <f>+'Annual Raw'!W66</f>
        <v>0</v>
      </c>
      <c r="W106" s="38">
        <f>+'Annual Raw'!X66</f>
        <v>0</v>
      </c>
      <c r="X106" s="38">
        <f>+'Annual Raw'!Y66</f>
        <v>0</v>
      </c>
      <c r="Y106" s="38">
        <f>+'Annual Raw'!Z66</f>
        <v>0</v>
      </c>
      <c r="Z106" s="38">
        <f>+'Annual Raw'!AA66</f>
        <v>0</v>
      </c>
      <c r="AA106" s="38">
        <f>+'Annual Raw'!AB66</f>
        <v>0</v>
      </c>
      <c r="AB106" s="39">
        <f>CC106</f>
        <v>0</v>
      </c>
      <c r="AC106" s="39">
        <f>CG106</f>
        <v>0</v>
      </c>
      <c r="AD106" s="39">
        <f>CK106</f>
        <v>0</v>
      </c>
      <c r="AE106" s="39">
        <f>CO106</f>
        <v>0</v>
      </c>
      <c r="AG106" s="60"/>
      <c r="AH106" s="38">
        <f>+'QTR Raw'!C57</f>
        <v>0</v>
      </c>
      <c r="AI106" s="38">
        <f>+'QTR Raw'!D57</f>
        <v>0</v>
      </c>
      <c r="AJ106" s="38">
        <f>+'QTR Raw'!E57</f>
        <v>0</v>
      </c>
      <c r="AK106" s="38">
        <f>+'QTR Raw'!F57</f>
        <v>0</v>
      </c>
      <c r="AL106" s="38">
        <f>+'QTR Raw'!G57</f>
        <v>0</v>
      </c>
      <c r="AM106" s="38">
        <f>+'QTR Raw'!H57</f>
        <v>0</v>
      </c>
      <c r="AN106" s="38">
        <f>+'QTR Raw'!I57</f>
        <v>0</v>
      </c>
      <c r="AO106" s="38">
        <f>+'QTR Raw'!J57</f>
        <v>0</v>
      </c>
      <c r="AP106" s="38">
        <f>+'QTR Raw'!K57</f>
        <v>0</v>
      </c>
      <c r="AQ106" s="38">
        <f>+'QTR Raw'!L57</f>
        <v>0</v>
      </c>
      <c r="AR106" s="38">
        <f>+'QTR Raw'!M57</f>
        <v>0</v>
      </c>
      <c r="AS106" s="38">
        <f>+'QTR Raw'!N57</f>
        <v>0</v>
      </c>
      <c r="AT106" s="38">
        <f>+'QTR Raw'!O57</f>
        <v>0</v>
      </c>
      <c r="AU106" s="38">
        <f>+'QTR Raw'!P57</f>
        <v>0</v>
      </c>
      <c r="AV106" s="38">
        <f>+'QTR Raw'!Q57</f>
        <v>0</v>
      </c>
      <c r="AW106" s="38">
        <f>+'QTR Raw'!R57</f>
        <v>0</v>
      </c>
      <c r="AX106" s="38">
        <f>+'QTR Raw'!S57</f>
        <v>0</v>
      </c>
      <c r="AY106" s="38">
        <f>+'QTR Raw'!T57</f>
        <v>0</v>
      </c>
      <c r="AZ106" s="38">
        <f>+'QTR Raw'!U57</f>
        <v>0</v>
      </c>
      <c r="BA106" s="38">
        <f>+'QTR Raw'!V57</f>
        <v>0</v>
      </c>
      <c r="BB106" s="38">
        <f>+'QTR Raw'!W57</f>
        <v>0</v>
      </c>
      <c r="BC106" s="38">
        <f>+'QTR Raw'!X57</f>
        <v>0</v>
      </c>
      <c r="BD106" s="38">
        <f>+'QTR Raw'!Y57</f>
        <v>0</v>
      </c>
      <c r="BE106" s="38">
        <f>+'QTR Raw'!Z57</f>
        <v>0</v>
      </c>
      <c r="BF106" s="38">
        <f>+'QTR Raw'!AA57</f>
        <v>0</v>
      </c>
      <c r="BG106" s="38">
        <f>+'QTR Raw'!AB57</f>
        <v>0</v>
      </c>
      <c r="BH106" s="38">
        <f>+'QTR Raw'!AC57</f>
        <v>0</v>
      </c>
      <c r="BI106" s="38">
        <f>+'QTR Raw'!AD57</f>
        <v>0</v>
      </c>
      <c r="BJ106" s="38">
        <f>+'QTR Raw'!AE57</f>
        <v>0</v>
      </c>
      <c r="BK106" s="38">
        <f>+'QTR Raw'!AF57</f>
        <v>0</v>
      </c>
      <c r="BL106" s="38">
        <f>+'QTR Raw'!AG57</f>
        <v>0</v>
      </c>
      <c r="BM106" s="38">
        <f>+'QTR Raw'!AH57</f>
        <v>0</v>
      </c>
      <c r="BN106" s="38">
        <f>+'QTR Raw'!AI57</f>
        <v>0</v>
      </c>
      <c r="BO106" s="38">
        <f>+'QTR Raw'!AJ57</f>
        <v>0</v>
      </c>
      <c r="BP106" s="38">
        <f>+'QTR Raw'!AK57</f>
        <v>0</v>
      </c>
      <c r="BQ106" s="38">
        <f>+'QTR Raw'!AL57</f>
        <v>0</v>
      </c>
      <c r="BR106" s="38">
        <f>+'QTR Raw'!AM57</f>
        <v>0</v>
      </c>
      <c r="BS106" s="38">
        <f>+'QTR Raw'!AN57</f>
        <v>0</v>
      </c>
      <c r="BT106" s="38">
        <f>+'QTR Raw'!AO57</f>
        <v>0</v>
      </c>
      <c r="BU106" s="38">
        <f>+'QTR Raw'!AP57</f>
        <v>0</v>
      </c>
      <c r="BV106" s="38">
        <f>+'QTR Raw'!AQ57</f>
        <v>0</v>
      </c>
      <c r="BW106" s="38">
        <f>+'QTR Raw'!AR57</f>
        <v>0</v>
      </c>
      <c r="BX106" s="38">
        <f t="shared" ref="BX106" si="1151">BW106</f>
        <v>0</v>
      </c>
      <c r="BY106" s="38">
        <f>+'QTR Raw'!AT57</f>
        <v>0</v>
      </c>
      <c r="BZ106" s="39">
        <f t="shared" ref="BZ106" si="1152">BY106</f>
        <v>0</v>
      </c>
      <c r="CA106" s="39">
        <f t="shared" ref="CA106" si="1153">BZ106</f>
        <v>0</v>
      </c>
      <c r="CB106" s="39">
        <f t="shared" ref="CB106" si="1154">CA106</f>
        <v>0</v>
      </c>
      <c r="CC106" s="39">
        <f t="shared" ref="CC106" si="1155">CB106</f>
        <v>0</v>
      </c>
      <c r="CD106" s="39">
        <f t="shared" ref="CD106" si="1156">CC106</f>
        <v>0</v>
      </c>
      <c r="CE106" s="39">
        <f t="shared" ref="CE106" si="1157">CD106</f>
        <v>0</v>
      </c>
      <c r="CF106" s="39">
        <f t="shared" ref="CF106" si="1158">CE106</f>
        <v>0</v>
      </c>
      <c r="CG106" s="39">
        <f t="shared" ref="CG106" si="1159">CF106</f>
        <v>0</v>
      </c>
      <c r="CH106" s="39">
        <f t="shared" ref="CH106" si="1160">CG106</f>
        <v>0</v>
      </c>
      <c r="CI106" s="39">
        <f t="shared" ref="CI106" si="1161">CH106</f>
        <v>0</v>
      </c>
      <c r="CJ106" s="39">
        <f t="shared" ref="CJ106" si="1162">CI106</f>
        <v>0</v>
      </c>
      <c r="CK106" s="39">
        <f t="shared" ref="CK106" si="1163">CJ106</f>
        <v>0</v>
      </c>
      <c r="CL106" s="39">
        <f t="shared" ref="CL106" si="1164">CK106</f>
        <v>0</v>
      </c>
      <c r="CM106" s="39">
        <f t="shared" ref="CM106" si="1165">CL106</f>
        <v>0</v>
      </c>
      <c r="CN106" s="39">
        <f t="shared" ref="CN106" si="1166">CM106</f>
        <v>0</v>
      </c>
      <c r="CO106" s="39">
        <f t="shared" ref="CO106" si="1167">CN106</f>
        <v>0</v>
      </c>
      <c r="CS106" s="38">
        <v>0</v>
      </c>
      <c r="CX106" s="38">
        <v>0</v>
      </c>
    </row>
    <row r="107" spans="1:102" s="38" customFormat="1" x14ac:dyDescent="0.2">
      <c r="AB107" s="39"/>
      <c r="AC107" s="39"/>
      <c r="AD107" s="39"/>
      <c r="AE107" s="39"/>
      <c r="AG107" s="60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</row>
    <row r="108" spans="1:102" s="38" customFormat="1" x14ac:dyDescent="0.2">
      <c r="A108" s="38" t="s">
        <v>120</v>
      </c>
      <c r="B108" s="38">
        <f>+'Annual Raw'!C67</f>
        <v>59069.528400000003</v>
      </c>
      <c r="C108" s="38">
        <f>+'Annual Raw'!D67</f>
        <v>64030.009400000003</v>
      </c>
      <c r="D108" s="38">
        <f>+'Annual Raw'!E67</f>
        <v>72094.822499999995</v>
      </c>
      <c r="E108" s="38">
        <f>+'Annual Raw'!F67</f>
        <v>86344.556500000006</v>
      </c>
      <c r="F108" s="38">
        <f>+'Annual Raw'!G67</f>
        <v>96795.918600000005</v>
      </c>
      <c r="G108" s="38">
        <f>+'Annual Raw'!H67</f>
        <v>116803.2319</v>
      </c>
      <c r="H108" s="38">
        <f>+'Annual Raw'!I67</f>
        <v>142381.45189999999</v>
      </c>
      <c r="I108" s="38">
        <f>+'Annual Raw'!J67</f>
        <v>154072.4222</v>
      </c>
      <c r="J108" s="38">
        <f>+'Annual Raw'!K67</f>
        <v>186892.5073</v>
      </c>
      <c r="K108" s="38">
        <f>+'Annual Raw'!L67</f>
        <v>234651.44320000001</v>
      </c>
      <c r="L108" s="38">
        <f>+'Annual Raw'!M67</f>
        <v>293436.64159999997</v>
      </c>
      <c r="M108" s="38">
        <f>+'Annual Raw'!N67</f>
        <v>327053.72710000002</v>
      </c>
      <c r="N108" s="38">
        <f>+'Annual Raw'!O67</f>
        <v>355855.99129999999</v>
      </c>
      <c r="O108" s="38">
        <f>+'Annual Raw'!P67</f>
        <v>420722.81819999998</v>
      </c>
      <c r="P108" s="38">
        <f>+'Annual Raw'!Q67</f>
        <v>473840.10310000001</v>
      </c>
      <c r="Q108" s="38">
        <f>+'Annual Raw'!R67</f>
        <v>479791.56209999998</v>
      </c>
      <c r="R108" s="38">
        <f>+'Annual Raw'!S67</f>
        <v>495275.24219999998</v>
      </c>
      <c r="S108" s="38">
        <f>+'Annual Raw'!T67</f>
        <v>524771.86029999994</v>
      </c>
      <c r="T108" s="38">
        <f>+'Annual Raw'!U67</f>
        <v>599033.27480000001</v>
      </c>
      <c r="U108" s="38">
        <f>+'Annual Raw'!V67</f>
        <v>625351.17370000004</v>
      </c>
      <c r="V108" s="38">
        <f>+'Annual Raw'!W67</f>
        <v>1010874.5827</v>
      </c>
      <c r="W108" s="38">
        <f>+'Annual Raw'!X67</f>
        <v>1086409.2541</v>
      </c>
      <c r="X108" s="38">
        <f>+'Annual Raw'!Y67</f>
        <v>1179218.6066999999</v>
      </c>
      <c r="Y108" s="38">
        <f>+'Annual Raw'!Z67</f>
        <v>1312366.6126999999</v>
      </c>
      <c r="Z108" s="38">
        <f>+'Annual Raw'!AA67</f>
        <v>1429862.1765000001</v>
      </c>
      <c r="AA108" s="38">
        <f>+'Annual Raw'!AB67</f>
        <v>1568678.1484000001</v>
      </c>
      <c r="AB108" s="39">
        <f>CC108</f>
        <v>1717031.3351993226</v>
      </c>
      <c r="AC108" s="39">
        <f>CG108</f>
        <v>1887785.2128023978</v>
      </c>
      <c r="AD108" s="39">
        <f>CK108</f>
        <v>2076775.4212624978</v>
      </c>
      <c r="AE108" s="39">
        <f>CO108</f>
        <v>2284830.043591389</v>
      </c>
      <c r="AG108" s="60"/>
      <c r="AH108" s="38">
        <f>+'QTR Raw'!C58</f>
        <v>471876.73</v>
      </c>
      <c r="AI108" s="38">
        <f>+'QTR Raw'!D58</f>
        <v>485205.52</v>
      </c>
      <c r="AJ108" s="38">
        <f>+'QTR Raw'!E58</f>
        <v>490598.87</v>
      </c>
      <c r="AK108" s="38">
        <f>+'QTR Raw'!F58</f>
        <v>479791.56</v>
      </c>
      <c r="AL108" s="38">
        <f>+'QTR Raw'!G58</f>
        <v>465314.16</v>
      </c>
      <c r="AM108" s="38">
        <f>+'QTR Raw'!H58</f>
        <v>484321.25</v>
      </c>
      <c r="AN108" s="38">
        <f>+'QTR Raw'!I58</f>
        <v>510327.47</v>
      </c>
      <c r="AO108" s="38">
        <f>+'QTR Raw'!J58</f>
        <v>495275.24</v>
      </c>
      <c r="AP108" s="38">
        <f>+'QTR Raw'!K58</f>
        <v>485905.22</v>
      </c>
      <c r="AQ108" s="38">
        <f>+'QTR Raw'!L58</f>
        <v>496439.79</v>
      </c>
      <c r="AR108" s="38">
        <f>+'QTR Raw'!M58</f>
        <v>503887.8</v>
      </c>
      <c r="AS108" s="38">
        <f>+'QTR Raw'!N58</f>
        <v>524771.86</v>
      </c>
      <c r="AT108" s="38">
        <f>+'QTR Raw'!O58</f>
        <v>533273.68000000005</v>
      </c>
      <c r="AU108" s="38">
        <f>+'QTR Raw'!P58</f>
        <v>551926.03</v>
      </c>
      <c r="AV108" s="38">
        <f>+'QTR Raw'!Q58</f>
        <v>575524.74</v>
      </c>
      <c r="AW108" s="38">
        <f>+'QTR Raw'!R58</f>
        <v>599033.28</v>
      </c>
      <c r="AX108" s="38">
        <f>+'QTR Raw'!S58</f>
        <v>610673.79</v>
      </c>
      <c r="AY108" s="38">
        <f>+'QTR Raw'!T58</f>
        <v>609436.48</v>
      </c>
      <c r="AZ108" s="38">
        <f>+'QTR Raw'!U58</f>
        <v>625240.4</v>
      </c>
      <c r="BA108" s="38">
        <f>+'QTR Raw'!V58</f>
        <v>625351.18000000005</v>
      </c>
      <c r="BB108" s="38">
        <f>+'QTR Raw'!W58</f>
        <v>909569.56</v>
      </c>
      <c r="BC108" s="38">
        <f>+'QTR Raw'!X58</f>
        <v>948767.14</v>
      </c>
      <c r="BD108" s="38">
        <f>+'QTR Raw'!Y58</f>
        <v>973021.01</v>
      </c>
      <c r="BE108" s="38">
        <f>+'QTR Raw'!Z58</f>
        <v>1010874.58</v>
      </c>
      <c r="BF108" s="38">
        <f>+'QTR Raw'!AA58</f>
        <v>1021836.92</v>
      </c>
      <c r="BG108" s="38">
        <f>+'QTR Raw'!AB58</f>
        <v>1032536.56</v>
      </c>
      <c r="BH108" s="38">
        <f>+'QTR Raw'!AC58</f>
        <v>1043350.65</v>
      </c>
      <c r="BI108" s="38">
        <f>+'QTR Raw'!AD58</f>
        <v>1086409.25</v>
      </c>
      <c r="BJ108" s="38">
        <f>+'QTR Raw'!AE58</f>
        <v>1118121.73</v>
      </c>
      <c r="BK108" s="38">
        <f>+'QTR Raw'!AF58</f>
        <v>1133964.1599999999</v>
      </c>
      <c r="BL108" s="38">
        <f>+'QTR Raw'!AG58</f>
        <v>1163470.21</v>
      </c>
      <c r="BM108" s="38">
        <f>+'QTR Raw'!AH58</f>
        <v>1179218.6100000001</v>
      </c>
      <c r="BN108" s="38">
        <f>+'QTR Raw'!AI58</f>
        <v>1192469.94</v>
      </c>
      <c r="BO108" s="38">
        <f>+'QTR Raw'!AJ58</f>
        <v>1232215.06</v>
      </c>
      <c r="BP108" s="38">
        <f>+'QTR Raw'!AK58</f>
        <v>1262930.6100000001</v>
      </c>
      <c r="BQ108" s="38">
        <f>+'QTR Raw'!AL58</f>
        <v>1312366.6100000001</v>
      </c>
      <c r="BR108" s="38">
        <f>+'QTR Raw'!AM58</f>
        <v>1335166.8799999999</v>
      </c>
      <c r="BS108" s="38">
        <f>+'QTR Raw'!AN58</f>
        <v>1347346.65</v>
      </c>
      <c r="BT108" s="38">
        <f>+'QTR Raw'!AO58</f>
        <v>1346903.68</v>
      </c>
      <c r="BU108" s="38">
        <f>+'QTR Raw'!AP58</f>
        <v>1429862.18</v>
      </c>
      <c r="BV108" s="38">
        <f>+'QTR Raw'!AQ58</f>
        <v>1467655.32</v>
      </c>
      <c r="BW108" s="38">
        <f>+'QTR Raw'!AR58</f>
        <v>1527921.89</v>
      </c>
      <c r="BX108" s="38">
        <v>1521268.31</v>
      </c>
      <c r="BY108" s="38">
        <f>+'QTR Raw'!AT58</f>
        <v>1568678.15</v>
      </c>
      <c r="BZ108" s="39">
        <f t="shared" ref="BZ108:CO108" si="1168">+BV108+(BV108*BZ129)</f>
        <v>1622863.0697711546</v>
      </c>
      <c r="CA108" s="39">
        <f t="shared" si="1168"/>
        <v>1691795.0433638778</v>
      </c>
      <c r="CB108" s="39">
        <f t="shared" si="1168"/>
        <v>1675061.0612201546</v>
      </c>
      <c r="CC108" s="39">
        <f t="shared" si="1168"/>
        <v>1717031.3351993226</v>
      </c>
      <c r="CD108" s="39">
        <f t="shared" si="1168"/>
        <v>1788667.6125191448</v>
      </c>
      <c r="CE108" s="39">
        <f t="shared" si="1168"/>
        <v>1863126.2636289545</v>
      </c>
      <c r="CF108" s="39">
        <f t="shared" si="1168"/>
        <v>1842193.1924402318</v>
      </c>
      <c r="CG108" s="39">
        <f t="shared" si="1168"/>
        <v>1887785.2128023978</v>
      </c>
      <c r="CH108" s="39">
        <f t="shared" si="1168"/>
        <v>1968725.4766930125</v>
      </c>
      <c r="CI108" s="39">
        <f t="shared" si="1168"/>
        <v>2049979.9709495869</v>
      </c>
      <c r="CJ108" s="39">
        <f t="shared" si="1168"/>
        <v>2026495.5136720769</v>
      </c>
      <c r="CK108" s="39">
        <f t="shared" si="1168"/>
        <v>2076775.4212624978</v>
      </c>
      <c r="CL108" s="39">
        <f t="shared" si="1168"/>
        <v>2166146.0797311477</v>
      </c>
      <c r="CM108" s="39">
        <f t="shared" si="1168"/>
        <v>2255350.033098924</v>
      </c>
      <c r="CN108" s="39">
        <f t="shared" si="1168"/>
        <v>2229457.6869266788</v>
      </c>
      <c r="CO108" s="39">
        <f t="shared" si="1168"/>
        <v>2284830.043591389</v>
      </c>
      <c r="CS108" s="38">
        <v>1515903.7393711673</v>
      </c>
      <c r="CX108" s="38">
        <v>1568678.1484000001</v>
      </c>
    </row>
    <row r="109" spans="1:102" s="38" customFormat="1" x14ac:dyDescent="0.2">
      <c r="A109" s="38" t="s">
        <v>126</v>
      </c>
      <c r="B109" s="38">
        <f>+'Annual Raw'!C68</f>
        <v>1547.8468</v>
      </c>
      <c r="C109" s="38">
        <f>+'Annual Raw'!D68</f>
        <v>267.39839999999998</v>
      </c>
      <c r="D109" s="38">
        <f>+'Annual Raw'!E68</f>
        <v>93.822299999999998</v>
      </c>
      <c r="E109" s="38">
        <f>+'Annual Raw'!F68</f>
        <v>754.89700000000005</v>
      </c>
      <c r="F109" s="38">
        <f>+'Annual Raw'!G68</f>
        <v>114.16419999999999</v>
      </c>
      <c r="G109" s="38">
        <f>+'Annual Raw'!H68</f>
        <v>25.824000000000002</v>
      </c>
      <c r="H109" s="38">
        <f>+'Annual Raw'!I68</f>
        <v>1574.3516999999999</v>
      </c>
      <c r="I109" s="38">
        <f>+'Annual Raw'!J68</f>
        <v>2517.2321999999999</v>
      </c>
      <c r="J109" s="38">
        <f>+'Annual Raw'!K68</f>
        <v>14000.9498</v>
      </c>
      <c r="K109" s="38">
        <f>+'Annual Raw'!L68</f>
        <v>8440.5573000000004</v>
      </c>
      <c r="L109" s="38">
        <f>+'Annual Raw'!M68</f>
        <v>14261.6458</v>
      </c>
      <c r="M109" s="38">
        <f>+'Annual Raw'!N68</f>
        <v>15525.391600000001</v>
      </c>
      <c r="N109" s="38">
        <f>+'Annual Raw'!O68</f>
        <v>20283.373800000001</v>
      </c>
      <c r="O109" s="38">
        <f>+'Annual Raw'!P68</f>
        <v>27230.636600000002</v>
      </c>
      <c r="P109" s="38">
        <f>+'Annual Raw'!Q68</f>
        <v>25671.567500000001</v>
      </c>
      <c r="Q109" s="38">
        <f>+'Annual Raw'!R68</f>
        <v>26873.3164</v>
      </c>
      <c r="R109" s="38">
        <f>+'Annual Raw'!S68</f>
        <v>39503.559000000001</v>
      </c>
      <c r="S109" s="38">
        <f>+'Annual Raw'!T68</f>
        <v>38808.511700000003</v>
      </c>
      <c r="T109" s="38">
        <f>+'Annual Raw'!U68</f>
        <v>40992.294399999999</v>
      </c>
      <c r="U109" s="38">
        <f>+'Annual Raw'!V68</f>
        <v>42761.767200000002</v>
      </c>
      <c r="V109" s="38">
        <f>+'Annual Raw'!W68</f>
        <v>49983.560599999997</v>
      </c>
      <c r="W109" s="38">
        <f>+'Annual Raw'!X68</f>
        <v>46284.957600000002</v>
      </c>
      <c r="X109" s="38">
        <f>+'Annual Raw'!Y68</f>
        <v>58089.789100000002</v>
      </c>
      <c r="Y109" s="38">
        <f>+'Annual Raw'!Z68</f>
        <v>57592.277300000002</v>
      </c>
      <c r="Z109" s="38">
        <f>+'Annual Raw'!AA68</f>
        <v>116686.11810000001</v>
      </c>
      <c r="AA109" s="38">
        <f>+'Annual Raw'!AB68</f>
        <v>155287.67970000001</v>
      </c>
      <c r="AB109" s="39">
        <f>CC109</f>
        <v>155287.67999999999</v>
      </c>
      <c r="AC109" s="39">
        <f>CG109</f>
        <v>155287.67999999999</v>
      </c>
      <c r="AD109" s="39">
        <f>CK109</f>
        <v>155287.67999999999</v>
      </c>
      <c r="AE109" s="39">
        <f>CO109</f>
        <v>155287.67999999999</v>
      </c>
      <c r="AG109" s="60"/>
      <c r="AH109" s="38">
        <f>+'QTR Raw'!C63</f>
        <v>23904.81</v>
      </c>
      <c r="AI109" s="38">
        <f>+'QTR Raw'!D63</f>
        <v>24164.87</v>
      </c>
      <c r="AJ109" s="38">
        <f>+'QTR Raw'!E63</f>
        <v>25359.96</v>
      </c>
      <c r="AK109" s="38">
        <f>+'QTR Raw'!F63</f>
        <v>26873.32</v>
      </c>
      <c r="AL109" s="38">
        <f>+'QTR Raw'!G63</f>
        <v>28544.86</v>
      </c>
      <c r="AM109" s="38">
        <f>+'QTR Raw'!H63</f>
        <v>25496.22</v>
      </c>
      <c r="AN109" s="38">
        <f>+'QTR Raw'!I63</f>
        <v>31311.61</v>
      </c>
      <c r="AO109" s="38">
        <f>+'QTR Raw'!J63</f>
        <v>39503.56</v>
      </c>
      <c r="AP109" s="38">
        <f>+'QTR Raw'!K63</f>
        <v>43965.85</v>
      </c>
      <c r="AQ109" s="38">
        <f>+'QTR Raw'!L63</f>
        <v>30291.1</v>
      </c>
      <c r="AR109" s="38">
        <f>+'QTR Raw'!M63</f>
        <v>47137.97</v>
      </c>
      <c r="AS109" s="38">
        <f>+'QTR Raw'!N63</f>
        <v>38808.51</v>
      </c>
      <c r="AT109" s="38">
        <f>+'QTR Raw'!O63</f>
        <v>34513.43</v>
      </c>
      <c r="AU109" s="38">
        <f>+'QTR Raw'!P63</f>
        <v>49289.74</v>
      </c>
      <c r="AV109" s="38">
        <f>+'QTR Raw'!Q63</f>
        <v>41906.75</v>
      </c>
      <c r="AW109" s="38">
        <f>+'QTR Raw'!R63</f>
        <v>40992.29</v>
      </c>
      <c r="AX109" s="38">
        <f>+'QTR Raw'!S63</f>
        <v>38655.839999999997</v>
      </c>
      <c r="AY109" s="38">
        <f>+'QTR Raw'!T63</f>
        <v>35624.43</v>
      </c>
      <c r="AZ109" s="38">
        <f>+'QTR Raw'!U63</f>
        <v>33721.58</v>
      </c>
      <c r="BA109" s="38">
        <f>+'QTR Raw'!V63</f>
        <v>42761.77</v>
      </c>
      <c r="BB109" s="38">
        <f>+'QTR Raw'!W63</f>
        <v>56244.81</v>
      </c>
      <c r="BC109" s="38">
        <f>+'QTR Raw'!X63</f>
        <v>50800.4</v>
      </c>
      <c r="BD109" s="38">
        <f>+'QTR Raw'!Y63</f>
        <v>56870.17</v>
      </c>
      <c r="BE109" s="38">
        <f>+'QTR Raw'!Z63</f>
        <v>49983.56</v>
      </c>
      <c r="BF109" s="38">
        <f>+'QTR Raw'!AA63</f>
        <v>51703.839999999997</v>
      </c>
      <c r="BG109" s="38">
        <f>+'QTR Raw'!AB63</f>
        <v>75113.259999999995</v>
      </c>
      <c r="BH109" s="38">
        <f>+'QTR Raw'!AC63</f>
        <v>54015.42</v>
      </c>
      <c r="BI109" s="38">
        <f>+'QTR Raw'!AD63</f>
        <v>46284.959999999999</v>
      </c>
      <c r="BJ109" s="38">
        <f>+'QTR Raw'!AE63</f>
        <v>55175.86</v>
      </c>
      <c r="BK109" s="38">
        <f>+'QTR Raw'!AF63</f>
        <v>62505.19</v>
      </c>
      <c r="BL109" s="38">
        <f>+'QTR Raw'!AG63</f>
        <v>55447.51</v>
      </c>
      <c r="BM109" s="38">
        <f>+'QTR Raw'!AH63</f>
        <v>58089.79</v>
      </c>
      <c r="BN109" s="38">
        <f>+'QTR Raw'!AI63</f>
        <v>84914.36</v>
      </c>
      <c r="BO109" s="38">
        <f>+'QTR Raw'!AJ63</f>
        <v>81065.39</v>
      </c>
      <c r="BP109" s="38">
        <f>+'QTR Raw'!AK63</f>
        <v>88490.11</v>
      </c>
      <c r="BQ109" s="38">
        <f>+'QTR Raw'!AL63</f>
        <v>57592.28</v>
      </c>
      <c r="BR109" s="38">
        <f>+'QTR Raw'!AM63</f>
        <v>72554.740000000005</v>
      </c>
      <c r="BS109" s="38">
        <f>+'QTR Raw'!AN63</f>
        <v>94782.18</v>
      </c>
      <c r="BT109" s="38">
        <f>+'QTR Raw'!AO63</f>
        <v>115053.81</v>
      </c>
      <c r="BU109" s="38">
        <f>+'QTR Raw'!AP63</f>
        <v>116686.12</v>
      </c>
      <c r="BV109" s="38">
        <f>+'QTR Raw'!AQ63</f>
        <v>119668.92</v>
      </c>
      <c r="BW109" s="38">
        <f>+'QTR Raw'!AR63</f>
        <v>91130.57</v>
      </c>
      <c r="BX109" s="38">
        <v>147902.37</v>
      </c>
      <c r="BY109" s="38">
        <f>+'QTR Raw'!AT63</f>
        <v>155287.67999999999</v>
      </c>
      <c r="BZ109" s="39">
        <f t="shared" ref="BZ109:CO109" si="1169">+BY109</f>
        <v>155287.67999999999</v>
      </c>
      <c r="CA109" s="39">
        <f t="shared" si="1169"/>
        <v>155287.67999999999</v>
      </c>
      <c r="CB109" s="39">
        <f t="shared" si="1169"/>
        <v>155287.67999999999</v>
      </c>
      <c r="CC109" s="39">
        <f t="shared" si="1169"/>
        <v>155287.67999999999</v>
      </c>
      <c r="CD109" s="39">
        <f t="shared" si="1169"/>
        <v>155287.67999999999</v>
      </c>
      <c r="CE109" s="39">
        <f t="shared" si="1169"/>
        <v>155287.67999999999</v>
      </c>
      <c r="CF109" s="39">
        <f t="shared" si="1169"/>
        <v>155287.67999999999</v>
      </c>
      <c r="CG109" s="39">
        <f t="shared" si="1169"/>
        <v>155287.67999999999</v>
      </c>
      <c r="CH109" s="39">
        <f t="shared" si="1169"/>
        <v>155287.67999999999</v>
      </c>
      <c r="CI109" s="39">
        <f t="shared" si="1169"/>
        <v>155287.67999999999</v>
      </c>
      <c r="CJ109" s="39">
        <f t="shared" si="1169"/>
        <v>155287.67999999999</v>
      </c>
      <c r="CK109" s="39">
        <f t="shared" si="1169"/>
        <v>155287.67999999999</v>
      </c>
      <c r="CL109" s="39">
        <f t="shared" si="1169"/>
        <v>155287.67999999999</v>
      </c>
      <c r="CM109" s="39">
        <f t="shared" si="1169"/>
        <v>155287.67999999999</v>
      </c>
      <c r="CN109" s="39">
        <f t="shared" si="1169"/>
        <v>155287.67999999999</v>
      </c>
      <c r="CO109" s="39">
        <f t="shared" si="1169"/>
        <v>155287.67999999999</v>
      </c>
      <c r="CS109" s="38">
        <v>91130.57</v>
      </c>
      <c r="CX109" s="38">
        <v>155287.67970000001</v>
      </c>
    </row>
    <row r="110" spans="1:102" s="43" customFormat="1" x14ac:dyDescent="0.2">
      <c r="A110" s="43" t="s">
        <v>21</v>
      </c>
      <c r="B110" s="43">
        <f t="shared" ref="B110:AB110" si="1170">SUM(B108:B109)</f>
        <v>60617.375200000002</v>
      </c>
      <c r="C110" s="43">
        <f t="shared" si="1170"/>
        <v>64297.407800000001</v>
      </c>
      <c r="D110" s="43">
        <f t="shared" si="1170"/>
        <v>72188.644799999995</v>
      </c>
      <c r="E110" s="43">
        <f t="shared" si="1170"/>
        <v>87099.453500000003</v>
      </c>
      <c r="F110" s="43">
        <f t="shared" si="1170"/>
        <v>96910.082800000004</v>
      </c>
      <c r="G110" s="43">
        <f t="shared" si="1170"/>
        <v>116829.05589999999</v>
      </c>
      <c r="H110" s="43">
        <f t="shared" si="1170"/>
        <v>143955.80359999998</v>
      </c>
      <c r="I110" s="43">
        <f t="shared" si="1170"/>
        <v>156589.6544</v>
      </c>
      <c r="J110" s="43">
        <f t="shared" si="1170"/>
        <v>200893.4571</v>
      </c>
      <c r="K110" s="43">
        <f t="shared" si="1170"/>
        <v>243092.00050000002</v>
      </c>
      <c r="L110" s="43">
        <f t="shared" si="1170"/>
        <v>307698.28739999997</v>
      </c>
      <c r="M110" s="43">
        <f t="shared" si="1170"/>
        <v>342579.11869999999</v>
      </c>
      <c r="N110" s="43">
        <f t="shared" si="1170"/>
        <v>376139.3651</v>
      </c>
      <c r="O110" s="43">
        <f t="shared" si="1170"/>
        <v>447953.45480000001</v>
      </c>
      <c r="P110" s="43">
        <f t="shared" si="1170"/>
        <v>499511.67060000001</v>
      </c>
      <c r="Q110" s="43">
        <f t="shared" si="1170"/>
        <v>506664.87849999999</v>
      </c>
      <c r="R110" s="43">
        <f t="shared" si="1170"/>
        <v>534778.80119999999</v>
      </c>
      <c r="S110" s="43">
        <f t="shared" si="1170"/>
        <v>563580.37199999997</v>
      </c>
      <c r="T110" s="43">
        <f t="shared" si="1170"/>
        <v>640025.56920000003</v>
      </c>
      <c r="U110" s="43">
        <f t="shared" si="1170"/>
        <v>668112.94090000005</v>
      </c>
      <c r="V110" s="43">
        <f t="shared" si="1170"/>
        <v>1060858.1433000001</v>
      </c>
      <c r="W110" s="43">
        <f t="shared" si="1170"/>
        <v>1132694.2117000001</v>
      </c>
      <c r="X110" s="43">
        <f t="shared" si="1170"/>
        <v>1237308.3957999998</v>
      </c>
      <c r="Y110" s="43">
        <f t="shared" si="1170"/>
        <v>1369958.89</v>
      </c>
      <c r="Z110" s="43">
        <f t="shared" si="1170"/>
        <v>1546548.2946000001</v>
      </c>
      <c r="AA110" s="43">
        <f t="shared" ref="AA110" si="1171">SUM(AA108:AA109)</f>
        <v>1723965.8281</v>
      </c>
      <c r="AB110" s="44">
        <f t="shared" si="1170"/>
        <v>1872319.0151993225</v>
      </c>
      <c r="AC110" s="44">
        <f t="shared" ref="AC110" si="1172">SUM(AC108:AC109)</f>
        <v>2043072.8928023977</v>
      </c>
      <c r="AD110" s="44">
        <f t="shared" ref="AD110" si="1173">SUM(AD108:AD109)</f>
        <v>2232063.1012624977</v>
      </c>
      <c r="AE110" s="44">
        <f t="shared" ref="AE110" si="1174">SUM(AE108:AE109)</f>
        <v>2440117.7235913891</v>
      </c>
      <c r="AG110" s="62"/>
      <c r="AH110" s="43">
        <f t="shared" ref="AH110" si="1175">SUM(AH108:AH109)</f>
        <v>495781.54</v>
      </c>
      <c r="AI110" s="43">
        <f t="shared" ref="AI110:BC110" si="1176">SUM(AI108:AI109)</f>
        <v>509370.39</v>
      </c>
      <c r="AJ110" s="43">
        <f t="shared" si="1176"/>
        <v>515958.83</v>
      </c>
      <c r="AK110" s="43">
        <f t="shared" si="1176"/>
        <v>506664.88</v>
      </c>
      <c r="AL110" s="43">
        <f t="shared" si="1176"/>
        <v>493859.01999999996</v>
      </c>
      <c r="AM110" s="43">
        <f t="shared" si="1176"/>
        <v>509817.47</v>
      </c>
      <c r="AN110" s="43">
        <f t="shared" si="1176"/>
        <v>541639.07999999996</v>
      </c>
      <c r="AO110" s="43">
        <f t="shared" si="1176"/>
        <v>534778.80000000005</v>
      </c>
      <c r="AP110" s="43">
        <f t="shared" si="1176"/>
        <v>529871.06999999995</v>
      </c>
      <c r="AQ110" s="43">
        <f t="shared" si="1176"/>
        <v>526730.89</v>
      </c>
      <c r="AR110" s="43">
        <f t="shared" si="1176"/>
        <v>551025.77</v>
      </c>
      <c r="AS110" s="43">
        <f t="shared" si="1176"/>
        <v>563580.37</v>
      </c>
      <c r="AT110" s="43">
        <f t="shared" ref="AT110:BB110" si="1177">SUM(AT108:AT109)</f>
        <v>567787.1100000001</v>
      </c>
      <c r="AU110" s="43">
        <f t="shared" si="1177"/>
        <v>601215.77</v>
      </c>
      <c r="AV110" s="43">
        <f t="shared" si="1177"/>
        <v>617431.49</v>
      </c>
      <c r="AW110" s="43">
        <f t="shared" si="1177"/>
        <v>640025.57000000007</v>
      </c>
      <c r="AX110" s="43">
        <f t="shared" si="1177"/>
        <v>649329.63</v>
      </c>
      <c r="AY110" s="43">
        <f t="shared" si="1177"/>
        <v>645060.91</v>
      </c>
      <c r="AZ110" s="43">
        <f t="shared" si="1177"/>
        <v>658961.98</v>
      </c>
      <c r="BA110" s="43">
        <f t="shared" si="1177"/>
        <v>668112.95000000007</v>
      </c>
      <c r="BB110" s="43">
        <f t="shared" si="1177"/>
        <v>965814.37000000011</v>
      </c>
      <c r="BC110" s="43">
        <f t="shared" si="1176"/>
        <v>999567.54</v>
      </c>
      <c r="BD110" s="43">
        <f t="shared" ref="BD110:BV110" si="1178">SUM(BD108:BD109)</f>
        <v>1029891.18</v>
      </c>
      <c r="BE110" s="43">
        <f t="shared" si="1178"/>
        <v>1060858.1399999999</v>
      </c>
      <c r="BF110" s="43">
        <f t="shared" si="1178"/>
        <v>1073540.76</v>
      </c>
      <c r="BG110" s="43">
        <f t="shared" si="1178"/>
        <v>1107649.82</v>
      </c>
      <c r="BH110" s="43">
        <f t="shared" si="1178"/>
        <v>1097366.07</v>
      </c>
      <c r="BI110" s="43">
        <f t="shared" si="1178"/>
        <v>1132694.21</v>
      </c>
      <c r="BJ110" s="43">
        <f t="shared" si="1178"/>
        <v>1173297.5900000001</v>
      </c>
      <c r="BK110" s="43">
        <f t="shared" si="1178"/>
        <v>1196469.3499999999</v>
      </c>
      <c r="BL110" s="43">
        <f t="shared" si="1178"/>
        <v>1218917.72</v>
      </c>
      <c r="BM110" s="43">
        <f t="shared" si="1178"/>
        <v>1237308.4000000001</v>
      </c>
      <c r="BN110" s="43">
        <f t="shared" si="1178"/>
        <v>1277384.3</v>
      </c>
      <c r="BO110" s="43">
        <f t="shared" si="1178"/>
        <v>1313280.45</v>
      </c>
      <c r="BP110" s="43">
        <f t="shared" si="1178"/>
        <v>1351420.7200000002</v>
      </c>
      <c r="BQ110" s="43">
        <f t="shared" si="1178"/>
        <v>1369958.8900000001</v>
      </c>
      <c r="BR110" s="43">
        <f t="shared" si="1178"/>
        <v>1407721.6199999999</v>
      </c>
      <c r="BS110" s="43">
        <f t="shared" si="1178"/>
        <v>1442128.8299999998</v>
      </c>
      <c r="BT110" s="43">
        <f t="shared" si="1178"/>
        <v>1461957.49</v>
      </c>
      <c r="BU110" s="43">
        <f t="shared" si="1178"/>
        <v>1546548.2999999998</v>
      </c>
      <c r="BV110" s="43">
        <f t="shared" si="1178"/>
        <v>1587324.24</v>
      </c>
      <c r="BW110" s="43">
        <f t="shared" ref="BW110:BY110" si="1179">SUM(BW108:BW109)</f>
        <v>1619052.46</v>
      </c>
      <c r="BX110" s="43">
        <f t="shared" ref="BX110:CO110" si="1180">SUM(BX108:BX109)</f>
        <v>1669170.6800000002</v>
      </c>
      <c r="BY110" s="43">
        <f t="shared" si="1179"/>
        <v>1723965.8299999998</v>
      </c>
      <c r="BZ110" s="44">
        <f t="shared" si="1180"/>
        <v>1778150.7497711545</v>
      </c>
      <c r="CA110" s="44">
        <f t="shared" si="1180"/>
        <v>1847082.7233638777</v>
      </c>
      <c r="CB110" s="44">
        <f t="shared" si="1180"/>
        <v>1830348.7412201546</v>
      </c>
      <c r="CC110" s="44">
        <f t="shared" si="1180"/>
        <v>1872319.0151993225</v>
      </c>
      <c r="CD110" s="44">
        <f t="shared" si="1180"/>
        <v>1943955.2925191447</v>
      </c>
      <c r="CE110" s="44">
        <f t="shared" si="1180"/>
        <v>2018413.9436289545</v>
      </c>
      <c r="CF110" s="44">
        <f t="shared" si="1180"/>
        <v>1997480.8724402317</v>
      </c>
      <c r="CG110" s="44">
        <f t="shared" si="1180"/>
        <v>2043072.8928023977</v>
      </c>
      <c r="CH110" s="44">
        <f t="shared" si="1180"/>
        <v>2124013.1566930125</v>
      </c>
      <c r="CI110" s="44">
        <f t="shared" si="1180"/>
        <v>2205267.6509495871</v>
      </c>
      <c r="CJ110" s="44">
        <f t="shared" si="1180"/>
        <v>2181783.1936720768</v>
      </c>
      <c r="CK110" s="44">
        <f t="shared" si="1180"/>
        <v>2232063.1012624977</v>
      </c>
      <c r="CL110" s="44">
        <f t="shared" si="1180"/>
        <v>2321433.7597311479</v>
      </c>
      <c r="CM110" s="44">
        <f t="shared" si="1180"/>
        <v>2410637.7130989241</v>
      </c>
      <c r="CN110" s="44">
        <f t="shared" si="1180"/>
        <v>2384745.3669266789</v>
      </c>
      <c r="CO110" s="44">
        <f t="shared" si="1180"/>
        <v>2440117.7235913891</v>
      </c>
      <c r="CS110" s="43">
        <v>1607034.3093711673</v>
      </c>
      <c r="CX110" s="43">
        <v>1723965.8281</v>
      </c>
    </row>
    <row r="111" spans="1:102" s="40" customFormat="1" x14ac:dyDescent="0.2">
      <c r="A111" s="40" t="s">
        <v>55</v>
      </c>
      <c r="B111" s="40">
        <f t="shared" ref="B111:AB111" si="1181">B110+B106+B104</f>
        <v>63431.825199999999</v>
      </c>
      <c r="C111" s="40">
        <f t="shared" si="1181"/>
        <v>67768.902799999996</v>
      </c>
      <c r="D111" s="40">
        <f t="shared" si="1181"/>
        <v>76337.473099999988</v>
      </c>
      <c r="E111" s="40">
        <f t="shared" si="1181"/>
        <v>92351.0965</v>
      </c>
      <c r="F111" s="40">
        <f t="shared" si="1181"/>
        <v>103019.04000000001</v>
      </c>
      <c r="G111" s="40">
        <f t="shared" si="1181"/>
        <v>123961.29169999999</v>
      </c>
      <c r="H111" s="40">
        <f t="shared" si="1181"/>
        <v>154309.78969999999</v>
      </c>
      <c r="I111" s="40">
        <f t="shared" si="1181"/>
        <v>167090.14670000001</v>
      </c>
      <c r="J111" s="40">
        <f t="shared" si="1181"/>
        <v>213101.22630000001</v>
      </c>
      <c r="K111" s="40">
        <f t="shared" si="1181"/>
        <v>257763.78390000004</v>
      </c>
      <c r="L111" s="40">
        <f t="shared" si="1181"/>
        <v>327738.10619999998</v>
      </c>
      <c r="M111" s="40">
        <f t="shared" si="1181"/>
        <v>365269.07429999998</v>
      </c>
      <c r="N111" s="40">
        <f t="shared" si="1181"/>
        <v>401017.15399999998</v>
      </c>
      <c r="O111" s="40">
        <f t="shared" si="1181"/>
        <v>477573.56800000003</v>
      </c>
      <c r="P111" s="40">
        <f t="shared" si="1181"/>
        <v>531370.9031</v>
      </c>
      <c r="Q111" s="40">
        <f t="shared" si="1181"/>
        <v>538268.07900000003</v>
      </c>
      <c r="R111" s="40">
        <f t="shared" si="1181"/>
        <v>568464.33869999996</v>
      </c>
      <c r="S111" s="40">
        <f t="shared" si="1181"/>
        <v>599185.20889999997</v>
      </c>
      <c r="T111" s="40">
        <f t="shared" si="1181"/>
        <v>676202.80110000004</v>
      </c>
      <c r="U111" s="40">
        <f t="shared" si="1181"/>
        <v>707405.90549999999</v>
      </c>
      <c r="V111" s="40">
        <f t="shared" si="1181"/>
        <v>1119743.0754000002</v>
      </c>
      <c r="W111" s="40">
        <f t="shared" si="1181"/>
        <v>1198805.5233</v>
      </c>
      <c r="X111" s="40">
        <f t="shared" si="1181"/>
        <v>1310915.5757999998</v>
      </c>
      <c r="Y111" s="40">
        <f t="shared" si="1181"/>
        <v>1456913.4808</v>
      </c>
      <c r="Z111" s="40">
        <f t="shared" si="1181"/>
        <v>1646448.4015000002</v>
      </c>
      <c r="AA111" s="40">
        <f t="shared" ref="AA111" si="1182">AA110+AA106+AA104</f>
        <v>1837348.442</v>
      </c>
      <c r="AB111" s="41">
        <f t="shared" si="1181"/>
        <v>2005007.9133422119</v>
      </c>
      <c r="AC111" s="41">
        <f t="shared" ref="AC111" si="1183">AC110+AC106+AC104</f>
        <v>2196710.8457524385</v>
      </c>
      <c r="AD111" s="41">
        <f t="shared" ref="AD111" si="1184">AD110+AD106+AD104</f>
        <v>2407312.3179292008</v>
      </c>
      <c r="AE111" s="41">
        <f t="shared" ref="AE111" si="1185">AE110+AE106+AE104</f>
        <v>2639081.8666992276</v>
      </c>
      <c r="AG111" s="61"/>
      <c r="AH111" s="40">
        <f t="shared" ref="AH111" si="1186">AH110+AH106+AH104</f>
        <v>529674.32999999996</v>
      </c>
      <c r="AI111" s="40">
        <f t="shared" ref="AI111:BC111" si="1187">AI110+AI106+AI104</f>
        <v>544850.52</v>
      </c>
      <c r="AJ111" s="40">
        <f t="shared" si="1187"/>
        <v>551491.05000000005</v>
      </c>
      <c r="AK111" s="40">
        <f t="shared" si="1187"/>
        <v>538268.07999999996</v>
      </c>
      <c r="AL111" s="40">
        <f t="shared" si="1187"/>
        <v>525667.62</v>
      </c>
      <c r="AM111" s="40">
        <f t="shared" si="1187"/>
        <v>541934.28</v>
      </c>
      <c r="AN111" s="40">
        <f t="shared" si="1187"/>
        <v>574067.77999999991</v>
      </c>
      <c r="AO111" s="40">
        <f t="shared" si="1187"/>
        <v>568464.34000000008</v>
      </c>
      <c r="AP111" s="40">
        <f t="shared" si="1187"/>
        <v>563735.79999999993</v>
      </c>
      <c r="AQ111" s="40">
        <f t="shared" si="1187"/>
        <v>560859.23</v>
      </c>
      <c r="AR111" s="40">
        <f t="shared" si="1187"/>
        <v>585245.99</v>
      </c>
      <c r="AS111" s="40">
        <f t="shared" si="1187"/>
        <v>599185.19999999995</v>
      </c>
      <c r="AT111" s="40">
        <f t="shared" ref="AT111:BB111" si="1188">AT110+AT106+AT104</f>
        <v>603702.30000000005</v>
      </c>
      <c r="AU111" s="40">
        <f t="shared" si="1188"/>
        <v>637516.1</v>
      </c>
      <c r="AV111" s="40">
        <f t="shared" si="1188"/>
        <v>653966.25</v>
      </c>
      <c r="AW111" s="40">
        <f t="shared" si="1188"/>
        <v>676202.8</v>
      </c>
      <c r="AX111" s="40">
        <f t="shared" si="1188"/>
        <v>685935.27</v>
      </c>
      <c r="AY111" s="40">
        <f t="shared" si="1188"/>
        <v>688645.89</v>
      </c>
      <c r="AZ111" s="40">
        <f t="shared" si="1188"/>
        <v>703023.17999999993</v>
      </c>
      <c r="BA111" s="40">
        <f t="shared" si="1188"/>
        <v>707405.91</v>
      </c>
      <c r="BB111" s="40">
        <f t="shared" si="1188"/>
        <v>1018539.9300000002</v>
      </c>
      <c r="BC111" s="40">
        <f t="shared" si="1187"/>
        <v>1054015.44</v>
      </c>
      <c r="BD111" s="40">
        <f t="shared" ref="BD111:BV111" si="1189">BD110+BD106+BD104</f>
        <v>1086632.48</v>
      </c>
      <c r="BE111" s="40">
        <f t="shared" si="1189"/>
        <v>1119743.0699999998</v>
      </c>
      <c r="BF111" s="40">
        <f t="shared" si="1189"/>
        <v>1133557.6499999999</v>
      </c>
      <c r="BG111" s="40">
        <f t="shared" si="1189"/>
        <v>1171546.54</v>
      </c>
      <c r="BH111" s="40">
        <f t="shared" si="1189"/>
        <v>1162726.6300000001</v>
      </c>
      <c r="BI111" s="40">
        <f t="shared" si="1189"/>
        <v>1198805.52</v>
      </c>
      <c r="BJ111" s="40">
        <f t="shared" si="1189"/>
        <v>1241388.3700000001</v>
      </c>
      <c r="BK111" s="40">
        <f t="shared" si="1189"/>
        <v>1267005.98</v>
      </c>
      <c r="BL111" s="40">
        <f t="shared" si="1189"/>
        <v>1291560.1000000001</v>
      </c>
      <c r="BM111" s="40">
        <f t="shared" si="1189"/>
        <v>1310915.58</v>
      </c>
      <c r="BN111" s="40">
        <f t="shared" si="1189"/>
        <v>1354500.87</v>
      </c>
      <c r="BO111" s="40">
        <f t="shared" si="1189"/>
        <v>1394004.29</v>
      </c>
      <c r="BP111" s="40">
        <f t="shared" si="1189"/>
        <v>1435800.5300000003</v>
      </c>
      <c r="BQ111" s="40">
        <f t="shared" si="1189"/>
        <v>1456913.4800000002</v>
      </c>
      <c r="BR111" s="40">
        <f t="shared" si="1189"/>
        <v>1500387.15</v>
      </c>
      <c r="BS111" s="40">
        <f t="shared" si="1189"/>
        <v>1539205.0799999998</v>
      </c>
      <c r="BT111" s="40">
        <f t="shared" si="1189"/>
        <v>1560179.35</v>
      </c>
      <c r="BU111" s="40">
        <f t="shared" si="1189"/>
        <v>1646448.41</v>
      </c>
      <c r="BV111" s="40">
        <f t="shared" si="1189"/>
        <v>1691779</v>
      </c>
      <c r="BW111" s="40">
        <f t="shared" ref="BW111:BY111" si="1190">BW110+BW106+BW104</f>
        <v>1727343.27</v>
      </c>
      <c r="BX111" s="40">
        <f t="shared" ref="BX111:CO111" si="1191">BX110+BX106+BX104</f>
        <v>1782409.9000000001</v>
      </c>
      <c r="BY111" s="40">
        <f t="shared" si="1190"/>
        <v>1837348.44</v>
      </c>
      <c r="BZ111" s="41">
        <f t="shared" si="1191"/>
        <v>1896381.09752152</v>
      </c>
      <c r="CA111" s="41">
        <f t="shared" si="1191"/>
        <v>1970247.8375022034</v>
      </c>
      <c r="CB111" s="41">
        <f t="shared" si="1191"/>
        <v>1958320.1830873201</v>
      </c>
      <c r="CC111" s="41">
        <f t="shared" si="1191"/>
        <v>2005007.9133422119</v>
      </c>
      <c r="CD111" s="41">
        <f t="shared" si="1191"/>
        <v>2081823.8165116583</v>
      </c>
      <c r="CE111" s="41">
        <f t="shared" si="1191"/>
        <v>2161595.3324184665</v>
      </c>
      <c r="CF111" s="41">
        <f t="shared" si="1191"/>
        <v>2145859.8032072606</v>
      </c>
      <c r="CG111" s="41">
        <f t="shared" si="1191"/>
        <v>2196710.8457524385</v>
      </c>
      <c r="CH111" s="41">
        <f t="shared" si="1191"/>
        <v>2282827.8999589393</v>
      </c>
      <c r="CI111" s="41">
        <f t="shared" si="1191"/>
        <v>2369294.8953422657</v>
      </c>
      <c r="CJ111" s="41">
        <f t="shared" si="1191"/>
        <v>2351394.7143291677</v>
      </c>
      <c r="CK111" s="41">
        <f t="shared" si="1191"/>
        <v>2407312.3179292008</v>
      </c>
      <c r="CL111" s="41">
        <f t="shared" si="1191"/>
        <v>2502334.3591979281</v>
      </c>
      <c r="CM111" s="41">
        <f t="shared" si="1191"/>
        <v>2597363.4078830644</v>
      </c>
      <c r="CN111" s="41">
        <f t="shared" si="1191"/>
        <v>2577550.7573376563</v>
      </c>
      <c r="CO111" s="41">
        <f t="shared" si="1191"/>
        <v>2639081.8666992276</v>
      </c>
      <c r="CS111" s="40">
        <v>1720050.0392007167</v>
      </c>
      <c r="CX111" s="40">
        <v>1837348.442</v>
      </c>
    </row>
    <row r="112" spans="1:102" s="38" customFormat="1" x14ac:dyDescent="0.2">
      <c r="AB112" s="39"/>
      <c r="AC112" s="39"/>
      <c r="AD112" s="39"/>
      <c r="AE112" s="39"/>
      <c r="AG112" s="60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</row>
    <row r="113" spans="1:102" s="38" customFormat="1" x14ac:dyDescent="0.2">
      <c r="A113" s="38" t="s">
        <v>131</v>
      </c>
      <c r="B113" s="38">
        <f>+'Annual Raw'!C73</f>
        <v>21445.460599999999</v>
      </c>
      <c r="C113" s="38">
        <f>+'Annual Raw'!D73</f>
        <v>23220.105599999999</v>
      </c>
      <c r="D113" s="38">
        <f>+'Annual Raw'!E73</f>
        <v>30458.243999999999</v>
      </c>
      <c r="E113" s="38">
        <f>+'Annual Raw'!F73</f>
        <v>35792.989399999999</v>
      </c>
      <c r="F113" s="38">
        <f>+'Annual Raw'!G73</f>
        <v>38053.883600000001</v>
      </c>
      <c r="G113" s="38">
        <f>+'Annual Raw'!H73</f>
        <v>36974.182999999997</v>
      </c>
      <c r="H113" s="38">
        <f>+'Annual Raw'!I73</f>
        <v>45225.538399999998</v>
      </c>
      <c r="I113" s="38">
        <f>+'Annual Raw'!J73</f>
        <v>49811.571799999998</v>
      </c>
      <c r="J113" s="38">
        <f>+'Annual Raw'!K73</f>
        <v>57776.9041</v>
      </c>
      <c r="K113" s="38">
        <f>+'Annual Raw'!L73</f>
        <v>69676.9522</v>
      </c>
      <c r="L113" s="38">
        <f>+'Annual Raw'!M73</f>
        <v>83636.02</v>
      </c>
      <c r="M113" s="38">
        <f>+'Annual Raw'!N73</f>
        <v>102057.42819999999</v>
      </c>
      <c r="N113" s="38">
        <f>+'Annual Raw'!O73</f>
        <v>121132.8303</v>
      </c>
      <c r="O113" s="38">
        <f>+'Annual Raw'!P73</f>
        <v>126828.255</v>
      </c>
      <c r="P113" s="38">
        <f>+'Annual Raw'!Q73</f>
        <v>142061.42360000001</v>
      </c>
      <c r="Q113" s="38">
        <f>+'Annual Raw'!R73</f>
        <v>142309.30110000001</v>
      </c>
      <c r="R113" s="38">
        <f>+'Annual Raw'!S73</f>
        <v>150265.88819999999</v>
      </c>
      <c r="S113" s="38">
        <f>+'Annual Raw'!T73</f>
        <v>144053.6704</v>
      </c>
      <c r="T113" s="38">
        <f>+'Annual Raw'!U73</f>
        <v>152985.296</v>
      </c>
      <c r="U113" s="38">
        <f>+'Annual Raw'!V73</f>
        <v>176244.94029999999</v>
      </c>
      <c r="V113" s="38">
        <f>+'Annual Raw'!W73</f>
        <v>261690.394</v>
      </c>
      <c r="W113" s="38">
        <f>+'Annual Raw'!X73</f>
        <v>282012.89980000001</v>
      </c>
      <c r="X113" s="38">
        <f>+'Annual Raw'!Y73</f>
        <v>319038.45049999998</v>
      </c>
      <c r="Y113" s="38">
        <f>+'Annual Raw'!Z73</f>
        <v>357454.4215</v>
      </c>
      <c r="Z113" s="38">
        <f>+'Annual Raw'!AA73</f>
        <v>382179.38160000002</v>
      </c>
      <c r="AA113" s="38">
        <f>+'Annual Raw'!AB73</f>
        <v>403414.58279999997</v>
      </c>
      <c r="AB113" s="39">
        <f>CC113</f>
        <v>445419.86740725255</v>
      </c>
      <c r="AC113" s="39">
        <f>CG113</f>
        <v>486887.69857297005</v>
      </c>
      <c r="AD113" s="39">
        <f>CK113</f>
        <v>531971.71912581974</v>
      </c>
      <c r="AE113" s="39">
        <f>CO113</f>
        <v>581545.78568883636</v>
      </c>
      <c r="AG113" s="60"/>
      <c r="AH113" s="38">
        <f>+'QTR Raw'!C68</f>
        <v>149576.93</v>
      </c>
      <c r="AI113" s="38">
        <f>+'QTR Raw'!D68</f>
        <v>153230.45000000001</v>
      </c>
      <c r="AJ113" s="38">
        <f>+'QTR Raw'!E68</f>
        <v>155887.85</v>
      </c>
      <c r="AK113" s="38">
        <f>+'QTR Raw'!F68</f>
        <v>142309.29999999999</v>
      </c>
      <c r="AL113" s="38">
        <f>+'QTR Raw'!G68</f>
        <v>130655.49</v>
      </c>
      <c r="AM113" s="38">
        <f>+'QTR Raw'!H68</f>
        <v>141389.48000000001</v>
      </c>
      <c r="AN113" s="38">
        <f>+'QTR Raw'!I68</f>
        <v>169034.59</v>
      </c>
      <c r="AO113" s="38">
        <f>+'QTR Raw'!J68</f>
        <v>150265.89000000001</v>
      </c>
      <c r="AP113" s="38">
        <f>+'QTR Raw'!K68</f>
        <v>147894.51999999999</v>
      </c>
      <c r="AQ113" s="38">
        <f>+'QTR Raw'!L68</f>
        <v>137025.91</v>
      </c>
      <c r="AR113" s="38">
        <f>+'QTR Raw'!M68</f>
        <v>141826.03</v>
      </c>
      <c r="AS113" s="38">
        <f>+'QTR Raw'!N68</f>
        <v>144053.67000000001</v>
      </c>
      <c r="AT113" s="38">
        <f>+'QTR Raw'!O68</f>
        <v>144463.18</v>
      </c>
      <c r="AU113" s="38">
        <f>+'QTR Raw'!P68</f>
        <v>151688.16</v>
      </c>
      <c r="AV113" s="38">
        <f>+'QTR Raw'!Q68</f>
        <v>152694.51999999999</v>
      </c>
      <c r="AW113" s="38">
        <f>+'QTR Raw'!R68</f>
        <v>152985.29999999999</v>
      </c>
      <c r="AX113" s="38">
        <f>+'QTR Raw'!S68</f>
        <v>153923.28</v>
      </c>
      <c r="AY113" s="38">
        <f>+'QTR Raw'!T68</f>
        <v>161233.54</v>
      </c>
      <c r="AZ113" s="38">
        <f>+'QTR Raw'!U68</f>
        <v>165050.84</v>
      </c>
      <c r="BA113" s="38">
        <f>+'QTR Raw'!V68</f>
        <v>176244.94</v>
      </c>
      <c r="BB113" s="38">
        <f>+'QTR Raw'!W68</f>
        <v>250907.94</v>
      </c>
      <c r="BC113" s="38">
        <f>+'QTR Raw'!X68</f>
        <v>265246.05</v>
      </c>
      <c r="BD113" s="38">
        <f>+'QTR Raw'!Y68</f>
        <v>271597.40000000002</v>
      </c>
      <c r="BE113" s="38">
        <f>+'QTR Raw'!Z68</f>
        <v>261690.39</v>
      </c>
      <c r="BF113" s="38">
        <f>+'QTR Raw'!AA68</f>
        <v>273066.82</v>
      </c>
      <c r="BG113" s="38">
        <f>+'QTR Raw'!AB68</f>
        <v>283506.33</v>
      </c>
      <c r="BH113" s="38">
        <f>+'QTR Raw'!AC68</f>
        <v>274803.33</v>
      </c>
      <c r="BI113" s="38">
        <f>+'QTR Raw'!AD68</f>
        <v>282012.90000000002</v>
      </c>
      <c r="BJ113" s="38">
        <f>+'QTR Raw'!AE68</f>
        <v>307778.78000000003</v>
      </c>
      <c r="BK113" s="38">
        <f>+'QTR Raw'!AF68</f>
        <v>308750.14</v>
      </c>
      <c r="BL113" s="38">
        <f>+'QTR Raw'!AG68</f>
        <v>311475.95</v>
      </c>
      <c r="BM113" s="38">
        <f>+'QTR Raw'!AH68</f>
        <v>319038.45</v>
      </c>
      <c r="BN113" s="38">
        <f>+'QTR Raw'!AI68</f>
        <v>331809.5</v>
      </c>
      <c r="BO113" s="38">
        <f>+'QTR Raw'!AJ68</f>
        <v>344337.58</v>
      </c>
      <c r="BP113" s="38">
        <f>+'QTR Raw'!AK68</f>
        <v>343376.26</v>
      </c>
      <c r="BQ113" s="38">
        <f>+'QTR Raw'!AL68</f>
        <v>357454.42</v>
      </c>
      <c r="BR113" s="38">
        <f>+'QTR Raw'!AM68</f>
        <v>370024.55</v>
      </c>
      <c r="BS113" s="38">
        <f>+'QTR Raw'!AN68</f>
        <v>372944.96</v>
      </c>
      <c r="BT113" s="38">
        <f>+'QTR Raw'!AO68</f>
        <v>379372.06</v>
      </c>
      <c r="BU113" s="38">
        <f>+'QTR Raw'!AP68</f>
        <v>382179.38</v>
      </c>
      <c r="BV113" s="38">
        <f>+'QTR Raw'!AQ68</f>
        <v>397323.44</v>
      </c>
      <c r="BW113" s="38">
        <f>+'QTR Raw'!AR68</f>
        <v>394610.93</v>
      </c>
      <c r="BX113" s="38">
        <v>394736.39</v>
      </c>
      <c r="BY113" s="38">
        <f>+'QTR Raw'!AT68</f>
        <v>403414.58</v>
      </c>
      <c r="BZ113" s="39">
        <f t="shared" ref="BZ113:CO113" si="1192">+BZ110*BZ131</f>
        <v>428769.97816137795</v>
      </c>
      <c r="CA113" s="39">
        <f t="shared" si="1192"/>
        <v>441153.73950954183</v>
      </c>
      <c r="CB113" s="39">
        <f t="shared" si="1192"/>
        <v>434918.76416683872</v>
      </c>
      <c r="CC113" s="39">
        <f t="shared" si="1192"/>
        <v>445419.86740725255</v>
      </c>
      <c r="CD113" s="39">
        <f t="shared" si="1192"/>
        <v>464354.20306883584</v>
      </c>
      <c r="CE113" s="39">
        <f t="shared" si="1192"/>
        <v>480998.94091791561</v>
      </c>
      <c r="CF113" s="39">
        <f t="shared" si="1192"/>
        <v>475744.45913545595</v>
      </c>
      <c r="CG113" s="39">
        <f t="shared" si="1192"/>
        <v>486887.69857297005</v>
      </c>
      <c r="CH113" s="39">
        <f t="shared" si="1192"/>
        <v>506396.55079697783</v>
      </c>
      <c r="CI113" s="39">
        <f t="shared" si="1192"/>
        <v>525517.52372909209</v>
      </c>
      <c r="CJ113" s="39">
        <f t="shared" si="1192"/>
        <v>519918.7632752296</v>
      </c>
      <c r="CK113" s="39">
        <f t="shared" si="1192"/>
        <v>531971.71912581974</v>
      </c>
      <c r="CL113" s="39">
        <f t="shared" si="1192"/>
        <v>553283.42011997302</v>
      </c>
      <c r="CM113" s="39">
        <f t="shared" si="1192"/>
        <v>574496.98726706475</v>
      </c>
      <c r="CN113" s="39">
        <f t="shared" si="1192"/>
        <v>568336.17581167305</v>
      </c>
      <c r="CO113" s="39">
        <f t="shared" si="1192"/>
        <v>581545.78568883636</v>
      </c>
      <c r="CS113" s="38">
        <v>401544.12144616753</v>
      </c>
      <c r="CX113" s="38">
        <v>403414.58279999997</v>
      </c>
    </row>
    <row r="114" spans="1:102" s="38" customFormat="1" x14ac:dyDescent="0.2">
      <c r="A114" s="38" t="s">
        <v>50</v>
      </c>
      <c r="B114" s="38">
        <f>+'Annual Raw'!C74</f>
        <v>27831.770799999998</v>
      </c>
      <c r="C114" s="38">
        <f>+'Annual Raw'!D74</f>
        <v>33126.705199999997</v>
      </c>
      <c r="D114" s="38">
        <f>+'Annual Raw'!E74</f>
        <v>40471.598299999998</v>
      </c>
      <c r="E114" s="38">
        <f>+'Annual Raw'!F74</f>
        <v>47638.627800000002</v>
      </c>
      <c r="F114" s="38">
        <f>+'Annual Raw'!G74</f>
        <v>60421.403899999998</v>
      </c>
      <c r="G114" s="38">
        <f>+'Annual Raw'!H74</f>
        <v>79425.699800000002</v>
      </c>
      <c r="H114" s="38">
        <f>+'Annual Raw'!I74</f>
        <v>98505.687000000005</v>
      </c>
      <c r="I114" s="38">
        <f>+'Annual Raw'!J74</f>
        <v>107238.04090000001</v>
      </c>
      <c r="J114" s="38">
        <f>+'Annual Raw'!K74</f>
        <v>138219.40049999999</v>
      </c>
      <c r="K114" s="38">
        <f>+'Annual Raw'!L74</f>
        <v>169334.6306</v>
      </c>
      <c r="L114" s="38">
        <f>+'Annual Raw'!M74</f>
        <v>211268.29250000001</v>
      </c>
      <c r="M114" s="38">
        <f>+'Annual Raw'!N74</f>
        <v>232489.81849999999</v>
      </c>
      <c r="N114" s="38">
        <f>+'Annual Raw'!O74</f>
        <v>242176.62460000001</v>
      </c>
      <c r="O114" s="38">
        <f>+'Annual Raw'!P74</f>
        <v>301067.47879999998</v>
      </c>
      <c r="P114" s="38">
        <f>+'Annual Raw'!Q74</f>
        <v>330035.51449999999</v>
      </c>
      <c r="Q114" s="38">
        <f>+'Annual Raw'!R74</f>
        <v>324714.82400000002</v>
      </c>
      <c r="R114" s="38">
        <f>+'Annual Raw'!S74</f>
        <v>342008.76079999999</v>
      </c>
      <c r="S114" s="38">
        <f>+'Annual Raw'!T74</f>
        <v>381702.98639999999</v>
      </c>
      <c r="T114" s="38">
        <f>+'Annual Raw'!U74</f>
        <v>427727.2684</v>
      </c>
      <c r="U114" s="38">
        <f>+'Annual Raw'!V74</f>
        <v>432175.20480000001</v>
      </c>
      <c r="V114" s="38">
        <f>+'Annual Raw'!W74</f>
        <v>639048.98609999998</v>
      </c>
      <c r="W114" s="38">
        <f>+'Annual Raw'!X74</f>
        <v>703601.82389999996</v>
      </c>
      <c r="X114" s="38">
        <f>+'Annual Raw'!Y74</f>
        <v>830672.55240000004</v>
      </c>
      <c r="Y114" s="38">
        <f>+'Annual Raw'!Z74</f>
        <v>931612.83310000005</v>
      </c>
      <c r="Z114" s="38">
        <f>+'Annual Raw'!AA74</f>
        <v>1049155.0197000001</v>
      </c>
      <c r="AA114" s="38">
        <f>+'Annual Raw'!AB74</f>
        <v>1220017.469</v>
      </c>
      <c r="AB114" s="39">
        <f>CC114</f>
        <v>1407221.247379188</v>
      </c>
      <c r="AC114" s="39">
        <f>CG114</f>
        <v>1621300.0945343021</v>
      </c>
      <c r="AD114" s="39">
        <f>CK114</f>
        <v>1867698.3516283822</v>
      </c>
      <c r="AE114" s="39">
        <f>CO114</f>
        <v>2151520.9605845041</v>
      </c>
      <c r="AG114" s="60"/>
      <c r="AH114" s="38">
        <f>+'QTR Raw'!C69</f>
        <v>324062.92</v>
      </c>
      <c r="AI114" s="38">
        <f>+'QTR Raw'!D69</f>
        <v>323077.46000000002</v>
      </c>
      <c r="AJ114" s="38">
        <f>+'QTR Raw'!E69</f>
        <v>331914.86</v>
      </c>
      <c r="AK114" s="38">
        <f>+'QTR Raw'!F69</f>
        <v>324714.83</v>
      </c>
      <c r="AL114" s="38">
        <f>+'QTR Raw'!G69</f>
        <v>321283.28000000003</v>
      </c>
      <c r="AM114" s="38">
        <f>+'QTR Raw'!H69</f>
        <v>327129.31</v>
      </c>
      <c r="AN114" s="38">
        <f>+'QTR Raw'!I69</f>
        <v>331636.38</v>
      </c>
      <c r="AO114" s="38">
        <f>+'QTR Raw'!J69</f>
        <v>342008.76</v>
      </c>
      <c r="AP114" s="38">
        <f>+'QTR Raw'!K69</f>
        <v>342815.6</v>
      </c>
      <c r="AQ114" s="38">
        <f>+'QTR Raw'!L69</f>
        <v>358255.19</v>
      </c>
      <c r="AR114" s="38">
        <f>+'QTR Raw'!M69</f>
        <v>373122.61</v>
      </c>
      <c r="AS114" s="38">
        <f>+'QTR Raw'!N69</f>
        <v>381702.99</v>
      </c>
      <c r="AT114" s="38">
        <f>+'QTR Raw'!O69</f>
        <v>386252.65</v>
      </c>
      <c r="AU114" s="38">
        <f>+'QTR Raw'!P69</f>
        <v>409528.64</v>
      </c>
      <c r="AV114" s="38">
        <f>+'QTR Raw'!Q69</f>
        <v>417227.39</v>
      </c>
      <c r="AW114" s="38">
        <f>+'QTR Raw'!R69</f>
        <v>427727.27</v>
      </c>
      <c r="AX114" s="38">
        <f>+'QTR Raw'!S69</f>
        <v>432768.12</v>
      </c>
      <c r="AY114" s="38">
        <f>+'QTR Raw'!T69</f>
        <v>429318.58</v>
      </c>
      <c r="AZ114" s="38">
        <f>+'QTR Raw'!U69</f>
        <v>422608.02</v>
      </c>
      <c r="BA114" s="38">
        <f>+'QTR Raw'!V69</f>
        <v>432175.2</v>
      </c>
      <c r="BB114" s="38">
        <f>+'QTR Raw'!W69</f>
        <v>617168.15</v>
      </c>
      <c r="BC114" s="38">
        <f>+'QTR Raw'!X69</f>
        <v>616301.69999999995</v>
      </c>
      <c r="BD114" s="38">
        <f>+'QTR Raw'!Y69</f>
        <v>634246.14</v>
      </c>
      <c r="BE114" s="38">
        <f>+'QTR Raw'!Z69</f>
        <v>639048.99</v>
      </c>
      <c r="BF114" s="38">
        <f>+'QTR Raw'!AA69</f>
        <v>648516.18999999994</v>
      </c>
      <c r="BG114" s="38">
        <f>+'QTR Raw'!AB69</f>
        <v>649584.15</v>
      </c>
      <c r="BH114" s="38">
        <f>+'QTR Raw'!AC69</f>
        <v>692167.7</v>
      </c>
      <c r="BI114" s="38">
        <f>+'QTR Raw'!AD69</f>
        <v>703601.82</v>
      </c>
      <c r="BJ114" s="38">
        <f>+'QTR Raw'!AE69</f>
        <v>746945.19</v>
      </c>
      <c r="BK114" s="38">
        <f>+'QTR Raw'!AF69</f>
        <v>788501.52</v>
      </c>
      <c r="BL114" s="38">
        <f>+'QTR Raw'!AG69</f>
        <v>816413.69</v>
      </c>
      <c r="BM114" s="38">
        <f>+'QTR Raw'!AH69</f>
        <v>830672.55</v>
      </c>
      <c r="BN114" s="38">
        <f>+'QTR Raw'!AI69</f>
        <v>855142.28</v>
      </c>
      <c r="BO114" s="38">
        <f>+'QTR Raw'!AJ69</f>
        <v>892310.13</v>
      </c>
      <c r="BP114" s="38">
        <f>+'QTR Raw'!AK69</f>
        <v>920646.67</v>
      </c>
      <c r="BQ114" s="38">
        <f>+'QTR Raw'!AL69</f>
        <v>931612.83</v>
      </c>
      <c r="BR114" s="38">
        <f>+'QTR Raw'!AM69</f>
        <v>946353.05</v>
      </c>
      <c r="BS114" s="38">
        <f>+'QTR Raw'!AN69</f>
        <v>984041.23</v>
      </c>
      <c r="BT114" s="38">
        <f>+'QTR Raw'!AO69</f>
        <v>1023726.85</v>
      </c>
      <c r="BU114" s="38">
        <f>+'QTR Raw'!AP69</f>
        <v>1049155.02</v>
      </c>
      <c r="BV114" s="38">
        <f>+'QTR Raw'!AQ69</f>
        <v>1073576.24</v>
      </c>
      <c r="BW114" s="38">
        <f>+'QTR Raw'!AR69</f>
        <v>1130113.8899999999</v>
      </c>
      <c r="BX114" s="38">
        <v>1172815.69</v>
      </c>
      <c r="BY114" s="38">
        <f>+'QTR Raw'!AT69</f>
        <v>1220017.47</v>
      </c>
      <c r="BZ114" s="39">
        <f t="shared" ref="BZ114:CO114" si="1193">+BV114+(BV114*BZ130)</f>
        <v>1232295.7520044239</v>
      </c>
      <c r="CA114" s="39">
        <f t="shared" si="1193"/>
        <v>1300979.7892271462</v>
      </c>
      <c r="CB114" s="39">
        <f t="shared" si="1193"/>
        <v>1350944.697476028</v>
      </c>
      <c r="CC114" s="39">
        <f t="shared" si="1193"/>
        <v>1407221.247379188</v>
      </c>
      <c r="CD114" s="39">
        <f t="shared" si="1193"/>
        <v>1418483.4430184534</v>
      </c>
      <c r="CE114" s="39">
        <f t="shared" si="1193"/>
        <v>1498601.431616229</v>
      </c>
      <c r="CF114" s="39">
        <f t="shared" si="1193"/>
        <v>1556395.4507404782</v>
      </c>
      <c r="CG114" s="39">
        <f t="shared" si="1193"/>
        <v>1621300.0945343021</v>
      </c>
      <c r="CH114" s="39">
        <f t="shared" si="1193"/>
        <v>1633809.3582075159</v>
      </c>
      <c r="CI114" s="39">
        <f t="shared" si="1193"/>
        <v>1726355.2621785433</v>
      </c>
      <c r="CJ114" s="39">
        <f t="shared" si="1193"/>
        <v>1792962.0250787747</v>
      </c>
      <c r="CK114" s="39">
        <f t="shared" si="1193"/>
        <v>1867698.3516283822</v>
      </c>
      <c r="CL114" s="39">
        <f t="shared" si="1193"/>
        <v>1882046.2052655672</v>
      </c>
      <c r="CM114" s="39">
        <f t="shared" si="1193"/>
        <v>1988712.5868863536</v>
      </c>
      <c r="CN114" s="39">
        <f t="shared" si="1193"/>
        <v>2065439.107544939</v>
      </c>
      <c r="CO114" s="39">
        <f t="shared" si="1193"/>
        <v>2151520.9605845041</v>
      </c>
      <c r="CS114" s="38">
        <v>1157070.4591310993</v>
      </c>
      <c r="CX114" s="38">
        <v>1220017.469</v>
      </c>
    </row>
    <row r="115" spans="1:102" s="38" customFormat="1" x14ac:dyDescent="0.2">
      <c r="AB115" s="39"/>
      <c r="AC115" s="39"/>
      <c r="AD115" s="39"/>
      <c r="AE115" s="39"/>
      <c r="AG115" s="60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</row>
    <row r="116" spans="1:102" s="43" customFormat="1" x14ac:dyDescent="0.2">
      <c r="A116" s="43" t="s">
        <v>197</v>
      </c>
      <c r="B116" s="43">
        <f>+'Annual Raw'!C78+'Annual Raw'!C79+'Annual Raw'!C80</f>
        <v>649.64779999999996</v>
      </c>
      <c r="C116" s="43">
        <f>+'Annual Raw'!D78+'Annual Raw'!D79+'Annual Raw'!D80</f>
        <v>659.01250000000005</v>
      </c>
      <c r="D116" s="43">
        <f>+'Annual Raw'!E78+'Annual Raw'!E79+'Annual Raw'!E80</f>
        <v>659.61629999999991</v>
      </c>
      <c r="E116" s="43">
        <f>+'Annual Raw'!F78+'Annual Raw'!F79+'Annual Raw'!F80</f>
        <v>680.19550000000004</v>
      </c>
      <c r="F116" s="43">
        <f>+'Annual Raw'!G78+'Annual Raw'!G79+'Annual Raw'!G80</f>
        <v>672.8143</v>
      </c>
      <c r="G116" s="43">
        <f>+'Annual Raw'!H78+'Annual Raw'!H79+'Annual Raw'!H80</f>
        <v>688.47170000000006</v>
      </c>
      <c r="H116" s="43">
        <f>+'Annual Raw'!I78+'Annual Raw'!I79+'Annual Raw'!I80</f>
        <v>2861.3535000000002</v>
      </c>
      <c r="I116" s="43">
        <f>+'Annual Raw'!J78+'Annual Raw'!J79+'Annual Raw'!J80</f>
        <v>2916.8724999999999</v>
      </c>
      <c r="J116" s="43">
        <f>+'Annual Raw'!K78+'Annual Raw'!K79+'Annual Raw'!K80</f>
        <v>2929.4609999999998</v>
      </c>
      <c r="K116" s="43">
        <f>+'Annual Raw'!L78+'Annual Raw'!L79+'Annual Raw'!L80</f>
        <v>2859.3721999999998</v>
      </c>
      <c r="L116" s="43">
        <f>+'Annual Raw'!M78+'Annual Raw'!M79+'Annual Raw'!M80</f>
        <v>2844.4049</v>
      </c>
      <c r="M116" s="43">
        <f>+'Annual Raw'!N78+'Annual Raw'!N79+'Annual Raw'!N80</f>
        <v>2857.5367999999999</v>
      </c>
      <c r="N116" s="43">
        <f>+'Annual Raw'!O78+'Annual Raw'!O79+'Annual Raw'!O80</f>
        <v>2862.7183999999997</v>
      </c>
      <c r="O116" s="43">
        <f>+'Annual Raw'!P78+'Annual Raw'!P79+'Annual Raw'!P80</f>
        <v>6641.5623000000005</v>
      </c>
      <c r="P116" s="43">
        <f>+'Annual Raw'!Q78+'Annual Raw'!Q79+'Annual Raw'!Q80</f>
        <v>6949.4472999999998</v>
      </c>
      <c r="Q116" s="43">
        <f>+'Annual Raw'!R78+'Annual Raw'!R79+'Annual Raw'!R80</f>
        <v>7198.1017000000002</v>
      </c>
      <c r="R116" s="43">
        <f>+'Annual Raw'!S78+'Annual Raw'!S79+'Annual Raw'!S80</f>
        <v>7168.3159000000005</v>
      </c>
      <c r="S116" s="43">
        <f>+'Annual Raw'!T78+'Annual Raw'!T79+'Annual Raw'!T80</f>
        <v>8318.6432000000004</v>
      </c>
      <c r="T116" s="43">
        <f>+'Annual Raw'!U78+'Annual Raw'!U79+'Annual Raw'!U80</f>
        <v>8410.2336000000014</v>
      </c>
      <c r="U116" s="43">
        <f>+'Annual Raw'!V78+'Annual Raw'!V79+'Annual Raw'!V80</f>
        <v>8276.2919000000002</v>
      </c>
      <c r="V116" s="43">
        <f>+'Annual Raw'!W78+'Annual Raw'!W79+'Annual Raw'!W80</f>
        <v>11206.5324</v>
      </c>
      <c r="W116" s="43">
        <f>+'Annual Raw'!X78+'Annual Raw'!X79+'Annual Raw'!X80</f>
        <v>11356.301699999998</v>
      </c>
      <c r="X116" s="43">
        <f>+'Annual Raw'!Y78+'Annual Raw'!Y79+'Annual Raw'!Y80</f>
        <v>10230.670599999999</v>
      </c>
      <c r="Y116" s="43">
        <f>+'Annual Raw'!Z78+'Annual Raw'!Z79+'Annual Raw'!Z80</f>
        <v>12228.1746</v>
      </c>
      <c r="Z116" s="43">
        <f>+'Annual Raw'!AA78+'Annual Raw'!AA79+'Annual Raw'!AA80</f>
        <v>10215.1494</v>
      </c>
      <c r="AA116" s="43">
        <f>+'Annual Raw'!AB78+'Annual Raw'!AB79+'Annual Raw'!AB80</f>
        <v>10570.4362</v>
      </c>
      <c r="AB116" s="44"/>
      <c r="AC116" s="44">
        <f>CG116</f>
        <v>0</v>
      </c>
      <c r="AD116" s="44">
        <f>CK116</f>
        <v>0</v>
      </c>
      <c r="AE116" s="44">
        <f>CO116</f>
        <v>0</v>
      </c>
      <c r="AG116" s="62"/>
      <c r="AH116" s="43">
        <f>+'QTR Raw'!C73</f>
        <v>7089.9</v>
      </c>
      <c r="AI116" s="43">
        <f>+'QTR Raw'!D73</f>
        <v>7212</v>
      </c>
      <c r="AJ116" s="43">
        <f>+'QTR Raw'!E73</f>
        <v>7183.46</v>
      </c>
      <c r="AK116" s="43">
        <f>+'QTR Raw'!F73</f>
        <v>7198.1</v>
      </c>
      <c r="AL116" s="43">
        <f>+'QTR Raw'!G73</f>
        <v>7160.95</v>
      </c>
      <c r="AM116" s="43">
        <f>+'QTR Raw'!H73</f>
        <v>7151.6</v>
      </c>
      <c r="AN116" s="43">
        <f>+'QTR Raw'!I73</f>
        <v>7170.57</v>
      </c>
      <c r="AO116" s="43">
        <f>+'QTR Raw'!J73</f>
        <v>7168.31</v>
      </c>
      <c r="AP116" s="43">
        <f>+'QTR Raw'!K73</f>
        <v>7131.27</v>
      </c>
      <c r="AQ116" s="43">
        <f>+'QTR Raw'!L73</f>
        <v>7121.99</v>
      </c>
      <c r="AR116" s="43">
        <f>+'QTR Raw'!M73</f>
        <v>7088.34</v>
      </c>
      <c r="AS116" s="43">
        <f>+'QTR Raw'!N73</f>
        <v>8318.64</v>
      </c>
      <c r="AT116" s="43">
        <f>+'QTR Raw'!O73</f>
        <v>8264.3799999999992</v>
      </c>
      <c r="AU116" s="43">
        <f>+'QTR Raw'!P73</f>
        <v>8270.89</v>
      </c>
      <c r="AV116" s="43">
        <f>+'QTR Raw'!Q73</f>
        <v>8254.0499999999993</v>
      </c>
      <c r="AW116" s="43">
        <f>+'QTR Raw'!R73</f>
        <v>8410.23</v>
      </c>
      <c r="AX116" s="43">
        <f>+'QTR Raw'!S73</f>
        <v>8343.89</v>
      </c>
      <c r="AY116" s="43">
        <f>+'QTR Raw'!T73</f>
        <v>8291.33</v>
      </c>
      <c r="AZ116" s="43">
        <f>+'QTR Raw'!U73</f>
        <v>8324.83</v>
      </c>
      <c r="BA116" s="43">
        <f>+'QTR Raw'!V73</f>
        <v>8276.2900000000009</v>
      </c>
      <c r="BB116" s="43">
        <f>+'QTR Raw'!W73</f>
        <v>10776.51</v>
      </c>
      <c r="BC116" s="43">
        <f>+'QTR Raw'!X73</f>
        <v>10791.66</v>
      </c>
      <c r="BD116" s="43">
        <f>+'QTR Raw'!Y73</f>
        <v>10706.32</v>
      </c>
      <c r="BE116" s="43">
        <f>+'QTR Raw'!Z73</f>
        <v>11206.53</v>
      </c>
      <c r="BF116" s="43">
        <f>+'QTR Raw'!AA73</f>
        <v>11142.58</v>
      </c>
      <c r="BG116" s="43">
        <f>+'QTR Raw'!AB73</f>
        <v>11081.65</v>
      </c>
      <c r="BH116" s="43">
        <f>+'QTR Raw'!AC73</f>
        <v>11054.2</v>
      </c>
      <c r="BI116" s="43">
        <f>+'QTR Raw'!AD73</f>
        <v>11356.3</v>
      </c>
      <c r="BJ116" s="43">
        <f>+'QTR Raw'!AE73</f>
        <v>11165.26</v>
      </c>
      <c r="BK116" s="43">
        <f>+'QTR Raw'!AF73</f>
        <v>10905.56</v>
      </c>
      <c r="BL116" s="43">
        <f>+'QTR Raw'!AG73</f>
        <v>10210.82</v>
      </c>
      <c r="BM116" s="43">
        <f>+'QTR Raw'!AH73</f>
        <v>10230.67</v>
      </c>
      <c r="BN116" s="43">
        <f>+'QTR Raw'!AI73</f>
        <v>10189.379999999999</v>
      </c>
      <c r="BO116" s="43">
        <f>+'QTR Raw'!AJ73</f>
        <v>10154.030000000001</v>
      </c>
      <c r="BP116" s="43">
        <f>+'QTR Raw'!AK73</f>
        <v>10207.219999999999</v>
      </c>
      <c r="BQ116" s="43">
        <f>+'QTR Raw'!AL73</f>
        <v>12228.17</v>
      </c>
      <c r="BR116" s="43">
        <f>+'QTR Raw'!AM73</f>
        <v>12153.65</v>
      </c>
      <c r="BS116" s="43">
        <f>+'QTR Raw'!AN73</f>
        <v>12248.77</v>
      </c>
      <c r="BT116" s="43">
        <f>+'QTR Raw'!AO73</f>
        <v>9847.73</v>
      </c>
      <c r="BU116" s="43">
        <f>+'QTR Raw'!AP73</f>
        <v>10215.15</v>
      </c>
      <c r="BV116" s="43">
        <f>+'QTR Raw'!AQ73</f>
        <v>10127.09</v>
      </c>
      <c r="BW116" s="43">
        <f>+'QTR Raw'!AR73</f>
        <v>10147.93</v>
      </c>
      <c r="BX116" s="43">
        <v>10341.84</v>
      </c>
      <c r="BY116" s="43">
        <f>+'QTR Raw'!AT73</f>
        <v>10570.44</v>
      </c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  <c r="CX116" s="43">
        <v>10570.4362</v>
      </c>
    </row>
    <row r="117" spans="1:102" s="38" customFormat="1" x14ac:dyDescent="0.2">
      <c r="A117" s="38" t="s">
        <v>198</v>
      </c>
      <c r="B117" s="38">
        <f>+'Annual Raw'!C71+'Annual Raw'!C72+'Annual Raw'!C81</f>
        <v>16593.7631</v>
      </c>
      <c r="C117" s="38">
        <f>+'Annual Raw'!D71+'Annual Raw'!D72+'Annual Raw'!D81</f>
        <v>15129.322400000001</v>
      </c>
      <c r="D117" s="38">
        <f>+'Annual Raw'!E71+'Annual Raw'!E72+'Annual Raw'!E81</f>
        <v>10465.472000000002</v>
      </c>
      <c r="E117" s="38">
        <f>+'Annual Raw'!F71+'Annual Raw'!F72+'Annual Raw'!F81</f>
        <v>15427.579599999999</v>
      </c>
      <c r="F117" s="38">
        <f>+'Annual Raw'!G71+'Annual Raw'!G72+'Annual Raw'!G81</f>
        <v>11157.0715</v>
      </c>
      <c r="G117" s="38">
        <f>+'Annual Raw'!H71+'Annual Raw'!H72+'Annual Raw'!H81</f>
        <v>15733.504200000001</v>
      </c>
      <c r="H117" s="38">
        <f>+'Annual Raw'!I71+'Annual Raw'!I72+'Annual Raw'!I81</f>
        <v>19368.463800000001</v>
      </c>
      <c r="I117" s="38">
        <f>+'Annual Raw'!J71+'Annual Raw'!J72+'Annual Raw'!J81</f>
        <v>20562.2068</v>
      </c>
      <c r="J117" s="38">
        <f>+'Annual Raw'!K71+'Annual Raw'!K72+'Annual Raw'!K81</f>
        <v>20720.037799999998</v>
      </c>
      <c r="K117" s="38">
        <f>+'Annual Raw'!L71+'Annual Raw'!L72+'Annual Raw'!L81</f>
        <v>22870.127799999998</v>
      </c>
      <c r="L117" s="38">
        <f>+'Annual Raw'!M71+'Annual Raw'!M72+'Annual Raw'!M81</f>
        <v>38196.139300000003</v>
      </c>
      <c r="M117" s="38">
        <f>+'Annual Raw'!N71+'Annual Raw'!N72+'Annual Raw'!N81</f>
        <v>36755.409200000002</v>
      </c>
      <c r="N117" s="38">
        <f>+'Annual Raw'!O71+'Annual Raw'!O72+'Annual Raw'!O81</f>
        <v>46170.435300000005</v>
      </c>
      <c r="O117" s="38">
        <f>+'Annual Raw'!P71+'Annual Raw'!P72+'Annual Raw'!P81</f>
        <v>57384.558199999999</v>
      </c>
      <c r="P117" s="38">
        <f>+'Annual Raw'!Q71+'Annual Raw'!Q72+'Annual Raw'!Q81</f>
        <v>68954.179399999994</v>
      </c>
      <c r="Q117" s="38">
        <f>+'Annual Raw'!R71+'Annual Raw'!R72+'Annual Raw'!R81</f>
        <v>78738.551500000001</v>
      </c>
      <c r="R117" s="38">
        <f>+'Annual Raw'!S71+'Annual Raw'!S72+'Annual Raw'!S81</f>
        <v>84076.478599999988</v>
      </c>
      <c r="S117" s="38">
        <f>+'Annual Raw'!T71+'Annual Raw'!T72+'Annual Raw'!T81</f>
        <v>82810.804799999998</v>
      </c>
      <c r="T117" s="38">
        <f>+'Annual Raw'!U71+'Annual Raw'!U72+'Annual Raw'!U81</f>
        <v>105643.8925</v>
      </c>
      <c r="U117" s="38">
        <f>+'Annual Raw'!V71+'Annual Raw'!V72+'Annual Raw'!V81</f>
        <v>107178.3083</v>
      </c>
      <c r="V117" s="38">
        <f>+'Annual Raw'!W71+'Annual Raw'!W72+'Annual Raw'!W81</f>
        <v>241729.12239999999</v>
      </c>
      <c r="W117" s="38">
        <f>+'Annual Raw'!X71+'Annual Raw'!X72+'Annual Raw'!X81</f>
        <v>231133.8553</v>
      </c>
      <c r="X117" s="38">
        <f>+'Annual Raw'!Y71+'Annual Raw'!Y72+'Annual Raw'!Y81</f>
        <v>185790.57399999999</v>
      </c>
      <c r="Y117" s="38">
        <f>+'Annual Raw'!Z71+'Annual Raw'!Z72+'Annual Raw'!Z81</f>
        <v>190245.29060000001</v>
      </c>
      <c r="Z117" s="38">
        <f>+'Annual Raw'!AA71+'Annual Raw'!AA72+'Annual Raw'!AA81</f>
        <v>243136.033</v>
      </c>
      <c r="AA117" s="38">
        <f>+'Annual Raw'!AB71+'Annual Raw'!AB72+'Annual Raw'!AB81</f>
        <v>249199.4026</v>
      </c>
      <c r="AB117" s="39"/>
      <c r="AC117" s="39">
        <f>CG117</f>
        <v>0</v>
      </c>
      <c r="AD117" s="39">
        <f>CK117</f>
        <v>0</v>
      </c>
      <c r="AE117" s="39">
        <f>CO117</f>
        <v>0</v>
      </c>
      <c r="AG117" s="60"/>
      <c r="AH117" s="38">
        <f>+'QTR Raw'!C66+'QTR Raw'!C67+'QTR Raw'!C77+'QTR Raw'!C78</f>
        <v>63938.899999999994</v>
      </c>
      <c r="AI117" s="38">
        <f>+'QTR Raw'!D66+'QTR Raw'!D67+'QTR Raw'!D77+'QTR Raw'!D78</f>
        <v>75328.539999999994</v>
      </c>
      <c r="AJ117" s="38">
        <f>+'QTR Raw'!E66+'QTR Raw'!E67+'QTR Raw'!E77+'QTR Raw'!E78</f>
        <v>71699.8</v>
      </c>
      <c r="AK117" s="38">
        <f>+'QTR Raw'!F66+'QTR Raw'!F67+'QTR Raw'!F77+'QTR Raw'!F78</f>
        <v>78738.55</v>
      </c>
      <c r="AL117" s="38">
        <f>+'QTR Raw'!G66+'QTR Raw'!G67+'QTR Raw'!G77+'QTR Raw'!G78</f>
        <v>80667.489999999991</v>
      </c>
      <c r="AM117" s="38">
        <f>+'QTR Raw'!H66+'QTR Raw'!H67+'QTR Raw'!H77+'QTR Raw'!H78</f>
        <v>86462.3</v>
      </c>
      <c r="AN117" s="38">
        <f>+'QTR Raw'!I66+'QTR Raw'!I67+'QTR Raw'!I77+'QTR Raw'!I78</f>
        <v>83174.41</v>
      </c>
      <c r="AO117" s="38">
        <f>+'QTR Raw'!J66+'QTR Raw'!J67+'QTR Raw'!J77+'QTR Raw'!J78</f>
        <v>84076.479999999996</v>
      </c>
      <c r="AP117" s="38">
        <f>+'QTR Raw'!K66+'QTR Raw'!K67+'QTR Raw'!K77+'QTR Raw'!K78</f>
        <v>82033.929999999993</v>
      </c>
      <c r="AQ117" s="38">
        <f>+'QTR Raw'!L66+'QTR Raw'!L67+'QTR Raw'!L77+'QTR Raw'!L78</f>
        <v>72757.740000000005</v>
      </c>
      <c r="AR117" s="38">
        <f>+'QTR Raw'!M66+'QTR Raw'!M67+'QTR Raw'!M77+'QTR Raw'!M78</f>
        <v>77736.12000000001</v>
      </c>
      <c r="AS117" s="38">
        <f>+'QTR Raw'!N66+'QTR Raw'!N67+'QTR Raw'!N77+'QTR Raw'!N78</f>
        <v>82810.8</v>
      </c>
      <c r="AT117" s="38">
        <f>+'QTR Raw'!O66+'QTR Raw'!O67+'QTR Raw'!O77+'QTR Raw'!O78</f>
        <v>81317.760000000009</v>
      </c>
      <c r="AU117" s="38">
        <f>+'QTR Raw'!P66+'QTR Raw'!P67+'QTR Raw'!P77+'QTR Raw'!P78</f>
        <v>81334.42</v>
      </c>
      <c r="AV117" s="38">
        <f>+'QTR Raw'!Q66+'QTR Raw'!Q67+'QTR Raw'!Q77+'QTR Raw'!Q78</f>
        <v>93954.44</v>
      </c>
      <c r="AW117" s="38">
        <f>+'QTR Raw'!R66+'QTR Raw'!R67+'QTR Raw'!R77+'QTR Raw'!R78</f>
        <v>105643.89</v>
      </c>
      <c r="AX117" s="38">
        <f>+'QTR Raw'!S66+'QTR Raw'!S67+'QTR Raw'!S77+'QTR Raw'!S78</f>
        <v>105287.26000000001</v>
      </c>
      <c r="AY117" s="38">
        <f>+'QTR Raw'!T66+'QTR Raw'!T67+'QTR Raw'!T77+'QTR Raw'!T78</f>
        <v>108580.15000000001</v>
      </c>
      <c r="AZ117" s="38">
        <f>+'QTR Raw'!U66+'QTR Raw'!U67+'QTR Raw'!U77+'QTR Raw'!U78</f>
        <v>122109.12000000001</v>
      </c>
      <c r="BA117" s="38">
        <f>+'QTR Raw'!V66+'QTR Raw'!V67+'QTR Raw'!V77+'QTR Raw'!V78</f>
        <v>107178.32</v>
      </c>
      <c r="BB117" s="38">
        <f>+'QTR Raw'!W66+'QTR Raw'!W67+'QTR Raw'!W77+'QTR Raw'!W78</f>
        <v>167319.89000000001</v>
      </c>
      <c r="BC117" s="38">
        <f>+'QTR Raw'!X66+'QTR Raw'!X67+'QTR Raw'!X77+'QTR Raw'!X78</f>
        <v>196662.78999999998</v>
      </c>
      <c r="BD117" s="38">
        <f>+'QTR Raw'!Y66+'QTR Raw'!Y67+'QTR Raw'!Y77+'QTR Raw'!Y78</f>
        <v>201142.11</v>
      </c>
      <c r="BE117" s="38">
        <f>+'QTR Raw'!Z66+'QTR Raw'!Z67+'QTR Raw'!Z77+'QTR Raw'!Z78</f>
        <v>241729.12</v>
      </c>
      <c r="BF117" s="38">
        <f>+'QTR Raw'!AA66+'QTR Raw'!AA67+'QTR Raw'!AA77+'QTR Raw'!AA78</f>
        <v>225498.51</v>
      </c>
      <c r="BG117" s="38">
        <f>+'QTR Raw'!AB66+'QTR Raw'!AB67+'QTR Raw'!AB77+'QTR Raw'!AB78</f>
        <v>254960.52000000002</v>
      </c>
      <c r="BH117" s="38">
        <f>+'QTR Raw'!AC66+'QTR Raw'!AC67+'QTR Raw'!AC77+'QTR Raw'!AC78</f>
        <v>216701.48</v>
      </c>
      <c r="BI117" s="38">
        <f>+'QTR Raw'!AD66+'QTR Raw'!AD67+'QTR Raw'!AD77+'QTR Raw'!AD78</f>
        <v>231133.86</v>
      </c>
      <c r="BJ117" s="38">
        <f>+'QTR Raw'!AE66+'QTR Raw'!AE67+'QTR Raw'!AE77+'QTR Raw'!AE78</f>
        <v>203016.47999999998</v>
      </c>
      <c r="BK117" s="38">
        <f>+'QTR Raw'!AF66+'QTR Raw'!AF67+'QTR Raw'!AF77+'QTR Raw'!AF78</f>
        <v>189500.24</v>
      </c>
      <c r="BL117" s="38">
        <f>+'QTR Raw'!AG66+'QTR Raw'!AG67+'QTR Raw'!AG77+'QTR Raw'!AG78</f>
        <v>181483.63</v>
      </c>
      <c r="BM117" s="38">
        <f>+'QTR Raw'!AH66+'QTR Raw'!AH67+'QTR Raw'!AH77+'QTR Raw'!AH78</f>
        <v>185790.58000000002</v>
      </c>
      <c r="BN117" s="38">
        <f>+'QTR Raw'!AI66+'QTR Raw'!AI67+'QTR Raw'!AI77+'QTR Raw'!AI78</f>
        <v>188331.46</v>
      </c>
      <c r="BO117" s="38">
        <f>+'QTR Raw'!AJ66+'QTR Raw'!AJ67+'QTR Raw'!AJ77+'QTR Raw'!AJ78</f>
        <v>179260.40000000002</v>
      </c>
      <c r="BP117" s="38">
        <f>+'QTR Raw'!AK66+'QTR Raw'!AK67+'QTR Raw'!AK77+'QTR Raw'!AK78</f>
        <v>194855.35</v>
      </c>
      <c r="BQ117" s="38">
        <f>+'QTR Raw'!AL66+'QTR Raw'!AL67+'QTR Raw'!AL77+'QTR Raw'!AL78</f>
        <v>190245.3</v>
      </c>
      <c r="BR117" s="38">
        <f>+'QTR Raw'!AM66+'QTR Raw'!AM67+'QTR Raw'!AM77+'QTR Raw'!AM78</f>
        <v>203662.21</v>
      </c>
      <c r="BS117" s="38">
        <f>+'QTR Raw'!AN66+'QTR Raw'!AN67+'QTR Raw'!AN77+'QTR Raw'!AN78</f>
        <v>206472.96000000002</v>
      </c>
      <c r="BT117" s="38">
        <f>+'QTR Raw'!AO66+'QTR Raw'!AO67+'QTR Raw'!AO77+'QTR Raw'!AO78</f>
        <v>179701.7</v>
      </c>
      <c r="BU117" s="38">
        <f>+'QTR Raw'!AP66+'QTR Raw'!AP67+'QTR Raw'!AP77+'QTR Raw'!AP78</f>
        <v>243136.03</v>
      </c>
      <c r="BV117" s="38">
        <f>+'QTR Raw'!AQ66+'QTR Raw'!AQ67+'QTR Raw'!AQ77+'QTR Raw'!AQ78</f>
        <v>246606.63</v>
      </c>
      <c r="BW117" s="38">
        <f>+'QTR Raw'!AR66+'QTR Raw'!AR67+'QTR Raw'!AR77+'QTR Raw'!AR78</f>
        <v>230012.14</v>
      </c>
      <c r="BX117" s="38">
        <f>49715.83+152708.42+42038.6</f>
        <v>244462.85</v>
      </c>
      <c r="BY117" s="38">
        <f>+'QTR Raw'!AT66+'QTR Raw'!AT67+'QTR Raw'!AT77+'QTR Raw'!AT78</f>
        <v>249199.4</v>
      </c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X117" s="38">
        <v>249199.4026</v>
      </c>
    </row>
    <row r="118" spans="1:102" s="38" customFormat="1" x14ac:dyDescent="0.2">
      <c r="A118" s="38" t="s">
        <v>199</v>
      </c>
      <c r="B118" s="38">
        <f>+'Annual Raw'!C69</f>
        <v>3088.8171000000002</v>
      </c>
      <c r="C118" s="38">
        <f>+'Annual Raw'!D69</f>
        <v>4366.2429000000002</v>
      </c>
      <c r="D118" s="38">
        <f>+'Annual Raw'!E69</f>
        <v>5717.4575000000004</v>
      </c>
      <c r="E118" s="38">
        <f>+'Annual Raw'!F69</f>
        <v>7188.2957999999999</v>
      </c>
      <c r="F118" s="38">
        <f>+'Annual Raw'!G69</f>
        <v>7286.1333000000004</v>
      </c>
      <c r="G118" s="38">
        <f>+'Annual Raw'!H69</f>
        <v>8860.5669999999991</v>
      </c>
      <c r="H118" s="38">
        <f>+'Annual Raw'!I69</f>
        <v>11651.253000000001</v>
      </c>
      <c r="I118" s="38">
        <f>+'Annual Raw'!J69</f>
        <v>13438.5453</v>
      </c>
      <c r="J118" s="38">
        <f>+'Annual Raw'!K69</f>
        <v>6544.5771000000004</v>
      </c>
      <c r="K118" s="38">
        <f>+'Annual Raw'!L69</f>
        <v>6977.2988999999998</v>
      </c>
      <c r="L118" s="38">
        <f>+'Annual Raw'!M69</f>
        <v>8206.7505000000001</v>
      </c>
      <c r="M118" s="38">
        <f>+'Annual Raw'!N69</f>
        <v>8891.1183999999994</v>
      </c>
      <c r="N118" s="38">
        <f>+'Annual Raw'!O69</f>
        <v>11325.454599999999</v>
      </c>
      <c r="O118" s="38">
        <f>+'Annual Raw'!P69</f>
        <v>14348.2863</v>
      </c>
      <c r="P118" s="38">
        <f>+'Annual Raw'!Q69</f>
        <v>16629.661700000001</v>
      </c>
      <c r="Q118" s="38">
        <f>+'Annual Raw'!R69</f>
        <v>14692.6993</v>
      </c>
      <c r="R118" s="38">
        <f>+'Annual Raw'!S69</f>
        <v>15055.104799999999</v>
      </c>
      <c r="S118" s="38">
        <f>+'Annual Raw'!T69</f>
        <v>17700.8959</v>
      </c>
      <c r="T118" s="38">
        <f>+'Annual Raw'!U69</f>
        <v>18563.8894</v>
      </c>
      <c r="U118" s="38">
        <f>+'Annual Raw'!V69</f>
        <v>16468.839800000002</v>
      </c>
      <c r="V118" s="38">
        <f>+'Annual Raw'!W69</f>
        <v>33931.959499999997</v>
      </c>
      <c r="W118" s="38">
        <f>+'Annual Raw'!X69</f>
        <v>29299.357400000001</v>
      </c>
      <c r="X118" s="38">
        <f>+'Annual Raw'!Y69</f>
        <v>34816.671699999999</v>
      </c>
      <c r="Y118" s="38">
        <f>+'Annual Raw'!Z69</f>
        <v>34627.239000000001</v>
      </c>
      <c r="Z118" s="38">
        <f>+'Annual Raw'!AA69</f>
        <v>38237.182200000003</v>
      </c>
      <c r="AA118" s="38">
        <f>+'Annual Raw'!AB69</f>
        <v>45853.448600000003</v>
      </c>
      <c r="AB118" s="39"/>
      <c r="AC118" s="39">
        <f>CG118</f>
        <v>0</v>
      </c>
      <c r="AD118" s="39">
        <f>CK118</f>
        <v>0</v>
      </c>
      <c r="AE118" s="39">
        <f>CO118</f>
        <v>0</v>
      </c>
      <c r="AG118" s="60"/>
      <c r="AH118" s="38">
        <f>+'QTR Raw'!C64</f>
        <v>14994.32</v>
      </c>
      <c r="AI118" s="38">
        <f>+'QTR Raw'!D64</f>
        <v>13997.93</v>
      </c>
      <c r="AJ118" s="38">
        <f>+'QTR Raw'!E64</f>
        <v>15194.92</v>
      </c>
      <c r="AK118" s="38">
        <f>+'QTR Raw'!F64</f>
        <v>14692.7</v>
      </c>
      <c r="AL118" s="38">
        <f>+'QTR Raw'!G64</f>
        <v>14099.59</v>
      </c>
      <c r="AM118" s="38">
        <f>+'QTR Raw'!H64</f>
        <v>20198.41</v>
      </c>
      <c r="AN118" s="38">
        <f>+'QTR Raw'!I64</f>
        <v>16948.169999999998</v>
      </c>
      <c r="AO118" s="38">
        <f>+'QTR Raw'!J64</f>
        <v>15055.1</v>
      </c>
      <c r="AP118" s="38">
        <f>+'QTR Raw'!K64</f>
        <v>16139.52</v>
      </c>
      <c r="AQ118" s="38">
        <f>+'QTR Raw'!L64</f>
        <v>14301.6</v>
      </c>
      <c r="AR118" s="38">
        <f>+'QTR Raw'!M64</f>
        <v>14527.11</v>
      </c>
      <c r="AS118" s="38">
        <f>+'QTR Raw'!N64</f>
        <v>17700.900000000001</v>
      </c>
      <c r="AT118" s="38">
        <f>+'QTR Raw'!O64</f>
        <v>16595.669999999998</v>
      </c>
      <c r="AU118" s="38">
        <f>+'QTR Raw'!P64</f>
        <v>13306.01</v>
      </c>
      <c r="AV118" s="38">
        <f>+'QTR Raw'!Q64</f>
        <v>18164.150000000001</v>
      </c>
      <c r="AW118" s="38">
        <f>+'QTR Raw'!R64</f>
        <v>18563.89</v>
      </c>
      <c r="AX118" s="38">
        <f>+'QTR Raw'!S64</f>
        <v>14387.28</v>
      </c>
      <c r="AY118" s="38">
        <f>+'QTR Raw'!T64</f>
        <v>18777.7</v>
      </c>
      <c r="AZ118" s="38">
        <f>+'QTR Raw'!U64</f>
        <v>15069.63</v>
      </c>
      <c r="BA118" s="38">
        <f>+'QTR Raw'!V64</f>
        <v>16468.84</v>
      </c>
      <c r="BB118" s="38">
        <f>+'QTR Raw'!W64</f>
        <v>27632.560000000001</v>
      </c>
      <c r="BC118" s="38">
        <f>+'QTR Raw'!X64</f>
        <v>34986.76</v>
      </c>
      <c r="BD118" s="38">
        <f>+'QTR Raw'!Y64</f>
        <v>31059.49</v>
      </c>
      <c r="BE118" s="38">
        <f>+'QTR Raw'!Z64</f>
        <v>33931.96</v>
      </c>
      <c r="BF118" s="38">
        <f>+'QTR Raw'!AA64</f>
        <v>24666.45</v>
      </c>
      <c r="BG118" s="38">
        <f>+'QTR Raw'!AB64</f>
        <v>27586.11</v>
      </c>
      <c r="BH118" s="38">
        <f>+'QTR Raw'!AC64</f>
        <v>32000.080000000002</v>
      </c>
      <c r="BI118" s="38">
        <f>+'QTR Raw'!AD64</f>
        <v>29299.360000000001</v>
      </c>
      <c r="BJ118" s="38">
        <f>+'QTR Raw'!AE64</f>
        <v>27517.34</v>
      </c>
      <c r="BK118" s="38">
        <f>+'QTR Raw'!AF64</f>
        <v>30651.48</v>
      </c>
      <c r="BL118" s="38">
        <f>+'QTR Raw'!AG64</f>
        <v>28023.99</v>
      </c>
      <c r="BM118" s="38">
        <f>+'QTR Raw'!AH64</f>
        <v>34816.67</v>
      </c>
      <c r="BN118" s="38">
        <f>+'QTR Raw'!AI64</f>
        <v>30971.75</v>
      </c>
      <c r="BO118" s="38">
        <f>+'QTR Raw'!AJ64</f>
        <v>32057.85</v>
      </c>
      <c r="BP118" s="38">
        <f>+'QTR Raw'!AK64</f>
        <v>33284.97</v>
      </c>
      <c r="BQ118" s="38">
        <f>+'QTR Raw'!AL64</f>
        <v>34627.24</v>
      </c>
      <c r="BR118" s="38">
        <f>+'QTR Raw'!AM64</f>
        <v>31806.31</v>
      </c>
      <c r="BS118" s="38">
        <f>+'QTR Raw'!AN64</f>
        <v>36502.839999999997</v>
      </c>
      <c r="BT118" s="38">
        <f>+'QTR Raw'!AO64</f>
        <v>32468.99</v>
      </c>
      <c r="BU118" s="38">
        <f>+'QTR Raw'!AP64</f>
        <v>38237.17</v>
      </c>
      <c r="BV118" s="38">
        <f>+'QTR Raw'!AQ64</f>
        <v>35854.400000000001</v>
      </c>
      <c r="BW118" s="38">
        <f>+'QTR Raw'!AR64</f>
        <v>37541.620000000003</v>
      </c>
      <c r="BX118" s="38">
        <v>39946.870000000003</v>
      </c>
      <c r="BY118" s="38">
        <f>+'QTR Raw'!AT64</f>
        <v>45853.45</v>
      </c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X118" s="38">
        <v>45853.448600000003</v>
      </c>
    </row>
    <row r="119" spans="1:102" s="38" customFormat="1" x14ac:dyDescent="0.2">
      <c r="AB119" s="39"/>
      <c r="AC119" s="39"/>
      <c r="AD119" s="39"/>
      <c r="AE119" s="39"/>
      <c r="AG119" s="60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</row>
    <row r="120" spans="1:102" s="38" customFormat="1" x14ac:dyDescent="0.2">
      <c r="A120" s="38" t="s">
        <v>22</v>
      </c>
      <c r="B120" s="38">
        <f t="shared" ref="B120:Z120" si="1194">+B117-B118</f>
        <v>13504.946</v>
      </c>
      <c r="C120" s="38">
        <f t="shared" si="1194"/>
        <v>10763.0795</v>
      </c>
      <c r="D120" s="38">
        <f t="shared" si="1194"/>
        <v>4748.0145000000011</v>
      </c>
      <c r="E120" s="38">
        <f t="shared" si="1194"/>
        <v>8239.2837999999992</v>
      </c>
      <c r="F120" s="38">
        <f t="shared" si="1194"/>
        <v>3870.9381999999996</v>
      </c>
      <c r="G120" s="38">
        <f t="shared" si="1194"/>
        <v>6872.9372000000021</v>
      </c>
      <c r="H120" s="38">
        <f t="shared" si="1194"/>
        <v>7717.2108000000007</v>
      </c>
      <c r="I120" s="38">
        <f t="shared" si="1194"/>
        <v>7123.6615000000002</v>
      </c>
      <c r="J120" s="38">
        <f t="shared" si="1194"/>
        <v>14175.460699999998</v>
      </c>
      <c r="K120" s="38">
        <f t="shared" si="1194"/>
        <v>15892.828899999999</v>
      </c>
      <c r="L120" s="38">
        <f t="shared" si="1194"/>
        <v>29989.388800000001</v>
      </c>
      <c r="M120" s="38">
        <f t="shared" si="1194"/>
        <v>27864.290800000002</v>
      </c>
      <c r="N120" s="38">
        <f t="shared" si="1194"/>
        <v>34844.980700000007</v>
      </c>
      <c r="O120" s="38">
        <f t="shared" si="1194"/>
        <v>43036.2719</v>
      </c>
      <c r="P120" s="38">
        <f t="shared" si="1194"/>
        <v>52324.517699999997</v>
      </c>
      <c r="Q120" s="38">
        <f t="shared" si="1194"/>
        <v>64045.852200000001</v>
      </c>
      <c r="R120" s="38">
        <f t="shared" si="1194"/>
        <v>69021.373799999987</v>
      </c>
      <c r="S120" s="38">
        <f t="shared" si="1194"/>
        <v>65109.908899999995</v>
      </c>
      <c r="T120" s="38">
        <f t="shared" si="1194"/>
        <v>87080.003100000002</v>
      </c>
      <c r="U120" s="38">
        <f t="shared" si="1194"/>
        <v>90709.468500000003</v>
      </c>
      <c r="V120" s="38">
        <f t="shared" si="1194"/>
        <v>207797.1629</v>
      </c>
      <c r="W120" s="38">
        <f t="shared" si="1194"/>
        <v>201834.49789999999</v>
      </c>
      <c r="X120" s="38">
        <f t="shared" si="1194"/>
        <v>150973.90229999999</v>
      </c>
      <c r="Y120" s="38">
        <f t="shared" si="1194"/>
        <v>155618.05160000001</v>
      </c>
      <c r="Z120" s="38">
        <f t="shared" si="1194"/>
        <v>204898.85079999999</v>
      </c>
      <c r="AA120" s="38">
        <f t="shared" ref="AA120" si="1195">+AA117-AA118</f>
        <v>203345.954</v>
      </c>
      <c r="AB120" s="39">
        <f>CC120</f>
        <v>152366.79855577135</v>
      </c>
      <c r="AC120" s="39">
        <f>CG120</f>
        <v>88523.052645166405</v>
      </c>
      <c r="AD120" s="39">
        <f>CK120</f>
        <v>7642.2471749987453</v>
      </c>
      <c r="AE120" s="39">
        <f>CO120</f>
        <v>-93984.879574112827</v>
      </c>
      <c r="AG120" s="60"/>
      <c r="AH120" s="38">
        <f>+AH117-AH118</f>
        <v>48944.579999999994</v>
      </c>
      <c r="AI120" s="38">
        <f t="shared" ref="AI120:BC120" si="1196">+AI117-AI118</f>
        <v>61330.609999999993</v>
      </c>
      <c r="AJ120" s="38">
        <f t="shared" si="1196"/>
        <v>56504.880000000005</v>
      </c>
      <c r="AK120" s="38">
        <f t="shared" si="1196"/>
        <v>64045.850000000006</v>
      </c>
      <c r="AL120" s="38">
        <f t="shared" si="1196"/>
        <v>66567.899999999994</v>
      </c>
      <c r="AM120" s="38">
        <f t="shared" si="1196"/>
        <v>66263.89</v>
      </c>
      <c r="AN120" s="38">
        <f t="shared" si="1196"/>
        <v>66226.240000000005</v>
      </c>
      <c r="AO120" s="38">
        <f t="shared" si="1196"/>
        <v>69021.37999999999</v>
      </c>
      <c r="AP120" s="38">
        <f t="shared" si="1196"/>
        <v>65894.409999999989</v>
      </c>
      <c r="AQ120" s="38">
        <f t="shared" si="1196"/>
        <v>58456.140000000007</v>
      </c>
      <c r="AR120" s="38">
        <f t="shared" si="1196"/>
        <v>63209.010000000009</v>
      </c>
      <c r="AS120" s="38">
        <f t="shared" si="1196"/>
        <v>65109.9</v>
      </c>
      <c r="AT120" s="38">
        <f t="shared" ref="AT120:BB120" si="1197">+AT117-AT118</f>
        <v>64722.090000000011</v>
      </c>
      <c r="AU120" s="38">
        <f t="shared" si="1197"/>
        <v>68028.41</v>
      </c>
      <c r="AV120" s="38">
        <f t="shared" si="1197"/>
        <v>75790.290000000008</v>
      </c>
      <c r="AW120" s="38">
        <f t="shared" si="1197"/>
        <v>87080</v>
      </c>
      <c r="AX120" s="38">
        <f t="shared" si="1197"/>
        <v>90899.98000000001</v>
      </c>
      <c r="AY120" s="38">
        <f t="shared" si="1197"/>
        <v>89802.450000000012</v>
      </c>
      <c r="AZ120" s="38">
        <f t="shared" si="1197"/>
        <v>107039.49</v>
      </c>
      <c r="BA120" s="38">
        <f t="shared" si="1197"/>
        <v>90709.48000000001</v>
      </c>
      <c r="BB120" s="38">
        <f t="shared" si="1197"/>
        <v>139687.33000000002</v>
      </c>
      <c r="BC120" s="38">
        <f t="shared" si="1196"/>
        <v>161676.02999999997</v>
      </c>
      <c r="BD120" s="38">
        <f t="shared" ref="BD120:BV120" si="1198">+BD117-BD118</f>
        <v>170082.62</v>
      </c>
      <c r="BE120" s="38">
        <f t="shared" si="1198"/>
        <v>207797.16</v>
      </c>
      <c r="BF120" s="38">
        <f t="shared" si="1198"/>
        <v>200832.06</v>
      </c>
      <c r="BG120" s="38">
        <f t="shared" si="1198"/>
        <v>227374.41000000003</v>
      </c>
      <c r="BH120" s="38">
        <f t="shared" si="1198"/>
        <v>184701.40000000002</v>
      </c>
      <c r="BI120" s="38">
        <f t="shared" si="1198"/>
        <v>201834.5</v>
      </c>
      <c r="BJ120" s="38">
        <f t="shared" si="1198"/>
        <v>175499.13999999998</v>
      </c>
      <c r="BK120" s="38">
        <f t="shared" si="1198"/>
        <v>158848.75999999998</v>
      </c>
      <c r="BL120" s="38">
        <f t="shared" si="1198"/>
        <v>153459.64000000001</v>
      </c>
      <c r="BM120" s="38">
        <f t="shared" si="1198"/>
        <v>150973.91000000003</v>
      </c>
      <c r="BN120" s="38">
        <f t="shared" si="1198"/>
        <v>157359.71</v>
      </c>
      <c r="BO120" s="38">
        <f t="shared" si="1198"/>
        <v>147202.55000000002</v>
      </c>
      <c r="BP120" s="38">
        <f t="shared" si="1198"/>
        <v>161570.38</v>
      </c>
      <c r="BQ120" s="38">
        <f t="shared" si="1198"/>
        <v>155618.06</v>
      </c>
      <c r="BR120" s="38">
        <f t="shared" si="1198"/>
        <v>171855.9</v>
      </c>
      <c r="BS120" s="38">
        <f t="shared" si="1198"/>
        <v>169970.12000000002</v>
      </c>
      <c r="BT120" s="38">
        <f t="shared" si="1198"/>
        <v>147232.71000000002</v>
      </c>
      <c r="BU120" s="38">
        <f t="shared" si="1198"/>
        <v>204898.86</v>
      </c>
      <c r="BV120" s="38">
        <f t="shared" si="1198"/>
        <v>210752.23</v>
      </c>
      <c r="BW120" s="38">
        <f t="shared" ref="BW120:BX120" si="1199">+BW117-BW118</f>
        <v>192470.52000000002</v>
      </c>
      <c r="BX120" s="38">
        <f t="shared" si="1199"/>
        <v>204515.98</v>
      </c>
      <c r="BY120" s="38">
        <f t="shared" ref="BY120" si="1200">+BY117-BY118</f>
        <v>203345.95</v>
      </c>
      <c r="BZ120" s="39">
        <f t="shared" ref="BZ120:CO120" si="1201">+BZ111-BZ113-BZ114</f>
        <v>235315.36735571804</v>
      </c>
      <c r="CA120" s="39">
        <f t="shared" si="1201"/>
        <v>228114.30876551545</v>
      </c>
      <c r="CB120" s="39">
        <f t="shared" si="1201"/>
        <v>172456.72144445335</v>
      </c>
      <c r="CC120" s="39">
        <f t="shared" si="1201"/>
        <v>152366.79855577135</v>
      </c>
      <c r="CD120" s="39">
        <f t="shared" si="1201"/>
        <v>198986.17042436893</v>
      </c>
      <c r="CE120" s="39">
        <f t="shared" si="1201"/>
        <v>181994.95988432178</v>
      </c>
      <c r="CF120" s="39">
        <f t="shared" si="1201"/>
        <v>113719.89333132631</v>
      </c>
      <c r="CG120" s="39">
        <f t="shared" si="1201"/>
        <v>88523.052645166405</v>
      </c>
      <c r="CH120" s="39">
        <f t="shared" si="1201"/>
        <v>142621.99095444568</v>
      </c>
      <c r="CI120" s="39">
        <f t="shared" si="1201"/>
        <v>117422.10943463049</v>
      </c>
      <c r="CJ120" s="39">
        <f t="shared" si="1201"/>
        <v>38513.925975163467</v>
      </c>
      <c r="CK120" s="39">
        <f t="shared" si="1201"/>
        <v>7642.2471749987453</v>
      </c>
      <c r="CL120" s="39">
        <f t="shared" si="1201"/>
        <v>67004.733812388033</v>
      </c>
      <c r="CM120" s="39">
        <f t="shared" si="1201"/>
        <v>34153.833729645936</v>
      </c>
      <c r="CN120" s="39">
        <f t="shared" si="1201"/>
        <v>-56224.526018955745</v>
      </c>
      <c r="CO120" s="39">
        <f t="shared" si="1201"/>
        <v>-93984.879574112827</v>
      </c>
      <c r="CS120" s="38">
        <v>161435.45862344978</v>
      </c>
      <c r="CX120" s="38">
        <v>203345.954</v>
      </c>
    </row>
    <row r="121" spans="1:102" s="43" customFormat="1" x14ac:dyDescent="0.2">
      <c r="AB121" s="44"/>
      <c r="AC121" s="44"/>
      <c r="AD121" s="44"/>
      <c r="AE121" s="44"/>
      <c r="AG121" s="62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</row>
    <row r="122" spans="1:102" s="43" customFormat="1" x14ac:dyDescent="0.2">
      <c r="AB122" s="44"/>
      <c r="AC122" s="44"/>
      <c r="AD122" s="44"/>
      <c r="AE122" s="44"/>
      <c r="AG122" s="62"/>
      <c r="BZ122" s="44"/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</row>
    <row r="123" spans="1:102" s="40" customFormat="1" x14ac:dyDescent="0.2">
      <c r="A123" s="40" t="s">
        <v>54</v>
      </c>
      <c r="B123" s="40">
        <f t="shared" ref="B123:AE123" si="1202">+B120+B116+B114+B113</f>
        <v>63431.825199999999</v>
      </c>
      <c r="C123" s="40">
        <f t="shared" si="1202"/>
        <v>67768.902799999996</v>
      </c>
      <c r="D123" s="40">
        <f t="shared" si="1202"/>
        <v>76337.473100000003</v>
      </c>
      <c r="E123" s="40">
        <f t="shared" si="1202"/>
        <v>92351.0965</v>
      </c>
      <c r="F123" s="40">
        <f t="shared" si="1202"/>
        <v>103019.04000000001</v>
      </c>
      <c r="G123" s="40">
        <f t="shared" si="1202"/>
        <v>123961.2917</v>
      </c>
      <c r="H123" s="40">
        <f t="shared" si="1202"/>
        <v>154309.78969999999</v>
      </c>
      <c r="I123" s="40">
        <f t="shared" si="1202"/>
        <v>167090.14670000001</v>
      </c>
      <c r="J123" s="40">
        <f t="shared" si="1202"/>
        <v>213101.22629999998</v>
      </c>
      <c r="K123" s="40">
        <f t="shared" si="1202"/>
        <v>257763.78390000001</v>
      </c>
      <c r="L123" s="40">
        <f t="shared" si="1202"/>
        <v>327738.10620000004</v>
      </c>
      <c r="M123" s="40">
        <f t="shared" si="1202"/>
        <v>365269.07429999998</v>
      </c>
      <c r="N123" s="40">
        <f t="shared" si="1202"/>
        <v>401017.15399999998</v>
      </c>
      <c r="O123" s="40">
        <f t="shared" si="1202"/>
        <v>477573.56799999997</v>
      </c>
      <c r="P123" s="40">
        <f t="shared" si="1202"/>
        <v>531370.9031</v>
      </c>
      <c r="Q123" s="40">
        <f t="shared" si="1202"/>
        <v>538268.07900000003</v>
      </c>
      <c r="R123" s="40">
        <f t="shared" si="1202"/>
        <v>568464.33869999996</v>
      </c>
      <c r="S123" s="40">
        <f t="shared" si="1202"/>
        <v>599185.20889999997</v>
      </c>
      <c r="T123" s="40">
        <f t="shared" si="1202"/>
        <v>676202.80110000004</v>
      </c>
      <c r="U123" s="40">
        <f t="shared" si="1202"/>
        <v>707405.90549999999</v>
      </c>
      <c r="V123" s="40">
        <f t="shared" si="1202"/>
        <v>1119743.0754</v>
      </c>
      <c r="W123" s="40">
        <f t="shared" si="1202"/>
        <v>1198805.5233</v>
      </c>
      <c r="X123" s="40">
        <f t="shared" si="1202"/>
        <v>1310915.5758</v>
      </c>
      <c r="Y123" s="40">
        <f t="shared" si="1202"/>
        <v>1456913.4808</v>
      </c>
      <c r="Z123" s="40">
        <f t="shared" si="1202"/>
        <v>1646448.4014999999</v>
      </c>
      <c r="AA123" s="40">
        <f t="shared" ref="AA123" si="1203">+AA120+AA116+AA114+AA113</f>
        <v>1837348.442</v>
      </c>
      <c r="AB123" s="41">
        <f t="shared" si="1202"/>
        <v>2005007.9133422119</v>
      </c>
      <c r="AC123" s="41">
        <f t="shared" si="1202"/>
        <v>2196710.8457524385</v>
      </c>
      <c r="AD123" s="41">
        <f t="shared" si="1202"/>
        <v>2407312.3179292008</v>
      </c>
      <c r="AE123" s="41">
        <f t="shared" si="1202"/>
        <v>2639081.8666992276</v>
      </c>
      <c r="AG123" s="61"/>
      <c r="AH123" s="40">
        <f t="shared" ref="AH123:BC123" si="1204">+AH113+AH114+AH116+AH120+AH122</f>
        <v>529674.32999999996</v>
      </c>
      <c r="AI123" s="40">
        <f t="shared" si="1204"/>
        <v>544850.52</v>
      </c>
      <c r="AJ123" s="40">
        <f t="shared" si="1204"/>
        <v>551491.05000000005</v>
      </c>
      <c r="AK123" s="40">
        <f t="shared" si="1204"/>
        <v>538268.07999999996</v>
      </c>
      <c r="AL123" s="40">
        <f t="shared" si="1204"/>
        <v>525667.62</v>
      </c>
      <c r="AM123" s="40">
        <f t="shared" si="1204"/>
        <v>541934.28</v>
      </c>
      <c r="AN123" s="40">
        <f t="shared" si="1204"/>
        <v>574067.78</v>
      </c>
      <c r="AO123" s="40">
        <f t="shared" si="1204"/>
        <v>568464.34</v>
      </c>
      <c r="AP123" s="40">
        <f t="shared" si="1204"/>
        <v>563735.80000000005</v>
      </c>
      <c r="AQ123" s="40">
        <f t="shared" si="1204"/>
        <v>560859.23</v>
      </c>
      <c r="AR123" s="40">
        <f t="shared" si="1204"/>
        <v>585245.99</v>
      </c>
      <c r="AS123" s="40">
        <f t="shared" si="1204"/>
        <v>599185.20000000007</v>
      </c>
      <c r="AT123" s="40">
        <f t="shared" ref="AT123:BB123" si="1205">+AT113+AT114+AT116+AT120+AT122</f>
        <v>603702.30000000005</v>
      </c>
      <c r="AU123" s="40">
        <f t="shared" si="1205"/>
        <v>637516.10000000009</v>
      </c>
      <c r="AV123" s="40">
        <f t="shared" si="1205"/>
        <v>653966.25000000012</v>
      </c>
      <c r="AW123" s="40">
        <f t="shared" si="1205"/>
        <v>676202.8</v>
      </c>
      <c r="AX123" s="40">
        <f t="shared" si="1205"/>
        <v>685935.27</v>
      </c>
      <c r="AY123" s="40">
        <f t="shared" si="1205"/>
        <v>688645.89999999991</v>
      </c>
      <c r="AZ123" s="40">
        <f t="shared" si="1205"/>
        <v>703023.17999999993</v>
      </c>
      <c r="BA123" s="40">
        <f t="shared" si="1205"/>
        <v>707405.91</v>
      </c>
      <c r="BB123" s="40">
        <f t="shared" si="1205"/>
        <v>1018539.9300000002</v>
      </c>
      <c r="BC123" s="40">
        <f t="shared" si="1204"/>
        <v>1054015.44</v>
      </c>
      <c r="BD123" s="40">
        <f t="shared" ref="BD123:BV123" si="1206">+BD113+BD114+BD116+BD120+BD122</f>
        <v>1086632.48</v>
      </c>
      <c r="BE123" s="40">
        <f t="shared" si="1206"/>
        <v>1119743.07</v>
      </c>
      <c r="BF123" s="40">
        <f t="shared" si="1206"/>
        <v>1133557.6499999999</v>
      </c>
      <c r="BG123" s="40">
        <f t="shared" si="1206"/>
        <v>1171546.54</v>
      </c>
      <c r="BH123" s="40">
        <f t="shared" si="1206"/>
        <v>1162726.6299999999</v>
      </c>
      <c r="BI123" s="40">
        <f t="shared" si="1206"/>
        <v>1198805.52</v>
      </c>
      <c r="BJ123" s="40">
        <f t="shared" si="1206"/>
        <v>1241388.3699999999</v>
      </c>
      <c r="BK123" s="40">
        <f t="shared" si="1206"/>
        <v>1267005.9800000002</v>
      </c>
      <c r="BL123" s="40">
        <f t="shared" si="1206"/>
        <v>1291560.1000000001</v>
      </c>
      <c r="BM123" s="40">
        <f t="shared" si="1206"/>
        <v>1310915.58</v>
      </c>
      <c r="BN123" s="40">
        <f t="shared" si="1206"/>
        <v>1354500.8699999999</v>
      </c>
      <c r="BO123" s="40">
        <f t="shared" si="1206"/>
        <v>1394004.29</v>
      </c>
      <c r="BP123" s="40">
        <f t="shared" si="1206"/>
        <v>1435800.5300000003</v>
      </c>
      <c r="BQ123" s="40">
        <f t="shared" si="1206"/>
        <v>1456913.48</v>
      </c>
      <c r="BR123" s="40">
        <f t="shared" si="1206"/>
        <v>1500387.15</v>
      </c>
      <c r="BS123" s="40">
        <f t="shared" si="1206"/>
        <v>1539205.08</v>
      </c>
      <c r="BT123" s="40">
        <f t="shared" si="1206"/>
        <v>1560179.3499999999</v>
      </c>
      <c r="BU123" s="40">
        <f t="shared" si="1206"/>
        <v>1646448.4099999997</v>
      </c>
      <c r="BV123" s="40">
        <f t="shared" si="1206"/>
        <v>1691779</v>
      </c>
      <c r="BW123" s="40">
        <f t="shared" ref="BW123:BX123" si="1207">+BW113+BW114+BW116+BW120+BW122</f>
        <v>1727343.2699999998</v>
      </c>
      <c r="BX123" s="40">
        <f t="shared" si="1207"/>
        <v>1782409.9000000001</v>
      </c>
      <c r="BY123" s="40">
        <f t="shared" ref="BY123" si="1208">+BY113+BY114+BY116+BY120+BY122</f>
        <v>1837348.44</v>
      </c>
      <c r="BZ123" s="41">
        <f t="shared" ref="BZ123:CO123" si="1209">+BZ113+BZ114+BZ116+BZ120+BZ122</f>
        <v>1896381.09752152</v>
      </c>
      <c r="CA123" s="41">
        <f t="shared" si="1209"/>
        <v>1970247.8375022034</v>
      </c>
      <c r="CB123" s="41">
        <f t="shared" si="1209"/>
        <v>1958320.1830873201</v>
      </c>
      <c r="CC123" s="41">
        <f t="shared" si="1209"/>
        <v>2005007.9133422119</v>
      </c>
      <c r="CD123" s="41">
        <f t="shared" si="1209"/>
        <v>2081823.8165116583</v>
      </c>
      <c r="CE123" s="41">
        <f t="shared" si="1209"/>
        <v>2161595.3324184665</v>
      </c>
      <c r="CF123" s="41">
        <f t="shared" si="1209"/>
        <v>2145859.8032072606</v>
      </c>
      <c r="CG123" s="41">
        <f t="shared" si="1209"/>
        <v>2196710.8457524385</v>
      </c>
      <c r="CH123" s="41">
        <f t="shared" si="1209"/>
        <v>2282827.8999589393</v>
      </c>
      <c r="CI123" s="41">
        <f t="shared" si="1209"/>
        <v>2369294.8953422662</v>
      </c>
      <c r="CJ123" s="41">
        <f t="shared" si="1209"/>
        <v>2351394.7143291677</v>
      </c>
      <c r="CK123" s="41">
        <f t="shared" si="1209"/>
        <v>2407312.3179292008</v>
      </c>
      <c r="CL123" s="41">
        <f t="shared" si="1209"/>
        <v>2502334.3591979281</v>
      </c>
      <c r="CM123" s="41">
        <f t="shared" si="1209"/>
        <v>2597363.4078830639</v>
      </c>
      <c r="CN123" s="41">
        <f t="shared" si="1209"/>
        <v>2577550.7573376563</v>
      </c>
      <c r="CO123" s="41">
        <f t="shared" si="1209"/>
        <v>2639081.8666992281</v>
      </c>
      <c r="CS123" s="40">
        <v>1720050.0392007167</v>
      </c>
      <c r="CX123" s="40">
        <v>1837348.442</v>
      </c>
    </row>
    <row r="124" spans="1:102" s="38" customFormat="1" x14ac:dyDescent="0.2">
      <c r="A124" s="38" t="s">
        <v>388</v>
      </c>
      <c r="B124" s="38">
        <f t="shared" ref="B124:AE124" si="1210">B123-B111</f>
        <v>0</v>
      </c>
      <c r="C124" s="38">
        <f t="shared" si="1210"/>
        <v>0</v>
      </c>
      <c r="D124" s="38">
        <f t="shared" si="1210"/>
        <v>0</v>
      </c>
      <c r="E124" s="38">
        <f t="shared" si="1210"/>
        <v>0</v>
      </c>
      <c r="F124" s="38">
        <f t="shared" si="1210"/>
        <v>0</v>
      </c>
      <c r="G124" s="38">
        <f t="shared" si="1210"/>
        <v>0</v>
      </c>
      <c r="H124" s="38">
        <f t="shared" si="1210"/>
        <v>0</v>
      </c>
      <c r="I124" s="38">
        <f t="shared" si="1210"/>
        <v>0</v>
      </c>
      <c r="J124" s="38">
        <f t="shared" si="1210"/>
        <v>0</v>
      </c>
      <c r="K124" s="38">
        <f t="shared" si="1210"/>
        <v>0</v>
      </c>
      <c r="L124" s="38">
        <f t="shared" si="1210"/>
        <v>0</v>
      </c>
      <c r="M124" s="38">
        <f t="shared" si="1210"/>
        <v>0</v>
      </c>
      <c r="N124" s="38">
        <f t="shared" si="1210"/>
        <v>0</v>
      </c>
      <c r="O124" s="38">
        <f t="shared" si="1210"/>
        <v>0</v>
      </c>
      <c r="P124" s="38">
        <f t="shared" si="1210"/>
        <v>0</v>
      </c>
      <c r="Q124" s="38">
        <f t="shared" si="1210"/>
        <v>0</v>
      </c>
      <c r="R124" s="38">
        <f t="shared" si="1210"/>
        <v>0</v>
      </c>
      <c r="S124" s="38">
        <f t="shared" si="1210"/>
        <v>0</v>
      </c>
      <c r="T124" s="38">
        <f t="shared" si="1210"/>
        <v>0</v>
      </c>
      <c r="U124" s="38">
        <f t="shared" si="1210"/>
        <v>0</v>
      </c>
      <c r="V124" s="38">
        <f t="shared" si="1210"/>
        <v>0</v>
      </c>
      <c r="W124" s="38">
        <f t="shared" si="1210"/>
        <v>0</v>
      </c>
      <c r="X124" s="38">
        <f t="shared" si="1210"/>
        <v>0</v>
      </c>
      <c r="Y124" s="38">
        <f t="shared" si="1210"/>
        <v>0</v>
      </c>
      <c r="Z124" s="38">
        <f t="shared" si="1210"/>
        <v>0</v>
      </c>
      <c r="AA124" s="38">
        <f t="shared" ref="AA124" si="1211">AA123-AA111</f>
        <v>0</v>
      </c>
      <c r="AB124" s="39">
        <f t="shared" si="1210"/>
        <v>0</v>
      </c>
      <c r="AC124" s="39">
        <f t="shared" si="1210"/>
        <v>0</v>
      </c>
      <c r="AD124" s="39">
        <f t="shared" si="1210"/>
        <v>0</v>
      </c>
      <c r="AE124" s="39">
        <f t="shared" si="1210"/>
        <v>0</v>
      </c>
      <c r="AG124" s="60"/>
      <c r="AH124" s="38">
        <f t="shared" ref="AH124:BC124" si="1212">AH123-AH111</f>
        <v>0</v>
      </c>
      <c r="AI124" s="38">
        <f t="shared" si="1212"/>
        <v>0</v>
      </c>
      <c r="AJ124" s="38">
        <f t="shared" si="1212"/>
        <v>0</v>
      </c>
      <c r="AK124" s="38">
        <f t="shared" si="1212"/>
        <v>0</v>
      </c>
      <c r="AL124" s="38">
        <f t="shared" si="1212"/>
        <v>0</v>
      </c>
      <c r="AM124" s="38">
        <f t="shared" si="1212"/>
        <v>0</v>
      </c>
      <c r="AN124" s="38">
        <f t="shared" si="1212"/>
        <v>0</v>
      </c>
      <c r="AO124" s="38">
        <f t="shared" si="1212"/>
        <v>0</v>
      </c>
      <c r="AP124" s="38">
        <f t="shared" si="1212"/>
        <v>0</v>
      </c>
      <c r="AQ124" s="38">
        <f t="shared" si="1212"/>
        <v>0</v>
      </c>
      <c r="AR124" s="38">
        <f t="shared" si="1212"/>
        <v>0</v>
      </c>
      <c r="AS124" s="38">
        <f t="shared" si="1212"/>
        <v>0</v>
      </c>
      <c r="AT124" s="38">
        <f t="shared" ref="AT124:BB124" si="1213">AT123-AT111</f>
        <v>0</v>
      </c>
      <c r="AU124" s="38">
        <f t="shared" si="1213"/>
        <v>0</v>
      </c>
      <c r="AV124" s="38">
        <f t="shared" si="1213"/>
        <v>0</v>
      </c>
      <c r="AW124" s="38">
        <f t="shared" si="1213"/>
        <v>0</v>
      </c>
      <c r="AX124" s="38">
        <f t="shared" si="1213"/>
        <v>0</v>
      </c>
      <c r="AY124" s="38">
        <f t="shared" si="1213"/>
        <v>9.9999998928979039E-3</v>
      </c>
      <c r="AZ124" s="38">
        <f t="shared" si="1213"/>
        <v>0</v>
      </c>
      <c r="BA124" s="38">
        <f t="shared" si="1213"/>
        <v>0</v>
      </c>
      <c r="BB124" s="38">
        <f t="shared" si="1213"/>
        <v>0</v>
      </c>
      <c r="BC124" s="38">
        <f t="shared" si="1212"/>
        <v>0</v>
      </c>
      <c r="BD124" s="38">
        <f t="shared" ref="BD124:BV124" si="1214">BD123-BD111</f>
        <v>0</v>
      </c>
      <c r="BE124" s="38">
        <f t="shared" si="1214"/>
        <v>0</v>
      </c>
      <c r="BF124" s="38">
        <f t="shared" si="1214"/>
        <v>0</v>
      </c>
      <c r="BG124" s="38">
        <f t="shared" si="1214"/>
        <v>0</v>
      </c>
      <c r="BH124" s="38">
        <f t="shared" si="1214"/>
        <v>0</v>
      </c>
      <c r="BI124" s="38">
        <f t="shared" si="1214"/>
        <v>0</v>
      </c>
      <c r="BJ124" s="38">
        <f t="shared" si="1214"/>
        <v>0</v>
      </c>
      <c r="BK124" s="38">
        <f t="shared" si="1214"/>
        <v>0</v>
      </c>
      <c r="BL124" s="38">
        <f t="shared" si="1214"/>
        <v>0</v>
      </c>
      <c r="BM124" s="38">
        <f t="shared" si="1214"/>
        <v>0</v>
      </c>
      <c r="BN124" s="38">
        <f t="shared" si="1214"/>
        <v>0</v>
      </c>
      <c r="BO124" s="38">
        <f t="shared" si="1214"/>
        <v>0</v>
      </c>
      <c r="BP124" s="38">
        <f t="shared" si="1214"/>
        <v>0</v>
      </c>
      <c r="BQ124" s="38">
        <f t="shared" si="1214"/>
        <v>0</v>
      </c>
      <c r="BR124" s="38">
        <f t="shared" si="1214"/>
        <v>0</v>
      </c>
      <c r="BS124" s="38">
        <f t="shared" si="1214"/>
        <v>0</v>
      </c>
      <c r="BT124" s="38">
        <f t="shared" si="1214"/>
        <v>0</v>
      </c>
      <c r="BU124" s="38">
        <f t="shared" si="1214"/>
        <v>0</v>
      </c>
      <c r="BV124" s="38">
        <f t="shared" si="1214"/>
        <v>0</v>
      </c>
      <c r="BW124" s="38">
        <f t="shared" ref="BW124:BX124" si="1215">BW123-BW111</f>
        <v>0</v>
      </c>
      <c r="BX124" s="38">
        <f t="shared" si="1215"/>
        <v>0</v>
      </c>
      <c r="BY124" s="38">
        <f t="shared" ref="BY124" si="1216">BY123-BY111</f>
        <v>0</v>
      </c>
      <c r="BZ124" s="39">
        <f t="shared" ref="BZ124:CO124" si="1217">BZ123-BZ111</f>
        <v>0</v>
      </c>
      <c r="CA124" s="39">
        <f t="shared" si="1217"/>
        <v>0</v>
      </c>
      <c r="CB124" s="39">
        <f t="shared" si="1217"/>
        <v>0</v>
      </c>
      <c r="CC124" s="39">
        <f t="shared" si="1217"/>
        <v>0</v>
      </c>
      <c r="CD124" s="39">
        <f t="shared" si="1217"/>
        <v>0</v>
      </c>
      <c r="CE124" s="39">
        <f t="shared" si="1217"/>
        <v>0</v>
      </c>
      <c r="CF124" s="39">
        <f t="shared" si="1217"/>
        <v>0</v>
      </c>
      <c r="CG124" s="39">
        <f t="shared" si="1217"/>
        <v>0</v>
      </c>
      <c r="CH124" s="39">
        <f t="shared" si="1217"/>
        <v>0</v>
      </c>
      <c r="CI124" s="39">
        <f t="shared" si="1217"/>
        <v>0</v>
      </c>
      <c r="CJ124" s="39">
        <f t="shared" si="1217"/>
        <v>0</v>
      </c>
      <c r="CK124" s="39">
        <f t="shared" si="1217"/>
        <v>0</v>
      </c>
      <c r="CL124" s="39">
        <f t="shared" si="1217"/>
        <v>0</v>
      </c>
      <c r="CM124" s="39">
        <f t="shared" si="1217"/>
        <v>0</v>
      </c>
      <c r="CN124" s="39">
        <f t="shared" si="1217"/>
        <v>0</v>
      </c>
      <c r="CO124" s="39">
        <f t="shared" si="1217"/>
        <v>0</v>
      </c>
      <c r="CS124" s="38">
        <v>0</v>
      </c>
      <c r="CX124" s="38">
        <v>0</v>
      </c>
    </row>
    <row r="125" spans="1:102" s="38" customFormat="1" x14ac:dyDescent="0.2">
      <c r="A125" s="122" t="s">
        <v>367</v>
      </c>
      <c r="AB125" s="39"/>
      <c r="AC125" s="39"/>
      <c r="AD125" s="39"/>
      <c r="AE125" s="39"/>
      <c r="AG125" s="60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</row>
    <row r="126" spans="1:102" s="38" customFormat="1" x14ac:dyDescent="0.2">
      <c r="A126" s="47"/>
      <c r="AB126" s="39"/>
      <c r="AC126" s="39"/>
      <c r="AD126" s="39"/>
      <c r="AE126" s="39"/>
      <c r="AG126" s="60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</row>
    <row r="127" spans="1:102" s="38" customFormat="1" x14ac:dyDescent="0.2">
      <c r="A127" s="38" t="s">
        <v>52</v>
      </c>
      <c r="AB127" s="39"/>
      <c r="AC127" s="39"/>
      <c r="AD127" s="39"/>
      <c r="AE127" s="39"/>
      <c r="AG127" s="60"/>
      <c r="AI127" s="38">
        <f t="shared" ref="AI127:AV127" si="1218">+AI110/AI104</f>
        <v>14.356497284536445</v>
      </c>
      <c r="AJ127" s="38">
        <f t="shared" si="1218"/>
        <v>14.520872323766993</v>
      </c>
      <c r="AK127" s="38">
        <f t="shared" si="1218"/>
        <v>16.032075232887809</v>
      </c>
      <c r="AL127" s="38">
        <f t="shared" si="1218"/>
        <v>15.525959017372658</v>
      </c>
      <c r="AM127" s="38">
        <f t="shared" si="1218"/>
        <v>15.8738514192412</v>
      </c>
      <c r="AN127" s="38">
        <f t="shared" si="1218"/>
        <v>16.70246047482631</v>
      </c>
      <c r="AO127" s="38">
        <f t="shared" si="1218"/>
        <v>15.875619034161247</v>
      </c>
      <c r="AP127" s="38">
        <f t="shared" si="1218"/>
        <v>15.646694067839901</v>
      </c>
      <c r="AQ127" s="38">
        <f t="shared" si="1218"/>
        <v>15.433826843028402</v>
      </c>
      <c r="AR127" s="38">
        <f t="shared" si="1218"/>
        <v>16.102344461841565</v>
      </c>
      <c r="AS127" s="38">
        <f t="shared" si="1218"/>
        <v>15.828761715755983</v>
      </c>
      <c r="AT127" s="38">
        <f t="shared" si="1218"/>
        <v>15.809107789768067</v>
      </c>
      <c r="AU127" s="38">
        <f t="shared" si="1218"/>
        <v>16.562267340269361</v>
      </c>
      <c r="AV127" s="38">
        <f t="shared" si="1218"/>
        <v>16.899837031911531</v>
      </c>
      <c r="AW127" s="38">
        <f t="shared" ref="AW127:CO127" si="1219">+AW110/AW104</f>
        <v>17.691392348170385</v>
      </c>
      <c r="AX127" s="38">
        <f t="shared" si="1219"/>
        <v>17.738513245499874</v>
      </c>
      <c r="AY127" s="38">
        <f t="shared" si="1219"/>
        <v>14.800073557450299</v>
      </c>
      <c r="AZ127" s="38">
        <f t="shared" si="1219"/>
        <v>14.9556067469792</v>
      </c>
      <c r="BA127" s="38">
        <f t="shared" si="1219"/>
        <v>17.003375413814585</v>
      </c>
      <c r="BB127" s="38">
        <f t="shared" si="1219"/>
        <v>18.317764097716555</v>
      </c>
      <c r="BC127" s="38">
        <f t="shared" si="1219"/>
        <v>18.358238609753545</v>
      </c>
      <c r="BD127" s="38">
        <f t="shared" si="1219"/>
        <v>18.150644768449087</v>
      </c>
      <c r="BE127" s="38">
        <f t="shared" si="1219"/>
        <v>18.015783325207313</v>
      </c>
      <c r="BF127" s="38">
        <f t="shared" si="1219"/>
        <v>17.887310722031749</v>
      </c>
      <c r="BG127" s="38">
        <f t="shared" si="1219"/>
        <v>17.335002798265705</v>
      </c>
      <c r="BH127" s="38">
        <f t="shared" si="1219"/>
        <v>16.789422703844643</v>
      </c>
      <c r="BI127" s="38">
        <f t="shared" si="1219"/>
        <v>17.133138187701924</v>
      </c>
      <c r="BJ127" s="38">
        <f t="shared" si="1219"/>
        <v>17.23137244132025</v>
      </c>
      <c r="BK127" s="38">
        <f t="shared" si="1219"/>
        <v>16.962383232655142</v>
      </c>
      <c r="BL127" s="38">
        <f t="shared" si="1219"/>
        <v>16.77970518036441</v>
      </c>
      <c r="BM127" s="38">
        <f t="shared" si="1219"/>
        <v>16.809615583697134</v>
      </c>
      <c r="BN127" s="38">
        <f t="shared" si="1219"/>
        <v>16.564329819129661</v>
      </c>
      <c r="BO127" s="38">
        <f t="shared" si="1219"/>
        <v>16.268805473079574</v>
      </c>
      <c r="BP127" s="38">
        <f t="shared" si="1219"/>
        <v>16.015925136593697</v>
      </c>
      <c r="BQ127" s="38">
        <f t="shared" si="1219"/>
        <v>15.754877229597655</v>
      </c>
      <c r="BR127" s="38">
        <f t="shared" si="1219"/>
        <v>15.191426844480358</v>
      </c>
      <c r="BS127" s="38">
        <f t="shared" si="1219"/>
        <v>14.855629775563022</v>
      </c>
      <c r="BT127" s="38">
        <f t="shared" si="1219"/>
        <v>14.884237480332789</v>
      </c>
      <c r="BU127" s="38">
        <f t="shared" si="1219"/>
        <v>15.480946917876265</v>
      </c>
      <c r="BV127" s="38">
        <f t="shared" si="1219"/>
        <v>15.196284401017243</v>
      </c>
      <c r="BW127" s="38">
        <f t="shared" ref="BW127:BX127" si="1220">+BW110/BW104</f>
        <v>14.950968230822172</v>
      </c>
      <c r="BX127" s="38">
        <f t="shared" si="1220"/>
        <v>14.740217037877867</v>
      </c>
      <c r="BY127" s="38">
        <f t="shared" ref="BY127" si="1221">+BY110/BY104</f>
        <v>15.204852225574978</v>
      </c>
      <c r="BZ127" s="39">
        <f t="shared" si="1219"/>
        <v>15.039715129025799</v>
      </c>
      <c r="CA127" s="39">
        <f t="shared" si="1219"/>
        <v>14.996801133878179</v>
      </c>
      <c r="CB127" s="39">
        <f t="shared" si="1219"/>
        <v>14.302790642306405</v>
      </c>
      <c r="CC127" s="39">
        <f t="shared" si="1219"/>
        <v>14.110592833343679</v>
      </c>
      <c r="CD127" s="39">
        <f t="shared" si="1219"/>
        <v>14.100066035556495</v>
      </c>
      <c r="CE127" s="39">
        <f t="shared" si="1219"/>
        <v>14.096901564463673</v>
      </c>
      <c r="CF127" s="39">
        <f t="shared" si="1219"/>
        <v>13.462024979654915</v>
      </c>
      <c r="CG127" s="39">
        <f t="shared" si="1219"/>
        <v>13.297970023505551</v>
      </c>
      <c r="CH127" s="39">
        <f t="shared" si="1219"/>
        <v>13.374156032456407</v>
      </c>
      <c r="CI127" s="39">
        <f t="shared" si="1219"/>
        <v>13.444520507033653</v>
      </c>
      <c r="CJ127" s="39">
        <f t="shared" si="1219"/>
        <v>12.863413907378712</v>
      </c>
      <c r="CK127" s="39">
        <f t="shared" si="1219"/>
        <v>12.736508292117124</v>
      </c>
      <c r="CL127" s="39">
        <f t="shared" si="1219"/>
        <v>12.832648242038832</v>
      </c>
      <c r="CM127" s="39">
        <f t="shared" si="1219"/>
        <v>12.910048163889195</v>
      </c>
      <c r="CN127" s="39">
        <f t="shared" si="1219"/>
        <v>12.368665429132633</v>
      </c>
      <c r="CO127" s="39">
        <f t="shared" si="1219"/>
        <v>12.264107921540653</v>
      </c>
      <c r="CS127" s="38">
        <v>14.219563168727944</v>
      </c>
    </row>
    <row r="128" spans="1:102" x14ac:dyDescent="0.2">
      <c r="AA128" s="47"/>
    </row>
    <row r="129" spans="1:102" s="96" customFormat="1" x14ac:dyDescent="0.2">
      <c r="A129" s="96" t="s">
        <v>49</v>
      </c>
      <c r="C129" s="96">
        <f t="shared" ref="C129:AE129" si="1222">+C108/B108-1</f>
        <v>8.3976986686082888E-2</v>
      </c>
      <c r="D129" s="96">
        <f t="shared" si="1222"/>
        <v>0.12595364541676912</v>
      </c>
      <c r="E129" s="96">
        <f t="shared" si="1222"/>
        <v>0.19765266777652468</v>
      </c>
      <c r="F129" s="96">
        <f t="shared" si="1222"/>
        <v>0.12104251296953494</v>
      </c>
      <c r="G129" s="96">
        <f t="shared" si="1222"/>
        <v>0.20669583583041695</v>
      </c>
      <c r="H129" s="96">
        <f t="shared" si="1222"/>
        <v>0.21898555017637311</v>
      </c>
      <c r="I129" s="96">
        <f t="shared" si="1222"/>
        <v>8.211020567630567E-2</v>
      </c>
      <c r="J129" s="96">
        <f t="shared" si="1222"/>
        <v>0.21301725923018555</v>
      </c>
      <c r="K129" s="96">
        <f t="shared" si="1222"/>
        <v>0.25554227181155698</v>
      </c>
      <c r="L129" s="96">
        <f t="shared" si="1222"/>
        <v>0.25052135882196858</v>
      </c>
      <c r="M129" s="96">
        <f t="shared" si="1222"/>
        <v>0.11456335281340024</v>
      </c>
      <c r="N129" s="96">
        <f t="shared" si="1222"/>
        <v>8.8065849166101717E-2</v>
      </c>
      <c r="O129" s="96">
        <f t="shared" si="1222"/>
        <v>0.18228392519971592</v>
      </c>
      <c r="P129" s="96">
        <f t="shared" si="1222"/>
        <v>0.12625244603383878</v>
      </c>
      <c r="Q129" s="96">
        <f t="shared" si="1222"/>
        <v>1.2560057625059073E-2</v>
      </c>
      <c r="R129" s="96">
        <f t="shared" si="1222"/>
        <v>3.2271680711160267E-2</v>
      </c>
      <c r="S129" s="96">
        <f t="shared" si="1222"/>
        <v>5.9556011661266783E-2</v>
      </c>
      <c r="T129" s="96">
        <f t="shared" si="1222"/>
        <v>0.1415118075453714</v>
      </c>
      <c r="U129" s="96">
        <f t="shared" si="1222"/>
        <v>4.3933951596907272E-2</v>
      </c>
      <c r="V129" s="96">
        <f t="shared" si="1222"/>
        <v>0.61649106168456203</v>
      </c>
      <c r="W129" s="96">
        <f t="shared" si="1222"/>
        <v>7.4722099746785897E-2</v>
      </c>
      <c r="X129" s="96">
        <f t="shared" si="1222"/>
        <v>8.5427616020156805E-2</v>
      </c>
      <c r="Y129" s="96">
        <f t="shared" si="1222"/>
        <v>0.11291206333031822</v>
      </c>
      <c r="Z129" s="96">
        <f t="shared" si="1222"/>
        <v>8.9529528306324657E-2</v>
      </c>
      <c r="AA129" s="96">
        <f t="shared" si="1222"/>
        <v>9.7083463134742143E-2</v>
      </c>
      <c r="AB129" s="87">
        <f t="shared" si="1222"/>
        <v>9.4572100051650398E-2</v>
      </c>
      <c r="AC129" s="87">
        <f t="shared" si="1222"/>
        <v>9.944715282860761E-2</v>
      </c>
      <c r="AD129" s="87">
        <f t="shared" si="1222"/>
        <v>0.10011213520395468</v>
      </c>
      <c r="AE129" s="87">
        <f t="shared" si="1222"/>
        <v>0.10018157004304884</v>
      </c>
      <c r="AG129" s="59"/>
      <c r="AI129" s="97"/>
      <c r="AJ129" s="97"/>
      <c r="AK129" s="97"/>
      <c r="AL129" s="97"/>
      <c r="AM129" s="97">
        <f>+AM108/AI108-1</f>
        <v>-1.8224648392294318E-3</v>
      </c>
      <c r="AN129" s="97">
        <f t="shared" ref="AN129:BY129" si="1223">+AN108/AJ108-1</f>
        <v>4.021330093972697E-2</v>
      </c>
      <c r="AO129" s="97">
        <f t="shared" si="1223"/>
        <v>3.2271680643986222E-2</v>
      </c>
      <c r="AP129" s="97">
        <f t="shared" si="1223"/>
        <v>4.4251952272417405E-2</v>
      </c>
      <c r="AQ129" s="97">
        <f t="shared" si="1223"/>
        <v>2.5021697891636885E-2</v>
      </c>
      <c r="AR129" s="97">
        <f t="shared" si="1223"/>
        <v>-1.2618701478092076E-2</v>
      </c>
      <c r="AS129" s="97">
        <f t="shared" si="1223"/>
        <v>5.9556015762064041E-2</v>
      </c>
      <c r="AT129" s="97">
        <f t="shared" si="1223"/>
        <v>9.748497865489103E-2</v>
      </c>
      <c r="AU129" s="97">
        <f t="shared" si="1223"/>
        <v>0.11176831736231296</v>
      </c>
      <c r="AV129" s="97">
        <f t="shared" si="1223"/>
        <v>0.14216843511591271</v>
      </c>
      <c r="AW129" s="97">
        <f t="shared" si="1223"/>
        <v>0.14151181810701519</v>
      </c>
      <c r="AX129" s="97">
        <f t="shared" si="1223"/>
        <v>0.14514144032009968</v>
      </c>
      <c r="AY129" s="97">
        <f t="shared" si="1223"/>
        <v>0.10419956094478811</v>
      </c>
      <c r="AZ129" s="97">
        <f t="shared" si="1223"/>
        <v>8.6383184847970362E-2</v>
      </c>
      <c r="BA129" s="97">
        <f t="shared" si="1223"/>
        <v>4.3933953051823904E-2</v>
      </c>
      <c r="BB129" s="97">
        <f t="shared" si="1223"/>
        <v>0.48945242925850807</v>
      </c>
      <c r="BC129" s="97">
        <f t="shared" si="1223"/>
        <v>0.55679413874272843</v>
      </c>
      <c r="BD129" s="97">
        <f t="shared" si="1223"/>
        <v>0.55623502575969175</v>
      </c>
      <c r="BE129" s="97">
        <f t="shared" si="1223"/>
        <v>0.61649104108190844</v>
      </c>
      <c r="BF129" s="97">
        <f t="shared" si="1223"/>
        <v>0.12342910859945655</v>
      </c>
      <c r="BG129" s="97">
        <f t="shared" si="1223"/>
        <v>8.8292918745056959E-2</v>
      </c>
      <c r="BH129" s="97">
        <f t="shared" si="1223"/>
        <v>7.2279672563288155E-2</v>
      </c>
      <c r="BI129" s="97">
        <f t="shared" si="1223"/>
        <v>7.4722098561425865E-2</v>
      </c>
      <c r="BJ129" s="97">
        <f t="shared" si="1223"/>
        <v>9.4227178638250697E-2</v>
      </c>
      <c r="BK129" s="97">
        <f t="shared" si="1223"/>
        <v>9.8231485381979899E-2</v>
      </c>
      <c r="BL129" s="97">
        <f t="shared" si="1223"/>
        <v>0.11512865784863413</v>
      </c>
      <c r="BM129" s="97">
        <f t="shared" si="1223"/>
        <v>8.5427623153981891E-2</v>
      </c>
      <c r="BN129" s="97">
        <f t="shared" si="1223"/>
        <v>6.6493842311784679E-2</v>
      </c>
      <c r="BO129" s="97">
        <f t="shared" si="1223"/>
        <v>8.6643743661175554E-2</v>
      </c>
      <c r="BP129" s="97">
        <f t="shared" si="1223"/>
        <v>8.548598764724713E-2</v>
      </c>
      <c r="BQ129" s="97">
        <f t="shared" si="1223"/>
        <v>0.11291205792622283</v>
      </c>
      <c r="BR129" s="97">
        <f t="shared" si="1223"/>
        <v>0.11966502065452489</v>
      </c>
      <c r="BS129" s="97">
        <f t="shared" si="1223"/>
        <v>9.3434655797827837E-2</v>
      </c>
      <c r="BT129" s="97">
        <f t="shared" si="1223"/>
        <v>6.6490644327640291E-2</v>
      </c>
      <c r="BU129" s="97">
        <f t="shared" si="1223"/>
        <v>8.9529533214807833E-2</v>
      </c>
      <c r="BV129" s="97">
        <f t="shared" si="1223"/>
        <v>9.922987304777986E-2</v>
      </c>
      <c r="BW129" s="97">
        <f t="shared" si="1223"/>
        <v>0.13402285150595805</v>
      </c>
      <c r="BX129" s="97">
        <f t="shared" si="1223"/>
        <v>0.12945590140491725</v>
      </c>
      <c r="BY129" s="97">
        <f t="shared" si="1223"/>
        <v>9.7083461568302942E-2</v>
      </c>
      <c r="BZ129" s="87">
        <f>+AVERAGE(BV129:BY129)*0.92</f>
        <v>0.10575218013120037</v>
      </c>
      <c r="CA129" s="87">
        <f t="shared" ref="CA129:CC129" si="1224">+AVERAGE(BW129:BZ129)*0.92</f>
        <v>0.10725231076038708</v>
      </c>
      <c r="CB129" s="87">
        <f t="shared" si="1224"/>
        <v>0.10109508638890577</v>
      </c>
      <c r="CC129" s="87">
        <f t="shared" si="1224"/>
        <v>9.4572098935223115E-2</v>
      </c>
      <c r="CD129" s="87">
        <f t="shared" ref="CD129:CO129" si="1225">+AVERAGE(BZ129:CC129)</f>
        <v>0.10216791905392908</v>
      </c>
      <c r="CE129" s="87">
        <f t="shared" si="1225"/>
        <v>0.10127185378461126</v>
      </c>
      <c r="CF129" s="87">
        <f t="shared" si="1225"/>
        <v>9.9776739540667292E-2</v>
      </c>
      <c r="CG129" s="87">
        <f t="shared" si="1225"/>
        <v>9.9447152828607679E-2</v>
      </c>
      <c r="CH129" s="87">
        <f t="shared" si="1225"/>
        <v>0.10066591630195383</v>
      </c>
      <c r="CI129" s="87">
        <f t="shared" si="1225"/>
        <v>0.10029041561396002</v>
      </c>
      <c r="CJ129" s="87">
        <f t="shared" si="1225"/>
        <v>0.1000450560712972</v>
      </c>
      <c r="CK129" s="87">
        <f t="shared" si="1225"/>
        <v>0.10011213520395468</v>
      </c>
      <c r="CL129" s="87">
        <f t="shared" si="1225"/>
        <v>0.10027838079779143</v>
      </c>
      <c r="CM129" s="87">
        <f t="shared" si="1225"/>
        <v>0.10018149692175084</v>
      </c>
      <c r="CN129" s="87">
        <f t="shared" si="1225"/>
        <v>0.10015426724869854</v>
      </c>
      <c r="CO129" s="87">
        <f t="shared" si="1225"/>
        <v>0.10018157004304887</v>
      </c>
      <c r="CS129" s="96">
        <v>0.10693160729867623</v>
      </c>
      <c r="CX129" s="96">
        <v>9.7083463134742143E-2</v>
      </c>
    </row>
    <row r="130" spans="1:102" s="96" customFormat="1" x14ac:dyDescent="0.2">
      <c r="A130" s="96" t="s">
        <v>50</v>
      </c>
      <c r="C130" s="96">
        <f t="shared" ref="C130:AE130" si="1226">+C114/B114-1</f>
        <v>0.19024784438078224</v>
      </c>
      <c r="D130" s="96">
        <f t="shared" si="1226"/>
        <v>0.2217212081810056</v>
      </c>
      <c r="E130" s="96">
        <f t="shared" si="1226"/>
        <v>0.17708787893360767</v>
      </c>
      <c r="F130" s="96">
        <f t="shared" si="1226"/>
        <v>0.26832796598729902</v>
      </c>
      <c r="G130" s="96">
        <f t="shared" si="1226"/>
        <v>0.31452920113297811</v>
      </c>
      <c r="H130" s="96">
        <f t="shared" si="1226"/>
        <v>0.24022435116146124</v>
      </c>
      <c r="I130" s="96">
        <f t="shared" si="1226"/>
        <v>8.8648220889013363E-2</v>
      </c>
      <c r="J130" s="96">
        <f t="shared" si="1226"/>
        <v>0.28890270038493382</v>
      </c>
      <c r="K130" s="96">
        <f t="shared" si="1226"/>
        <v>0.22511478119166073</v>
      </c>
      <c r="L130" s="96">
        <f t="shared" si="1226"/>
        <v>0.24763783847059107</v>
      </c>
      <c r="M130" s="96">
        <f t="shared" si="1226"/>
        <v>0.10044822982606338</v>
      </c>
      <c r="N130" s="96">
        <f t="shared" si="1226"/>
        <v>4.166550674132008E-2</v>
      </c>
      <c r="O130" s="96">
        <f t="shared" si="1226"/>
        <v>0.24317315635755188</v>
      </c>
      <c r="P130" s="96">
        <f t="shared" si="1226"/>
        <v>9.6217750968856874E-2</v>
      </c>
      <c r="Q130" s="96">
        <f t="shared" si="1226"/>
        <v>-1.612156954702515E-2</v>
      </c>
      <c r="R130" s="96">
        <f t="shared" si="1226"/>
        <v>5.3258845983575887E-2</v>
      </c>
      <c r="S130" s="96">
        <f t="shared" si="1226"/>
        <v>0.11606201404651273</v>
      </c>
      <c r="T130" s="96">
        <f t="shared" si="1226"/>
        <v>0.12057616429484663</v>
      </c>
      <c r="U130" s="96">
        <f t="shared" si="1226"/>
        <v>1.0399001252920925E-2</v>
      </c>
      <c r="V130" s="96">
        <f t="shared" si="1226"/>
        <v>0.47868035695323163</v>
      </c>
      <c r="W130" s="96">
        <f t="shared" si="1226"/>
        <v>0.1010139116156874</v>
      </c>
      <c r="X130" s="96">
        <f t="shared" si="1226"/>
        <v>0.18060033982808443</v>
      </c>
      <c r="Y130" s="96">
        <f t="shared" si="1226"/>
        <v>0.12151633084343616</v>
      </c>
      <c r="Z130" s="96">
        <f t="shared" si="1226"/>
        <v>0.12617063915797622</v>
      </c>
      <c r="AA130" s="96">
        <f t="shared" si="1226"/>
        <v>0.16285720040576757</v>
      </c>
      <c r="AB130" s="87">
        <f t="shared" si="1226"/>
        <v>0.1534435228477764</v>
      </c>
      <c r="AC130" s="87">
        <f t="shared" si="1226"/>
        <v>0.15212877687415194</v>
      </c>
      <c r="AD130" s="87">
        <f t="shared" si="1226"/>
        <v>0.15197572486718136</v>
      </c>
      <c r="AE130" s="87">
        <f t="shared" si="1226"/>
        <v>0.15196383758044574</v>
      </c>
      <c r="AG130" s="59"/>
      <c r="AI130" s="97"/>
      <c r="AJ130" s="97"/>
      <c r="AK130" s="97"/>
      <c r="AL130" s="97"/>
      <c r="AM130" s="97">
        <f t="shared" ref="AM130" si="1227">+AM114/AI114-1</f>
        <v>1.2541419633545381E-2</v>
      </c>
      <c r="AN130" s="97">
        <f t="shared" ref="AN130" si="1228">+AN114/AJ114-1</f>
        <v>-8.3901034138689212E-4</v>
      </c>
      <c r="AO130" s="97">
        <f t="shared" ref="AO130" si="1229">+AO114/AK114-1</f>
        <v>5.3258824058020293E-2</v>
      </c>
      <c r="AP130" s="97">
        <f t="shared" ref="AP130" si="1230">+AP114/AL114-1</f>
        <v>6.7019734111280149E-2</v>
      </c>
      <c r="AQ130" s="97">
        <f t="shared" ref="AQ130" si="1231">+AQ114/AM114-1</f>
        <v>9.5148551500934042E-2</v>
      </c>
      <c r="AR130" s="97">
        <f t="shared" ref="AR130" si="1232">+AR114/AN114-1</f>
        <v>0.12509553384945282</v>
      </c>
      <c r="AS130" s="97">
        <f t="shared" ref="AS130" si="1233">+AS114/AO114-1</f>
        <v>0.11606202718316339</v>
      </c>
      <c r="AT130" s="97">
        <f t="shared" ref="AT130" si="1234">+AT114/AP114-1</f>
        <v>0.12670674846768959</v>
      </c>
      <c r="AU130" s="97">
        <f t="shared" ref="AU130" si="1235">+AU114/AQ114-1</f>
        <v>0.14311990846524791</v>
      </c>
      <c r="AV130" s="97">
        <f t="shared" ref="AV130" si="1236">+AV114/AR114-1</f>
        <v>0.11820452263667436</v>
      </c>
      <c r="AW130" s="97">
        <f t="shared" ref="AW130:BY130" si="1237">+AW114/AS114-1</f>
        <v>0.1205761579179665</v>
      </c>
      <c r="AX130" s="97">
        <f t="shared" si="1237"/>
        <v>0.12042757506000279</v>
      </c>
      <c r="AY130" s="97">
        <f t="shared" si="1237"/>
        <v>4.8323702098099997E-2</v>
      </c>
      <c r="AZ130" s="97">
        <f t="shared" si="1237"/>
        <v>1.2896157177025191E-2</v>
      </c>
      <c r="BA130" s="97">
        <f t="shared" si="1237"/>
        <v>1.0398986251215714E-2</v>
      </c>
      <c r="BB130" s="97">
        <f t="shared" si="1237"/>
        <v>0.4260943019555139</v>
      </c>
      <c r="BC130" s="97">
        <f t="shared" si="1237"/>
        <v>0.43553465587256879</v>
      </c>
      <c r="BD130" s="97">
        <f t="shared" si="1237"/>
        <v>0.50079059077014199</v>
      </c>
      <c r="BE130" s="97">
        <f t="shared" si="1237"/>
        <v>0.47868038240047084</v>
      </c>
      <c r="BF130" s="97">
        <f t="shared" si="1237"/>
        <v>5.0793353480732772E-2</v>
      </c>
      <c r="BG130" s="97">
        <f t="shared" si="1237"/>
        <v>5.4003501856314973E-2</v>
      </c>
      <c r="BH130" s="97">
        <f t="shared" si="1237"/>
        <v>9.132347261900553E-2</v>
      </c>
      <c r="BI130" s="97">
        <f t="shared" si="1237"/>
        <v>0.10101389879358069</v>
      </c>
      <c r="BJ130" s="97">
        <f t="shared" si="1237"/>
        <v>0.15177570200676094</v>
      </c>
      <c r="BK130" s="97">
        <f t="shared" si="1237"/>
        <v>0.21385584916134426</v>
      </c>
      <c r="BL130" s="97">
        <f t="shared" si="1237"/>
        <v>0.17950272744596441</v>
      </c>
      <c r="BM130" s="97">
        <f t="shared" si="1237"/>
        <v>0.18060034296102323</v>
      </c>
      <c r="BN130" s="97">
        <f t="shared" si="1237"/>
        <v>0.14485278364266607</v>
      </c>
      <c r="BO130" s="97">
        <f t="shared" si="1237"/>
        <v>0.13165302458770145</v>
      </c>
      <c r="BP130" s="97">
        <f t="shared" si="1237"/>
        <v>0.12767176895331112</v>
      </c>
      <c r="BQ130" s="97">
        <f t="shared" si="1237"/>
        <v>0.1215163303518334</v>
      </c>
      <c r="BR130" s="97">
        <f t="shared" si="1237"/>
        <v>0.10666151368401522</v>
      </c>
      <c r="BS130" s="97">
        <f t="shared" si="1237"/>
        <v>0.10280181398366506</v>
      </c>
      <c r="BT130" s="97">
        <f t="shared" si="1237"/>
        <v>0.11196497348977541</v>
      </c>
      <c r="BU130" s="97">
        <f t="shared" si="1237"/>
        <v>0.12617064322740168</v>
      </c>
      <c r="BV130" s="97">
        <f t="shared" si="1237"/>
        <v>0.13443523006556579</v>
      </c>
      <c r="BW130" s="97">
        <f t="shared" si="1237"/>
        <v>0.14844160543964202</v>
      </c>
      <c r="BX130" s="97">
        <f t="shared" si="1237"/>
        <v>0.14563341774224248</v>
      </c>
      <c r="BY130" s="97">
        <f t="shared" si="1237"/>
        <v>0.16285720102640311</v>
      </c>
      <c r="BZ130" s="87">
        <f t="shared" ref="BZ130:CO131" si="1238">+AVERAGE(BV130:BY130)</f>
        <v>0.14784186356846335</v>
      </c>
      <c r="CA130" s="87">
        <f t="shared" si="1238"/>
        <v>0.15119352194418773</v>
      </c>
      <c r="CB130" s="87">
        <f t="shared" si="1238"/>
        <v>0.15188150107032417</v>
      </c>
      <c r="CC130" s="87">
        <f t="shared" si="1238"/>
        <v>0.15344352190234459</v>
      </c>
      <c r="CD130" s="87">
        <f t="shared" si="1238"/>
        <v>0.15109010212132995</v>
      </c>
      <c r="CE130" s="87">
        <f t="shared" si="1238"/>
        <v>0.15190216175954663</v>
      </c>
      <c r="CF130" s="87">
        <f t="shared" si="1238"/>
        <v>0.15207932171338634</v>
      </c>
      <c r="CG130" s="87">
        <f t="shared" si="1238"/>
        <v>0.15212877687415188</v>
      </c>
      <c r="CH130" s="87">
        <f t="shared" si="1238"/>
        <v>0.1518000906171037</v>
      </c>
      <c r="CI130" s="87">
        <f t="shared" si="1238"/>
        <v>0.15197758774104714</v>
      </c>
      <c r="CJ130" s="87">
        <f t="shared" si="1238"/>
        <v>0.15199644423642228</v>
      </c>
      <c r="CK130" s="87">
        <f t="shared" si="1238"/>
        <v>0.15197572486718125</v>
      </c>
      <c r="CL130" s="87">
        <f t="shared" si="1238"/>
        <v>0.15193746186543861</v>
      </c>
      <c r="CM130" s="87">
        <f t="shared" si="1238"/>
        <v>0.1519718046775223</v>
      </c>
      <c r="CN130" s="87">
        <f t="shared" si="1238"/>
        <v>0.15197035891164112</v>
      </c>
      <c r="CO130" s="87">
        <f t="shared" si="1238"/>
        <v>0.15196383758044582</v>
      </c>
      <c r="CS130" s="96">
        <v>0.13025311305559623</v>
      </c>
      <c r="CX130" s="96">
        <v>0.16285720040576757</v>
      </c>
    </row>
    <row r="131" spans="1:102" s="96" customFormat="1" x14ac:dyDescent="0.2">
      <c r="A131" s="96" t="s">
        <v>51</v>
      </c>
      <c r="B131" s="96">
        <f t="shared" ref="B131:AE131" si="1239">+B113/B110</f>
        <v>0.35378405167236598</v>
      </c>
      <c r="C131" s="96">
        <f t="shared" si="1239"/>
        <v>0.36113595235794249</v>
      </c>
      <c r="D131" s="96">
        <f t="shared" si="1239"/>
        <v>0.42192569322204537</v>
      </c>
      <c r="E131" s="96">
        <f t="shared" si="1239"/>
        <v>0.41094390333918684</v>
      </c>
      <c r="F131" s="96">
        <f t="shared" si="1239"/>
        <v>0.39267207808019744</v>
      </c>
      <c r="G131" s="96">
        <f t="shared" si="1239"/>
        <v>0.31648105614795097</v>
      </c>
      <c r="H131" s="96">
        <f t="shared" si="1239"/>
        <v>0.31416266151842731</v>
      </c>
      <c r="I131" s="96">
        <f t="shared" si="1239"/>
        <v>0.31810257191550451</v>
      </c>
      <c r="J131" s="96">
        <f t="shared" si="1239"/>
        <v>0.28759973039460429</v>
      </c>
      <c r="K131" s="96">
        <f t="shared" si="1239"/>
        <v>0.28662791065393367</v>
      </c>
      <c r="L131" s="96">
        <f t="shared" si="1239"/>
        <v>0.27181178259622646</v>
      </c>
      <c r="M131" s="96">
        <f t="shared" si="1239"/>
        <v>0.29790907451476256</v>
      </c>
      <c r="N131" s="96">
        <f t="shared" si="1239"/>
        <v>0.32204241709132403</v>
      </c>
      <c r="O131" s="96">
        <f t="shared" si="1239"/>
        <v>0.28312819923807853</v>
      </c>
      <c r="P131" s="96">
        <f t="shared" si="1239"/>
        <v>0.28440060955805024</v>
      </c>
      <c r="Q131" s="96">
        <f t="shared" si="1239"/>
        <v>0.2808746118762207</v>
      </c>
      <c r="R131" s="96">
        <f t="shared" si="1239"/>
        <v>0.28098699474028438</v>
      </c>
      <c r="S131" s="96">
        <f t="shared" si="1239"/>
        <v>0.25560448439464106</v>
      </c>
      <c r="T131" s="96">
        <f t="shared" si="1239"/>
        <v>0.23902997530430539</v>
      </c>
      <c r="U131" s="96">
        <f t="shared" si="1239"/>
        <v>0.26379513030025187</v>
      </c>
      <c r="V131" s="96">
        <f t="shared" si="1239"/>
        <v>0.24667802726758781</v>
      </c>
      <c r="W131" s="96">
        <f t="shared" si="1239"/>
        <v>0.24897531645080268</v>
      </c>
      <c r="X131" s="96">
        <f t="shared" si="1239"/>
        <v>0.25784877204661738</v>
      </c>
      <c r="Y131" s="96">
        <f t="shared" si="1239"/>
        <v>0.26092346573990993</v>
      </c>
      <c r="Z131" s="96">
        <f t="shared" si="1239"/>
        <v>0.24711765092266133</v>
      </c>
      <c r="AA131" s="96">
        <f t="shared" ref="AA131" si="1240">+AA113/AA110</f>
        <v>0.23400381621520144</v>
      </c>
      <c r="AB131" s="87">
        <f t="shared" si="1239"/>
        <v>0.23789742228294053</v>
      </c>
      <c r="AC131" s="87">
        <f t="shared" si="1239"/>
        <v>0.23831146714747242</v>
      </c>
      <c r="AD131" s="87">
        <f t="shared" si="1239"/>
        <v>0.23833184591641982</v>
      </c>
      <c r="AE131" s="87">
        <f t="shared" si="1239"/>
        <v>0.23832693810891697</v>
      </c>
      <c r="AG131" s="59"/>
      <c r="AI131" s="97">
        <f t="shared" ref="AI131:AV131" si="1241">AI113/AI110</f>
        <v>0.3008232378800032</v>
      </c>
      <c r="AJ131" s="97">
        <f t="shared" si="1241"/>
        <v>0.30213234261346006</v>
      </c>
      <c r="AK131" s="97">
        <f t="shared" si="1241"/>
        <v>0.28087460887362076</v>
      </c>
      <c r="AL131" s="97">
        <f t="shared" si="1241"/>
        <v>0.26456029901002925</v>
      </c>
      <c r="AM131" s="97">
        <f t="shared" si="1241"/>
        <v>0.27733353272495748</v>
      </c>
      <c r="AN131" s="97">
        <f t="shared" si="1241"/>
        <v>0.31207975244326908</v>
      </c>
      <c r="AO131" s="97">
        <f t="shared" si="1241"/>
        <v>0.28098699873667393</v>
      </c>
      <c r="AP131" s="97">
        <f t="shared" si="1241"/>
        <v>0.27911416262072963</v>
      </c>
      <c r="AQ131" s="97">
        <f t="shared" si="1241"/>
        <v>0.26014405572454657</v>
      </c>
      <c r="AR131" s="97">
        <f t="shared" si="1241"/>
        <v>0.25738547581903476</v>
      </c>
      <c r="AS131" s="97">
        <f t="shared" si="1241"/>
        <v>0.25560448459196694</v>
      </c>
      <c r="AT131" s="97">
        <f t="shared" si="1241"/>
        <v>0.25443194721345463</v>
      </c>
      <c r="AU131" s="97">
        <f t="shared" si="1241"/>
        <v>0.25230236392501815</v>
      </c>
      <c r="AV131" s="97">
        <f t="shared" si="1241"/>
        <v>0.24730601285010584</v>
      </c>
      <c r="AW131" s="97">
        <f t="shared" ref="AW131:BV131" si="1242">AW113/AW110</f>
        <v>0.23902998125528011</v>
      </c>
      <c r="AX131" s="97">
        <f t="shared" si="1242"/>
        <v>0.23704952444569641</v>
      </c>
      <c r="AY131" s="97">
        <f t="shared" si="1242"/>
        <v>0.24995087673193528</v>
      </c>
      <c r="AZ131" s="97">
        <f t="shared" si="1242"/>
        <v>0.25047096040351219</v>
      </c>
      <c r="BA131" s="97">
        <f t="shared" si="1242"/>
        <v>0.26379512625821722</v>
      </c>
      <c r="BB131" s="97">
        <f t="shared" si="1242"/>
        <v>0.25978899030048597</v>
      </c>
      <c r="BC131" s="97">
        <f t="shared" si="1242"/>
        <v>0.26536080793499955</v>
      </c>
      <c r="BD131" s="97">
        <f t="shared" si="1242"/>
        <v>0.26371465769810748</v>
      </c>
      <c r="BE131" s="97">
        <f t="shared" si="1242"/>
        <v>0.24667802426439414</v>
      </c>
      <c r="BF131" s="97">
        <f t="shared" si="1242"/>
        <v>0.25436092431180723</v>
      </c>
      <c r="BG131" s="97">
        <f t="shared" si="1242"/>
        <v>0.25595303215956827</v>
      </c>
      <c r="BH131" s="97">
        <f t="shared" si="1242"/>
        <v>0.25042083723255631</v>
      </c>
      <c r="BI131" s="97">
        <f t="shared" si="1242"/>
        <v>0.24897531700104658</v>
      </c>
      <c r="BJ131" s="97">
        <f t="shared" si="1242"/>
        <v>0.26231945128260259</v>
      </c>
      <c r="BK131" s="97">
        <f t="shared" si="1242"/>
        <v>0.25805102320423007</v>
      </c>
      <c r="BL131" s="97">
        <f t="shared" si="1242"/>
        <v>0.25553484446841912</v>
      </c>
      <c r="BM131" s="97">
        <f t="shared" si="1242"/>
        <v>0.25784877076725576</v>
      </c>
      <c r="BN131" s="97">
        <f t="shared" si="1242"/>
        <v>0.25975698934142216</v>
      </c>
      <c r="BO131" s="97">
        <f t="shared" si="1242"/>
        <v>0.262196532355294</v>
      </c>
      <c r="BP131" s="97">
        <f t="shared" si="1242"/>
        <v>0.25408538948551856</v>
      </c>
      <c r="BQ131" s="97">
        <f t="shared" si="1242"/>
        <v>0.2609234646449865</v>
      </c>
      <c r="BR131" s="97">
        <f t="shared" si="1242"/>
        <v>0.26285349655992357</v>
      </c>
      <c r="BS131" s="97">
        <f t="shared" si="1242"/>
        <v>0.25860724246113298</v>
      </c>
      <c r="BT131" s="97">
        <f t="shared" si="1242"/>
        <v>0.25949595839479572</v>
      </c>
      <c r="BU131" s="97">
        <f t="shared" si="1242"/>
        <v>0.24711764902525193</v>
      </c>
      <c r="BV131" s="97">
        <f t="shared" si="1242"/>
        <v>0.25031019497314549</v>
      </c>
      <c r="BW131" s="97">
        <f t="shared" ref="BW131:BX131" si="1243">BW113/BW110</f>
        <v>0.24372955154275855</v>
      </c>
      <c r="BX131" s="97">
        <f t="shared" si="1243"/>
        <v>0.23648653473831685</v>
      </c>
      <c r="BY131" s="97">
        <f t="shared" ref="BY131" si="1244">BY113/BY110</f>
        <v>0.23400381433314144</v>
      </c>
      <c r="BZ131" s="87">
        <f t="shared" si="1238"/>
        <v>0.24113252389684059</v>
      </c>
      <c r="CA131" s="87">
        <f t="shared" si="1238"/>
        <v>0.23883810612776435</v>
      </c>
      <c r="CB131" s="87">
        <f t="shared" si="1238"/>
        <v>0.2376152447740158</v>
      </c>
      <c r="CC131" s="87">
        <f t="shared" si="1238"/>
        <v>0.23789742228294053</v>
      </c>
      <c r="CD131" s="87">
        <f t="shared" si="1238"/>
        <v>0.23887082427039033</v>
      </c>
      <c r="CE131" s="87">
        <f t="shared" si="1238"/>
        <v>0.23830539936377776</v>
      </c>
      <c r="CF131" s="87">
        <f t="shared" si="1238"/>
        <v>0.2381722226727811</v>
      </c>
      <c r="CG131" s="87">
        <f t="shared" si="1238"/>
        <v>0.23831146714747242</v>
      </c>
      <c r="CH131" s="87">
        <f t="shared" si="1238"/>
        <v>0.23841497836360542</v>
      </c>
      <c r="CI131" s="87">
        <f t="shared" si="1238"/>
        <v>0.23830101688690919</v>
      </c>
      <c r="CJ131" s="87">
        <f t="shared" si="1238"/>
        <v>0.23829992126769203</v>
      </c>
      <c r="CK131" s="87">
        <f t="shared" si="1238"/>
        <v>0.23833184591641979</v>
      </c>
      <c r="CL131" s="87">
        <f t="shared" si="1238"/>
        <v>0.23833694060865659</v>
      </c>
      <c r="CM131" s="87">
        <f t="shared" si="1238"/>
        <v>0.23831743116991941</v>
      </c>
      <c r="CN131" s="87">
        <f t="shared" si="1238"/>
        <v>0.23832153474067197</v>
      </c>
      <c r="CO131" s="87">
        <f t="shared" si="1238"/>
        <v>0.23832693810891695</v>
      </c>
      <c r="CS131" s="96">
        <v>0.24986655176222825</v>
      </c>
      <c r="CX131" s="96">
        <v>0.23400381621520144</v>
      </c>
    </row>
  </sheetData>
  <sortState xmlns:xlrd2="http://schemas.microsoft.com/office/spreadsheetml/2017/richdata2" ref="A35:CO40">
    <sortCondition descending="1" ref="Z35:Z40"/>
  </sortState>
  <pageMargins left="0.7" right="0.7" top="0.75" bottom="0.75" header="0.3" footer="0.3"/>
  <pageSetup paperSize="9" orientation="portrait" horizontalDpi="0" verticalDpi="0" r:id="rId1"/>
  <ignoredErrors>
    <ignoredError sqref="T45:W45 T47:W47 T51:W5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0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132483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3" t="s">
        <v>389</v>
      </c>
      <c r="L2" s="133" t="s">
        <v>389</v>
      </c>
    </row>
    <row r="3" spans="1:18" x14ac:dyDescent="0.25">
      <c r="A3" s="134" t="s">
        <v>390</v>
      </c>
      <c r="B3" s="135" t="s">
        <v>392</v>
      </c>
      <c r="C3" s="135" t="s">
        <v>391</v>
      </c>
      <c r="D3" s="135" t="s">
        <v>393</v>
      </c>
      <c r="E3" s="135" t="s">
        <v>394</v>
      </c>
      <c r="F3" s="135" t="s">
        <v>395</v>
      </c>
      <c r="G3" s="135" t="s">
        <v>396</v>
      </c>
      <c r="H3" s="135"/>
      <c r="I3" s="135"/>
      <c r="J3" s="135"/>
      <c r="K3" s="135"/>
      <c r="L3" s="134" t="s">
        <v>390</v>
      </c>
      <c r="M3" s="136" t="s">
        <v>391</v>
      </c>
      <c r="N3" s="136" t="s">
        <v>392</v>
      </c>
      <c r="O3" s="136" t="s">
        <v>393</v>
      </c>
      <c r="P3" s="136" t="s">
        <v>394</v>
      </c>
      <c r="Q3" s="136" t="s">
        <v>395</v>
      </c>
      <c r="R3" s="135" t="s">
        <v>396</v>
      </c>
    </row>
    <row r="4" spans="1:18" x14ac:dyDescent="0.25">
      <c r="A4" s="133">
        <v>42005</v>
      </c>
      <c r="B4" s="110">
        <v>88.066138321891003</v>
      </c>
      <c r="C4" s="110">
        <v>87.453352071142206</v>
      </c>
      <c r="D4" s="110">
        <v>87.122642031055605</v>
      </c>
      <c r="E4" s="110">
        <v>87.229636455789503</v>
      </c>
      <c r="F4" s="110">
        <v>449.55</v>
      </c>
      <c r="G4">
        <v>96217</v>
      </c>
      <c r="H4" s="110"/>
      <c r="I4" s="110"/>
      <c r="L4" s="133">
        <v>42005</v>
      </c>
      <c r="M4" s="110">
        <v>87.393061675699698</v>
      </c>
      <c r="N4" s="110">
        <v>88.025287497505005</v>
      </c>
      <c r="O4" s="110">
        <v>87.052632387035402</v>
      </c>
      <c r="P4" s="110">
        <v>87.344428920176298</v>
      </c>
      <c r="Q4" s="110">
        <v>449.25</v>
      </c>
      <c r="R4">
        <v>822446</v>
      </c>
    </row>
    <row r="5" spans="1:18" x14ac:dyDescent="0.25">
      <c r="A5" s="133">
        <v>42006</v>
      </c>
      <c r="B5" s="110">
        <v>88.678924572639701</v>
      </c>
      <c r="C5" s="110">
        <v>87.336630880523401</v>
      </c>
      <c r="D5" s="110">
        <v>86.967013776897204</v>
      </c>
      <c r="E5" s="110">
        <v>87.735428281804403</v>
      </c>
      <c r="F5" s="110">
        <v>448.95</v>
      </c>
      <c r="G5">
        <v>163216</v>
      </c>
      <c r="H5" s="110"/>
      <c r="I5" s="110"/>
      <c r="L5" s="133">
        <v>42006</v>
      </c>
      <c r="M5" s="110">
        <v>87.276343062443402</v>
      </c>
      <c r="N5" s="110">
        <v>88.608880563786798</v>
      </c>
      <c r="O5" s="110">
        <v>87.013726182616594</v>
      </c>
      <c r="P5" s="110">
        <v>88.064193701923799</v>
      </c>
      <c r="Q5" s="110">
        <v>448.65</v>
      </c>
      <c r="R5">
        <v>1552797</v>
      </c>
    </row>
    <row r="6" spans="1:18" x14ac:dyDescent="0.25">
      <c r="A6" s="133">
        <v>42009</v>
      </c>
      <c r="B6" s="110">
        <v>88.124498917200398</v>
      </c>
      <c r="C6" s="110">
        <v>87.540892964106305</v>
      </c>
      <c r="D6" s="110">
        <v>86.694664332119999</v>
      </c>
      <c r="E6" s="110">
        <v>87.540892964106305</v>
      </c>
      <c r="F6" s="110">
        <v>450</v>
      </c>
      <c r="G6">
        <v>142232</v>
      </c>
      <c r="H6" s="110"/>
      <c r="I6" s="110"/>
      <c r="L6" s="133">
        <v>42009</v>
      </c>
      <c r="M6" s="110">
        <v>87.616772351107798</v>
      </c>
      <c r="N6" s="110">
        <v>88.151732661866106</v>
      </c>
      <c r="O6" s="110">
        <v>86.663570342847507</v>
      </c>
      <c r="P6" s="110">
        <v>87.383335124595007</v>
      </c>
      <c r="Q6" s="110">
        <v>450.4</v>
      </c>
      <c r="R6">
        <v>1444209</v>
      </c>
    </row>
    <row r="7" spans="1:18" x14ac:dyDescent="0.25">
      <c r="A7" s="133">
        <v>42010</v>
      </c>
      <c r="B7" s="110">
        <v>87.054554669861304</v>
      </c>
      <c r="C7" s="110">
        <v>85.080021195226493</v>
      </c>
      <c r="D7" s="110">
        <v>84.739584389255</v>
      </c>
      <c r="E7" s="110">
        <v>87.054554669861304</v>
      </c>
      <c r="F7" s="110">
        <v>437.35</v>
      </c>
      <c r="G7">
        <v>164083</v>
      </c>
      <c r="H7" s="110"/>
      <c r="I7" s="110"/>
      <c r="L7" s="133">
        <v>42010</v>
      </c>
      <c r="M7" s="110">
        <v>85.194861126038305</v>
      </c>
      <c r="N7" s="110">
        <v>86.916460671569595</v>
      </c>
      <c r="O7" s="110">
        <v>84.854431837373895</v>
      </c>
      <c r="P7" s="110">
        <v>86.585757934009905</v>
      </c>
      <c r="Q7" s="110">
        <v>437.95</v>
      </c>
      <c r="R7">
        <v>1863201</v>
      </c>
    </row>
    <row r="8" spans="1:18" x14ac:dyDescent="0.25">
      <c r="A8" s="133">
        <v>42011</v>
      </c>
      <c r="B8" s="110">
        <v>85.469091830622503</v>
      </c>
      <c r="C8" s="110">
        <v>84.973026770492595</v>
      </c>
      <c r="D8" s="110">
        <v>83.805814864304494</v>
      </c>
      <c r="E8" s="110">
        <v>84.233792563240101</v>
      </c>
      <c r="F8" s="110">
        <v>436.8</v>
      </c>
      <c r="G8">
        <v>143924</v>
      </c>
      <c r="H8" s="110"/>
      <c r="I8" s="110"/>
      <c r="L8" s="133">
        <v>42011</v>
      </c>
      <c r="M8" s="110">
        <v>85.048962859467807</v>
      </c>
      <c r="N8" s="110">
        <v>85.554743516912097</v>
      </c>
      <c r="O8" s="110">
        <v>83.745605011438499</v>
      </c>
      <c r="P8" s="110">
        <v>84.620994610861203</v>
      </c>
      <c r="Q8" s="110">
        <v>437.2</v>
      </c>
      <c r="R8">
        <v>1464071</v>
      </c>
    </row>
    <row r="9" spans="1:18" x14ac:dyDescent="0.25">
      <c r="A9" s="133">
        <v>42012</v>
      </c>
      <c r="B9" s="110">
        <v>88.377394830207805</v>
      </c>
      <c r="C9" s="110">
        <v>88.036958024236299</v>
      </c>
      <c r="D9" s="110">
        <v>85.401004469428202</v>
      </c>
      <c r="E9" s="110">
        <v>85.809528636593996</v>
      </c>
      <c r="F9" s="110">
        <v>452.55</v>
      </c>
      <c r="G9">
        <v>132504</v>
      </c>
      <c r="H9" s="110"/>
      <c r="I9" s="110"/>
      <c r="L9" s="133">
        <v>42012</v>
      </c>
      <c r="M9" s="110">
        <v>87.9182954353534</v>
      </c>
      <c r="N9" s="110">
        <v>88.210091968494297</v>
      </c>
      <c r="O9" s="110">
        <v>85.331032841503998</v>
      </c>
      <c r="P9" s="110">
        <v>85.982711765518701</v>
      </c>
      <c r="Q9" s="110">
        <v>451.95</v>
      </c>
      <c r="R9">
        <v>1579533</v>
      </c>
    </row>
    <row r="10" spans="1:18" x14ac:dyDescent="0.25">
      <c r="A10" s="133">
        <v>42013</v>
      </c>
      <c r="B10" s="110">
        <v>88.747011933834003</v>
      </c>
      <c r="C10" s="110">
        <v>85.692807445975205</v>
      </c>
      <c r="D10" s="110">
        <v>85.080021195226493</v>
      </c>
      <c r="E10" s="110">
        <v>88.513569552596394</v>
      </c>
      <c r="F10" s="110">
        <v>440.5</v>
      </c>
      <c r="G10">
        <v>199133</v>
      </c>
      <c r="H10" s="110"/>
      <c r="I10" s="110"/>
      <c r="L10" s="133">
        <v>42013</v>
      </c>
      <c r="M10" s="110">
        <v>85.739547987901304</v>
      </c>
      <c r="N10" s="110">
        <v>88.793685034776104</v>
      </c>
      <c r="O10" s="110">
        <v>85.010056655049098</v>
      </c>
      <c r="P10" s="110">
        <v>88.793685034776104</v>
      </c>
      <c r="Q10" s="110">
        <v>440.75</v>
      </c>
      <c r="R10">
        <v>1890184</v>
      </c>
    </row>
    <row r="11" spans="1:18" x14ac:dyDescent="0.25">
      <c r="A11" s="133">
        <v>42016</v>
      </c>
      <c r="B11" s="110">
        <v>87.074008201631102</v>
      </c>
      <c r="C11" s="110">
        <v>86.441768419112606</v>
      </c>
      <c r="D11" s="110">
        <v>84.613136432751205</v>
      </c>
      <c r="E11" s="110">
        <v>85.401004469428202</v>
      </c>
      <c r="F11" s="110">
        <v>444.35</v>
      </c>
      <c r="G11">
        <v>182974</v>
      </c>
      <c r="H11" s="110"/>
      <c r="I11" s="110"/>
      <c r="L11" s="133">
        <v>42016</v>
      </c>
      <c r="M11" s="110">
        <v>86.556578280695803</v>
      </c>
      <c r="N11" s="110">
        <v>87.072085489244799</v>
      </c>
      <c r="O11" s="110">
        <v>84.543182202023601</v>
      </c>
      <c r="P11" s="110">
        <v>85.3602124948181</v>
      </c>
      <c r="Q11" s="110">
        <v>444.95</v>
      </c>
      <c r="R11">
        <v>1298682</v>
      </c>
    </row>
    <row r="12" spans="1:18" x14ac:dyDescent="0.25">
      <c r="A12" s="133">
        <v>42017</v>
      </c>
      <c r="B12" s="110">
        <v>87.151822328710296</v>
      </c>
      <c r="C12" s="110">
        <v>86.519582546191799</v>
      </c>
      <c r="D12" s="110">
        <v>85.702534211860097</v>
      </c>
      <c r="E12" s="110">
        <v>86.646030502695496</v>
      </c>
      <c r="F12" s="110">
        <v>444.75</v>
      </c>
      <c r="G12">
        <v>115582</v>
      </c>
      <c r="H12" s="110"/>
      <c r="I12" s="110"/>
      <c r="L12" s="133">
        <v>42017</v>
      </c>
      <c r="M12" s="110">
        <v>86.507945525172303</v>
      </c>
      <c r="N12" s="110">
        <v>87.169351000291698</v>
      </c>
      <c r="O12" s="110">
        <v>85.652009027958997</v>
      </c>
      <c r="P12" s="110">
        <v>86.712203098371006</v>
      </c>
      <c r="Q12" s="110">
        <v>444.7</v>
      </c>
      <c r="R12">
        <v>1542933</v>
      </c>
    </row>
    <row r="13" spans="1:18" x14ac:dyDescent="0.25">
      <c r="A13" s="133">
        <v>42018</v>
      </c>
      <c r="B13" s="110">
        <v>86.879472883933104</v>
      </c>
      <c r="C13" s="110">
        <v>85.323190342348994</v>
      </c>
      <c r="D13" s="110">
        <v>84.768764686909606</v>
      </c>
      <c r="E13" s="110">
        <v>86.081878081371201</v>
      </c>
      <c r="F13" s="110">
        <v>438.6</v>
      </c>
      <c r="G13">
        <v>106996</v>
      </c>
      <c r="H13" s="110"/>
      <c r="I13" s="110"/>
      <c r="L13" s="133">
        <v>42018</v>
      </c>
      <c r="M13" s="110">
        <v>85.321306290399306</v>
      </c>
      <c r="N13" s="110">
        <v>86.867827916046096</v>
      </c>
      <c r="O13" s="110">
        <v>84.737713224117499</v>
      </c>
      <c r="P13" s="110">
        <v>86.760835853894406</v>
      </c>
      <c r="Q13" s="110">
        <v>438.6</v>
      </c>
      <c r="R13">
        <v>946520</v>
      </c>
    </row>
    <row r="14" spans="1:18" x14ac:dyDescent="0.25">
      <c r="A14" s="133">
        <v>42019</v>
      </c>
      <c r="B14" s="110">
        <v>90.916080726166896</v>
      </c>
      <c r="C14" s="110">
        <v>88.824826060913296</v>
      </c>
      <c r="D14" s="110">
        <v>87.9299635995024</v>
      </c>
      <c r="E14" s="110">
        <v>90.2838409436484</v>
      </c>
      <c r="F14" s="110">
        <v>456.6</v>
      </c>
      <c r="G14">
        <v>349202</v>
      </c>
      <c r="H14" s="110"/>
      <c r="I14" s="110"/>
      <c r="L14" s="133">
        <v>42019</v>
      </c>
      <c r="M14" s="110">
        <v>89.046575363498206</v>
      </c>
      <c r="N14" s="110">
        <v>91.069697993275099</v>
      </c>
      <c r="O14" s="110">
        <v>87.9182954353534</v>
      </c>
      <c r="P14" s="110">
        <v>90.534737682516806</v>
      </c>
      <c r="Q14" s="110">
        <v>457.75</v>
      </c>
      <c r="R14">
        <v>2264066</v>
      </c>
    </row>
    <row r="15" spans="1:18" x14ac:dyDescent="0.25">
      <c r="A15" s="133">
        <v>42020</v>
      </c>
      <c r="B15" s="110">
        <v>89.4473390775469</v>
      </c>
      <c r="C15" s="110">
        <v>88.299580703128598</v>
      </c>
      <c r="D15" s="110">
        <v>87.793788877113798</v>
      </c>
      <c r="E15" s="110">
        <v>88.902640187992404</v>
      </c>
      <c r="F15" s="110">
        <v>453.9</v>
      </c>
      <c r="G15">
        <v>118831</v>
      </c>
      <c r="H15" s="110"/>
      <c r="I15" s="110"/>
      <c r="L15" s="133">
        <v>42020</v>
      </c>
      <c r="M15" s="110">
        <v>88.492161950530502</v>
      </c>
      <c r="N15" s="110">
        <v>89.464817061000105</v>
      </c>
      <c r="O15" s="110">
        <v>87.772397168782902</v>
      </c>
      <c r="P15" s="110">
        <v>89.066028465707603</v>
      </c>
      <c r="Q15" s="110">
        <v>454.9</v>
      </c>
      <c r="R15">
        <v>1202830</v>
      </c>
    </row>
    <row r="16" spans="1:18" x14ac:dyDescent="0.25">
      <c r="A16" s="133">
        <v>42023</v>
      </c>
      <c r="B16" s="110">
        <v>90.653458047274597</v>
      </c>
      <c r="C16" s="110">
        <v>90.089305625950303</v>
      </c>
      <c r="D16" s="110">
        <v>88.348214532553101</v>
      </c>
      <c r="E16" s="110">
        <v>88.591383679675602</v>
      </c>
      <c r="F16" s="110">
        <v>463.1</v>
      </c>
      <c r="G16">
        <v>168377</v>
      </c>
      <c r="H16" s="110"/>
      <c r="I16" s="110"/>
      <c r="L16" s="133">
        <v>42023</v>
      </c>
      <c r="M16" s="110">
        <v>90.3499332115275</v>
      </c>
      <c r="N16" s="110">
        <v>90.7487218068201</v>
      </c>
      <c r="O16" s="110">
        <v>88.287904377331799</v>
      </c>
      <c r="P16" s="110">
        <v>89.007669159079398</v>
      </c>
      <c r="Q16" s="110">
        <v>464.45</v>
      </c>
      <c r="R16">
        <v>2185560</v>
      </c>
    </row>
    <row r="17" spans="1:18" x14ac:dyDescent="0.25">
      <c r="A17" s="133">
        <v>42024</v>
      </c>
      <c r="B17" s="110">
        <v>91.752582592268396</v>
      </c>
      <c r="C17" s="110">
        <v>91.178703405059196</v>
      </c>
      <c r="D17" s="110">
        <v>90.108759157720101</v>
      </c>
      <c r="E17" s="110">
        <v>90.429742431921895</v>
      </c>
      <c r="F17" s="110">
        <v>468.7</v>
      </c>
      <c r="G17">
        <v>127742</v>
      </c>
      <c r="H17" s="110"/>
      <c r="I17" s="110"/>
      <c r="L17" s="133">
        <v>42024</v>
      </c>
      <c r="M17" s="110">
        <v>91.4684865885676</v>
      </c>
      <c r="N17" s="110">
        <v>91.9159079393837</v>
      </c>
      <c r="O17" s="110">
        <v>90.087316331700706</v>
      </c>
      <c r="P17" s="110">
        <v>90.456925273679204</v>
      </c>
      <c r="Q17" s="110">
        <v>470.2</v>
      </c>
      <c r="R17">
        <v>1624496</v>
      </c>
    </row>
    <row r="18" spans="1:18" x14ac:dyDescent="0.25">
      <c r="A18" s="133">
        <v>42025</v>
      </c>
      <c r="B18" s="110">
        <v>92.482090033635899</v>
      </c>
      <c r="C18" s="110">
        <v>91.431599318066603</v>
      </c>
      <c r="D18" s="110">
        <v>90.653458047274597</v>
      </c>
      <c r="E18" s="110">
        <v>91.431599318066603</v>
      </c>
      <c r="F18" s="110">
        <v>470</v>
      </c>
      <c r="G18">
        <v>220241</v>
      </c>
      <c r="H18" s="110"/>
      <c r="I18" s="110"/>
      <c r="L18" s="133">
        <v>42025</v>
      </c>
      <c r="M18" s="110">
        <v>91.410127281939495</v>
      </c>
      <c r="N18" s="110">
        <v>92.470321352351405</v>
      </c>
      <c r="O18" s="110">
        <v>90.583370438040205</v>
      </c>
      <c r="P18" s="110">
        <v>91.643564508452201</v>
      </c>
      <c r="Q18" s="110">
        <v>469.9</v>
      </c>
      <c r="R18">
        <v>2156950</v>
      </c>
    </row>
    <row r="19" spans="1:18" x14ac:dyDescent="0.25">
      <c r="A19" s="133">
        <v>42026</v>
      </c>
      <c r="B19" s="110">
        <v>91.917937612311704</v>
      </c>
      <c r="C19" s="110">
        <v>90.643731281389705</v>
      </c>
      <c r="D19" s="110">
        <v>89.7780491176335</v>
      </c>
      <c r="E19" s="110">
        <v>91.431599318066603</v>
      </c>
      <c r="F19" s="110">
        <v>465.95</v>
      </c>
      <c r="G19">
        <v>106721</v>
      </c>
      <c r="H19" s="110"/>
      <c r="I19" s="110"/>
      <c r="L19" s="133">
        <v>42026</v>
      </c>
      <c r="M19" s="110">
        <v>90.554190784726202</v>
      </c>
      <c r="N19" s="110">
        <v>91.974267246011905</v>
      </c>
      <c r="O19" s="110">
        <v>89.630168429779999</v>
      </c>
      <c r="P19" s="110">
        <v>91.877001734964907</v>
      </c>
      <c r="Q19" s="110">
        <v>465.5</v>
      </c>
      <c r="R19">
        <v>1617938</v>
      </c>
    </row>
    <row r="20" spans="1:18" x14ac:dyDescent="0.25">
      <c r="A20" s="133">
        <v>42027</v>
      </c>
      <c r="B20" s="110">
        <v>92.005478505275804</v>
      </c>
      <c r="C20" s="110">
        <v>91.032801916785701</v>
      </c>
      <c r="D20" s="110">
        <v>89.719688522324105</v>
      </c>
      <c r="E20" s="110">
        <v>91.431599318066603</v>
      </c>
      <c r="F20" s="110">
        <v>467.95</v>
      </c>
      <c r="G20">
        <v>100039</v>
      </c>
      <c r="H20" s="110"/>
      <c r="I20" s="110"/>
      <c r="L20" s="133">
        <v>42027</v>
      </c>
      <c r="M20" s="110">
        <v>91.235049362054895</v>
      </c>
      <c r="N20" s="110">
        <v>92.013173450430699</v>
      </c>
      <c r="O20" s="110">
        <v>89.688527736408204</v>
      </c>
      <c r="P20" s="110">
        <v>91.760283121708596</v>
      </c>
      <c r="Q20" s="110">
        <v>469</v>
      </c>
      <c r="R20">
        <v>1323553</v>
      </c>
    </row>
    <row r="21" spans="1:18" x14ac:dyDescent="0.25">
      <c r="A21" s="133">
        <v>42031</v>
      </c>
      <c r="B21" s="110">
        <v>91.558047274570299</v>
      </c>
      <c r="C21" s="110">
        <v>91.246790766253497</v>
      </c>
      <c r="D21" s="110">
        <v>89.534879970511</v>
      </c>
      <c r="E21" s="110">
        <v>91.431599318066603</v>
      </c>
      <c r="F21" s="110">
        <v>469.05</v>
      </c>
      <c r="G21">
        <v>117986</v>
      </c>
      <c r="H21" s="110"/>
      <c r="I21" s="110"/>
      <c r="L21" s="133">
        <v>42031</v>
      </c>
      <c r="M21" s="110">
        <v>91.342041424206599</v>
      </c>
      <c r="N21" s="110">
        <v>92.110438961477598</v>
      </c>
      <c r="O21" s="110">
        <v>89.484270163209501</v>
      </c>
      <c r="P21" s="110">
        <v>92.110438961477598</v>
      </c>
      <c r="Q21" s="110">
        <v>469.55</v>
      </c>
      <c r="R21">
        <v>1742582</v>
      </c>
    </row>
    <row r="22" spans="1:18" x14ac:dyDescent="0.25">
      <c r="A22" s="133">
        <v>42032</v>
      </c>
      <c r="B22" s="110">
        <v>93.065695986729907</v>
      </c>
      <c r="C22" s="110">
        <v>92.540450628945294</v>
      </c>
      <c r="D22" s="110">
        <v>90.206026816569207</v>
      </c>
      <c r="E22" s="110">
        <v>90.653458047274597</v>
      </c>
      <c r="F22" s="110">
        <v>475.7</v>
      </c>
      <c r="G22">
        <v>167980</v>
      </c>
      <c r="H22" s="110"/>
      <c r="I22" s="110"/>
      <c r="L22" s="133">
        <v>42032</v>
      </c>
      <c r="M22" s="110">
        <v>92.616219618921903</v>
      </c>
      <c r="N22" s="110">
        <v>93.112273725261403</v>
      </c>
      <c r="O22" s="110">
        <v>90.262394251585306</v>
      </c>
      <c r="P22" s="110">
        <v>90.456925273679204</v>
      </c>
      <c r="Q22" s="110">
        <v>476.1</v>
      </c>
      <c r="R22">
        <v>2003559</v>
      </c>
    </row>
    <row r="23" spans="1:18" x14ac:dyDescent="0.25">
      <c r="A23" s="133">
        <v>42033</v>
      </c>
      <c r="B23" s="110">
        <v>92.705805648988601</v>
      </c>
      <c r="C23" s="110">
        <v>91.275971063908202</v>
      </c>
      <c r="D23" s="110">
        <v>90.458922729576599</v>
      </c>
      <c r="E23" s="110">
        <v>92.589084458369797</v>
      </c>
      <c r="F23" s="110">
        <v>469.2</v>
      </c>
      <c r="G23">
        <v>122263</v>
      </c>
      <c r="H23" s="110"/>
      <c r="I23" s="110"/>
      <c r="L23" s="133">
        <v>42033</v>
      </c>
      <c r="M23" s="110">
        <v>91.575478650719305</v>
      </c>
      <c r="N23" s="110">
        <v>92.732938232178199</v>
      </c>
      <c r="O23" s="110">
        <v>90.476378375888601</v>
      </c>
      <c r="P23" s="110">
        <v>92.518954107874904</v>
      </c>
      <c r="Q23" s="110">
        <v>470.75</v>
      </c>
      <c r="R23">
        <v>1651869</v>
      </c>
    </row>
    <row r="24" spans="1:18" x14ac:dyDescent="0.25">
      <c r="A24" s="133">
        <v>42034</v>
      </c>
      <c r="B24" s="110">
        <v>92.170833525319097</v>
      </c>
      <c r="C24" s="110">
        <v>86.198599271990105</v>
      </c>
      <c r="D24" s="110">
        <v>85.945703358982598</v>
      </c>
      <c r="E24" s="110">
        <v>91.431599318066603</v>
      </c>
      <c r="F24" s="110">
        <v>443.1</v>
      </c>
      <c r="G24">
        <v>280500</v>
      </c>
      <c r="H24" s="110"/>
      <c r="I24" s="110"/>
      <c r="L24" s="133">
        <v>42034</v>
      </c>
      <c r="M24" s="110">
        <v>86.206422440926701</v>
      </c>
      <c r="N24" s="110">
        <v>92.402235494618495</v>
      </c>
      <c r="O24" s="110">
        <v>85.924352458890496</v>
      </c>
      <c r="P24" s="110">
        <v>91.721376917289803</v>
      </c>
      <c r="Q24" s="110">
        <v>443.15</v>
      </c>
      <c r="R24">
        <v>2299952</v>
      </c>
    </row>
    <row r="25" spans="1:18" x14ac:dyDescent="0.25">
      <c r="A25" s="133">
        <v>42037</v>
      </c>
      <c r="B25" s="110">
        <v>88.708104870294406</v>
      </c>
      <c r="C25" s="110">
        <v>88.464935723171905</v>
      </c>
      <c r="D25" s="110">
        <v>85.391277703543295</v>
      </c>
      <c r="E25" s="110">
        <v>86.179145740220306</v>
      </c>
      <c r="F25" s="110">
        <v>454.75</v>
      </c>
      <c r="G25">
        <v>122770</v>
      </c>
      <c r="H25" s="110"/>
      <c r="I25" s="110"/>
      <c r="L25" s="133">
        <v>42037</v>
      </c>
      <c r="M25" s="110">
        <v>88.462982297216399</v>
      </c>
      <c r="N25" s="110">
        <v>88.783958483671398</v>
      </c>
      <c r="O25" s="110">
        <v>85.292126637085204</v>
      </c>
      <c r="P25" s="110">
        <v>86.157789685403301</v>
      </c>
      <c r="Q25" s="110">
        <v>454.75</v>
      </c>
      <c r="R25">
        <v>1441471</v>
      </c>
    </row>
    <row r="26" spans="1:18" x14ac:dyDescent="0.25">
      <c r="A26" s="133">
        <v>42038</v>
      </c>
      <c r="B26" s="110">
        <v>89.748868819978796</v>
      </c>
      <c r="C26" s="110">
        <v>85.362097405888605</v>
      </c>
      <c r="D26" s="110">
        <v>84.632589964521003</v>
      </c>
      <c r="E26" s="110">
        <v>88.727558402064204</v>
      </c>
      <c r="F26" s="110">
        <v>438.8</v>
      </c>
      <c r="G26">
        <v>212831</v>
      </c>
      <c r="H26" s="110"/>
      <c r="I26" s="110"/>
      <c r="L26" s="133">
        <v>42038</v>
      </c>
      <c r="M26" s="110">
        <v>85.476931108074496</v>
      </c>
      <c r="N26" s="110">
        <v>89.776066696350398</v>
      </c>
      <c r="O26" s="110">
        <v>84.8641583884786</v>
      </c>
      <c r="P26" s="110">
        <v>88.754778830357296</v>
      </c>
      <c r="Q26" s="110">
        <v>439.4</v>
      </c>
      <c r="R26">
        <v>1968908</v>
      </c>
    </row>
    <row r="27" spans="1:18" x14ac:dyDescent="0.25">
      <c r="A27" s="133">
        <v>42039</v>
      </c>
      <c r="B27" s="110">
        <v>89.291710823388499</v>
      </c>
      <c r="C27" s="110">
        <v>88.134225683085305</v>
      </c>
      <c r="D27" s="110">
        <v>81.957729346173394</v>
      </c>
      <c r="E27" s="110">
        <v>84.622863198636097</v>
      </c>
      <c r="F27" s="110">
        <v>453.05</v>
      </c>
      <c r="G27">
        <v>1151374</v>
      </c>
      <c r="H27" s="110"/>
      <c r="I27" s="110"/>
      <c r="L27" s="133">
        <v>42039</v>
      </c>
      <c r="M27" s="110">
        <v>88.1420061107614</v>
      </c>
      <c r="N27" s="110">
        <v>89.367551549953205</v>
      </c>
      <c r="O27" s="110">
        <v>81.751662034975695</v>
      </c>
      <c r="P27" s="110">
        <v>85.593649721330806</v>
      </c>
      <c r="Q27" s="110">
        <v>453.1</v>
      </c>
      <c r="R27">
        <v>8653198</v>
      </c>
    </row>
    <row r="28" spans="1:18" x14ac:dyDescent="0.25">
      <c r="A28" s="133">
        <v>42040</v>
      </c>
      <c r="B28" s="110">
        <v>88.640017509100105</v>
      </c>
      <c r="C28" s="110">
        <v>83.494558355987706</v>
      </c>
      <c r="D28" s="110">
        <v>82.901225637008693</v>
      </c>
      <c r="E28" s="110">
        <v>88.571930147905803</v>
      </c>
      <c r="F28" s="110">
        <v>429.2</v>
      </c>
      <c r="G28">
        <v>314875</v>
      </c>
      <c r="H28" s="110"/>
      <c r="I28" s="110"/>
      <c r="L28" s="133">
        <v>42040</v>
      </c>
      <c r="M28" s="110">
        <v>83.560800540449307</v>
      </c>
      <c r="N28" s="110">
        <v>88.706146074833796</v>
      </c>
      <c r="O28" s="110">
        <v>82.918848167539295</v>
      </c>
      <c r="P28" s="110">
        <v>88.706146074833796</v>
      </c>
      <c r="Q28" s="110">
        <v>429.55</v>
      </c>
      <c r="R28">
        <v>3030182</v>
      </c>
    </row>
    <row r="29" spans="1:18" x14ac:dyDescent="0.25">
      <c r="A29" s="133">
        <v>42041</v>
      </c>
      <c r="B29" s="110">
        <v>83.796088098419602</v>
      </c>
      <c r="C29" s="110">
        <v>80.732156844675899</v>
      </c>
      <c r="D29" s="110">
        <v>80.362539741049602</v>
      </c>
      <c r="E29" s="110">
        <v>83.066580657052</v>
      </c>
      <c r="F29" s="110">
        <v>415</v>
      </c>
      <c r="G29">
        <v>406763</v>
      </c>
      <c r="H29" s="110"/>
      <c r="I29" s="110"/>
      <c r="L29" s="133">
        <v>42041</v>
      </c>
      <c r="M29" s="110">
        <v>80.681741413458994</v>
      </c>
      <c r="N29" s="110">
        <v>83.765058113647896</v>
      </c>
      <c r="O29" s="110">
        <v>80.341312124794598</v>
      </c>
      <c r="P29" s="110">
        <v>83.541347438239896</v>
      </c>
      <c r="Q29" s="110">
        <v>414.75</v>
      </c>
      <c r="R29">
        <v>3625826</v>
      </c>
    </row>
    <row r="30" spans="1:18" x14ac:dyDescent="0.25">
      <c r="A30" s="133">
        <v>42044</v>
      </c>
      <c r="B30" s="110">
        <v>81.237948670690699</v>
      </c>
      <c r="C30" s="110">
        <v>78.076749758098003</v>
      </c>
      <c r="D30" s="110">
        <v>77.619591761507607</v>
      </c>
      <c r="E30" s="110">
        <v>79.740026724415998</v>
      </c>
      <c r="F30" s="110">
        <v>401.35</v>
      </c>
      <c r="G30">
        <v>293376</v>
      </c>
      <c r="H30" s="110"/>
      <c r="I30" s="110"/>
      <c r="L30" s="133">
        <v>42044</v>
      </c>
      <c r="M30" s="110">
        <v>78.094478819609705</v>
      </c>
      <c r="N30" s="110">
        <v>81.3139672352643</v>
      </c>
      <c r="O30" s="110">
        <v>77.666510571003002</v>
      </c>
      <c r="P30" s="110">
        <v>79.932796978397405</v>
      </c>
      <c r="Q30" s="110">
        <v>401.45</v>
      </c>
      <c r="R30">
        <v>1985798</v>
      </c>
    </row>
    <row r="31" spans="1:18" x14ac:dyDescent="0.25">
      <c r="A31" s="133">
        <v>42045</v>
      </c>
      <c r="B31" s="110">
        <v>80.420900336358997</v>
      </c>
      <c r="C31" s="110">
        <v>77.570957932083104</v>
      </c>
      <c r="D31" s="110">
        <v>76.394019260010097</v>
      </c>
      <c r="E31" s="110">
        <v>77.444509975579393</v>
      </c>
      <c r="F31" s="110">
        <v>398.75</v>
      </c>
      <c r="G31">
        <v>488940</v>
      </c>
      <c r="H31" s="110"/>
      <c r="I31" s="110"/>
      <c r="L31" s="133">
        <v>42045</v>
      </c>
      <c r="M31" s="110">
        <v>77.452526446699693</v>
      </c>
      <c r="N31" s="110">
        <v>80.4191245336322</v>
      </c>
      <c r="O31" s="110">
        <v>76.304793416345504</v>
      </c>
      <c r="P31" s="110">
        <v>77.209362669082296</v>
      </c>
      <c r="Q31" s="110">
        <v>398.15</v>
      </c>
      <c r="R31">
        <v>3212618</v>
      </c>
    </row>
    <row r="32" spans="1:18" x14ac:dyDescent="0.25">
      <c r="A32" s="133">
        <v>42046</v>
      </c>
      <c r="B32" s="110">
        <v>79.448223747868994</v>
      </c>
      <c r="C32" s="110">
        <v>78.631175413537306</v>
      </c>
      <c r="D32" s="110">
        <v>77.570957932083104</v>
      </c>
      <c r="E32" s="110">
        <v>77.960028567479199</v>
      </c>
      <c r="F32" s="110">
        <v>404.2</v>
      </c>
      <c r="G32">
        <v>318776</v>
      </c>
      <c r="H32" s="110"/>
      <c r="I32" s="110"/>
      <c r="L32" s="133">
        <v>42046</v>
      </c>
      <c r="M32" s="110">
        <v>78.551626721530496</v>
      </c>
      <c r="N32" s="110">
        <v>79.368657014324995</v>
      </c>
      <c r="O32" s="110">
        <v>77.540065406642</v>
      </c>
      <c r="P32" s="110">
        <v>77.578971611060794</v>
      </c>
      <c r="Q32" s="110">
        <v>403.8</v>
      </c>
      <c r="R32">
        <v>1763026</v>
      </c>
    </row>
    <row r="33" spans="1:18" x14ac:dyDescent="0.25">
      <c r="A33" s="133">
        <v>42047</v>
      </c>
      <c r="B33" s="110">
        <v>79.263415196055803</v>
      </c>
      <c r="C33" s="110">
        <v>77.833580610975503</v>
      </c>
      <c r="D33" s="110">
        <v>77.094346403722994</v>
      </c>
      <c r="E33" s="110">
        <v>78.786803667695693</v>
      </c>
      <c r="F33" s="110">
        <v>400.1</v>
      </c>
      <c r="G33">
        <v>297093</v>
      </c>
      <c r="H33" s="110"/>
      <c r="I33" s="110"/>
      <c r="L33" s="133">
        <v>42047</v>
      </c>
      <c r="M33" s="110">
        <v>77.792955735364103</v>
      </c>
      <c r="N33" s="110">
        <v>79.349203912115598</v>
      </c>
      <c r="O33" s="110">
        <v>77.053737851407206</v>
      </c>
      <c r="P33" s="110">
        <v>78.785063948043202</v>
      </c>
      <c r="Q33" s="110">
        <v>399.9</v>
      </c>
      <c r="R33">
        <v>1857202</v>
      </c>
    </row>
    <row r="34" spans="1:18" x14ac:dyDescent="0.25">
      <c r="A34" s="133">
        <v>42048</v>
      </c>
      <c r="B34" s="110">
        <v>81.413030456618898</v>
      </c>
      <c r="C34" s="110">
        <v>81.053140118877593</v>
      </c>
      <c r="D34" s="110">
        <v>77.891941206284898</v>
      </c>
      <c r="E34" s="110">
        <v>78.2031977146017</v>
      </c>
      <c r="F34" s="110">
        <v>416.65</v>
      </c>
      <c r="G34">
        <v>368789</v>
      </c>
      <c r="H34" s="110"/>
      <c r="I34" s="110"/>
      <c r="L34" s="133">
        <v>42048</v>
      </c>
      <c r="M34" s="110">
        <v>81.031897253228095</v>
      </c>
      <c r="N34" s="110">
        <v>81.372326541892505</v>
      </c>
      <c r="O34" s="110">
        <v>77.841588490887602</v>
      </c>
      <c r="P34" s="110">
        <v>78.318189495017705</v>
      </c>
      <c r="Q34" s="110">
        <v>416.55</v>
      </c>
      <c r="R34">
        <v>3452142</v>
      </c>
    </row>
    <row r="35" spans="1:18" x14ac:dyDescent="0.25">
      <c r="A35" s="133">
        <v>42051</v>
      </c>
      <c r="B35" s="110">
        <v>82.093904068561997</v>
      </c>
      <c r="C35" s="110">
        <v>79.9637423397687</v>
      </c>
      <c r="D35" s="110">
        <v>79.496857577293497</v>
      </c>
      <c r="E35" s="110">
        <v>81.315762797769906</v>
      </c>
      <c r="F35" s="110">
        <v>411.05</v>
      </c>
      <c r="G35">
        <v>249526</v>
      </c>
      <c r="H35" s="110"/>
      <c r="I35" s="110"/>
      <c r="L35" s="133">
        <v>42051</v>
      </c>
      <c r="M35" s="110">
        <v>79.845258018455098</v>
      </c>
      <c r="N35" s="110">
        <v>82.062911670326002</v>
      </c>
      <c r="O35" s="110">
        <v>79.4756490764766</v>
      </c>
      <c r="P35" s="110">
        <v>81.489045155148801</v>
      </c>
      <c r="Q35" s="110">
        <v>410.45</v>
      </c>
      <c r="R35">
        <v>1858389</v>
      </c>
    </row>
    <row r="36" spans="1:18" x14ac:dyDescent="0.25">
      <c r="A36" s="133">
        <v>42053</v>
      </c>
      <c r="B36" s="110">
        <v>80.518167995208003</v>
      </c>
      <c r="C36" s="110">
        <v>79.808114085610299</v>
      </c>
      <c r="D36" s="110">
        <v>79.175874303091703</v>
      </c>
      <c r="E36" s="110">
        <v>79.8762014468046</v>
      </c>
      <c r="F36" s="110">
        <v>410.25</v>
      </c>
      <c r="G36">
        <v>161145</v>
      </c>
      <c r="H36" s="110"/>
      <c r="I36" s="110"/>
      <c r="L36" s="133">
        <v>42053</v>
      </c>
      <c r="M36" s="110">
        <v>79.6993597518847</v>
      </c>
      <c r="N36" s="110">
        <v>80.526116595783904</v>
      </c>
      <c r="O36" s="110">
        <v>79.096313583393496</v>
      </c>
      <c r="P36" s="110">
        <v>80.030062489444305</v>
      </c>
      <c r="Q36" s="110">
        <v>409.7</v>
      </c>
      <c r="R36">
        <v>1252142</v>
      </c>
    </row>
    <row r="37" spans="1:18" x14ac:dyDescent="0.25">
      <c r="A37" s="133">
        <v>42054</v>
      </c>
      <c r="B37" s="110">
        <v>80.459807399898693</v>
      </c>
      <c r="C37" s="110">
        <v>79.088333410127603</v>
      </c>
      <c r="D37" s="110">
        <v>77.541777634428399</v>
      </c>
      <c r="E37" s="110">
        <v>79.564944938487798</v>
      </c>
      <c r="F37" s="110">
        <v>406.55</v>
      </c>
      <c r="G37">
        <v>178088</v>
      </c>
      <c r="H37" s="110"/>
      <c r="I37" s="110"/>
      <c r="L37" s="133">
        <v>42054</v>
      </c>
      <c r="M37" s="110">
        <v>78.960141867927703</v>
      </c>
      <c r="N37" s="110">
        <v>80.438577635841597</v>
      </c>
      <c r="O37" s="110">
        <v>77.423346793385605</v>
      </c>
      <c r="P37" s="110">
        <v>79.864711120664495</v>
      </c>
      <c r="Q37" s="110">
        <v>405.9</v>
      </c>
      <c r="R37">
        <v>1895699</v>
      </c>
    </row>
    <row r="38" spans="1:18" x14ac:dyDescent="0.25">
      <c r="A38" s="133">
        <v>42055</v>
      </c>
      <c r="B38" s="110">
        <v>81.267128968345403</v>
      </c>
      <c r="C38" s="110">
        <v>80.206911486891201</v>
      </c>
      <c r="D38" s="110">
        <v>78.212924480486606</v>
      </c>
      <c r="E38" s="110">
        <v>79.331502557250204</v>
      </c>
      <c r="F38" s="110">
        <v>412.3</v>
      </c>
      <c r="G38">
        <v>230965</v>
      </c>
      <c r="H38" s="110"/>
      <c r="I38" s="110"/>
      <c r="L38" s="133">
        <v>42055</v>
      </c>
      <c r="M38" s="110">
        <v>80.107874898281906</v>
      </c>
      <c r="N38" s="110">
        <v>81.255607928636095</v>
      </c>
      <c r="O38" s="110">
        <v>78.240377086180203</v>
      </c>
      <c r="P38" s="110">
        <v>79.329750809906201</v>
      </c>
      <c r="Q38" s="110">
        <v>411.8</v>
      </c>
      <c r="R38">
        <v>2280638</v>
      </c>
    </row>
    <row r="39" spans="1:18" x14ac:dyDescent="0.25">
      <c r="A39" s="133">
        <v>42058</v>
      </c>
      <c r="B39" s="110">
        <v>80.654342717596705</v>
      </c>
      <c r="C39" s="110">
        <v>78.358825968760101</v>
      </c>
      <c r="D39" s="110">
        <v>78.067022992213097</v>
      </c>
      <c r="E39" s="110">
        <v>80.537621526977802</v>
      </c>
      <c r="F39" s="110">
        <v>402.8</v>
      </c>
      <c r="G39">
        <v>120823</v>
      </c>
      <c r="H39" s="110"/>
      <c r="I39" s="110"/>
      <c r="L39" s="133">
        <v>42058</v>
      </c>
      <c r="M39" s="110">
        <v>78.347369148331794</v>
      </c>
      <c r="N39" s="110">
        <v>80.730374168982493</v>
      </c>
      <c r="O39" s="110">
        <v>78.006939859667398</v>
      </c>
      <c r="P39" s="110">
        <v>80.574749351307403</v>
      </c>
      <c r="Q39" s="110">
        <v>402.75</v>
      </c>
      <c r="R39">
        <v>1592573</v>
      </c>
    </row>
    <row r="40" spans="1:18" x14ac:dyDescent="0.25">
      <c r="A40" s="133">
        <v>42059</v>
      </c>
      <c r="B40" s="110">
        <v>79.623305533797193</v>
      </c>
      <c r="C40" s="110">
        <v>78.893798092429606</v>
      </c>
      <c r="D40" s="110">
        <v>77.065166106068304</v>
      </c>
      <c r="E40" s="110">
        <v>78.397733032299698</v>
      </c>
      <c r="F40" s="110">
        <v>405.55</v>
      </c>
      <c r="G40">
        <v>163001</v>
      </c>
      <c r="H40" s="110"/>
      <c r="I40" s="110"/>
      <c r="L40" s="133">
        <v>42059</v>
      </c>
      <c r="M40" s="110">
        <v>78.843423254671393</v>
      </c>
      <c r="N40" s="110">
        <v>79.660453547465906</v>
      </c>
      <c r="O40" s="110">
        <v>77.034284749197795</v>
      </c>
      <c r="P40" s="110">
        <v>78.590532925949205</v>
      </c>
      <c r="Q40" s="110">
        <v>405.3</v>
      </c>
      <c r="R40">
        <v>2038814</v>
      </c>
    </row>
    <row r="41" spans="1:18" x14ac:dyDescent="0.25">
      <c r="A41" s="133">
        <v>42060</v>
      </c>
      <c r="B41" s="110">
        <v>79.759480256185796</v>
      </c>
      <c r="C41" s="110">
        <v>78.183744182831902</v>
      </c>
      <c r="D41" s="110">
        <v>77.775220015666093</v>
      </c>
      <c r="E41" s="110">
        <v>79.3704096207898</v>
      </c>
      <c r="F41" s="110">
        <v>401.9</v>
      </c>
      <c r="G41">
        <v>191918</v>
      </c>
      <c r="H41" s="110"/>
      <c r="I41" s="110"/>
      <c r="L41" s="133">
        <v>42060</v>
      </c>
      <c r="M41" s="110">
        <v>78.104205370714396</v>
      </c>
      <c r="N41" s="110">
        <v>79.738265956303394</v>
      </c>
      <c r="O41" s="110">
        <v>77.8124088375735</v>
      </c>
      <c r="P41" s="110">
        <v>79.037954276765305</v>
      </c>
      <c r="Q41" s="110">
        <v>401.5</v>
      </c>
      <c r="R41">
        <v>1617012</v>
      </c>
    </row>
    <row r="42" spans="1:18" x14ac:dyDescent="0.25">
      <c r="A42" s="133">
        <v>42061</v>
      </c>
      <c r="B42" s="110">
        <v>78.339372436990303</v>
      </c>
      <c r="C42" s="110">
        <v>76.569101045938396</v>
      </c>
      <c r="D42" s="110">
        <v>76.287024835276199</v>
      </c>
      <c r="E42" s="110">
        <v>78.222651246371498</v>
      </c>
      <c r="F42" s="110">
        <v>393.6</v>
      </c>
      <c r="G42">
        <v>139757</v>
      </c>
      <c r="H42" s="110"/>
      <c r="I42" s="110"/>
      <c r="L42" s="133">
        <v>42061</v>
      </c>
      <c r="M42" s="110">
        <v>76.557683745067607</v>
      </c>
      <c r="N42" s="110">
        <v>78.318189495017705</v>
      </c>
      <c r="O42" s="110">
        <v>76.295066865240798</v>
      </c>
      <c r="P42" s="110">
        <v>78.269556739494206</v>
      </c>
      <c r="Q42" s="110">
        <v>393.55</v>
      </c>
      <c r="R42">
        <v>2424687</v>
      </c>
    </row>
    <row r="43" spans="1:18" x14ac:dyDescent="0.25">
      <c r="A43" s="133">
        <v>42062</v>
      </c>
      <c r="B43" s="110">
        <v>79.954015573883794</v>
      </c>
      <c r="C43" s="110">
        <v>79.3704096207898</v>
      </c>
      <c r="D43" s="110">
        <v>77.016532276643801</v>
      </c>
      <c r="E43" s="110">
        <v>77.074892871953196</v>
      </c>
      <c r="F43" s="110">
        <v>408</v>
      </c>
      <c r="G43">
        <v>187923</v>
      </c>
      <c r="H43" s="110"/>
      <c r="I43" s="110"/>
      <c r="L43" s="133">
        <v>42062</v>
      </c>
      <c r="M43" s="110">
        <v>79.378383565429701</v>
      </c>
      <c r="N43" s="110">
        <v>79.952250080606802</v>
      </c>
      <c r="O43" s="110">
        <v>77.170456464663502</v>
      </c>
      <c r="P43" s="110">
        <v>77.335807833443397</v>
      </c>
      <c r="Q43" s="110">
        <v>408.05</v>
      </c>
      <c r="R43">
        <v>1911770</v>
      </c>
    </row>
    <row r="44" spans="1:18" x14ac:dyDescent="0.25">
      <c r="A44" s="133">
        <v>42063</v>
      </c>
      <c r="B44" s="110">
        <v>81.704833433165902</v>
      </c>
      <c r="C44" s="110">
        <v>80.819697737639999</v>
      </c>
      <c r="D44" s="110">
        <v>78.495000691148704</v>
      </c>
      <c r="E44" s="110">
        <v>80.041556466847894</v>
      </c>
      <c r="F44" s="110">
        <v>415.45</v>
      </c>
      <c r="G44">
        <v>385706</v>
      </c>
      <c r="H44" s="110"/>
      <c r="I44" s="110"/>
      <c r="L44" s="133">
        <v>42063</v>
      </c>
      <c r="M44" s="110">
        <v>80.827639680029506</v>
      </c>
      <c r="N44" s="110">
        <v>81.703029279452196</v>
      </c>
      <c r="O44" s="110">
        <v>78.434908108274101</v>
      </c>
      <c r="P44" s="110">
        <v>80.1467811027007</v>
      </c>
      <c r="Q44" s="110">
        <v>415.5</v>
      </c>
      <c r="R44">
        <v>2726880</v>
      </c>
    </row>
    <row r="45" spans="1:18" x14ac:dyDescent="0.25">
      <c r="A45" s="133">
        <v>42065</v>
      </c>
      <c r="B45" s="110">
        <v>82.872045339354003</v>
      </c>
      <c r="C45" s="110">
        <v>81.7242869649357</v>
      </c>
      <c r="D45" s="110">
        <v>80.508441229323196</v>
      </c>
      <c r="E45" s="110">
        <v>81.2184951389209</v>
      </c>
      <c r="F45" s="110">
        <v>420.1</v>
      </c>
      <c r="G45">
        <v>321374</v>
      </c>
      <c r="H45" s="110"/>
      <c r="I45" s="110"/>
      <c r="L45" s="133">
        <v>42065</v>
      </c>
      <c r="M45" s="110">
        <v>81.693302728347504</v>
      </c>
      <c r="N45" s="110">
        <v>82.802129554282899</v>
      </c>
      <c r="O45" s="110">
        <v>80.399671431422803</v>
      </c>
      <c r="P45" s="110">
        <v>81.5863106661958</v>
      </c>
      <c r="Q45" s="110">
        <v>419.95</v>
      </c>
      <c r="R45">
        <v>2053161</v>
      </c>
    </row>
    <row r="46" spans="1:18" x14ac:dyDescent="0.25">
      <c r="A46" s="133">
        <v>42066</v>
      </c>
      <c r="B46" s="110">
        <v>84.428327880938099</v>
      </c>
      <c r="C46" s="110">
        <v>83.465378058333002</v>
      </c>
      <c r="D46" s="110">
        <v>81.2184951389209</v>
      </c>
      <c r="E46" s="110">
        <v>81.802101092014894</v>
      </c>
      <c r="F46" s="110">
        <v>429.05</v>
      </c>
      <c r="G46">
        <v>264463</v>
      </c>
      <c r="H46" s="110"/>
      <c r="I46" s="110"/>
      <c r="L46" s="133">
        <v>42066</v>
      </c>
      <c r="M46" s="110">
        <v>83.444081927192897</v>
      </c>
      <c r="N46" s="110">
        <v>84.212479464463897</v>
      </c>
      <c r="O46" s="110">
        <v>81.119436213170403</v>
      </c>
      <c r="P46" s="110">
        <v>81.722482381661607</v>
      </c>
      <c r="Q46" s="110">
        <v>428.95</v>
      </c>
      <c r="R46">
        <v>1981229</v>
      </c>
    </row>
    <row r="47" spans="1:18" x14ac:dyDescent="0.25">
      <c r="A47" s="133">
        <v>42067</v>
      </c>
      <c r="B47" s="110">
        <v>87.774335345343999</v>
      </c>
      <c r="C47" s="110">
        <v>81.4811178178132</v>
      </c>
      <c r="D47" s="110">
        <v>80.771063908215496</v>
      </c>
      <c r="E47" s="110">
        <v>87.346357646408293</v>
      </c>
      <c r="F47" s="110">
        <v>418.85</v>
      </c>
      <c r="G47">
        <v>386355</v>
      </c>
      <c r="H47" s="110"/>
      <c r="I47" s="110"/>
      <c r="L47" s="133">
        <v>42067</v>
      </c>
      <c r="M47" s="110">
        <v>81.430685848520696</v>
      </c>
      <c r="N47" s="110">
        <v>87.947475088667503</v>
      </c>
      <c r="O47" s="110">
        <v>80.749827271191904</v>
      </c>
      <c r="P47" s="110">
        <v>87.344428920176298</v>
      </c>
      <c r="Q47" s="110">
        <v>418.6</v>
      </c>
      <c r="R47">
        <v>3493374</v>
      </c>
    </row>
    <row r="48" spans="1:18" x14ac:dyDescent="0.25">
      <c r="A48" s="133">
        <v>42068</v>
      </c>
      <c r="B48" s="110">
        <v>82.677510021656005</v>
      </c>
      <c r="C48" s="110">
        <v>82.405160576878799</v>
      </c>
      <c r="D48" s="110">
        <v>80.809970971755106</v>
      </c>
      <c r="E48" s="110">
        <v>81.413030456618898</v>
      </c>
      <c r="F48" s="110">
        <v>423.6</v>
      </c>
      <c r="G48">
        <v>186394</v>
      </c>
      <c r="H48" s="110"/>
      <c r="I48" s="110"/>
      <c r="L48" s="133">
        <v>42068</v>
      </c>
      <c r="M48" s="110">
        <v>82.607598532189002</v>
      </c>
      <c r="N48" s="110">
        <v>82.938301269748706</v>
      </c>
      <c r="O48" s="110">
        <v>80.779006924506007</v>
      </c>
      <c r="P48" s="110">
        <v>81.440412399625401</v>
      </c>
      <c r="Q48" s="110">
        <v>424.65</v>
      </c>
      <c r="R48">
        <v>1789248</v>
      </c>
    </row>
    <row r="49" spans="1:18" x14ac:dyDescent="0.25">
      <c r="A49" s="133">
        <v>42072</v>
      </c>
      <c r="B49" s="110">
        <v>82.084177302677105</v>
      </c>
      <c r="C49" s="110">
        <v>79.691392894991495</v>
      </c>
      <c r="D49" s="110">
        <v>79.175874303091703</v>
      </c>
      <c r="E49" s="110">
        <v>82.084177302677105</v>
      </c>
      <c r="F49" s="110">
        <v>409.65</v>
      </c>
      <c r="G49">
        <v>161460</v>
      </c>
      <c r="H49" s="110"/>
      <c r="I49" s="110"/>
      <c r="L49" s="133">
        <v>42072</v>
      </c>
      <c r="M49" s="110">
        <v>79.611820791942407</v>
      </c>
      <c r="N49" s="110">
        <v>82.092091323640005</v>
      </c>
      <c r="O49" s="110">
        <v>79.018501174555894</v>
      </c>
      <c r="P49" s="110">
        <v>82.092091323640005</v>
      </c>
      <c r="Q49" s="110">
        <v>409.25</v>
      </c>
      <c r="R49">
        <v>1321583</v>
      </c>
    </row>
    <row r="50" spans="1:18" x14ac:dyDescent="0.25">
      <c r="A50" s="133">
        <v>42073</v>
      </c>
      <c r="B50" s="110">
        <v>80.926692162373897</v>
      </c>
      <c r="C50" s="110">
        <v>79.098060176012595</v>
      </c>
      <c r="D50" s="110">
        <v>78.786803667695693</v>
      </c>
      <c r="E50" s="110">
        <v>80.041556466847894</v>
      </c>
      <c r="F50" s="110">
        <v>406.6</v>
      </c>
      <c r="G50">
        <v>249566</v>
      </c>
      <c r="H50" s="110"/>
      <c r="I50" s="110"/>
      <c r="L50" s="133">
        <v>42073</v>
      </c>
      <c r="M50" s="110">
        <v>78.989321521241806</v>
      </c>
      <c r="N50" s="110">
        <v>80.924905191076405</v>
      </c>
      <c r="O50" s="110">
        <v>78.668345334786807</v>
      </c>
      <c r="P50" s="110">
        <v>79.6993597518847</v>
      </c>
      <c r="Q50" s="110">
        <v>406.05</v>
      </c>
      <c r="R50">
        <v>1542576</v>
      </c>
    </row>
    <row r="51" spans="1:18" x14ac:dyDescent="0.25">
      <c r="A51" s="133">
        <v>42074</v>
      </c>
      <c r="B51" s="110">
        <v>80.022102935078095</v>
      </c>
      <c r="C51" s="110">
        <v>79.253688430170996</v>
      </c>
      <c r="D51" s="110">
        <v>78.514454222918502</v>
      </c>
      <c r="E51" s="110">
        <v>78.981338985393705</v>
      </c>
      <c r="F51" s="110">
        <v>407.4</v>
      </c>
      <c r="G51">
        <v>162713</v>
      </c>
      <c r="H51" s="110"/>
      <c r="I51" s="110"/>
      <c r="L51" s="133">
        <v>42074</v>
      </c>
      <c r="M51" s="110">
        <v>79.213032196649806</v>
      </c>
      <c r="N51" s="110">
        <v>80.059242142758393</v>
      </c>
      <c r="O51" s="110">
        <v>78.464087761588203</v>
      </c>
      <c r="P51" s="110">
        <v>78.590532925949205</v>
      </c>
      <c r="Q51" s="110">
        <v>407.2</v>
      </c>
      <c r="R51">
        <v>1276131</v>
      </c>
    </row>
    <row r="52" spans="1:18" x14ac:dyDescent="0.25">
      <c r="A52" s="133">
        <v>42075</v>
      </c>
      <c r="B52" s="110">
        <v>80.527894761092895</v>
      </c>
      <c r="C52" s="110">
        <v>79.448223747868994</v>
      </c>
      <c r="D52" s="110">
        <v>79.263415196055803</v>
      </c>
      <c r="E52" s="110">
        <v>79.895654978574399</v>
      </c>
      <c r="F52" s="110">
        <v>408.4</v>
      </c>
      <c r="G52">
        <v>249163</v>
      </c>
      <c r="H52" s="110"/>
      <c r="I52" s="110"/>
      <c r="L52" s="133">
        <v>42075</v>
      </c>
      <c r="M52" s="110">
        <v>79.407563218743803</v>
      </c>
      <c r="N52" s="110">
        <v>80.487210391365096</v>
      </c>
      <c r="O52" s="110">
        <v>79.174125992230998</v>
      </c>
      <c r="P52" s="110">
        <v>79.913343876187994</v>
      </c>
      <c r="Q52" s="110">
        <v>408.2</v>
      </c>
      <c r="R52">
        <v>1299722</v>
      </c>
    </row>
    <row r="53" spans="1:18" x14ac:dyDescent="0.25">
      <c r="A53" s="133">
        <v>42076</v>
      </c>
      <c r="B53" s="110">
        <v>80.576528590517398</v>
      </c>
      <c r="C53" s="110">
        <v>77.541777634428399</v>
      </c>
      <c r="D53" s="110">
        <v>77.152706999032404</v>
      </c>
      <c r="E53" s="110">
        <v>79.954015573883794</v>
      </c>
      <c r="F53" s="110">
        <v>398.6</v>
      </c>
      <c r="G53">
        <v>180190</v>
      </c>
      <c r="H53" s="110"/>
      <c r="I53" s="110"/>
      <c r="L53" s="133">
        <v>42076</v>
      </c>
      <c r="M53" s="110">
        <v>77.442799895595002</v>
      </c>
      <c r="N53" s="110">
        <v>80.535843146888595</v>
      </c>
      <c r="O53" s="110">
        <v>77.102370606930606</v>
      </c>
      <c r="P53" s="110">
        <v>80.341312124794598</v>
      </c>
      <c r="Q53" s="110">
        <v>398.1</v>
      </c>
      <c r="R53">
        <v>1463494</v>
      </c>
    </row>
    <row r="54" spans="1:18" x14ac:dyDescent="0.25">
      <c r="A54" s="133">
        <v>42079</v>
      </c>
      <c r="B54" s="110">
        <v>78.339372436990303</v>
      </c>
      <c r="C54" s="110">
        <v>77.434783209694501</v>
      </c>
      <c r="D54" s="110">
        <v>76.676095470672294</v>
      </c>
      <c r="E54" s="110">
        <v>77.3666958485002</v>
      </c>
      <c r="F54" s="110">
        <v>398.05</v>
      </c>
      <c r="G54">
        <v>148783</v>
      </c>
      <c r="H54" s="110"/>
      <c r="I54" s="110"/>
      <c r="L54" s="133">
        <v>42079</v>
      </c>
      <c r="M54" s="110">
        <v>77.452526446699693</v>
      </c>
      <c r="N54" s="110">
        <v>78.337642597227102</v>
      </c>
      <c r="O54" s="110">
        <v>76.635496153905194</v>
      </c>
      <c r="P54" s="110">
        <v>77.8124088375735</v>
      </c>
      <c r="Q54" s="110">
        <v>398.15</v>
      </c>
      <c r="R54">
        <v>1331190</v>
      </c>
    </row>
    <row r="55" spans="1:18" x14ac:dyDescent="0.25">
      <c r="A55" s="133">
        <v>42080</v>
      </c>
      <c r="B55" s="110">
        <v>78.378279500529899</v>
      </c>
      <c r="C55" s="110">
        <v>77.570957932083104</v>
      </c>
      <c r="D55" s="110">
        <v>76.578827811823302</v>
      </c>
      <c r="E55" s="110">
        <v>78.242104778141297</v>
      </c>
      <c r="F55" s="110">
        <v>398.75</v>
      </c>
      <c r="G55">
        <v>162785</v>
      </c>
      <c r="H55" s="110"/>
      <c r="I55" s="110"/>
      <c r="L55" s="133">
        <v>42080</v>
      </c>
      <c r="M55" s="110">
        <v>77.530338855537295</v>
      </c>
      <c r="N55" s="110">
        <v>78.386275352750602</v>
      </c>
      <c r="O55" s="110">
        <v>76.509050989544207</v>
      </c>
      <c r="P55" s="110">
        <v>78.201470881761395</v>
      </c>
      <c r="Q55" s="110">
        <v>398.55</v>
      </c>
      <c r="R55">
        <v>1467385</v>
      </c>
    </row>
    <row r="56" spans="1:18" x14ac:dyDescent="0.25">
      <c r="A56" s="133">
        <v>42081</v>
      </c>
      <c r="B56" s="110">
        <v>79.098060176012595</v>
      </c>
      <c r="C56" s="110">
        <v>77.969755333364105</v>
      </c>
      <c r="D56" s="110">
        <v>77.376422614385106</v>
      </c>
      <c r="E56" s="110">
        <v>78.008662396903702</v>
      </c>
      <c r="F56" s="110">
        <v>400.8</v>
      </c>
      <c r="G56">
        <v>151371</v>
      </c>
      <c r="H56" s="110"/>
      <c r="I56" s="110"/>
      <c r="L56" s="133">
        <v>42081</v>
      </c>
      <c r="M56" s="110">
        <v>77.977760206353395</v>
      </c>
      <c r="N56" s="110">
        <v>79.164399441126307</v>
      </c>
      <c r="O56" s="110">
        <v>77.355260935652794</v>
      </c>
      <c r="P56" s="110">
        <v>77.909674348620499</v>
      </c>
      <c r="Q56" s="110">
        <v>400.85</v>
      </c>
      <c r="R56">
        <v>1744553</v>
      </c>
    </row>
    <row r="57" spans="1:18" x14ac:dyDescent="0.25">
      <c r="A57" s="133">
        <v>42082</v>
      </c>
      <c r="B57" s="110">
        <v>78.835437497120196</v>
      </c>
      <c r="C57" s="110">
        <v>75.966041561074505</v>
      </c>
      <c r="D57" s="110">
        <v>75.6061512233332</v>
      </c>
      <c r="E57" s="110">
        <v>78.747896604156097</v>
      </c>
      <c r="F57" s="110">
        <v>390.5</v>
      </c>
      <c r="G57">
        <v>236478</v>
      </c>
      <c r="H57" s="110"/>
      <c r="I57" s="110"/>
      <c r="L57" s="133">
        <v>42082</v>
      </c>
      <c r="M57" s="110">
        <v>76.081082740937504</v>
      </c>
      <c r="N57" s="110">
        <v>78.9795949701371</v>
      </c>
      <c r="O57" s="110">
        <v>75.672567594540197</v>
      </c>
      <c r="P57" s="110">
        <v>78.785063948043202</v>
      </c>
      <c r="Q57" s="110">
        <v>391.1</v>
      </c>
      <c r="R57">
        <v>1482280</v>
      </c>
    </row>
    <row r="58" spans="1:18" x14ac:dyDescent="0.25">
      <c r="A58" s="133">
        <v>42083</v>
      </c>
      <c r="B58" s="110">
        <v>75.868773902225499</v>
      </c>
      <c r="C58" s="110">
        <v>74.322218126526295</v>
      </c>
      <c r="D58" s="110">
        <v>73.981781320554802</v>
      </c>
      <c r="E58" s="110">
        <v>75.868773902225499</v>
      </c>
      <c r="F58" s="110">
        <v>382.05</v>
      </c>
      <c r="G58">
        <v>167195</v>
      </c>
      <c r="H58" s="110"/>
      <c r="I58" s="110"/>
      <c r="L58" s="133">
        <v>42083</v>
      </c>
      <c r="M58" s="110">
        <v>74.155225622207496</v>
      </c>
      <c r="N58" s="110">
        <v>75.760106554482505</v>
      </c>
      <c r="O58" s="110">
        <v>73.834249435752596</v>
      </c>
      <c r="P58" s="110">
        <v>75.672567594540197</v>
      </c>
      <c r="Q58" s="110">
        <v>381.2</v>
      </c>
      <c r="R58">
        <v>1839775</v>
      </c>
    </row>
    <row r="59" spans="1:18" x14ac:dyDescent="0.25">
      <c r="A59" s="133">
        <v>42086</v>
      </c>
      <c r="B59" s="110">
        <v>75.051725567893897</v>
      </c>
      <c r="C59" s="110">
        <v>74.331944892411201</v>
      </c>
      <c r="D59" s="110">
        <v>73.495443026309701</v>
      </c>
      <c r="E59" s="110">
        <v>74.798829654886404</v>
      </c>
      <c r="F59" s="110">
        <v>382.1</v>
      </c>
      <c r="G59">
        <v>135979</v>
      </c>
      <c r="H59" s="110"/>
      <c r="I59" s="110"/>
      <c r="L59" s="133">
        <v>42086</v>
      </c>
      <c r="M59" s="110">
        <v>74.291397337673303</v>
      </c>
      <c r="N59" s="110">
        <v>75.069521426048993</v>
      </c>
      <c r="O59" s="110">
        <v>73.357648431622394</v>
      </c>
      <c r="P59" s="110">
        <v>74.836084199536302</v>
      </c>
      <c r="Q59" s="110">
        <v>381.9</v>
      </c>
      <c r="R59">
        <v>1334836</v>
      </c>
    </row>
    <row r="60" spans="1:18" x14ac:dyDescent="0.25">
      <c r="A60" s="133">
        <v>42087</v>
      </c>
      <c r="B60" s="110">
        <v>74.6821084642676</v>
      </c>
      <c r="C60" s="110">
        <v>73.086918859143907</v>
      </c>
      <c r="D60" s="110">
        <v>72.882656775561003</v>
      </c>
      <c r="E60" s="110">
        <v>74.565387273648795</v>
      </c>
      <c r="F60" s="110">
        <v>375.7</v>
      </c>
      <c r="G60">
        <v>133709</v>
      </c>
      <c r="H60" s="110"/>
      <c r="I60" s="110"/>
      <c r="L60" s="133">
        <v>42087</v>
      </c>
      <c r="M60" s="110">
        <v>73.036672245167395</v>
      </c>
      <c r="N60" s="110">
        <v>74.651279728547095</v>
      </c>
      <c r="O60" s="110">
        <v>72.8713208763876</v>
      </c>
      <c r="P60" s="110">
        <v>74.096866315579405</v>
      </c>
      <c r="Q60" s="110">
        <v>375.45</v>
      </c>
      <c r="R60">
        <v>1401782</v>
      </c>
    </row>
    <row r="61" spans="1:18" x14ac:dyDescent="0.25">
      <c r="A61" s="133">
        <v>42088</v>
      </c>
      <c r="B61" s="110">
        <v>73.524623323964406</v>
      </c>
      <c r="C61" s="110">
        <v>72.357411417776305</v>
      </c>
      <c r="D61" s="110">
        <v>72.075335207114193</v>
      </c>
      <c r="E61" s="110">
        <v>72.950744136755304</v>
      </c>
      <c r="F61" s="110">
        <v>371.95</v>
      </c>
      <c r="G61">
        <v>103075</v>
      </c>
      <c r="H61" s="110"/>
      <c r="I61" s="110"/>
      <c r="L61" s="133">
        <v>42088</v>
      </c>
      <c r="M61" s="110">
        <v>72.355813667838703</v>
      </c>
      <c r="N61" s="110">
        <v>73.571632555925703</v>
      </c>
      <c r="O61" s="110">
        <v>72.015384379174293</v>
      </c>
      <c r="P61" s="110">
        <v>73.182570511737893</v>
      </c>
      <c r="Q61" s="110">
        <v>371.95</v>
      </c>
      <c r="R61">
        <v>1030747</v>
      </c>
    </row>
    <row r="62" spans="1:18" x14ac:dyDescent="0.25">
      <c r="A62" s="133">
        <v>42089</v>
      </c>
      <c r="B62" s="110">
        <v>72.7464820531724</v>
      </c>
      <c r="C62" s="110">
        <v>70.723314749113001</v>
      </c>
      <c r="D62" s="110">
        <v>70.392604709026401</v>
      </c>
      <c r="E62" s="110">
        <v>72.055881675344395</v>
      </c>
      <c r="F62" s="110">
        <v>363.55</v>
      </c>
      <c r="G62">
        <v>118497</v>
      </c>
      <c r="H62" s="110"/>
      <c r="I62" s="110"/>
      <c r="L62" s="133">
        <v>42089</v>
      </c>
      <c r="M62" s="110">
        <v>70.692573428935503</v>
      </c>
      <c r="N62" s="110">
        <v>72.744875712026499</v>
      </c>
      <c r="O62" s="110">
        <v>70.429956549108695</v>
      </c>
      <c r="P62" s="110">
        <v>72.054290583593101</v>
      </c>
      <c r="Q62" s="110">
        <v>363.4</v>
      </c>
      <c r="R62">
        <v>1636612</v>
      </c>
    </row>
    <row r="63" spans="1:18" x14ac:dyDescent="0.25">
      <c r="A63" s="133">
        <v>42090</v>
      </c>
      <c r="B63" s="110">
        <v>71.958614016495403</v>
      </c>
      <c r="C63" s="110">
        <v>70.519052665530097</v>
      </c>
      <c r="D63" s="110">
        <v>67.396760816476998</v>
      </c>
      <c r="E63" s="110">
        <v>71.744625167027607</v>
      </c>
      <c r="F63" s="110">
        <v>362.5</v>
      </c>
      <c r="G63">
        <v>285673</v>
      </c>
      <c r="H63" s="110"/>
      <c r="I63" s="110"/>
      <c r="L63" s="133">
        <v>42090</v>
      </c>
      <c r="M63" s="110">
        <v>70.643940673412004</v>
      </c>
      <c r="N63" s="110">
        <v>71.752767499347499</v>
      </c>
      <c r="O63" s="110">
        <v>67.404999155547998</v>
      </c>
      <c r="P63" s="110">
        <v>71.052455819809296</v>
      </c>
      <c r="Q63" s="110">
        <v>363.15</v>
      </c>
      <c r="R63">
        <v>2481767</v>
      </c>
    </row>
    <row r="64" spans="1:18" x14ac:dyDescent="0.25">
      <c r="A64" s="133">
        <v>42093</v>
      </c>
      <c r="B64" s="110">
        <v>72.756208819057306</v>
      </c>
      <c r="C64" s="110">
        <v>72.503312906049899</v>
      </c>
      <c r="D64" s="110">
        <v>70.052167903054894</v>
      </c>
      <c r="E64" s="110">
        <v>71.199926277473196</v>
      </c>
      <c r="F64" s="110">
        <v>372.7</v>
      </c>
      <c r="G64">
        <v>176394</v>
      </c>
      <c r="H64" s="110"/>
      <c r="I64" s="110"/>
      <c r="L64" s="133">
        <v>42093</v>
      </c>
      <c r="M64" s="110">
        <v>72.569797792141998</v>
      </c>
      <c r="N64" s="110">
        <v>72.890773978596997</v>
      </c>
      <c r="O64" s="110">
        <v>70.050621056025506</v>
      </c>
      <c r="P64" s="110">
        <v>71.373432006264295</v>
      </c>
      <c r="Q64" s="110">
        <v>373.05</v>
      </c>
      <c r="R64">
        <v>1787122</v>
      </c>
    </row>
    <row r="65" spans="1:18" x14ac:dyDescent="0.25">
      <c r="A65" s="133">
        <v>42094</v>
      </c>
      <c r="B65" s="110">
        <v>73.300907708611703</v>
      </c>
      <c r="C65" s="110">
        <v>71.569543381099393</v>
      </c>
      <c r="D65" s="110">
        <v>71.054024789199701</v>
      </c>
      <c r="E65" s="110">
        <v>73.145279454453302</v>
      </c>
      <c r="F65" s="110">
        <v>367.9</v>
      </c>
      <c r="G65">
        <v>157946</v>
      </c>
      <c r="H65" s="110"/>
      <c r="I65" s="110"/>
      <c r="L65" s="133">
        <v>42094</v>
      </c>
      <c r="M65" s="110">
        <v>71.548509926148796</v>
      </c>
      <c r="N65" s="110">
        <v>73.328468778308306</v>
      </c>
      <c r="O65" s="110">
        <v>71.198354086379794</v>
      </c>
      <c r="P65" s="110">
        <v>73.046398796272101</v>
      </c>
      <c r="Q65" s="110">
        <v>367.8</v>
      </c>
      <c r="R65">
        <v>1467994</v>
      </c>
    </row>
    <row r="66" spans="1:18" x14ac:dyDescent="0.25">
      <c r="A66" s="133">
        <v>42095</v>
      </c>
      <c r="B66" s="110">
        <v>74.273584297101806</v>
      </c>
      <c r="C66" s="110">
        <v>73.874786895820904</v>
      </c>
      <c r="D66" s="110">
        <v>70.849762705616698</v>
      </c>
      <c r="E66" s="110">
        <v>71.978067548265201</v>
      </c>
      <c r="F66" s="110">
        <v>379.75</v>
      </c>
      <c r="G66">
        <v>141882</v>
      </c>
      <c r="H66" s="110"/>
      <c r="I66" s="110"/>
      <c r="L66" s="133">
        <v>42095</v>
      </c>
      <c r="M66" s="110">
        <v>74.116319417788802</v>
      </c>
      <c r="N66" s="110">
        <v>74.661006279651801</v>
      </c>
      <c r="O66" s="110">
        <v>71.033002717599899</v>
      </c>
      <c r="P66" s="110">
        <v>71.295619597426693</v>
      </c>
      <c r="Q66" s="110">
        <v>381</v>
      </c>
      <c r="R66">
        <v>1512605</v>
      </c>
    </row>
    <row r="67" spans="1:18" x14ac:dyDescent="0.25">
      <c r="A67" s="133">
        <v>42100</v>
      </c>
      <c r="B67" s="110">
        <v>75.479703266829503</v>
      </c>
      <c r="C67" s="110">
        <v>74.857190250195799</v>
      </c>
      <c r="D67" s="110">
        <v>73.096645625028799</v>
      </c>
      <c r="E67" s="110">
        <v>74.5070266783394</v>
      </c>
      <c r="F67" s="110">
        <v>384.8</v>
      </c>
      <c r="G67">
        <v>287446</v>
      </c>
      <c r="H67" s="110"/>
      <c r="I67" s="110"/>
      <c r="L67" s="133">
        <v>42100</v>
      </c>
      <c r="M67" s="110">
        <v>74.904170057269198</v>
      </c>
      <c r="N67" s="110">
        <v>75.458583470236903</v>
      </c>
      <c r="O67" s="110">
        <v>73.065851898481498</v>
      </c>
      <c r="P67" s="110">
        <v>74.699912484070595</v>
      </c>
      <c r="Q67" s="110">
        <v>385.05</v>
      </c>
      <c r="R67">
        <v>1865811</v>
      </c>
    </row>
    <row r="68" spans="1:18" x14ac:dyDescent="0.25">
      <c r="A68" s="133">
        <v>42101</v>
      </c>
      <c r="B68" s="110">
        <v>75.674238584527501</v>
      </c>
      <c r="C68" s="110">
        <v>74.419485785375301</v>
      </c>
      <c r="D68" s="110">
        <v>73.359268303921098</v>
      </c>
      <c r="E68" s="110">
        <v>75.479703266829503</v>
      </c>
      <c r="F68" s="110">
        <v>382.55</v>
      </c>
      <c r="G68">
        <v>164818</v>
      </c>
      <c r="H68" s="110"/>
      <c r="I68" s="110"/>
      <c r="L68" s="133">
        <v>42101</v>
      </c>
      <c r="M68" s="110">
        <v>74.602646973023596</v>
      </c>
      <c r="N68" s="110">
        <v>75.4780365724463</v>
      </c>
      <c r="O68" s="110">
        <v>73.299289124994203</v>
      </c>
      <c r="P68" s="110">
        <v>75.458583470236903</v>
      </c>
      <c r="Q68" s="110">
        <v>383.5</v>
      </c>
      <c r="R68">
        <v>1907426</v>
      </c>
    </row>
    <row r="69" spans="1:18" x14ac:dyDescent="0.25">
      <c r="A69" s="133">
        <v>42102</v>
      </c>
      <c r="B69" s="110">
        <v>75.353255310325807</v>
      </c>
      <c r="C69" s="110">
        <v>73.777519236971898</v>
      </c>
      <c r="D69" s="110">
        <v>73.553803621619096</v>
      </c>
      <c r="E69" s="110">
        <v>74.701561996037398</v>
      </c>
      <c r="F69" s="110">
        <v>379.25</v>
      </c>
      <c r="G69">
        <v>91688</v>
      </c>
      <c r="H69" s="110"/>
      <c r="I69" s="110"/>
      <c r="L69" s="133">
        <v>42102</v>
      </c>
      <c r="M69" s="110">
        <v>73.863429089066599</v>
      </c>
      <c r="N69" s="110">
        <v>75.312685203666405</v>
      </c>
      <c r="O69" s="110">
        <v>73.571632555925703</v>
      </c>
      <c r="P69" s="110">
        <v>74.855537301745699</v>
      </c>
      <c r="Q69" s="110">
        <v>379.7</v>
      </c>
      <c r="R69">
        <v>1361998</v>
      </c>
    </row>
    <row r="70" spans="1:18" x14ac:dyDescent="0.25">
      <c r="A70" s="133">
        <v>42103</v>
      </c>
      <c r="B70" s="110">
        <v>75.985495092844303</v>
      </c>
      <c r="C70" s="110">
        <v>75.6061512233332</v>
      </c>
      <c r="D70" s="110">
        <v>73.582983919273801</v>
      </c>
      <c r="E70" s="110">
        <v>74.497299912454494</v>
      </c>
      <c r="F70" s="110">
        <v>388.65</v>
      </c>
      <c r="G70">
        <v>152698</v>
      </c>
      <c r="H70" s="110"/>
      <c r="I70" s="110"/>
      <c r="L70" s="133">
        <v>42103</v>
      </c>
      <c r="M70" s="110">
        <v>75.828192412215401</v>
      </c>
      <c r="N70" s="110">
        <v>76.042176536518696</v>
      </c>
      <c r="O70" s="110">
        <v>73.5424529026117</v>
      </c>
      <c r="P70" s="110">
        <v>74.748545239594094</v>
      </c>
      <c r="Q70" s="110">
        <v>389.8</v>
      </c>
      <c r="R70">
        <v>1942195</v>
      </c>
    </row>
    <row r="71" spans="1:18" x14ac:dyDescent="0.25">
      <c r="A71" s="133">
        <v>42104</v>
      </c>
      <c r="B71" s="110">
        <v>77.230521126111597</v>
      </c>
      <c r="C71" s="110">
        <v>76.267571303506401</v>
      </c>
      <c r="D71" s="110">
        <v>75.528337096254006</v>
      </c>
      <c r="E71" s="110">
        <v>76.452379855319506</v>
      </c>
      <c r="F71" s="110">
        <v>392.05</v>
      </c>
      <c r="G71">
        <v>131193</v>
      </c>
      <c r="H71" s="110"/>
      <c r="I71" s="110"/>
      <c r="L71" s="133">
        <v>42104</v>
      </c>
      <c r="M71" s="110">
        <v>76.402058927392503</v>
      </c>
      <c r="N71" s="110">
        <v>77.296901629024603</v>
      </c>
      <c r="O71" s="110">
        <v>75.4780365724463</v>
      </c>
      <c r="P71" s="110">
        <v>75.964364127681094</v>
      </c>
      <c r="Q71" s="110">
        <v>392.75</v>
      </c>
      <c r="R71">
        <v>1848773</v>
      </c>
    </row>
    <row r="72" spans="1:18" x14ac:dyDescent="0.25">
      <c r="A72" s="133">
        <v>42107</v>
      </c>
      <c r="B72" s="110">
        <v>78.057296226328205</v>
      </c>
      <c r="C72" s="110">
        <v>77.775220015666093</v>
      </c>
      <c r="D72" s="110">
        <v>76.374565728240299</v>
      </c>
      <c r="E72" s="110">
        <v>76.783089895406206</v>
      </c>
      <c r="F72" s="110">
        <v>399.8</v>
      </c>
      <c r="G72">
        <v>137025</v>
      </c>
      <c r="H72" s="110"/>
      <c r="I72" s="110"/>
      <c r="L72" s="133">
        <v>42107</v>
      </c>
      <c r="M72" s="110">
        <v>77.754049530945295</v>
      </c>
      <c r="N72" s="110">
        <v>78.0361195129815</v>
      </c>
      <c r="O72" s="110">
        <v>76.353426171869003</v>
      </c>
      <c r="P72" s="110">
        <v>76.975925442569604</v>
      </c>
      <c r="Q72" s="110">
        <v>399.7</v>
      </c>
      <c r="R72">
        <v>1524110</v>
      </c>
    </row>
    <row r="73" spans="1:18" x14ac:dyDescent="0.25">
      <c r="A73" s="133">
        <v>42109</v>
      </c>
      <c r="B73" s="110">
        <v>80.041556466847894</v>
      </c>
      <c r="C73" s="110">
        <v>78.5339077546883</v>
      </c>
      <c r="D73" s="110">
        <v>77.814127079205605</v>
      </c>
      <c r="E73" s="110">
        <v>78.300465373450706</v>
      </c>
      <c r="F73" s="110">
        <v>403.7</v>
      </c>
      <c r="G73">
        <v>197816</v>
      </c>
      <c r="H73" s="110"/>
      <c r="I73" s="110"/>
      <c r="L73" s="133">
        <v>42109</v>
      </c>
      <c r="M73" s="110">
        <v>78.746157743624394</v>
      </c>
      <c r="N73" s="110">
        <v>80.039789040548996</v>
      </c>
      <c r="O73" s="110">
        <v>77.569245059956103</v>
      </c>
      <c r="P73" s="110">
        <v>78.104205370714396</v>
      </c>
      <c r="Q73" s="110">
        <v>404.8</v>
      </c>
      <c r="R73">
        <v>2967987</v>
      </c>
    </row>
    <row r="74" spans="1:18" x14ac:dyDescent="0.25">
      <c r="A74" s="133">
        <v>42110</v>
      </c>
      <c r="B74" s="110">
        <v>78.815983965350398</v>
      </c>
      <c r="C74" s="110">
        <v>77.765493249781102</v>
      </c>
      <c r="D74" s="110">
        <v>76.7733631295213</v>
      </c>
      <c r="E74" s="110">
        <v>78.592268349997696</v>
      </c>
      <c r="F74" s="110">
        <v>399.75</v>
      </c>
      <c r="G74">
        <v>110213</v>
      </c>
      <c r="H74" s="110"/>
      <c r="I74" s="110"/>
      <c r="L74" s="133">
        <v>42110</v>
      </c>
      <c r="M74" s="110">
        <v>77.715143326526501</v>
      </c>
      <c r="N74" s="110">
        <v>78.882329459090101</v>
      </c>
      <c r="O74" s="110">
        <v>76.684128909428694</v>
      </c>
      <c r="P74" s="110">
        <v>78.775337396938497</v>
      </c>
      <c r="Q74" s="110">
        <v>399.5</v>
      </c>
      <c r="R74">
        <v>1891582</v>
      </c>
    </row>
    <row r="75" spans="1:18" x14ac:dyDescent="0.25">
      <c r="A75" s="133">
        <v>42111</v>
      </c>
      <c r="B75" s="110">
        <v>79.059153112472899</v>
      </c>
      <c r="C75" s="110">
        <v>78.086476523982896</v>
      </c>
      <c r="D75" s="110">
        <v>77.084619637838102</v>
      </c>
      <c r="E75" s="110">
        <v>78.008662396903702</v>
      </c>
      <c r="F75" s="110">
        <v>401.4</v>
      </c>
      <c r="G75">
        <v>119674</v>
      </c>
      <c r="H75" s="110"/>
      <c r="I75" s="110"/>
      <c r="L75" s="133">
        <v>42111</v>
      </c>
      <c r="M75" s="110">
        <v>78.357095699436499</v>
      </c>
      <c r="N75" s="110">
        <v>79.125493236707598</v>
      </c>
      <c r="O75" s="110">
        <v>77.0440113003025</v>
      </c>
      <c r="P75" s="110">
        <v>77.8124088375735</v>
      </c>
      <c r="Q75" s="110">
        <v>402.8</v>
      </c>
      <c r="R75">
        <v>1558408</v>
      </c>
    </row>
    <row r="76" spans="1:18" x14ac:dyDescent="0.25">
      <c r="A76" s="133">
        <v>42114</v>
      </c>
      <c r="B76" s="110">
        <v>79.3704096207898</v>
      </c>
      <c r="C76" s="110">
        <v>75.917407731650002</v>
      </c>
      <c r="D76" s="110">
        <v>75.236534119707002</v>
      </c>
      <c r="E76" s="110">
        <v>78.786803667695693</v>
      </c>
      <c r="F76" s="110">
        <v>390.25</v>
      </c>
      <c r="G76">
        <v>127967</v>
      </c>
      <c r="H76" s="110"/>
      <c r="I76" s="110"/>
      <c r="L76" s="133">
        <v>42114</v>
      </c>
      <c r="M76" s="110">
        <v>75.789286207796593</v>
      </c>
      <c r="N76" s="110">
        <v>79.553461485314202</v>
      </c>
      <c r="O76" s="110">
        <v>75.088974528258404</v>
      </c>
      <c r="P76" s="110">
        <v>78.104205370714396</v>
      </c>
      <c r="Q76" s="110">
        <v>389.6</v>
      </c>
      <c r="R76">
        <v>2011314</v>
      </c>
    </row>
    <row r="77" spans="1:18" x14ac:dyDescent="0.25">
      <c r="A77" s="133">
        <v>42115</v>
      </c>
      <c r="B77" s="110">
        <v>77.425056443809595</v>
      </c>
      <c r="C77" s="110">
        <v>76.938718149564593</v>
      </c>
      <c r="D77" s="110">
        <v>75.285167949131505</v>
      </c>
      <c r="E77" s="110">
        <v>76.452379855319506</v>
      </c>
      <c r="F77" s="110">
        <v>395.5</v>
      </c>
      <c r="G77">
        <v>225907</v>
      </c>
      <c r="H77" s="110"/>
      <c r="I77" s="110"/>
      <c r="L77" s="133">
        <v>42115</v>
      </c>
      <c r="M77" s="110">
        <v>76.168621700879797</v>
      </c>
      <c r="N77" s="110">
        <v>76.800847522685004</v>
      </c>
      <c r="O77" s="110">
        <v>75.283505550352402</v>
      </c>
      <c r="P77" s="110">
        <v>76.022723434309299</v>
      </c>
      <c r="Q77" s="110">
        <v>391.55</v>
      </c>
      <c r="R77">
        <v>1452509</v>
      </c>
    </row>
    <row r="78" spans="1:18" x14ac:dyDescent="0.25">
      <c r="A78" s="133">
        <v>42116</v>
      </c>
      <c r="B78" s="110">
        <v>77.006805510758895</v>
      </c>
      <c r="C78" s="110">
        <v>75.761779477491601</v>
      </c>
      <c r="D78" s="110">
        <v>74.244403999447101</v>
      </c>
      <c r="E78" s="110">
        <v>76.851177256600494</v>
      </c>
      <c r="F78" s="110">
        <v>389.45</v>
      </c>
      <c r="G78">
        <v>125417</v>
      </c>
      <c r="H78" s="110"/>
      <c r="I78" s="110"/>
      <c r="L78" s="133">
        <v>42116</v>
      </c>
      <c r="M78" s="110">
        <v>75.682294145644903</v>
      </c>
      <c r="N78" s="110">
        <v>76.956472340360193</v>
      </c>
      <c r="O78" s="110">
        <v>74.057960111160597</v>
      </c>
      <c r="P78" s="110">
        <v>76.518777540648799</v>
      </c>
      <c r="Q78" s="110">
        <v>389.05</v>
      </c>
      <c r="R78">
        <v>1456721</v>
      </c>
    </row>
    <row r="79" spans="1:18" x14ac:dyDescent="0.25">
      <c r="A79" s="133">
        <v>42117</v>
      </c>
      <c r="B79" s="110">
        <v>76.705275768326999</v>
      </c>
      <c r="C79" s="110">
        <v>75.528337096254006</v>
      </c>
      <c r="D79" s="110">
        <v>75.0128185043542</v>
      </c>
      <c r="E79" s="110">
        <v>76.452379855319506</v>
      </c>
      <c r="F79" s="110">
        <v>388.25</v>
      </c>
      <c r="G79">
        <v>98217</v>
      </c>
      <c r="H79" s="110"/>
      <c r="I79" s="110"/>
      <c r="L79" s="133">
        <v>42117</v>
      </c>
      <c r="M79" s="110">
        <v>75.4780365724463</v>
      </c>
      <c r="N79" s="110">
        <v>76.761941318266295</v>
      </c>
      <c r="O79" s="110">
        <v>75.020888670525594</v>
      </c>
      <c r="P79" s="110">
        <v>76.022723434309299</v>
      </c>
      <c r="Q79" s="110">
        <v>388</v>
      </c>
      <c r="R79">
        <v>1203736</v>
      </c>
    </row>
    <row r="80" spans="1:18" x14ac:dyDescent="0.25">
      <c r="A80" s="133">
        <v>42118</v>
      </c>
      <c r="B80" s="110">
        <v>76.394019260010097</v>
      </c>
      <c r="C80" s="110">
        <v>73.524623323964406</v>
      </c>
      <c r="D80" s="110">
        <v>72.542219969589496</v>
      </c>
      <c r="E80" s="110">
        <v>76.394019260010097</v>
      </c>
      <c r="F80" s="110">
        <v>377.95</v>
      </c>
      <c r="G80">
        <v>147550</v>
      </c>
      <c r="H80" s="110"/>
      <c r="I80" s="110"/>
      <c r="L80" s="133">
        <v>42118</v>
      </c>
      <c r="M80" s="110">
        <v>73.172843960633202</v>
      </c>
      <c r="N80" s="110">
        <v>75.653114492330801</v>
      </c>
      <c r="O80" s="110">
        <v>72.287727810105807</v>
      </c>
      <c r="P80" s="110">
        <v>75.458583470236903</v>
      </c>
      <c r="Q80" s="110">
        <v>376.15</v>
      </c>
      <c r="R80">
        <v>1976619</v>
      </c>
    </row>
    <row r="81" spans="1:18" x14ac:dyDescent="0.25">
      <c r="A81" s="133">
        <v>42121</v>
      </c>
      <c r="B81" s="110">
        <v>75.294894715016397</v>
      </c>
      <c r="C81" s="110">
        <v>74.273584297101806</v>
      </c>
      <c r="D81" s="110">
        <v>72.600580564898905</v>
      </c>
      <c r="E81" s="110">
        <v>74.896097313735396</v>
      </c>
      <c r="F81" s="110">
        <v>381.8</v>
      </c>
      <c r="G81">
        <v>137996</v>
      </c>
      <c r="H81" s="110"/>
      <c r="I81" s="110"/>
      <c r="L81" s="133">
        <v>42121</v>
      </c>
      <c r="M81" s="110">
        <v>74.349756644301493</v>
      </c>
      <c r="N81" s="110">
        <v>75.380771061399301</v>
      </c>
      <c r="O81" s="110">
        <v>72.579524343246703</v>
      </c>
      <c r="P81" s="110">
        <v>73.639718413658599</v>
      </c>
      <c r="Q81" s="110">
        <v>382.2</v>
      </c>
      <c r="R81">
        <v>1819733</v>
      </c>
    </row>
    <row r="82" spans="1:18" x14ac:dyDescent="0.25">
      <c r="A82" s="133">
        <v>42122</v>
      </c>
      <c r="B82" s="110">
        <v>75.985495092844303</v>
      </c>
      <c r="C82" s="110">
        <v>74.847463484310893</v>
      </c>
      <c r="D82" s="110">
        <v>73.728885407547395</v>
      </c>
      <c r="E82" s="110">
        <v>74.312491360641403</v>
      </c>
      <c r="F82" s="110">
        <v>384.75</v>
      </c>
      <c r="G82">
        <v>189334</v>
      </c>
      <c r="H82" s="110"/>
      <c r="I82" s="110"/>
      <c r="L82" s="133">
        <v>42122</v>
      </c>
      <c r="M82" s="110">
        <v>74.816631097326905</v>
      </c>
      <c r="N82" s="110">
        <v>76.042176536518696</v>
      </c>
      <c r="O82" s="110">
        <v>73.620265311449202</v>
      </c>
      <c r="P82" s="110">
        <v>74.116319417788802</v>
      </c>
      <c r="Q82" s="110">
        <v>384.6</v>
      </c>
      <c r="R82">
        <v>1647237</v>
      </c>
    </row>
    <row r="83" spans="1:18" x14ac:dyDescent="0.25">
      <c r="A83" s="133">
        <v>42123</v>
      </c>
      <c r="B83" s="110">
        <v>75.742325945721802</v>
      </c>
      <c r="C83" s="110">
        <v>74.691835230152506</v>
      </c>
      <c r="D83" s="110">
        <v>74.341671658296093</v>
      </c>
      <c r="E83" s="110">
        <v>74.691835230152506</v>
      </c>
      <c r="F83" s="110">
        <v>383.95</v>
      </c>
      <c r="G83">
        <v>86698</v>
      </c>
      <c r="H83" s="110"/>
      <c r="I83" s="110"/>
      <c r="L83" s="133">
        <v>42123</v>
      </c>
      <c r="M83" s="110">
        <v>74.699912484070595</v>
      </c>
      <c r="N83" s="110">
        <v>75.769833105587196</v>
      </c>
      <c r="O83" s="110">
        <v>74.310850439882699</v>
      </c>
      <c r="P83" s="110">
        <v>74.699912484070595</v>
      </c>
      <c r="Q83" s="110">
        <v>384</v>
      </c>
      <c r="R83">
        <v>1020010</v>
      </c>
    </row>
    <row r="84" spans="1:18" x14ac:dyDescent="0.25">
      <c r="A84" s="133">
        <v>42124</v>
      </c>
      <c r="B84" s="110">
        <v>75.479703266829503</v>
      </c>
      <c r="C84" s="110">
        <v>73.612164216928505</v>
      </c>
      <c r="D84" s="110">
        <v>73.378721835690897</v>
      </c>
      <c r="E84" s="110">
        <v>74.896097313735396</v>
      </c>
      <c r="F84" s="110">
        <v>378.4</v>
      </c>
      <c r="G84">
        <v>111047</v>
      </c>
      <c r="H84" s="110"/>
      <c r="I84" s="110"/>
      <c r="L84" s="133">
        <v>42124</v>
      </c>
      <c r="M84" s="110">
        <v>73.600812209239805</v>
      </c>
      <c r="N84" s="110">
        <v>75.546122430179196</v>
      </c>
      <c r="O84" s="110">
        <v>73.338195329412997</v>
      </c>
      <c r="P84" s="110">
        <v>74.583193870814199</v>
      </c>
      <c r="Q84" s="110">
        <v>378.35</v>
      </c>
      <c r="R84">
        <v>1888105</v>
      </c>
    </row>
    <row r="85" spans="1:18" x14ac:dyDescent="0.25">
      <c r="A85" s="133">
        <v>42128</v>
      </c>
      <c r="B85" s="110">
        <v>75.868773902225499</v>
      </c>
      <c r="C85" s="110">
        <v>75.460249735059705</v>
      </c>
      <c r="D85" s="110">
        <v>73.534350089849298</v>
      </c>
      <c r="E85" s="110">
        <v>73.826153066396401</v>
      </c>
      <c r="F85" s="110">
        <v>387.9</v>
      </c>
      <c r="G85">
        <v>88988</v>
      </c>
      <c r="H85" s="110"/>
      <c r="I85" s="110"/>
      <c r="L85" s="133">
        <v>42128</v>
      </c>
      <c r="M85" s="110">
        <v>75.468310021341594</v>
      </c>
      <c r="N85" s="110">
        <v>75.662841043435506</v>
      </c>
      <c r="O85" s="110">
        <v>73.445187391564701</v>
      </c>
      <c r="P85" s="110">
        <v>74.116319417788802</v>
      </c>
      <c r="Q85" s="110">
        <v>387.95</v>
      </c>
      <c r="R85">
        <v>1006895</v>
      </c>
    </row>
    <row r="86" spans="1:18" x14ac:dyDescent="0.25">
      <c r="A86" s="133">
        <v>42129</v>
      </c>
      <c r="B86" s="110">
        <v>76.102216283463093</v>
      </c>
      <c r="C86" s="110">
        <v>74.944731143159899</v>
      </c>
      <c r="D86" s="110">
        <v>74.779376123116606</v>
      </c>
      <c r="E86" s="110">
        <v>75.8493203704557</v>
      </c>
      <c r="F86" s="110">
        <v>385.25</v>
      </c>
      <c r="G86">
        <v>75423</v>
      </c>
      <c r="H86" s="110"/>
      <c r="I86" s="110"/>
      <c r="L86" s="133">
        <v>42129</v>
      </c>
      <c r="M86" s="110">
        <v>74.943076261688006</v>
      </c>
      <c r="N86" s="110">
        <v>76.110262394251606</v>
      </c>
      <c r="O86" s="110">
        <v>74.699912484070595</v>
      </c>
      <c r="P86" s="110">
        <v>75.468310021341594</v>
      </c>
      <c r="Q86" s="110">
        <v>385.25</v>
      </c>
      <c r="R86">
        <v>1081897</v>
      </c>
    </row>
    <row r="87" spans="1:18" x14ac:dyDescent="0.25">
      <c r="A87" s="133">
        <v>42130</v>
      </c>
      <c r="B87" s="110">
        <v>75.314348246786196</v>
      </c>
      <c r="C87" s="110">
        <v>71.482002488135294</v>
      </c>
      <c r="D87" s="110">
        <v>71.131838916278895</v>
      </c>
      <c r="E87" s="110">
        <v>74.283311062986698</v>
      </c>
      <c r="F87" s="110">
        <v>367.45</v>
      </c>
      <c r="G87">
        <v>130636</v>
      </c>
      <c r="H87" s="110"/>
      <c r="I87" s="110"/>
      <c r="L87" s="133">
        <v>42130</v>
      </c>
      <c r="M87" s="110">
        <v>71.480424068415999</v>
      </c>
      <c r="N87" s="110">
        <v>75.273778999247696</v>
      </c>
      <c r="O87" s="110">
        <v>71.198354086379794</v>
      </c>
      <c r="P87" s="110">
        <v>74.4859283597672</v>
      </c>
      <c r="Q87" s="110">
        <v>367.45</v>
      </c>
      <c r="R87">
        <v>1448811</v>
      </c>
    </row>
    <row r="88" spans="1:18" x14ac:dyDescent="0.25">
      <c r="A88" s="133">
        <v>42131</v>
      </c>
      <c r="B88" s="110">
        <v>71.676537805833306</v>
      </c>
      <c r="C88" s="110">
        <v>69.118398378104402</v>
      </c>
      <c r="D88" s="110">
        <v>68.398617702621806</v>
      </c>
      <c r="E88" s="110">
        <v>71.482002488135294</v>
      </c>
      <c r="F88" s="110">
        <v>355.3</v>
      </c>
      <c r="G88">
        <v>133414</v>
      </c>
      <c r="H88" s="110"/>
      <c r="I88" s="110"/>
      <c r="L88" s="133">
        <v>42131</v>
      </c>
      <c r="M88" s="110">
        <v>69.136325252184093</v>
      </c>
      <c r="N88" s="110">
        <v>71.723587846033396</v>
      </c>
      <c r="O88" s="110">
        <v>68.3776542660177</v>
      </c>
      <c r="P88" s="110">
        <v>70.877377899924795</v>
      </c>
      <c r="Q88" s="110">
        <v>355.4</v>
      </c>
      <c r="R88">
        <v>1273432</v>
      </c>
    </row>
    <row r="89" spans="1:18" x14ac:dyDescent="0.25">
      <c r="A89" s="133">
        <v>42132</v>
      </c>
      <c r="B89" s="110">
        <v>71.005390959775198</v>
      </c>
      <c r="C89" s="110">
        <v>66.939602819886701</v>
      </c>
      <c r="D89" s="110">
        <v>65.9474726996268</v>
      </c>
      <c r="E89" s="110">
        <v>71.005390959775198</v>
      </c>
      <c r="F89" s="110">
        <v>344.1</v>
      </c>
      <c r="G89">
        <v>237348</v>
      </c>
      <c r="H89" s="110"/>
      <c r="I89" s="110"/>
      <c r="L89" s="133">
        <v>42132</v>
      </c>
      <c r="M89" s="110">
        <v>66.704687476009894</v>
      </c>
      <c r="N89" s="110">
        <v>70.614761020098001</v>
      </c>
      <c r="O89" s="110">
        <v>65.780665121063706</v>
      </c>
      <c r="P89" s="110">
        <v>70.031167953816194</v>
      </c>
      <c r="Q89" s="110">
        <v>342.9</v>
      </c>
      <c r="R89">
        <v>2435956</v>
      </c>
    </row>
    <row r="90" spans="1:18" x14ac:dyDescent="0.25">
      <c r="A90" s="133">
        <v>42135</v>
      </c>
      <c r="B90" s="110">
        <v>70.771948578537504</v>
      </c>
      <c r="C90" s="110">
        <v>70.538506197299895</v>
      </c>
      <c r="D90" s="110">
        <v>66.531078652720794</v>
      </c>
      <c r="E90" s="110">
        <v>67.173045201124296</v>
      </c>
      <c r="F90" s="110">
        <v>362.6</v>
      </c>
      <c r="G90">
        <v>250570</v>
      </c>
      <c r="H90" s="110"/>
      <c r="I90" s="110"/>
      <c r="L90" s="133">
        <v>42135</v>
      </c>
      <c r="M90" s="110">
        <v>70.527222060155694</v>
      </c>
      <c r="N90" s="110">
        <v>70.770385837773105</v>
      </c>
      <c r="O90" s="110">
        <v>66.432344045078395</v>
      </c>
      <c r="P90" s="110">
        <v>67.463358462176203</v>
      </c>
      <c r="Q90" s="110">
        <v>362.55</v>
      </c>
      <c r="R90">
        <v>2602845</v>
      </c>
    </row>
    <row r="91" spans="1:18" x14ac:dyDescent="0.25">
      <c r="A91" s="133">
        <v>42136</v>
      </c>
      <c r="B91" s="110">
        <v>70.538506197299895</v>
      </c>
      <c r="C91" s="110">
        <v>67.931732940146503</v>
      </c>
      <c r="D91" s="110">
        <v>67.260586094088396</v>
      </c>
      <c r="E91" s="110">
        <v>70.324517347832099</v>
      </c>
      <c r="F91" s="110">
        <v>349.2</v>
      </c>
      <c r="G91">
        <v>204062</v>
      </c>
      <c r="H91" s="110"/>
      <c r="I91" s="110"/>
      <c r="L91" s="133">
        <v>42136</v>
      </c>
      <c r="M91" s="110">
        <v>67.764881546421805</v>
      </c>
      <c r="N91" s="110">
        <v>70.546675162365105</v>
      </c>
      <c r="O91" s="110">
        <v>67.249374337872894</v>
      </c>
      <c r="P91" s="110">
        <v>70.546675162365105</v>
      </c>
      <c r="Q91" s="110">
        <v>348.35</v>
      </c>
      <c r="R91">
        <v>2140665</v>
      </c>
    </row>
    <row r="92" spans="1:18" x14ac:dyDescent="0.25">
      <c r="A92" s="133">
        <v>42137</v>
      </c>
      <c r="B92" s="110">
        <v>70.032714371285095</v>
      </c>
      <c r="C92" s="110">
        <v>69.702004331198495</v>
      </c>
      <c r="D92" s="110">
        <v>67.960913237801194</v>
      </c>
      <c r="E92" s="110">
        <v>68.418071234391604</v>
      </c>
      <c r="F92" s="110">
        <v>358.3</v>
      </c>
      <c r="G92">
        <v>160738</v>
      </c>
      <c r="H92" s="110"/>
      <c r="I92" s="110"/>
      <c r="L92" s="133">
        <v>42137</v>
      </c>
      <c r="M92" s="110">
        <v>69.651832460733004</v>
      </c>
      <c r="N92" s="110">
        <v>70.031167953816194</v>
      </c>
      <c r="O92" s="110">
        <v>67.920506364096994</v>
      </c>
      <c r="P92" s="110">
        <v>68.474919777064699</v>
      </c>
      <c r="Q92" s="110">
        <v>358.05</v>
      </c>
      <c r="R92">
        <v>1645067</v>
      </c>
    </row>
    <row r="93" spans="1:18" x14ac:dyDescent="0.25">
      <c r="A93" s="133">
        <v>42138</v>
      </c>
      <c r="B93" s="110">
        <v>72.396318481315902</v>
      </c>
      <c r="C93" s="110">
        <v>71.987794314150094</v>
      </c>
      <c r="D93" s="110">
        <v>68.573699488550005</v>
      </c>
      <c r="E93" s="110">
        <v>69.624190204119202</v>
      </c>
      <c r="F93" s="110">
        <v>370.05</v>
      </c>
      <c r="G93">
        <v>201046</v>
      </c>
      <c r="H93" s="110"/>
      <c r="I93" s="110"/>
      <c r="L93" s="133">
        <v>42138</v>
      </c>
      <c r="M93" s="110">
        <v>71.995931276964896</v>
      </c>
      <c r="N93" s="110">
        <v>72.365540218943394</v>
      </c>
      <c r="O93" s="110">
        <v>68.474919777064699</v>
      </c>
      <c r="P93" s="110">
        <v>69.447574887534302</v>
      </c>
      <c r="Q93" s="110">
        <v>370.1</v>
      </c>
      <c r="R93">
        <v>1709189</v>
      </c>
    </row>
    <row r="94" spans="1:18" x14ac:dyDescent="0.25">
      <c r="A94" s="133">
        <v>42139</v>
      </c>
      <c r="B94" s="110">
        <v>72.551946735474402</v>
      </c>
      <c r="C94" s="110">
        <v>70.450965304335796</v>
      </c>
      <c r="D94" s="110">
        <v>69.935446712436104</v>
      </c>
      <c r="E94" s="110">
        <v>72.162876100078293</v>
      </c>
      <c r="F94" s="110">
        <v>362.15</v>
      </c>
      <c r="G94">
        <v>153373</v>
      </c>
      <c r="H94" s="110"/>
      <c r="I94" s="110"/>
      <c r="L94" s="133">
        <v>42139</v>
      </c>
      <c r="M94" s="110">
        <v>70.293784833643002</v>
      </c>
      <c r="N94" s="110">
        <v>72.501711934409101</v>
      </c>
      <c r="O94" s="110">
        <v>69.836636931722197</v>
      </c>
      <c r="P94" s="110">
        <v>72.171009196849397</v>
      </c>
      <c r="Q94" s="110">
        <v>361.35</v>
      </c>
      <c r="R94">
        <v>2364791</v>
      </c>
    </row>
    <row r="95" spans="1:18" x14ac:dyDescent="0.25">
      <c r="A95" s="133">
        <v>42142</v>
      </c>
      <c r="B95" s="110">
        <v>70.927576832695905</v>
      </c>
      <c r="C95" s="110">
        <v>68.787688338017801</v>
      </c>
      <c r="D95" s="110">
        <v>68.379164170851993</v>
      </c>
      <c r="E95" s="110">
        <v>70.460692070220702</v>
      </c>
      <c r="F95" s="110">
        <v>353.6</v>
      </c>
      <c r="G95">
        <v>227058</v>
      </c>
      <c r="H95" s="110"/>
      <c r="I95" s="110"/>
      <c r="L95" s="133">
        <v>42142</v>
      </c>
      <c r="M95" s="110">
        <v>68.805622514624403</v>
      </c>
      <c r="N95" s="110">
        <v>70.867651348820104</v>
      </c>
      <c r="O95" s="110">
        <v>68.367927714912994</v>
      </c>
      <c r="P95" s="110">
        <v>70.498042406841606</v>
      </c>
      <c r="Q95" s="110">
        <v>353.7</v>
      </c>
      <c r="R95">
        <v>2468498</v>
      </c>
    </row>
    <row r="96" spans="1:18" x14ac:dyDescent="0.25">
      <c r="A96" s="133">
        <v>42143</v>
      </c>
      <c r="B96" s="110">
        <v>69.595009906464597</v>
      </c>
      <c r="C96" s="110">
        <v>68.602879786204696</v>
      </c>
      <c r="D96" s="110">
        <v>68.272169746118095</v>
      </c>
      <c r="E96" s="110">
        <v>68.748781274478205</v>
      </c>
      <c r="F96" s="110">
        <v>352.65</v>
      </c>
      <c r="G96">
        <v>199711</v>
      </c>
      <c r="H96" s="110"/>
      <c r="I96" s="110"/>
      <c r="L96" s="133">
        <v>42143</v>
      </c>
      <c r="M96" s="110">
        <v>68.484646328169404</v>
      </c>
      <c r="N96" s="110">
        <v>69.5448403985813</v>
      </c>
      <c r="O96" s="110">
        <v>68.163670141714405</v>
      </c>
      <c r="P96" s="110">
        <v>68.669450799158597</v>
      </c>
      <c r="Q96" s="110">
        <v>352.05</v>
      </c>
      <c r="R96">
        <v>2258254</v>
      </c>
    </row>
    <row r="97" spans="1:18" x14ac:dyDescent="0.25">
      <c r="A97" s="133">
        <v>42144</v>
      </c>
      <c r="B97" s="110">
        <v>69.215666036953394</v>
      </c>
      <c r="C97" s="110">
        <v>68.340257107312397</v>
      </c>
      <c r="D97" s="110">
        <v>68.087361194304904</v>
      </c>
      <c r="E97" s="110">
        <v>69.001677187485598</v>
      </c>
      <c r="F97" s="110">
        <v>351.3</v>
      </c>
      <c r="G97">
        <v>102481</v>
      </c>
      <c r="H97" s="110"/>
      <c r="I97" s="110"/>
      <c r="L97" s="133">
        <v>42144</v>
      </c>
      <c r="M97" s="110">
        <v>68.416560470436494</v>
      </c>
      <c r="N97" s="110">
        <v>69.175231456602802</v>
      </c>
      <c r="O97" s="110">
        <v>68.085857732876804</v>
      </c>
      <c r="P97" s="110">
        <v>68.863981821252594</v>
      </c>
      <c r="Q97" s="110">
        <v>351.7</v>
      </c>
      <c r="R97">
        <v>1246765</v>
      </c>
    </row>
    <row r="98" spans="1:18" x14ac:dyDescent="0.25">
      <c r="A98" s="133">
        <v>42145</v>
      </c>
      <c r="B98" s="110">
        <v>69.215666036953394</v>
      </c>
      <c r="C98" s="110">
        <v>68.758508040363097</v>
      </c>
      <c r="D98" s="110">
        <v>67.737197622448505</v>
      </c>
      <c r="E98" s="110">
        <v>68.476431829700999</v>
      </c>
      <c r="F98" s="110">
        <v>353.45</v>
      </c>
      <c r="G98">
        <v>117600</v>
      </c>
      <c r="H98" s="110"/>
      <c r="I98" s="110"/>
      <c r="L98" s="133">
        <v>42145</v>
      </c>
      <c r="M98" s="110">
        <v>68.854255270147803</v>
      </c>
      <c r="N98" s="110">
        <v>69.253043865440404</v>
      </c>
      <c r="O98" s="110">
        <v>67.696795688688994</v>
      </c>
      <c r="P98" s="110">
        <v>68.474919777064699</v>
      </c>
      <c r="Q98" s="110">
        <v>353.95</v>
      </c>
      <c r="R98">
        <v>1574771</v>
      </c>
    </row>
    <row r="99" spans="1:18" x14ac:dyDescent="0.25">
      <c r="A99" s="133">
        <v>42146</v>
      </c>
      <c r="B99" s="110">
        <v>70.382877943141494</v>
      </c>
      <c r="C99" s="110">
        <v>68.729327742708406</v>
      </c>
      <c r="D99" s="110">
        <v>68.398617702621806</v>
      </c>
      <c r="E99" s="110">
        <v>68.865502465096995</v>
      </c>
      <c r="F99" s="110">
        <v>353.3</v>
      </c>
      <c r="G99">
        <v>237540</v>
      </c>
      <c r="H99" s="110"/>
      <c r="I99" s="110"/>
      <c r="L99" s="133">
        <v>42146</v>
      </c>
      <c r="M99" s="110">
        <v>68.708357003577404</v>
      </c>
      <c r="N99" s="110">
        <v>70.459136202422798</v>
      </c>
      <c r="O99" s="110">
        <v>68.494372879274096</v>
      </c>
      <c r="P99" s="110">
        <v>69.000153536718301</v>
      </c>
      <c r="Q99" s="110">
        <v>353.2</v>
      </c>
      <c r="R99">
        <v>2549917</v>
      </c>
    </row>
    <row r="100" spans="1:18" x14ac:dyDescent="0.25">
      <c r="A100" s="133">
        <v>42149</v>
      </c>
      <c r="B100" s="110">
        <v>70.003534073630405</v>
      </c>
      <c r="C100" s="110">
        <v>66.180915080864395</v>
      </c>
      <c r="D100" s="110">
        <v>65.023429940561201</v>
      </c>
      <c r="E100" s="110">
        <v>69.021130719255396</v>
      </c>
      <c r="F100" s="110">
        <v>340.2</v>
      </c>
      <c r="G100">
        <v>665294</v>
      </c>
      <c r="H100" s="110"/>
      <c r="I100" s="110"/>
      <c r="L100" s="133">
        <v>42149</v>
      </c>
      <c r="M100" s="110">
        <v>66.198906818565703</v>
      </c>
      <c r="N100" s="110">
        <v>69.9922617493974</v>
      </c>
      <c r="O100" s="110">
        <v>65.021994134897398</v>
      </c>
      <c r="P100" s="110">
        <v>69.272496967649801</v>
      </c>
      <c r="Q100" s="110">
        <v>340.3</v>
      </c>
      <c r="R100">
        <v>6333621</v>
      </c>
    </row>
    <row r="101" spans="1:18" x14ac:dyDescent="0.25">
      <c r="A101" s="133">
        <v>42150</v>
      </c>
      <c r="B101" s="110">
        <v>65.752937381928803</v>
      </c>
      <c r="C101" s="110">
        <v>65.431954107727094</v>
      </c>
      <c r="D101" s="110">
        <v>64.595452241625594</v>
      </c>
      <c r="E101" s="110">
        <v>65.247145555913903</v>
      </c>
      <c r="F101" s="110">
        <v>336.35</v>
      </c>
      <c r="G101">
        <v>324853</v>
      </c>
      <c r="H101" s="110"/>
      <c r="I101" s="110"/>
      <c r="L101" s="133">
        <v>42150</v>
      </c>
      <c r="M101" s="110">
        <v>65.420782730189899</v>
      </c>
      <c r="N101" s="110">
        <v>65.751485467749603</v>
      </c>
      <c r="O101" s="110">
        <v>64.525940028557798</v>
      </c>
      <c r="P101" s="110">
        <v>64.846916215012797</v>
      </c>
      <c r="Q101" s="110">
        <v>336.3</v>
      </c>
      <c r="R101">
        <v>3109780</v>
      </c>
    </row>
    <row r="102" spans="1:18" x14ac:dyDescent="0.25">
      <c r="A102" s="133">
        <v>42151</v>
      </c>
      <c r="B102" s="110">
        <v>66.764521033958403</v>
      </c>
      <c r="C102" s="110">
        <v>66.414357462102004</v>
      </c>
      <c r="D102" s="110">
        <v>64.770534027553794</v>
      </c>
      <c r="E102" s="110">
        <v>65.169331428834695</v>
      </c>
      <c r="F102" s="110">
        <v>341.4</v>
      </c>
      <c r="G102">
        <v>260503</v>
      </c>
      <c r="H102" s="110"/>
      <c r="I102" s="110"/>
      <c r="L102" s="133">
        <v>42151</v>
      </c>
      <c r="M102" s="110">
        <v>66.412890942868998</v>
      </c>
      <c r="N102" s="110">
        <v>66.840859191475602</v>
      </c>
      <c r="O102" s="110">
        <v>64.778830357279901</v>
      </c>
      <c r="P102" s="110">
        <v>65.002541032688001</v>
      </c>
      <c r="Q102" s="110">
        <v>341.4</v>
      </c>
      <c r="R102">
        <v>2434978</v>
      </c>
    </row>
    <row r="103" spans="1:18" x14ac:dyDescent="0.25">
      <c r="A103" s="133">
        <v>42152</v>
      </c>
      <c r="B103" s="110">
        <v>67.387034050592106</v>
      </c>
      <c r="C103" s="110">
        <v>66.4532645256416</v>
      </c>
      <c r="D103" s="110">
        <v>65.723757084274098</v>
      </c>
      <c r="E103" s="110">
        <v>67.007690181081003</v>
      </c>
      <c r="F103" s="110">
        <v>341.6</v>
      </c>
      <c r="G103">
        <v>179733</v>
      </c>
      <c r="H103" s="110"/>
      <c r="I103" s="110"/>
      <c r="L103" s="133">
        <v>42152</v>
      </c>
      <c r="M103" s="110">
        <v>66.432344045078395</v>
      </c>
      <c r="N103" s="110">
        <v>67.463358462176203</v>
      </c>
      <c r="O103" s="110">
        <v>65.663946507807296</v>
      </c>
      <c r="P103" s="110">
        <v>66.626875067172307</v>
      </c>
      <c r="Q103" s="110">
        <v>341.5</v>
      </c>
      <c r="R103">
        <v>2832141</v>
      </c>
    </row>
    <row r="104" spans="1:18" x14ac:dyDescent="0.25">
      <c r="A104" s="133">
        <v>42153</v>
      </c>
      <c r="B104" s="110">
        <v>67.503755241210897</v>
      </c>
      <c r="C104" s="110">
        <v>66.754794268073496</v>
      </c>
      <c r="D104" s="110">
        <v>65.9474726996268</v>
      </c>
      <c r="E104" s="110">
        <v>66.569985716260405</v>
      </c>
      <c r="F104" s="110">
        <v>343.15</v>
      </c>
      <c r="G104">
        <v>146343</v>
      </c>
      <c r="H104" s="110"/>
      <c r="I104" s="110"/>
      <c r="L104" s="133">
        <v>42153</v>
      </c>
      <c r="M104" s="110">
        <v>66.792226435952202</v>
      </c>
      <c r="N104" s="110">
        <v>67.492538115490305</v>
      </c>
      <c r="O104" s="110">
        <v>65.877930632110704</v>
      </c>
      <c r="P104" s="110">
        <v>66.607421964962896</v>
      </c>
      <c r="Q104" s="110">
        <v>343.35</v>
      </c>
      <c r="R104">
        <v>1323327</v>
      </c>
    </row>
    <row r="105" spans="1:18" x14ac:dyDescent="0.25">
      <c r="A105" s="133">
        <v>42156</v>
      </c>
      <c r="B105" s="110">
        <v>67.396760816476998</v>
      </c>
      <c r="C105" s="110">
        <v>66.589439248030203</v>
      </c>
      <c r="D105" s="110">
        <v>66.278182739713401</v>
      </c>
      <c r="E105" s="110">
        <v>67.114684605814901</v>
      </c>
      <c r="F105" s="110">
        <v>342.3</v>
      </c>
      <c r="G105">
        <v>311414</v>
      </c>
      <c r="H105" s="110"/>
      <c r="I105" s="110"/>
      <c r="L105" s="133">
        <v>42156</v>
      </c>
      <c r="M105" s="110">
        <v>66.675507822695806</v>
      </c>
      <c r="N105" s="110">
        <v>67.453631911071497</v>
      </c>
      <c r="O105" s="110">
        <v>66.4420705961831</v>
      </c>
      <c r="P105" s="110">
        <v>66.617148516067601</v>
      </c>
      <c r="Q105" s="110">
        <v>342.75</v>
      </c>
      <c r="R105">
        <v>995685</v>
      </c>
    </row>
    <row r="106" spans="1:18" x14ac:dyDescent="0.25">
      <c r="A106" s="133">
        <v>42157</v>
      </c>
      <c r="B106" s="110">
        <v>66.968783117541406</v>
      </c>
      <c r="C106" s="110">
        <v>63.486600930746903</v>
      </c>
      <c r="D106" s="110">
        <v>63.029442934156599</v>
      </c>
      <c r="E106" s="110">
        <v>66.881242224577306</v>
      </c>
      <c r="F106" s="110">
        <v>326.35000000000002</v>
      </c>
      <c r="G106">
        <v>326205</v>
      </c>
      <c r="H106" s="110"/>
      <c r="I106" s="110"/>
      <c r="L106" s="133">
        <v>42157</v>
      </c>
      <c r="M106" s="110">
        <v>63.3879335493083</v>
      </c>
      <c r="N106" s="110">
        <v>67.035390213569599</v>
      </c>
      <c r="O106" s="110">
        <v>63.096137016167397</v>
      </c>
      <c r="P106" s="110">
        <v>66.928398151417895</v>
      </c>
      <c r="Q106" s="110">
        <v>325.85000000000002</v>
      </c>
      <c r="R106">
        <v>3005743</v>
      </c>
    </row>
    <row r="107" spans="1:18" x14ac:dyDescent="0.25">
      <c r="A107" s="133">
        <v>42158</v>
      </c>
      <c r="B107" s="110">
        <v>63.8562180343731</v>
      </c>
      <c r="C107" s="110">
        <v>62.971082338847197</v>
      </c>
      <c r="D107" s="110">
        <v>61.5898815831913</v>
      </c>
      <c r="E107" s="110">
        <v>62.990535870617002</v>
      </c>
      <c r="F107" s="110">
        <v>323.7</v>
      </c>
      <c r="G107">
        <v>259995</v>
      </c>
      <c r="H107" s="110"/>
      <c r="I107" s="110"/>
      <c r="L107" s="133">
        <v>42158</v>
      </c>
      <c r="M107" s="110">
        <v>62.950238749596998</v>
      </c>
      <c r="N107" s="110">
        <v>63.903440757857197</v>
      </c>
      <c r="O107" s="110">
        <v>61.569068492729997</v>
      </c>
      <c r="P107" s="110">
        <v>62.794613931921802</v>
      </c>
      <c r="Q107" s="110">
        <v>323.60000000000002</v>
      </c>
      <c r="R107">
        <v>2750627</v>
      </c>
    </row>
    <row r="108" spans="1:18" x14ac:dyDescent="0.25">
      <c r="A108" s="133">
        <v>42159</v>
      </c>
      <c r="B108" s="110">
        <v>63.360152974243199</v>
      </c>
      <c r="C108" s="110">
        <v>61.823323964428901</v>
      </c>
      <c r="D108" s="110">
        <v>60.957641800672697</v>
      </c>
      <c r="E108" s="110">
        <v>63.360152974243199</v>
      </c>
      <c r="F108" s="110">
        <v>317.8</v>
      </c>
      <c r="G108">
        <v>192887</v>
      </c>
      <c r="H108" s="110"/>
      <c r="I108" s="110"/>
      <c r="L108" s="133">
        <v>42159</v>
      </c>
      <c r="M108" s="110">
        <v>61.792779168138097</v>
      </c>
      <c r="N108" s="110">
        <v>63.553284918088202</v>
      </c>
      <c r="O108" s="110">
        <v>60.975748875343498</v>
      </c>
      <c r="P108" s="110">
        <v>63.222582180528498</v>
      </c>
      <c r="Q108" s="110">
        <v>317.64999999999998</v>
      </c>
      <c r="R108">
        <v>2632728</v>
      </c>
    </row>
    <row r="109" spans="1:18" x14ac:dyDescent="0.25">
      <c r="A109" s="133">
        <v>42160</v>
      </c>
      <c r="B109" s="110">
        <v>61.959498686817497</v>
      </c>
      <c r="C109" s="110">
        <v>60.267041422844798</v>
      </c>
      <c r="D109" s="110">
        <v>59.916877850988399</v>
      </c>
      <c r="E109" s="110">
        <v>61.4147997972631</v>
      </c>
      <c r="F109" s="110">
        <v>309.8</v>
      </c>
      <c r="G109">
        <v>187715</v>
      </c>
      <c r="H109" s="110"/>
      <c r="I109" s="110"/>
      <c r="L109" s="133">
        <v>42160</v>
      </c>
      <c r="M109" s="110">
        <v>60.168445133653698</v>
      </c>
      <c r="N109" s="110">
        <v>61.958130536917899</v>
      </c>
      <c r="O109" s="110">
        <v>59.740476885047102</v>
      </c>
      <c r="P109" s="110">
        <v>61.2772719595891</v>
      </c>
      <c r="Q109" s="110">
        <v>309.3</v>
      </c>
      <c r="R109">
        <v>2349748</v>
      </c>
    </row>
    <row r="110" spans="1:18" x14ac:dyDescent="0.25">
      <c r="A110" s="133">
        <v>42163</v>
      </c>
      <c r="B110" s="110">
        <v>60.5004838040824</v>
      </c>
      <c r="C110" s="110">
        <v>57.621361102151802</v>
      </c>
      <c r="D110" s="110">
        <v>57.3879187209142</v>
      </c>
      <c r="E110" s="110">
        <v>60.305948486384402</v>
      </c>
      <c r="F110" s="110">
        <v>296.2</v>
      </c>
      <c r="G110">
        <v>218514</v>
      </c>
      <c r="H110" s="110"/>
      <c r="I110" s="110"/>
      <c r="L110" s="133">
        <v>42163</v>
      </c>
      <c r="M110" s="110">
        <v>57.5033701309668</v>
      </c>
      <c r="N110" s="110">
        <v>60.285163746910101</v>
      </c>
      <c r="O110" s="110">
        <v>57.347745313291703</v>
      </c>
      <c r="P110" s="110">
        <v>60.285163746910101</v>
      </c>
      <c r="Q110" s="110">
        <v>295.60000000000002</v>
      </c>
      <c r="R110">
        <v>2784380</v>
      </c>
    </row>
    <row r="111" spans="1:18" x14ac:dyDescent="0.25">
      <c r="A111" s="133">
        <v>42164</v>
      </c>
      <c r="B111" s="110">
        <v>58.341141777634398</v>
      </c>
      <c r="C111" s="110">
        <v>57.008574851402997</v>
      </c>
      <c r="D111" s="110">
        <v>56.687591577201303</v>
      </c>
      <c r="E111" s="110">
        <v>57.582454038612198</v>
      </c>
      <c r="F111" s="110">
        <v>293.05</v>
      </c>
      <c r="G111">
        <v>226710</v>
      </c>
      <c r="H111" s="110"/>
      <c r="I111" s="110"/>
      <c r="L111" s="133">
        <v>42164</v>
      </c>
      <c r="M111" s="110">
        <v>56.9684098202085</v>
      </c>
      <c r="N111" s="110">
        <v>58.262041117133201</v>
      </c>
      <c r="O111" s="110">
        <v>56.433449509450199</v>
      </c>
      <c r="P111" s="110">
        <v>57.386651517710497</v>
      </c>
      <c r="Q111" s="110">
        <v>292.85000000000002</v>
      </c>
      <c r="R111">
        <v>2638336</v>
      </c>
    </row>
    <row r="112" spans="1:18" x14ac:dyDescent="0.25">
      <c r="A112" s="133">
        <v>42165</v>
      </c>
      <c r="B112" s="110">
        <v>57.835349951619598</v>
      </c>
      <c r="C112" s="110">
        <v>57.018301617287896</v>
      </c>
      <c r="D112" s="110">
        <v>56.668138045431498</v>
      </c>
      <c r="E112" s="110">
        <v>57.835349951619598</v>
      </c>
      <c r="F112" s="110">
        <v>293.10000000000002</v>
      </c>
      <c r="G112">
        <v>140097</v>
      </c>
      <c r="H112" s="110"/>
      <c r="I112" s="110"/>
      <c r="L112" s="133">
        <v>42165</v>
      </c>
      <c r="M112" s="110">
        <v>56.919777064685</v>
      </c>
      <c r="N112" s="110">
        <v>57.7757135618983</v>
      </c>
      <c r="O112" s="110">
        <v>56.550168122706502</v>
      </c>
      <c r="P112" s="110">
        <v>57.1921204956165</v>
      </c>
      <c r="Q112" s="110">
        <v>292.60000000000002</v>
      </c>
      <c r="R112">
        <v>1498496</v>
      </c>
    </row>
    <row r="113" spans="1:18" x14ac:dyDescent="0.25">
      <c r="A113" s="133">
        <v>42166</v>
      </c>
      <c r="B113" s="110">
        <v>57.952071142238403</v>
      </c>
      <c r="C113" s="110">
        <v>57.047481914942601</v>
      </c>
      <c r="D113" s="110">
        <v>55.413385246279297</v>
      </c>
      <c r="E113" s="110">
        <v>57.3879187209142</v>
      </c>
      <c r="F113" s="110">
        <v>293.25</v>
      </c>
      <c r="G113">
        <v>380182</v>
      </c>
      <c r="H113" s="110"/>
      <c r="I113" s="110"/>
      <c r="L113" s="133">
        <v>42166</v>
      </c>
      <c r="M113" s="110">
        <v>57.036495677941403</v>
      </c>
      <c r="N113" s="110">
        <v>57.931338379573504</v>
      </c>
      <c r="O113" s="110">
        <v>55.295443030200701</v>
      </c>
      <c r="P113" s="110">
        <v>57.386651517710497</v>
      </c>
      <c r="Q113" s="110">
        <v>293.2</v>
      </c>
      <c r="R113">
        <v>6064754</v>
      </c>
    </row>
    <row r="114" spans="1:18" x14ac:dyDescent="0.25">
      <c r="A114" s="133">
        <v>42167</v>
      </c>
      <c r="B114" s="110">
        <v>57.971524674008201</v>
      </c>
      <c r="C114" s="110">
        <v>57.280924296180302</v>
      </c>
      <c r="D114" s="110">
        <v>56.240160346495898</v>
      </c>
      <c r="E114" s="110">
        <v>56.240160346495898</v>
      </c>
      <c r="F114" s="110">
        <v>294.45</v>
      </c>
      <c r="G114">
        <v>145622</v>
      </c>
      <c r="H114" s="110"/>
      <c r="I114" s="110"/>
      <c r="L114" s="133">
        <v>42167</v>
      </c>
      <c r="M114" s="110">
        <v>57.328292211082299</v>
      </c>
      <c r="N114" s="110">
        <v>57.970244583992297</v>
      </c>
      <c r="O114" s="110">
        <v>56.238918487356301</v>
      </c>
      <c r="P114" s="110">
        <v>56.258371589565598</v>
      </c>
      <c r="Q114" s="110">
        <v>294.7</v>
      </c>
      <c r="R114">
        <v>2275068</v>
      </c>
    </row>
    <row r="115" spans="1:18" x14ac:dyDescent="0.25">
      <c r="A115" s="133">
        <v>42170</v>
      </c>
      <c r="B115" s="110">
        <v>57.582454038612198</v>
      </c>
      <c r="C115" s="110">
        <v>57.096115744367097</v>
      </c>
      <c r="D115" s="110">
        <v>56.531963323042902</v>
      </c>
      <c r="E115" s="110">
        <v>57.582454038612198</v>
      </c>
      <c r="F115" s="110">
        <v>293.5</v>
      </c>
      <c r="G115">
        <v>95296</v>
      </c>
      <c r="H115" s="110"/>
      <c r="I115" s="110"/>
      <c r="L115" s="133">
        <v>42170</v>
      </c>
      <c r="M115" s="110">
        <v>57.017042575731999</v>
      </c>
      <c r="N115" s="110">
        <v>57.513096682071499</v>
      </c>
      <c r="O115" s="110">
        <v>56.550168122706502</v>
      </c>
      <c r="P115" s="110">
        <v>57.153214291197699</v>
      </c>
      <c r="Q115" s="110">
        <v>293.10000000000002</v>
      </c>
      <c r="R115">
        <v>1108749</v>
      </c>
    </row>
    <row r="116" spans="1:18" x14ac:dyDescent="0.25">
      <c r="A116" s="133">
        <v>42171</v>
      </c>
      <c r="B116" s="110">
        <v>59.216550707275502</v>
      </c>
      <c r="C116" s="110">
        <v>58.613491222411703</v>
      </c>
      <c r="D116" s="110">
        <v>56.415242132424098</v>
      </c>
      <c r="E116" s="110">
        <v>56.8043127678201</v>
      </c>
      <c r="F116" s="110">
        <v>301.3</v>
      </c>
      <c r="G116">
        <v>154367</v>
      </c>
      <c r="H116" s="110"/>
      <c r="I116" s="110"/>
      <c r="L116" s="133">
        <v>42171</v>
      </c>
      <c r="M116" s="110">
        <v>58.573290752483501</v>
      </c>
      <c r="N116" s="110">
        <v>59.020712103299502</v>
      </c>
      <c r="O116" s="110">
        <v>56.413996407240802</v>
      </c>
      <c r="P116" s="110">
        <v>56.978136371313198</v>
      </c>
      <c r="Q116" s="110">
        <v>301.10000000000002</v>
      </c>
      <c r="R116">
        <v>2325125</v>
      </c>
    </row>
    <row r="117" spans="1:18" x14ac:dyDescent="0.25">
      <c r="A117" s="133">
        <v>42172</v>
      </c>
      <c r="B117" s="110">
        <v>59.2457310049302</v>
      </c>
      <c r="C117" s="110">
        <v>58.7399391789154</v>
      </c>
      <c r="D117" s="110">
        <v>58.175786757591098</v>
      </c>
      <c r="E117" s="110">
        <v>59.138736580196301</v>
      </c>
      <c r="F117" s="110">
        <v>301.95</v>
      </c>
      <c r="G117">
        <v>127994</v>
      </c>
      <c r="H117" s="110"/>
      <c r="I117" s="110"/>
      <c r="L117" s="133">
        <v>42172</v>
      </c>
      <c r="M117" s="110">
        <v>58.690009365739797</v>
      </c>
      <c r="N117" s="110">
        <v>59.263875880916899</v>
      </c>
      <c r="O117" s="110">
        <v>58.1355959527721</v>
      </c>
      <c r="P117" s="110">
        <v>58.884540387833702</v>
      </c>
      <c r="Q117" s="110">
        <v>301.7</v>
      </c>
      <c r="R117">
        <v>1382675</v>
      </c>
    </row>
    <row r="118" spans="1:18" x14ac:dyDescent="0.25">
      <c r="A118" s="133">
        <v>42173</v>
      </c>
      <c r="B118" s="110">
        <v>59.4889001520527</v>
      </c>
      <c r="C118" s="110">
        <v>58.6523982859513</v>
      </c>
      <c r="D118" s="110">
        <v>58.4773165000231</v>
      </c>
      <c r="E118" s="110">
        <v>58.749665944800299</v>
      </c>
      <c r="F118" s="110">
        <v>301.5</v>
      </c>
      <c r="G118">
        <v>146732</v>
      </c>
      <c r="H118" s="110"/>
      <c r="I118" s="110"/>
      <c r="L118" s="133">
        <v>42173</v>
      </c>
      <c r="M118" s="110">
        <v>58.514931445855296</v>
      </c>
      <c r="N118" s="110">
        <v>59.487586556324899</v>
      </c>
      <c r="O118" s="110">
        <v>58.388486281494203</v>
      </c>
      <c r="P118" s="110">
        <v>58.690009365739797</v>
      </c>
      <c r="Q118" s="110">
        <v>300.8</v>
      </c>
      <c r="R118">
        <v>1418978</v>
      </c>
    </row>
    <row r="119" spans="1:18" x14ac:dyDescent="0.25">
      <c r="A119" s="133">
        <v>42174</v>
      </c>
      <c r="B119" s="110">
        <v>59.1581901119661</v>
      </c>
      <c r="C119" s="110">
        <v>58.9052941989587</v>
      </c>
      <c r="D119" s="110">
        <v>58.389775607058901</v>
      </c>
      <c r="E119" s="110">
        <v>58.555130627102301</v>
      </c>
      <c r="F119" s="110">
        <v>302.8</v>
      </c>
      <c r="G119">
        <v>98657</v>
      </c>
      <c r="H119" s="110"/>
      <c r="I119" s="110"/>
      <c r="L119" s="133">
        <v>42174</v>
      </c>
      <c r="M119" s="110">
        <v>58.835907632310303</v>
      </c>
      <c r="N119" s="110">
        <v>59.234696227602797</v>
      </c>
      <c r="O119" s="110">
        <v>58.378759730389497</v>
      </c>
      <c r="P119" s="110">
        <v>58.709462467949201</v>
      </c>
      <c r="Q119" s="110">
        <v>302.45</v>
      </c>
      <c r="R119">
        <v>1395272</v>
      </c>
    </row>
    <row r="120" spans="1:18" x14ac:dyDescent="0.25">
      <c r="A120" s="133">
        <v>42177</v>
      </c>
      <c r="B120" s="110">
        <v>60.9187347371331</v>
      </c>
      <c r="C120" s="110">
        <v>60.189227295765598</v>
      </c>
      <c r="D120" s="110">
        <v>58.827480071879499</v>
      </c>
      <c r="E120" s="110">
        <v>58.827480071879499</v>
      </c>
      <c r="F120" s="110">
        <v>309.39999999999998</v>
      </c>
      <c r="G120">
        <v>171638</v>
      </c>
      <c r="H120" s="110"/>
      <c r="I120" s="110"/>
      <c r="L120" s="133">
        <v>42177</v>
      </c>
      <c r="M120" s="110">
        <v>60.207351338072499</v>
      </c>
      <c r="N120" s="110">
        <v>60.985475426448197</v>
      </c>
      <c r="O120" s="110">
        <v>58.9428996944619</v>
      </c>
      <c r="P120" s="110">
        <v>59.137430716555897</v>
      </c>
      <c r="Q120" s="110">
        <v>309.5</v>
      </c>
      <c r="R120">
        <v>1944136</v>
      </c>
    </row>
    <row r="121" spans="1:18" x14ac:dyDescent="0.25">
      <c r="A121" s="133">
        <v>42178</v>
      </c>
      <c r="B121" s="110">
        <v>61.764963369119499</v>
      </c>
      <c r="C121" s="110">
        <v>60.811740312399202</v>
      </c>
      <c r="D121" s="110">
        <v>60.5004838040824</v>
      </c>
      <c r="E121" s="110">
        <v>60.695019121780398</v>
      </c>
      <c r="F121" s="110">
        <v>312.60000000000002</v>
      </c>
      <c r="G121">
        <v>194322</v>
      </c>
      <c r="H121" s="110"/>
      <c r="I121" s="110"/>
      <c r="L121" s="133">
        <v>42178</v>
      </c>
      <c r="M121" s="110">
        <v>60.820124057668401</v>
      </c>
      <c r="N121" s="110">
        <v>61.714966759300502</v>
      </c>
      <c r="O121" s="110">
        <v>60.431062013480499</v>
      </c>
      <c r="P121" s="110">
        <v>60.664499239993198</v>
      </c>
      <c r="Q121" s="110">
        <v>312.64999999999998</v>
      </c>
      <c r="R121">
        <v>2083807</v>
      </c>
    </row>
    <row r="122" spans="1:18" x14ac:dyDescent="0.25">
      <c r="A122" s="133">
        <v>42179</v>
      </c>
      <c r="B122" s="110">
        <v>61.278625074874398</v>
      </c>
      <c r="C122" s="110">
        <v>59.605621342671498</v>
      </c>
      <c r="D122" s="110">
        <v>59.352725429664098</v>
      </c>
      <c r="E122" s="110">
        <v>61.142450352485803</v>
      </c>
      <c r="F122" s="110">
        <v>306.39999999999998</v>
      </c>
      <c r="G122">
        <v>197862</v>
      </c>
      <c r="H122" s="110"/>
      <c r="I122" s="110"/>
      <c r="L122" s="133">
        <v>42179</v>
      </c>
      <c r="M122" s="110">
        <v>59.759929987256399</v>
      </c>
      <c r="N122" s="110">
        <v>61.393990572845503</v>
      </c>
      <c r="O122" s="110">
        <v>59.331961738649802</v>
      </c>
      <c r="P122" s="110">
        <v>61.2772719595891</v>
      </c>
      <c r="Q122" s="110">
        <v>307.2</v>
      </c>
      <c r="R122">
        <v>2895135</v>
      </c>
    </row>
    <row r="123" spans="1:18" x14ac:dyDescent="0.25">
      <c r="A123" s="133">
        <v>42180</v>
      </c>
      <c r="B123" s="110">
        <v>58.059065566972301</v>
      </c>
      <c r="C123" s="110">
        <v>57.173929871446298</v>
      </c>
      <c r="D123" s="110">
        <v>57.037755149057702</v>
      </c>
      <c r="E123" s="110">
        <v>57.368465189144402</v>
      </c>
      <c r="F123" s="110">
        <v>293.89999999999998</v>
      </c>
      <c r="G123">
        <v>152502</v>
      </c>
      <c r="H123" s="110"/>
      <c r="I123" s="110"/>
      <c r="L123" s="133">
        <v>42180</v>
      </c>
      <c r="M123" s="110">
        <v>57.143487740093001</v>
      </c>
      <c r="N123" s="110">
        <v>58.057783543934498</v>
      </c>
      <c r="O123" s="110">
        <v>56.997589473522602</v>
      </c>
      <c r="P123" s="110">
        <v>57.406104619919901</v>
      </c>
      <c r="Q123" s="110">
        <v>293.75</v>
      </c>
      <c r="R123">
        <v>2730066</v>
      </c>
    </row>
    <row r="124" spans="1:18" x14ac:dyDescent="0.25">
      <c r="A124" s="133">
        <v>42181</v>
      </c>
      <c r="B124" s="110">
        <v>57.251743998525598</v>
      </c>
      <c r="C124" s="110">
        <v>56.376335068884501</v>
      </c>
      <c r="D124" s="110">
        <v>55.977537667603599</v>
      </c>
      <c r="E124" s="110">
        <v>57.135022807906701</v>
      </c>
      <c r="F124" s="110">
        <v>289.8</v>
      </c>
      <c r="G124">
        <v>173201</v>
      </c>
      <c r="H124" s="110"/>
      <c r="I124" s="110"/>
      <c r="L124" s="133">
        <v>42181</v>
      </c>
      <c r="M124" s="110">
        <v>56.4237229583455</v>
      </c>
      <c r="N124" s="110">
        <v>57.231026700035301</v>
      </c>
      <c r="O124" s="110">
        <v>55.927668852006001</v>
      </c>
      <c r="P124" s="110">
        <v>56.997589473522602</v>
      </c>
      <c r="Q124" s="110">
        <v>290.05</v>
      </c>
      <c r="R124">
        <v>2148950</v>
      </c>
    </row>
    <row r="125" spans="1:18" x14ac:dyDescent="0.25">
      <c r="A125" s="133">
        <v>42184</v>
      </c>
      <c r="B125" s="110">
        <v>55.442565543934002</v>
      </c>
      <c r="C125" s="110">
        <v>55.267483758005802</v>
      </c>
      <c r="D125" s="110">
        <v>54.100271851817702</v>
      </c>
      <c r="E125" s="110">
        <v>55.248030226235997</v>
      </c>
      <c r="F125" s="110">
        <v>284.10000000000002</v>
      </c>
      <c r="G125">
        <v>184013</v>
      </c>
      <c r="H125" s="110"/>
      <c r="I125" s="110"/>
      <c r="L125" s="133">
        <v>42184</v>
      </c>
      <c r="M125" s="110">
        <v>55.324622683514797</v>
      </c>
      <c r="N125" s="110">
        <v>55.5288802567134</v>
      </c>
      <c r="O125" s="110">
        <v>54.011538284380698</v>
      </c>
      <c r="P125" s="110">
        <v>55.013373048164503</v>
      </c>
      <c r="Q125" s="110">
        <v>284.39999999999998</v>
      </c>
      <c r="R125">
        <v>2247686</v>
      </c>
    </row>
    <row r="126" spans="1:18" x14ac:dyDescent="0.25">
      <c r="A126" s="133">
        <v>42185</v>
      </c>
      <c r="B126" s="110">
        <v>55.248030226235997</v>
      </c>
      <c r="C126" s="110">
        <v>54.071091554162997</v>
      </c>
      <c r="D126" s="110">
        <v>53.4485785375294</v>
      </c>
      <c r="E126" s="110">
        <v>54.469888955443999</v>
      </c>
      <c r="F126" s="110">
        <v>277.95</v>
      </c>
      <c r="G126">
        <v>270730</v>
      </c>
      <c r="H126" s="110"/>
      <c r="I126" s="110"/>
      <c r="L126" s="133">
        <v>42185</v>
      </c>
      <c r="M126" s="110">
        <v>54.050444488799499</v>
      </c>
      <c r="N126" s="110">
        <v>55.246810274677202</v>
      </c>
      <c r="O126" s="110">
        <v>53.398765564784803</v>
      </c>
      <c r="P126" s="110">
        <v>54.488139288510901</v>
      </c>
      <c r="Q126" s="110">
        <v>277.85000000000002</v>
      </c>
      <c r="R126">
        <v>3271647</v>
      </c>
    </row>
    <row r="127" spans="1:18" x14ac:dyDescent="0.25">
      <c r="A127" s="133">
        <v>42186</v>
      </c>
      <c r="B127" s="110">
        <v>55.9678109017187</v>
      </c>
      <c r="C127" s="110">
        <v>55.7927291157905</v>
      </c>
      <c r="D127" s="110">
        <v>53.905736534119697</v>
      </c>
      <c r="E127" s="110">
        <v>54.216993042436499</v>
      </c>
      <c r="F127" s="110">
        <v>286.8</v>
      </c>
      <c r="G127">
        <v>229394</v>
      </c>
      <c r="H127" s="110"/>
      <c r="I127" s="110"/>
      <c r="L127" s="133">
        <v>42186</v>
      </c>
      <c r="M127" s="110">
        <v>55.898489198691898</v>
      </c>
      <c r="N127" s="110">
        <v>56.044387465262297</v>
      </c>
      <c r="O127" s="110">
        <v>53.894819671124303</v>
      </c>
      <c r="P127" s="110">
        <v>54.2741551642075</v>
      </c>
      <c r="Q127" s="110">
        <v>287.35000000000002</v>
      </c>
      <c r="R127">
        <v>2405248</v>
      </c>
    </row>
    <row r="128" spans="1:18" x14ac:dyDescent="0.25">
      <c r="A128" s="133">
        <v>42187</v>
      </c>
      <c r="B128" s="110">
        <v>56.609777450122102</v>
      </c>
      <c r="C128" s="110">
        <v>55.510652905128303</v>
      </c>
      <c r="D128" s="110">
        <v>55.248030226235997</v>
      </c>
      <c r="E128" s="110">
        <v>55.938630604064002</v>
      </c>
      <c r="F128" s="110">
        <v>285.35000000000002</v>
      </c>
      <c r="G128">
        <v>129358</v>
      </c>
      <c r="H128" s="110"/>
      <c r="I128" s="110"/>
      <c r="L128" s="133">
        <v>42187</v>
      </c>
      <c r="M128" s="110">
        <v>55.451067847875798</v>
      </c>
      <c r="N128" s="110">
        <v>56.618253980439398</v>
      </c>
      <c r="O128" s="110">
        <v>55.207904070258401</v>
      </c>
      <c r="P128" s="110">
        <v>56.2000122829375</v>
      </c>
      <c r="Q128" s="110">
        <v>285.05</v>
      </c>
      <c r="R128">
        <v>1796164</v>
      </c>
    </row>
    <row r="129" spans="1:18" x14ac:dyDescent="0.25">
      <c r="A129" s="133">
        <v>42188</v>
      </c>
      <c r="B129" s="110">
        <v>56.142892687646899</v>
      </c>
      <c r="C129" s="110">
        <v>55.938630604064002</v>
      </c>
      <c r="D129" s="110">
        <v>54.810325761415498</v>
      </c>
      <c r="E129" s="110">
        <v>55.491199373358498</v>
      </c>
      <c r="F129" s="110">
        <v>287.55</v>
      </c>
      <c r="G129">
        <v>162513</v>
      </c>
      <c r="H129" s="110"/>
      <c r="I129" s="110"/>
      <c r="L129" s="133">
        <v>42188</v>
      </c>
      <c r="M129" s="110">
        <v>55.879036096482501</v>
      </c>
      <c r="N129" s="110">
        <v>56.1124733229952</v>
      </c>
      <c r="O129" s="110">
        <v>54.731303066128298</v>
      </c>
      <c r="P129" s="110">
        <v>55.451067847875798</v>
      </c>
      <c r="Q129" s="110">
        <v>287.25</v>
      </c>
      <c r="R129">
        <v>1839767</v>
      </c>
    </row>
    <row r="130" spans="1:18" x14ac:dyDescent="0.25">
      <c r="A130" s="133">
        <v>42191</v>
      </c>
      <c r="B130" s="110">
        <v>57.368465189144402</v>
      </c>
      <c r="C130" s="110">
        <v>57.096115744367097</v>
      </c>
      <c r="D130" s="110">
        <v>54.518522784868502</v>
      </c>
      <c r="E130" s="110">
        <v>54.839506059070203</v>
      </c>
      <c r="F130" s="110">
        <v>293.5</v>
      </c>
      <c r="G130">
        <v>246498</v>
      </c>
      <c r="H130" s="110"/>
      <c r="I130" s="110"/>
      <c r="L130" s="133">
        <v>42191</v>
      </c>
      <c r="M130" s="110">
        <v>57.104581535674299</v>
      </c>
      <c r="N130" s="110">
        <v>57.386651517710497</v>
      </c>
      <c r="O130" s="110">
        <v>54.488139288510901</v>
      </c>
      <c r="P130" s="110">
        <v>54.663217208395402</v>
      </c>
      <c r="Q130" s="110">
        <v>293.55</v>
      </c>
      <c r="R130">
        <v>2101674</v>
      </c>
    </row>
    <row r="131" spans="1:18" x14ac:dyDescent="0.25">
      <c r="A131" s="133">
        <v>42192</v>
      </c>
      <c r="B131" s="110">
        <v>57.718628761000801</v>
      </c>
      <c r="C131" s="110">
        <v>56.823766299589899</v>
      </c>
      <c r="D131" s="110">
        <v>56.133165921762</v>
      </c>
      <c r="E131" s="110">
        <v>57.271197530295403</v>
      </c>
      <c r="F131" s="110">
        <v>292.10000000000002</v>
      </c>
      <c r="G131">
        <v>128186</v>
      </c>
      <c r="H131" s="110"/>
      <c r="I131" s="110"/>
      <c r="L131" s="133">
        <v>42192</v>
      </c>
      <c r="M131" s="110">
        <v>56.715519491486397</v>
      </c>
      <c r="N131" s="110">
        <v>57.707627704165397</v>
      </c>
      <c r="O131" s="110">
        <v>56.083293669681098</v>
      </c>
      <c r="P131" s="110">
        <v>57.386651517710497</v>
      </c>
      <c r="Q131" s="110">
        <v>291.55</v>
      </c>
      <c r="R131">
        <v>1640828</v>
      </c>
    </row>
    <row r="132" spans="1:18" x14ac:dyDescent="0.25">
      <c r="A132" s="133">
        <v>42193</v>
      </c>
      <c r="B132" s="110">
        <v>56.415242132424098</v>
      </c>
      <c r="C132" s="110">
        <v>55.355024650969902</v>
      </c>
      <c r="D132" s="110">
        <v>54.888139888494699</v>
      </c>
      <c r="E132" s="110">
        <v>56.415242132424098</v>
      </c>
      <c r="F132" s="110">
        <v>284.55</v>
      </c>
      <c r="G132">
        <v>206534</v>
      </c>
      <c r="H132" s="110"/>
      <c r="I132" s="110"/>
      <c r="L132" s="133">
        <v>42193</v>
      </c>
      <c r="M132" s="110">
        <v>55.246810274677202</v>
      </c>
      <c r="N132" s="110">
        <v>56.219465385146897</v>
      </c>
      <c r="O132" s="110">
        <v>54.886927883803402</v>
      </c>
      <c r="P132" s="110">
        <v>55.742864381016702</v>
      </c>
      <c r="Q132" s="110">
        <v>284</v>
      </c>
      <c r="R132">
        <v>1976567</v>
      </c>
    </row>
    <row r="133" spans="1:18" x14ac:dyDescent="0.25">
      <c r="A133" s="133">
        <v>42194</v>
      </c>
      <c r="B133" s="110">
        <v>56.561143620697599</v>
      </c>
      <c r="C133" s="110">
        <v>55.870543242869701</v>
      </c>
      <c r="D133" s="110">
        <v>55.345297885085003</v>
      </c>
      <c r="E133" s="110">
        <v>55.7149149887112</v>
      </c>
      <c r="F133" s="110">
        <v>287.2</v>
      </c>
      <c r="G133">
        <v>148028</v>
      </c>
      <c r="H133" s="110"/>
      <c r="I133" s="110"/>
      <c r="L133" s="133">
        <v>42194</v>
      </c>
      <c r="M133" s="110">
        <v>55.927668852006001</v>
      </c>
      <c r="N133" s="110">
        <v>56.6085274293347</v>
      </c>
      <c r="O133" s="110">
        <v>55.266263376886599</v>
      </c>
      <c r="P133" s="110">
        <v>55.626145767760399</v>
      </c>
      <c r="Q133" s="110">
        <v>287.5</v>
      </c>
      <c r="R133">
        <v>1529983</v>
      </c>
    </row>
    <row r="134" spans="1:18" x14ac:dyDescent="0.25">
      <c r="A134" s="133">
        <v>42195</v>
      </c>
      <c r="B134" s="110">
        <v>57.096115744367097</v>
      </c>
      <c r="C134" s="110">
        <v>56.8918536607842</v>
      </c>
      <c r="D134" s="110">
        <v>56.123439155877101</v>
      </c>
      <c r="E134" s="110">
        <v>56.201253282956301</v>
      </c>
      <c r="F134" s="110">
        <v>292.45</v>
      </c>
      <c r="G134">
        <v>115318</v>
      </c>
      <c r="H134" s="110"/>
      <c r="I134" s="110"/>
      <c r="L134" s="133">
        <v>42195</v>
      </c>
      <c r="M134" s="110">
        <v>56.987862922417897</v>
      </c>
      <c r="N134" s="110">
        <v>57.133761188988302</v>
      </c>
      <c r="O134" s="110">
        <v>56.083293669681098</v>
      </c>
      <c r="P134" s="110">
        <v>56.413996407240802</v>
      </c>
      <c r="Q134" s="110">
        <v>292.95</v>
      </c>
      <c r="R134">
        <v>1666563</v>
      </c>
    </row>
    <row r="135" spans="1:18" x14ac:dyDescent="0.25">
      <c r="A135" s="133">
        <v>42198</v>
      </c>
      <c r="B135" s="110">
        <v>58.263327650555198</v>
      </c>
      <c r="C135" s="110">
        <v>57.961797908123302</v>
      </c>
      <c r="D135" s="110">
        <v>56.755678938395597</v>
      </c>
      <c r="E135" s="110">
        <v>57.3879187209142</v>
      </c>
      <c r="F135" s="110">
        <v>297.95</v>
      </c>
      <c r="G135">
        <v>150875</v>
      </c>
      <c r="H135" s="110"/>
      <c r="I135" s="110"/>
      <c r="L135" s="133">
        <v>42198</v>
      </c>
      <c r="M135" s="110">
        <v>57.931338379573504</v>
      </c>
      <c r="N135" s="110">
        <v>58.0869631972486</v>
      </c>
      <c r="O135" s="110">
        <v>56.754425695905198</v>
      </c>
      <c r="P135" s="110">
        <v>57.483917028757404</v>
      </c>
      <c r="Q135" s="110">
        <v>297.8</v>
      </c>
      <c r="R135">
        <v>1347459</v>
      </c>
    </row>
    <row r="136" spans="1:18" x14ac:dyDescent="0.25">
      <c r="A136" s="133">
        <v>42199</v>
      </c>
      <c r="B136" s="110">
        <v>58.9052941989587</v>
      </c>
      <c r="C136" s="110">
        <v>58.185513523475997</v>
      </c>
      <c r="D136" s="110">
        <v>57.290651062065201</v>
      </c>
      <c r="E136" s="110">
        <v>58.3216882458646</v>
      </c>
      <c r="F136" s="110">
        <v>299.10000000000002</v>
      </c>
      <c r="G136">
        <v>129137</v>
      </c>
      <c r="H136" s="110"/>
      <c r="I136" s="110"/>
      <c r="L136" s="133">
        <v>42199</v>
      </c>
      <c r="M136" s="110">
        <v>58.213408361609702</v>
      </c>
      <c r="N136" s="110">
        <v>58.923446592252503</v>
      </c>
      <c r="O136" s="110">
        <v>57.211573597825897</v>
      </c>
      <c r="P136" s="110">
        <v>57.970244583992297</v>
      </c>
      <c r="Q136" s="110">
        <v>299.25</v>
      </c>
      <c r="R136">
        <v>1966105</v>
      </c>
    </row>
    <row r="137" spans="1:18" x14ac:dyDescent="0.25">
      <c r="A137" s="133">
        <v>42200</v>
      </c>
      <c r="B137" s="110">
        <v>58.846933603649298</v>
      </c>
      <c r="C137" s="110">
        <v>57.621361102151802</v>
      </c>
      <c r="D137" s="110">
        <v>57.485186379763199</v>
      </c>
      <c r="E137" s="110">
        <v>58.185513523475997</v>
      </c>
      <c r="F137" s="110">
        <v>296.2</v>
      </c>
      <c r="G137">
        <v>124035</v>
      </c>
      <c r="H137" s="110"/>
      <c r="I137" s="110"/>
      <c r="L137" s="133">
        <v>42200</v>
      </c>
      <c r="M137" s="110">
        <v>57.581182539804402</v>
      </c>
      <c r="N137" s="110">
        <v>58.865087285624398</v>
      </c>
      <c r="O137" s="110">
        <v>57.435284273233897</v>
      </c>
      <c r="P137" s="110">
        <v>58.388486281494203</v>
      </c>
      <c r="Q137" s="110">
        <v>296</v>
      </c>
      <c r="R137">
        <v>1596401</v>
      </c>
    </row>
    <row r="138" spans="1:18" x14ac:dyDescent="0.25">
      <c r="A138" s="133">
        <v>42201</v>
      </c>
      <c r="B138" s="110">
        <v>58.302234714094801</v>
      </c>
      <c r="C138" s="110">
        <v>58.117426162281703</v>
      </c>
      <c r="D138" s="110">
        <v>57.660268165691399</v>
      </c>
      <c r="E138" s="110">
        <v>57.952071142238403</v>
      </c>
      <c r="F138" s="110">
        <v>298.75</v>
      </c>
      <c r="G138">
        <v>102485</v>
      </c>
      <c r="H138" s="110"/>
      <c r="I138" s="110"/>
      <c r="L138" s="133">
        <v>42201</v>
      </c>
      <c r="M138" s="110">
        <v>57.9994242373063</v>
      </c>
      <c r="N138" s="110">
        <v>58.281494219342598</v>
      </c>
      <c r="O138" s="110">
        <v>57.600635642013799</v>
      </c>
      <c r="P138" s="110">
        <v>57.707627704165397</v>
      </c>
      <c r="Q138" s="110">
        <v>298.14999999999998</v>
      </c>
      <c r="R138">
        <v>921087</v>
      </c>
    </row>
    <row r="139" spans="1:18" x14ac:dyDescent="0.25">
      <c r="A139" s="133">
        <v>42202</v>
      </c>
      <c r="B139" s="110">
        <v>58.7302124130305</v>
      </c>
      <c r="C139" s="110">
        <v>57.903437312813899</v>
      </c>
      <c r="D139" s="110">
        <v>57.679721697461197</v>
      </c>
      <c r="E139" s="110">
        <v>57.679721697461197</v>
      </c>
      <c r="F139" s="110">
        <v>297.64999999999998</v>
      </c>
      <c r="G139">
        <v>87110</v>
      </c>
      <c r="H139" s="110"/>
      <c r="I139" s="110"/>
      <c r="L139" s="133">
        <v>42202</v>
      </c>
      <c r="M139" s="110">
        <v>57.853525970735902</v>
      </c>
      <c r="N139" s="110">
        <v>58.709462467949201</v>
      </c>
      <c r="O139" s="110">
        <v>57.629815295327901</v>
      </c>
      <c r="P139" s="110">
        <v>58.067510095039196</v>
      </c>
      <c r="Q139" s="110">
        <v>297.39999999999998</v>
      </c>
      <c r="R139">
        <v>1114727</v>
      </c>
    </row>
    <row r="140" spans="1:18" x14ac:dyDescent="0.25">
      <c r="A140" s="133">
        <v>42205</v>
      </c>
      <c r="B140" s="110">
        <v>58.214693821130702</v>
      </c>
      <c r="C140" s="110">
        <v>56.162346219416698</v>
      </c>
      <c r="D140" s="110">
        <v>55.909450306409298</v>
      </c>
      <c r="E140" s="110">
        <v>58.088245864626998</v>
      </c>
      <c r="F140" s="110">
        <v>288.7</v>
      </c>
      <c r="G140">
        <v>115836</v>
      </c>
      <c r="H140" s="110"/>
      <c r="I140" s="110"/>
      <c r="L140" s="133">
        <v>42205</v>
      </c>
      <c r="M140" s="110">
        <v>56.122199874099898</v>
      </c>
      <c r="N140" s="110">
        <v>58.193955259400298</v>
      </c>
      <c r="O140" s="110">
        <v>55.869309545377803</v>
      </c>
      <c r="P140" s="110">
        <v>57.853525970735902</v>
      </c>
      <c r="Q140" s="110">
        <v>288.5</v>
      </c>
      <c r="R140">
        <v>1363357</v>
      </c>
    </row>
    <row r="141" spans="1:18" x14ac:dyDescent="0.25">
      <c r="A141" s="133">
        <v>42206</v>
      </c>
      <c r="B141" s="110">
        <v>56.882126894899301</v>
      </c>
      <c r="C141" s="110">
        <v>55.053494908537999</v>
      </c>
      <c r="D141" s="110">
        <v>54.8784131226098</v>
      </c>
      <c r="E141" s="110">
        <v>56.415242132424098</v>
      </c>
      <c r="F141" s="110">
        <v>283</v>
      </c>
      <c r="G141">
        <v>131993</v>
      </c>
      <c r="H141" s="110"/>
      <c r="I141" s="110"/>
      <c r="L141" s="133">
        <v>42206</v>
      </c>
      <c r="M141" s="110">
        <v>54.935560639326901</v>
      </c>
      <c r="N141" s="110">
        <v>56.939230166894397</v>
      </c>
      <c r="O141" s="110">
        <v>54.741029617233004</v>
      </c>
      <c r="P141" s="110">
        <v>56.375090202822001</v>
      </c>
      <c r="Q141" s="110">
        <v>282.39999999999998</v>
      </c>
      <c r="R141">
        <v>1665237</v>
      </c>
    </row>
    <row r="142" spans="1:18" x14ac:dyDescent="0.25">
      <c r="A142" s="133">
        <v>42207</v>
      </c>
      <c r="B142" s="110">
        <v>55.569013500437698</v>
      </c>
      <c r="C142" s="110">
        <v>55.3842049486246</v>
      </c>
      <c r="D142" s="110">
        <v>54.722784868451399</v>
      </c>
      <c r="E142" s="110">
        <v>54.975680781458799</v>
      </c>
      <c r="F142" s="110">
        <v>284.7</v>
      </c>
      <c r="G142">
        <v>105765</v>
      </c>
      <c r="H142" s="110"/>
      <c r="I142" s="110"/>
      <c r="L142" s="133">
        <v>42207</v>
      </c>
      <c r="M142" s="110">
        <v>55.353802336828799</v>
      </c>
      <c r="N142" s="110">
        <v>55.499700603399297</v>
      </c>
      <c r="O142" s="110">
        <v>54.468686186301497</v>
      </c>
      <c r="P142" s="110">
        <v>54.468686186301497</v>
      </c>
      <c r="Q142" s="110">
        <v>284.55</v>
      </c>
      <c r="R142">
        <v>1122325</v>
      </c>
    </row>
    <row r="143" spans="1:18" x14ac:dyDescent="0.25">
      <c r="A143" s="133">
        <v>42208</v>
      </c>
      <c r="B143" s="110">
        <v>55.977537667603599</v>
      </c>
      <c r="C143" s="110">
        <v>55.345297885085003</v>
      </c>
      <c r="D143" s="110">
        <v>55.004861079113503</v>
      </c>
      <c r="E143" s="110">
        <v>55.5495599686679</v>
      </c>
      <c r="F143" s="110">
        <v>284.5</v>
      </c>
      <c r="G143">
        <v>74827</v>
      </c>
      <c r="H143" s="110"/>
      <c r="I143" s="110"/>
      <c r="L143" s="133">
        <v>42208</v>
      </c>
      <c r="M143" s="110">
        <v>55.373255439038203</v>
      </c>
      <c r="N143" s="110">
        <v>56.005481260843503</v>
      </c>
      <c r="O143" s="110">
        <v>54.974466843745702</v>
      </c>
      <c r="P143" s="110">
        <v>55.635872318865097</v>
      </c>
      <c r="Q143" s="110">
        <v>284.64999999999998</v>
      </c>
      <c r="R143">
        <v>989270</v>
      </c>
    </row>
    <row r="144" spans="1:18" x14ac:dyDescent="0.25">
      <c r="A144" s="133">
        <v>42209</v>
      </c>
      <c r="B144" s="110">
        <v>55.559286734552799</v>
      </c>
      <c r="C144" s="110">
        <v>54.323987467170397</v>
      </c>
      <c r="D144" s="110">
        <v>54.100271851817702</v>
      </c>
      <c r="E144" s="110">
        <v>55.248030226235997</v>
      </c>
      <c r="F144" s="110">
        <v>279.25</v>
      </c>
      <c r="G144">
        <v>115348</v>
      </c>
      <c r="H144" s="110"/>
      <c r="I144" s="110"/>
      <c r="L144" s="133">
        <v>42209</v>
      </c>
      <c r="M144" s="110">
        <v>54.322787919730999</v>
      </c>
      <c r="N144" s="110">
        <v>55.6164192166557</v>
      </c>
      <c r="O144" s="110">
        <v>54.157436550951203</v>
      </c>
      <c r="P144" s="110">
        <v>55.344075785724201</v>
      </c>
      <c r="Q144" s="110">
        <v>279.25</v>
      </c>
      <c r="R144">
        <v>1133791</v>
      </c>
    </row>
    <row r="145" spans="1:18" x14ac:dyDescent="0.25">
      <c r="A145" s="133">
        <v>42212</v>
      </c>
      <c r="B145" s="110">
        <v>54.343440998940203</v>
      </c>
      <c r="C145" s="110">
        <v>52.116011611297999</v>
      </c>
      <c r="D145" s="110">
        <v>51.9409298253698</v>
      </c>
      <c r="E145" s="110">
        <v>54.071091554162997</v>
      </c>
      <c r="F145" s="110">
        <v>267.89999999999998</v>
      </c>
      <c r="G145">
        <v>141080</v>
      </c>
      <c r="H145" s="110"/>
      <c r="I145" s="110"/>
      <c r="L145" s="133">
        <v>42212</v>
      </c>
      <c r="M145" s="110">
        <v>52.095407716755503</v>
      </c>
      <c r="N145" s="110">
        <v>54.293608266416904</v>
      </c>
      <c r="O145" s="110">
        <v>51.939782899080299</v>
      </c>
      <c r="P145" s="110">
        <v>54.2741551642075</v>
      </c>
      <c r="Q145" s="110">
        <v>267.8</v>
      </c>
      <c r="R145">
        <v>1378717</v>
      </c>
    </row>
    <row r="146" spans="1:18" x14ac:dyDescent="0.25">
      <c r="A146" s="133">
        <v>42213</v>
      </c>
      <c r="B146" s="110">
        <v>52.466175183154398</v>
      </c>
      <c r="C146" s="110">
        <v>50.6764502603327</v>
      </c>
      <c r="D146" s="110">
        <v>50.579182601483701</v>
      </c>
      <c r="E146" s="110">
        <v>52.116011611297999</v>
      </c>
      <c r="F146" s="110">
        <v>260.5</v>
      </c>
      <c r="G146">
        <v>236739</v>
      </c>
      <c r="H146" s="110"/>
      <c r="I146" s="110"/>
      <c r="L146" s="133">
        <v>42213</v>
      </c>
      <c r="M146" s="110">
        <v>50.6753312554697</v>
      </c>
      <c r="N146" s="110">
        <v>52.445563556524498</v>
      </c>
      <c r="O146" s="110">
        <v>50.578065744422801</v>
      </c>
      <c r="P146" s="110">
        <v>51.764704979195798</v>
      </c>
      <c r="Q146" s="110">
        <v>260.5</v>
      </c>
      <c r="R146">
        <v>2550339</v>
      </c>
    </row>
    <row r="147" spans="1:18" x14ac:dyDescent="0.25">
      <c r="A147" s="133">
        <v>42214</v>
      </c>
      <c r="B147" s="110">
        <v>51.114154725153199</v>
      </c>
      <c r="C147" s="110">
        <v>49.8399483942312</v>
      </c>
      <c r="D147" s="110">
        <v>49.470331290605003</v>
      </c>
      <c r="E147" s="110">
        <v>50.968253236879697</v>
      </c>
      <c r="F147" s="110">
        <v>256.2</v>
      </c>
      <c r="G147">
        <v>181947</v>
      </c>
      <c r="H147" s="110"/>
      <c r="I147" s="110"/>
      <c r="L147" s="133">
        <v>42214</v>
      </c>
      <c r="M147" s="110">
        <v>49.838847860465798</v>
      </c>
      <c r="N147" s="110">
        <v>51.190838464018697</v>
      </c>
      <c r="O147" s="110">
        <v>49.410879611859201</v>
      </c>
      <c r="P147" s="110">
        <v>50.967127788610597</v>
      </c>
      <c r="Q147" s="110">
        <v>256.2</v>
      </c>
      <c r="R147">
        <v>2043863</v>
      </c>
    </row>
    <row r="148" spans="1:18" x14ac:dyDescent="0.25">
      <c r="A148" s="133">
        <v>42215</v>
      </c>
      <c r="B148" s="110">
        <v>51.328143574621002</v>
      </c>
      <c r="C148" s="110">
        <v>51.1044279592683</v>
      </c>
      <c r="D148" s="110">
        <v>49.606506012993599</v>
      </c>
      <c r="E148" s="110">
        <v>49.606506012993599</v>
      </c>
      <c r="F148" s="110">
        <v>262.7</v>
      </c>
      <c r="G148">
        <v>202502</v>
      </c>
      <c r="H148" s="110"/>
      <c r="I148" s="110"/>
      <c r="L148" s="133">
        <v>42215</v>
      </c>
      <c r="M148" s="110">
        <v>51.181111912913998</v>
      </c>
      <c r="N148" s="110">
        <v>51.3950960372173</v>
      </c>
      <c r="O148" s="110">
        <v>49.838847860465798</v>
      </c>
      <c r="P148" s="110">
        <v>50.383534722328797</v>
      </c>
      <c r="Q148" s="110">
        <v>263.10000000000002</v>
      </c>
      <c r="R148">
        <v>3282670</v>
      </c>
    </row>
    <row r="149" spans="1:18" x14ac:dyDescent="0.25">
      <c r="A149" s="133">
        <v>42216</v>
      </c>
      <c r="B149" s="110">
        <v>55.393931714509499</v>
      </c>
      <c r="C149" s="110">
        <v>53.740381514076397</v>
      </c>
      <c r="D149" s="110">
        <v>51.386504169930397</v>
      </c>
      <c r="E149" s="110">
        <v>51.581039487628402</v>
      </c>
      <c r="F149" s="110">
        <v>276.25</v>
      </c>
      <c r="G149">
        <v>473947</v>
      </c>
      <c r="H149" s="110"/>
      <c r="I149" s="110"/>
      <c r="L149" s="133">
        <v>42216</v>
      </c>
      <c r="M149" s="110">
        <v>53.807280711182102</v>
      </c>
      <c r="N149" s="110">
        <v>55.382981990142902</v>
      </c>
      <c r="O149" s="110">
        <v>51.3950960372173</v>
      </c>
      <c r="P149" s="110">
        <v>51.725798774776997</v>
      </c>
      <c r="Q149" s="110">
        <v>276.60000000000002</v>
      </c>
      <c r="R149">
        <v>4544776</v>
      </c>
    </row>
    <row r="150" spans="1:18" x14ac:dyDescent="0.25">
      <c r="A150" s="133">
        <v>42219</v>
      </c>
      <c r="B150" s="110">
        <v>57.105842510252003</v>
      </c>
      <c r="C150" s="110">
        <v>56.7264986407409</v>
      </c>
      <c r="D150" s="110">
        <v>53.691747684651901</v>
      </c>
      <c r="E150" s="110">
        <v>53.876556236464999</v>
      </c>
      <c r="F150" s="110">
        <v>291.60000000000002</v>
      </c>
      <c r="G150">
        <v>287951</v>
      </c>
      <c r="H150" s="110"/>
      <c r="I150" s="110"/>
      <c r="L150" s="133">
        <v>42219</v>
      </c>
      <c r="M150" s="110">
        <v>56.705792940381698</v>
      </c>
      <c r="N150" s="110">
        <v>57.143487740093001</v>
      </c>
      <c r="O150" s="110">
        <v>53.496031075831802</v>
      </c>
      <c r="P150" s="110">
        <v>53.690562097925699</v>
      </c>
      <c r="Q150" s="110">
        <v>291.5</v>
      </c>
      <c r="R150">
        <v>4419799</v>
      </c>
    </row>
    <row r="151" spans="1:18" x14ac:dyDescent="0.25">
      <c r="A151" s="133">
        <v>42220</v>
      </c>
      <c r="B151" s="110">
        <v>60.597751462931399</v>
      </c>
      <c r="C151" s="110">
        <v>60.189227295765598</v>
      </c>
      <c r="D151" s="110">
        <v>56.570870386582499</v>
      </c>
      <c r="E151" s="110">
        <v>57.3879187209142</v>
      </c>
      <c r="F151" s="110">
        <v>309.39999999999998</v>
      </c>
      <c r="G151">
        <v>705970</v>
      </c>
      <c r="H151" s="110"/>
      <c r="I151" s="110"/>
      <c r="L151" s="133">
        <v>42220</v>
      </c>
      <c r="M151" s="110">
        <v>60.129538929234897</v>
      </c>
      <c r="N151" s="110">
        <v>60.499147871213403</v>
      </c>
      <c r="O151" s="110">
        <v>56.530715020497198</v>
      </c>
      <c r="P151" s="110">
        <v>57.182393944511801</v>
      </c>
      <c r="Q151" s="110">
        <v>309.10000000000002</v>
      </c>
      <c r="R151">
        <v>8535676</v>
      </c>
    </row>
    <row r="152" spans="1:18" x14ac:dyDescent="0.25">
      <c r="A152" s="133">
        <v>42221</v>
      </c>
      <c r="B152" s="110">
        <v>61.0840897571764</v>
      </c>
      <c r="C152" s="110">
        <v>59.051195687232202</v>
      </c>
      <c r="D152" s="110">
        <v>58.584310924756899</v>
      </c>
      <c r="E152" s="110">
        <v>60.383762613463603</v>
      </c>
      <c r="F152" s="110">
        <v>303.55</v>
      </c>
      <c r="G152">
        <v>797827</v>
      </c>
      <c r="H152" s="110"/>
      <c r="I152" s="110"/>
      <c r="L152" s="133">
        <v>42221</v>
      </c>
      <c r="M152" s="110">
        <v>59.059618307718303</v>
      </c>
      <c r="N152" s="110">
        <v>61.082740937495203</v>
      </c>
      <c r="O152" s="110">
        <v>58.4954783436459</v>
      </c>
      <c r="P152" s="110">
        <v>60.576960280050997</v>
      </c>
      <c r="Q152" s="110">
        <v>303.60000000000002</v>
      </c>
      <c r="R152">
        <v>8130059</v>
      </c>
    </row>
    <row r="153" spans="1:18" x14ac:dyDescent="0.25">
      <c r="A153" s="133">
        <v>42222</v>
      </c>
      <c r="B153" s="110">
        <v>60.967368566557603</v>
      </c>
      <c r="C153" s="110">
        <v>60.626931760586103</v>
      </c>
      <c r="D153" s="110">
        <v>57.446279316223603</v>
      </c>
      <c r="E153" s="110">
        <v>58.885840667188901</v>
      </c>
      <c r="F153" s="110">
        <v>311.64999999999998</v>
      </c>
      <c r="G153">
        <v>741999</v>
      </c>
      <c r="H153" s="110"/>
      <c r="I153" s="110"/>
      <c r="L153" s="133">
        <v>42222</v>
      </c>
      <c r="M153" s="110">
        <v>60.596413382260401</v>
      </c>
      <c r="N153" s="110">
        <v>61.1897329996469</v>
      </c>
      <c r="O153" s="110">
        <v>57.464463926548</v>
      </c>
      <c r="P153" s="110">
        <v>58.164775606086202</v>
      </c>
      <c r="Q153" s="110">
        <v>311.5</v>
      </c>
      <c r="R153">
        <v>5812089</v>
      </c>
    </row>
    <row r="154" spans="1:18" x14ac:dyDescent="0.25">
      <c r="A154" s="133">
        <v>42223</v>
      </c>
      <c r="B154" s="110">
        <v>61.278625074874398</v>
      </c>
      <c r="C154" s="110">
        <v>60.0822328710317</v>
      </c>
      <c r="D154" s="110">
        <v>59.722342533290302</v>
      </c>
      <c r="E154" s="110">
        <v>60.695019121780398</v>
      </c>
      <c r="F154" s="110">
        <v>308.85000000000002</v>
      </c>
      <c r="G154">
        <v>382525</v>
      </c>
      <c r="H154" s="110"/>
      <c r="I154" s="110"/>
      <c r="L154" s="133">
        <v>42223</v>
      </c>
      <c r="M154" s="110">
        <v>60.041999969292597</v>
      </c>
      <c r="N154" s="110">
        <v>61.2772719595891</v>
      </c>
      <c r="O154" s="110">
        <v>59.730750333942403</v>
      </c>
      <c r="P154" s="110">
        <v>60.6936788933073</v>
      </c>
      <c r="Q154" s="110">
        <v>308.64999999999998</v>
      </c>
      <c r="R154">
        <v>2529593</v>
      </c>
    </row>
    <row r="155" spans="1:18" x14ac:dyDescent="0.25">
      <c r="A155" s="133">
        <v>42226</v>
      </c>
      <c r="B155" s="110">
        <v>61.0840897571764</v>
      </c>
      <c r="C155" s="110">
        <v>60.004418743952499</v>
      </c>
      <c r="D155" s="110">
        <v>59.595894576786598</v>
      </c>
      <c r="E155" s="110">
        <v>60.091959636916599</v>
      </c>
      <c r="F155" s="110">
        <v>308.45</v>
      </c>
      <c r="G155">
        <v>159720</v>
      </c>
      <c r="H155" s="110"/>
      <c r="I155" s="110"/>
      <c r="L155" s="133">
        <v>42226</v>
      </c>
      <c r="M155" s="110">
        <v>60.178171684758397</v>
      </c>
      <c r="N155" s="110">
        <v>61.170279897437503</v>
      </c>
      <c r="O155" s="110">
        <v>59.643211374000103</v>
      </c>
      <c r="P155" s="110">
        <v>59.730750333942403</v>
      </c>
      <c r="Q155" s="110">
        <v>309.35000000000002</v>
      </c>
      <c r="R155">
        <v>2226578</v>
      </c>
    </row>
    <row r="156" spans="1:18" x14ac:dyDescent="0.25">
      <c r="A156" s="133">
        <v>42227</v>
      </c>
      <c r="B156" s="110">
        <v>61.8427774961987</v>
      </c>
      <c r="C156" s="110">
        <v>60.257314656959899</v>
      </c>
      <c r="D156" s="110">
        <v>58.944201262498297</v>
      </c>
      <c r="E156" s="110">
        <v>60.296221720499503</v>
      </c>
      <c r="F156" s="110">
        <v>309.75</v>
      </c>
      <c r="G156">
        <v>337041</v>
      </c>
      <c r="H156" s="110"/>
      <c r="I156" s="110"/>
      <c r="L156" s="133">
        <v>42227</v>
      </c>
      <c r="M156" s="110">
        <v>60.4699682178993</v>
      </c>
      <c r="N156" s="110">
        <v>62.055396047964898</v>
      </c>
      <c r="O156" s="110">
        <v>58.981805898880701</v>
      </c>
      <c r="P156" s="110">
        <v>60.207351338072499</v>
      </c>
      <c r="Q156" s="110">
        <v>310.85000000000002</v>
      </c>
      <c r="R156">
        <v>3214543</v>
      </c>
    </row>
    <row r="157" spans="1:18" x14ac:dyDescent="0.25">
      <c r="A157" s="133">
        <v>42228</v>
      </c>
      <c r="B157" s="110">
        <v>60.053052573377002</v>
      </c>
      <c r="C157" s="110">
        <v>57.173929871446298</v>
      </c>
      <c r="D157" s="110">
        <v>56.648684513661699</v>
      </c>
      <c r="E157" s="110">
        <v>60.053052573377002</v>
      </c>
      <c r="F157" s="110">
        <v>293.89999999999998</v>
      </c>
      <c r="G157">
        <v>321861</v>
      </c>
      <c r="H157" s="110"/>
      <c r="I157" s="110"/>
      <c r="L157" s="133">
        <v>42228</v>
      </c>
      <c r="M157" s="110">
        <v>56.987862922417897</v>
      </c>
      <c r="N157" s="110">
        <v>59.905828253826897</v>
      </c>
      <c r="O157" s="110">
        <v>56.6085274293347</v>
      </c>
      <c r="P157" s="110">
        <v>59.721023782837698</v>
      </c>
      <c r="Q157" s="110">
        <v>292.95</v>
      </c>
      <c r="R157">
        <v>3330066</v>
      </c>
    </row>
    <row r="158" spans="1:18" x14ac:dyDescent="0.25">
      <c r="A158" s="133">
        <v>42229</v>
      </c>
      <c r="B158" s="110">
        <v>59.041468921347303</v>
      </c>
      <c r="C158" s="110">
        <v>56.162346219416698</v>
      </c>
      <c r="D158" s="110">
        <v>55.559286734552799</v>
      </c>
      <c r="E158" s="110">
        <v>57.3879187209142</v>
      </c>
      <c r="F158" s="110">
        <v>288.7</v>
      </c>
      <c r="G158">
        <v>186897</v>
      </c>
      <c r="H158" s="110"/>
      <c r="I158" s="110"/>
      <c r="L158" s="133">
        <v>42229</v>
      </c>
      <c r="M158" s="110">
        <v>56.1124733229952</v>
      </c>
      <c r="N158" s="110">
        <v>59.088797961032398</v>
      </c>
      <c r="O158" s="110">
        <v>55.4413412967711</v>
      </c>
      <c r="P158" s="110">
        <v>57.756260459688903</v>
      </c>
      <c r="Q158" s="110">
        <v>288.45</v>
      </c>
      <c r="R158">
        <v>2656280</v>
      </c>
    </row>
    <row r="159" spans="1:18" x14ac:dyDescent="0.25">
      <c r="A159" s="133">
        <v>42230</v>
      </c>
      <c r="B159" s="110">
        <v>59.654255172096001</v>
      </c>
      <c r="C159" s="110">
        <v>59.449993088513096</v>
      </c>
      <c r="D159" s="110">
        <v>56.055351794682799</v>
      </c>
      <c r="E159" s="110">
        <v>57.261470764410497</v>
      </c>
      <c r="F159" s="110">
        <v>305.60000000000002</v>
      </c>
      <c r="G159">
        <v>362697</v>
      </c>
      <c r="H159" s="110"/>
      <c r="I159" s="110"/>
      <c r="L159" s="133">
        <v>42230</v>
      </c>
      <c r="M159" s="110">
        <v>59.458406903010797</v>
      </c>
      <c r="N159" s="110">
        <v>59.643211374000103</v>
      </c>
      <c r="O159" s="110">
        <v>56.0249343630529</v>
      </c>
      <c r="P159" s="110">
        <v>56.666886735962898</v>
      </c>
      <c r="Q159" s="110">
        <v>305.64999999999998</v>
      </c>
      <c r="R159">
        <v>3612399</v>
      </c>
    </row>
    <row r="160" spans="1:18" x14ac:dyDescent="0.25">
      <c r="A160" s="133">
        <v>42233</v>
      </c>
      <c r="B160" s="110">
        <v>67.960913237801194</v>
      </c>
      <c r="C160" s="110">
        <v>67.425941114131703</v>
      </c>
      <c r="D160" s="110">
        <v>60.043325807492103</v>
      </c>
      <c r="E160" s="110">
        <v>60.053052573377002</v>
      </c>
      <c r="F160" s="110">
        <v>346.6</v>
      </c>
      <c r="G160">
        <v>1428905</v>
      </c>
      <c r="H160" s="110"/>
      <c r="I160" s="110"/>
      <c r="L160" s="133">
        <v>42233</v>
      </c>
      <c r="M160" s="110">
        <v>67.443905359966806</v>
      </c>
      <c r="N160" s="110">
        <v>67.988592221829805</v>
      </c>
      <c r="O160" s="110">
        <v>60.207351338072499</v>
      </c>
      <c r="P160" s="110">
        <v>60.207351338072499</v>
      </c>
      <c r="Q160" s="110">
        <v>346.7</v>
      </c>
      <c r="R160">
        <v>11898404</v>
      </c>
    </row>
    <row r="161" spans="1:18" x14ac:dyDescent="0.25">
      <c r="A161" s="133">
        <v>42234</v>
      </c>
      <c r="B161" s="110">
        <v>70.003534073630405</v>
      </c>
      <c r="C161" s="110">
        <v>67.892825876606906</v>
      </c>
      <c r="D161" s="110">
        <v>65.9474726996268</v>
      </c>
      <c r="E161" s="110">
        <v>67.104957839929995</v>
      </c>
      <c r="F161" s="110">
        <v>349</v>
      </c>
      <c r="G161">
        <v>1082459</v>
      </c>
      <c r="H161" s="110"/>
      <c r="I161" s="110"/>
      <c r="L161" s="133">
        <v>42234</v>
      </c>
      <c r="M161" s="110">
        <v>68.260935652761304</v>
      </c>
      <c r="N161" s="110">
        <v>70.118706913758402</v>
      </c>
      <c r="O161" s="110">
        <v>65.848750978796602</v>
      </c>
      <c r="P161" s="110">
        <v>67.054843315778996</v>
      </c>
      <c r="Q161" s="110">
        <v>350.9</v>
      </c>
      <c r="R161">
        <v>9442642</v>
      </c>
    </row>
    <row r="162" spans="1:18" x14ac:dyDescent="0.25">
      <c r="A162" s="133">
        <v>42235</v>
      </c>
      <c r="B162" s="110">
        <v>68.077634428419998</v>
      </c>
      <c r="C162" s="110">
        <v>66.608892779800001</v>
      </c>
      <c r="D162" s="110">
        <v>65.363866746532807</v>
      </c>
      <c r="E162" s="110">
        <v>68.029000598995495</v>
      </c>
      <c r="F162" s="110">
        <v>342.4</v>
      </c>
      <c r="G162">
        <v>397974</v>
      </c>
      <c r="H162" s="110"/>
      <c r="I162" s="110"/>
      <c r="L162" s="133">
        <v>42235</v>
      </c>
      <c r="M162" s="110">
        <v>66.53933610723</v>
      </c>
      <c r="N162" s="110">
        <v>68.066404630667407</v>
      </c>
      <c r="O162" s="110">
        <v>65.459688934608707</v>
      </c>
      <c r="P162" s="110">
        <v>67.832967404154701</v>
      </c>
      <c r="Q162" s="110">
        <v>342.05</v>
      </c>
      <c r="R162">
        <v>3620592</v>
      </c>
    </row>
    <row r="163" spans="1:18" x14ac:dyDescent="0.25">
      <c r="A163" s="133">
        <v>42236</v>
      </c>
      <c r="B163" s="110">
        <v>68.252716214348297</v>
      </c>
      <c r="C163" s="110">
        <v>63.4379671013224</v>
      </c>
      <c r="D163" s="110">
        <v>63.039169700041498</v>
      </c>
      <c r="E163" s="110">
        <v>66.511625120950995</v>
      </c>
      <c r="F163" s="110">
        <v>326.10000000000002</v>
      </c>
      <c r="G163">
        <v>565772</v>
      </c>
      <c r="H163" s="110"/>
      <c r="I163" s="110"/>
      <c r="L163" s="133">
        <v>42236</v>
      </c>
      <c r="M163" s="110">
        <v>63.485199060355299</v>
      </c>
      <c r="N163" s="110">
        <v>68.280388754970701</v>
      </c>
      <c r="O163" s="110">
        <v>63.028051158434501</v>
      </c>
      <c r="P163" s="110">
        <v>65.829297876587205</v>
      </c>
      <c r="Q163" s="110">
        <v>326.35000000000002</v>
      </c>
      <c r="R163">
        <v>4713722</v>
      </c>
    </row>
    <row r="164" spans="1:18" x14ac:dyDescent="0.25">
      <c r="A164" s="133">
        <v>42237</v>
      </c>
      <c r="B164" s="110">
        <v>64.527364880431307</v>
      </c>
      <c r="C164" s="110">
        <v>63.700589780214699</v>
      </c>
      <c r="D164" s="110">
        <v>60.481030272312601</v>
      </c>
      <c r="E164" s="110">
        <v>62.056766345666503</v>
      </c>
      <c r="F164" s="110">
        <v>327.45</v>
      </c>
      <c r="G164">
        <v>499388</v>
      </c>
      <c r="H164" s="110"/>
      <c r="I164" s="110"/>
      <c r="L164" s="133">
        <v>42237</v>
      </c>
      <c r="M164" s="110">
        <v>63.7478159401821</v>
      </c>
      <c r="N164" s="110">
        <v>64.545393130767195</v>
      </c>
      <c r="O164" s="110">
        <v>60.401882360166397</v>
      </c>
      <c r="P164" s="110">
        <v>61.1021940397046</v>
      </c>
      <c r="Q164" s="110">
        <v>327.7</v>
      </c>
      <c r="R164">
        <v>4115482</v>
      </c>
    </row>
    <row r="165" spans="1:18" x14ac:dyDescent="0.25">
      <c r="A165" s="133">
        <v>42240</v>
      </c>
      <c r="B165" s="110">
        <v>61.356439201953599</v>
      </c>
      <c r="C165" s="110">
        <v>55.082675206192697</v>
      </c>
      <c r="D165" s="110">
        <v>54.148905681242198</v>
      </c>
      <c r="E165" s="110">
        <v>59.420812790858399</v>
      </c>
      <c r="F165" s="110">
        <v>283.14999999999998</v>
      </c>
      <c r="G165">
        <v>480588</v>
      </c>
      <c r="H165" s="110"/>
      <c r="I165" s="110"/>
      <c r="L165" s="133">
        <v>42240</v>
      </c>
      <c r="M165" s="110">
        <v>55.227357172467798</v>
      </c>
      <c r="N165" s="110">
        <v>61.442623328369002</v>
      </c>
      <c r="O165" s="110">
        <v>52.717906987455997</v>
      </c>
      <c r="P165" s="110">
        <v>60.285163746910101</v>
      </c>
      <c r="Q165" s="110">
        <v>283.89999999999998</v>
      </c>
      <c r="R165">
        <v>4996334</v>
      </c>
    </row>
    <row r="166" spans="1:18" x14ac:dyDescent="0.25">
      <c r="A166" s="133">
        <v>42241</v>
      </c>
      <c r="B166" s="110">
        <v>57.173929871446298</v>
      </c>
      <c r="C166" s="110">
        <v>55.987264433488498</v>
      </c>
      <c r="D166" s="110">
        <v>51.8533889324057</v>
      </c>
      <c r="E166" s="110">
        <v>57.173929871446298</v>
      </c>
      <c r="F166" s="110">
        <v>287.8</v>
      </c>
      <c r="G166">
        <v>548595</v>
      </c>
      <c r="H166" s="110"/>
      <c r="I166" s="110"/>
      <c r="L166" s="133">
        <v>42241</v>
      </c>
      <c r="M166" s="110">
        <v>55.966575056424702</v>
      </c>
      <c r="N166" s="110">
        <v>57.0559487801508</v>
      </c>
      <c r="O166" s="110">
        <v>51.764704979195798</v>
      </c>
      <c r="P166" s="110">
        <v>56.6085274293347</v>
      </c>
      <c r="Q166" s="110">
        <v>287.7</v>
      </c>
      <c r="R166">
        <v>5283343</v>
      </c>
    </row>
    <row r="167" spans="1:18" x14ac:dyDescent="0.25">
      <c r="A167" s="133">
        <v>42242</v>
      </c>
      <c r="B167" s="110">
        <v>56.493056259503298</v>
      </c>
      <c r="C167" s="110">
        <v>54.236446574206298</v>
      </c>
      <c r="D167" s="110">
        <v>53.594480025802902</v>
      </c>
      <c r="E167" s="110">
        <v>56.026171497028102</v>
      </c>
      <c r="F167" s="110">
        <v>278.8</v>
      </c>
      <c r="G167">
        <v>323706</v>
      </c>
      <c r="H167" s="110"/>
      <c r="I167" s="110"/>
      <c r="L167" s="133">
        <v>42242</v>
      </c>
      <c r="M167" s="110">
        <v>54.196342755369898</v>
      </c>
      <c r="N167" s="110">
        <v>56.491808816078397</v>
      </c>
      <c r="O167" s="110">
        <v>53.544663831355301</v>
      </c>
      <c r="P167" s="110">
        <v>55.801223687644899</v>
      </c>
      <c r="Q167" s="110">
        <v>278.60000000000002</v>
      </c>
      <c r="R167">
        <v>3646013</v>
      </c>
    </row>
    <row r="168" spans="1:18" x14ac:dyDescent="0.25">
      <c r="A168" s="133">
        <v>42243</v>
      </c>
      <c r="B168" s="110">
        <v>56.493056259503298</v>
      </c>
      <c r="C168" s="110">
        <v>56.181799751186503</v>
      </c>
      <c r="D168" s="110">
        <v>53.934916831774402</v>
      </c>
      <c r="E168" s="110">
        <v>56.356881537114702</v>
      </c>
      <c r="F168" s="110">
        <v>288.8</v>
      </c>
      <c r="G168">
        <v>340093</v>
      </c>
      <c r="H168" s="110"/>
      <c r="I168" s="110"/>
      <c r="L168" s="133">
        <v>42243</v>
      </c>
      <c r="M168" s="110">
        <v>56.122199874099898</v>
      </c>
      <c r="N168" s="110">
        <v>56.462629162764301</v>
      </c>
      <c r="O168" s="110">
        <v>53.904546222229101</v>
      </c>
      <c r="P168" s="110">
        <v>55.830403340959002</v>
      </c>
      <c r="Q168" s="110">
        <v>288.5</v>
      </c>
      <c r="R168">
        <v>5177538</v>
      </c>
    </row>
    <row r="169" spans="1:18" x14ac:dyDescent="0.25">
      <c r="A169" s="133">
        <v>42244</v>
      </c>
      <c r="B169" s="110">
        <v>58.331415011749499</v>
      </c>
      <c r="C169" s="110">
        <v>54.567156614292998</v>
      </c>
      <c r="D169" s="110">
        <v>54.275353637745901</v>
      </c>
      <c r="E169" s="110">
        <v>56.852946597244603</v>
      </c>
      <c r="F169" s="110">
        <v>280.5</v>
      </c>
      <c r="G169">
        <v>334541</v>
      </c>
      <c r="H169" s="110"/>
      <c r="I169" s="110"/>
      <c r="L169" s="133">
        <v>42244</v>
      </c>
      <c r="M169" s="110">
        <v>54.565951697348403</v>
      </c>
      <c r="N169" s="110">
        <v>58.320400423761299</v>
      </c>
      <c r="O169" s="110">
        <v>54.264428613102801</v>
      </c>
      <c r="P169" s="110">
        <v>57.046222229046101</v>
      </c>
      <c r="Q169" s="110">
        <v>280.5</v>
      </c>
      <c r="R169">
        <v>5231796</v>
      </c>
    </row>
    <row r="170" spans="1:18" x14ac:dyDescent="0.25">
      <c r="A170" s="133">
        <v>42247</v>
      </c>
      <c r="B170" s="110">
        <v>56.415242132424098</v>
      </c>
      <c r="C170" s="110">
        <v>55.607920563977302</v>
      </c>
      <c r="D170" s="110">
        <v>54.003004192968703</v>
      </c>
      <c r="E170" s="110">
        <v>55.024314610883302</v>
      </c>
      <c r="F170" s="110">
        <v>285.85000000000002</v>
      </c>
      <c r="G170">
        <v>304526</v>
      </c>
      <c r="H170" s="110"/>
      <c r="I170" s="110"/>
      <c r="L170" s="133">
        <v>42247</v>
      </c>
      <c r="M170" s="110">
        <v>55.6650519721791</v>
      </c>
      <c r="N170" s="110">
        <v>56.413996407240802</v>
      </c>
      <c r="O170" s="110">
        <v>53.943452426647802</v>
      </c>
      <c r="P170" s="110">
        <v>54.468686186301497</v>
      </c>
      <c r="Q170" s="110">
        <v>286.14999999999998</v>
      </c>
      <c r="R170">
        <v>3473431</v>
      </c>
    </row>
    <row r="171" spans="1:18" x14ac:dyDescent="0.25">
      <c r="A171" s="133">
        <v>42248</v>
      </c>
      <c r="B171" s="110">
        <v>55.248030226235997</v>
      </c>
      <c r="C171" s="110">
        <v>52.203552504262099</v>
      </c>
      <c r="D171" s="110">
        <v>51.843662166520801</v>
      </c>
      <c r="E171" s="110">
        <v>55.248030226235997</v>
      </c>
      <c r="F171" s="110">
        <v>268.35000000000002</v>
      </c>
      <c r="G171">
        <v>361408</v>
      </c>
      <c r="H171" s="110"/>
      <c r="I171" s="110"/>
      <c r="L171" s="133">
        <v>42248</v>
      </c>
      <c r="M171" s="110">
        <v>52.163493574488299</v>
      </c>
      <c r="N171" s="110">
        <v>55.227357172467798</v>
      </c>
      <c r="O171" s="110">
        <v>51.852243939137999</v>
      </c>
      <c r="P171" s="110">
        <v>55.091185457001998</v>
      </c>
      <c r="Q171" s="110">
        <v>268.14999999999998</v>
      </c>
      <c r="R171">
        <v>4641467</v>
      </c>
    </row>
    <row r="172" spans="1:18" x14ac:dyDescent="0.25">
      <c r="A172" s="133">
        <v>42249</v>
      </c>
      <c r="B172" s="110">
        <v>53.302677049255898</v>
      </c>
      <c r="C172" s="110">
        <v>50.715357323872297</v>
      </c>
      <c r="D172" s="110">
        <v>50.316559922591303</v>
      </c>
      <c r="E172" s="110">
        <v>52.398087821960097</v>
      </c>
      <c r="F172" s="110">
        <v>260.7</v>
      </c>
      <c r="G172">
        <v>396871</v>
      </c>
      <c r="H172" s="110"/>
      <c r="I172" s="110"/>
      <c r="L172" s="133">
        <v>42249</v>
      </c>
      <c r="M172" s="110">
        <v>50.704510908783803</v>
      </c>
      <c r="N172" s="110">
        <v>53.009703520597</v>
      </c>
      <c r="O172" s="110">
        <v>50.286269211281898</v>
      </c>
      <c r="P172" s="110">
        <v>52.717906987455997</v>
      </c>
      <c r="Q172" s="110">
        <v>260.64999999999998</v>
      </c>
      <c r="R172">
        <v>4293382</v>
      </c>
    </row>
    <row r="173" spans="1:18" x14ac:dyDescent="0.25">
      <c r="A173" s="133">
        <v>42250</v>
      </c>
      <c r="B173" s="110">
        <v>52.660710500852403</v>
      </c>
      <c r="C173" s="110">
        <v>51.736667741786903</v>
      </c>
      <c r="D173" s="110">
        <v>50.6764502603327</v>
      </c>
      <c r="E173" s="110">
        <v>51.337870340505901</v>
      </c>
      <c r="F173" s="110">
        <v>265.95</v>
      </c>
      <c r="G173">
        <v>327825</v>
      </c>
      <c r="H173" s="110"/>
      <c r="I173" s="110"/>
      <c r="L173" s="133">
        <v>42250</v>
      </c>
      <c r="M173" s="110">
        <v>51.774431530300497</v>
      </c>
      <c r="N173" s="110">
        <v>52.679000783037303</v>
      </c>
      <c r="O173" s="110">
        <v>50.655878153260304</v>
      </c>
      <c r="P173" s="110">
        <v>51.327010179484397</v>
      </c>
      <c r="Q173" s="110">
        <v>266.14999999999998</v>
      </c>
      <c r="R173">
        <v>2976502</v>
      </c>
    </row>
    <row r="174" spans="1:18" x14ac:dyDescent="0.25">
      <c r="A174" s="133">
        <v>42251</v>
      </c>
      <c r="B174" s="110">
        <v>51.512952126434101</v>
      </c>
      <c r="C174" s="110">
        <v>49.898308989540602</v>
      </c>
      <c r="D174" s="110">
        <v>48.799184444546803</v>
      </c>
      <c r="E174" s="110">
        <v>51.512952126434101</v>
      </c>
      <c r="F174" s="110">
        <v>256.5</v>
      </c>
      <c r="G174">
        <v>430667</v>
      </c>
      <c r="H174" s="110"/>
      <c r="I174" s="110"/>
      <c r="L174" s="133">
        <v>42251</v>
      </c>
      <c r="M174" s="110">
        <v>49.926386820408098</v>
      </c>
      <c r="N174" s="110">
        <v>51.434002241636101</v>
      </c>
      <c r="O174" s="110">
        <v>48.749474136739799</v>
      </c>
      <c r="P174" s="110">
        <v>51.434002241636101</v>
      </c>
      <c r="Q174" s="110">
        <v>256.64999999999998</v>
      </c>
      <c r="R174">
        <v>3376046</v>
      </c>
    </row>
    <row r="175" spans="1:18" x14ac:dyDescent="0.25">
      <c r="A175" s="133">
        <v>42254</v>
      </c>
      <c r="B175" s="110">
        <v>50.890439109800496</v>
      </c>
      <c r="C175" s="110">
        <v>49.188255079942898</v>
      </c>
      <c r="D175" s="110">
        <v>48.857545039856198</v>
      </c>
      <c r="E175" s="110">
        <v>50.0928443072386</v>
      </c>
      <c r="F175" s="110">
        <v>252.85</v>
      </c>
      <c r="G175">
        <v>296142</v>
      </c>
      <c r="H175" s="110"/>
      <c r="I175" s="110"/>
      <c r="L175" s="133">
        <v>42254</v>
      </c>
      <c r="M175" s="110">
        <v>49.138536180927701</v>
      </c>
      <c r="N175" s="110">
        <v>50.869862277563698</v>
      </c>
      <c r="O175" s="110">
        <v>48.934278607728999</v>
      </c>
      <c r="P175" s="110">
        <v>50.111191291397297</v>
      </c>
      <c r="Q175" s="110">
        <v>252.6</v>
      </c>
      <c r="R175">
        <v>2142423</v>
      </c>
    </row>
    <row r="176" spans="1:18" x14ac:dyDescent="0.25">
      <c r="A176" s="133">
        <v>42255</v>
      </c>
      <c r="B176" s="110">
        <v>51.512952126434101</v>
      </c>
      <c r="C176" s="110">
        <v>50.656996728562902</v>
      </c>
      <c r="D176" s="110">
        <v>48.964539464590203</v>
      </c>
      <c r="E176" s="110">
        <v>49.480058056489902</v>
      </c>
      <c r="F176" s="110">
        <v>260.39999999999998</v>
      </c>
      <c r="G176">
        <v>340368</v>
      </c>
      <c r="H176" s="110"/>
      <c r="I176" s="110"/>
      <c r="L176" s="133">
        <v>42255</v>
      </c>
      <c r="M176" s="110">
        <v>50.714237459888501</v>
      </c>
      <c r="N176" s="110">
        <v>51.5312677526831</v>
      </c>
      <c r="O176" s="110">
        <v>49.080176874299497</v>
      </c>
      <c r="P176" s="110">
        <v>49.585957531743702</v>
      </c>
      <c r="Q176" s="110">
        <v>260.7</v>
      </c>
      <c r="R176">
        <v>3373800</v>
      </c>
    </row>
    <row r="177" spans="1:18" x14ac:dyDescent="0.25">
      <c r="A177" s="133">
        <v>42256</v>
      </c>
      <c r="B177" s="110">
        <v>52.349453992535601</v>
      </c>
      <c r="C177" s="110">
        <v>51.581039487628402</v>
      </c>
      <c r="D177" s="110">
        <v>50.773717919181699</v>
      </c>
      <c r="E177" s="110">
        <v>51.551859189973698</v>
      </c>
      <c r="F177" s="110">
        <v>265.14999999999998</v>
      </c>
      <c r="G177">
        <v>401883</v>
      </c>
      <c r="H177" s="110"/>
      <c r="I177" s="110"/>
      <c r="L177" s="133">
        <v>42256</v>
      </c>
      <c r="M177" s="110">
        <v>51.570173957101801</v>
      </c>
      <c r="N177" s="110">
        <v>52.289938738849401</v>
      </c>
      <c r="O177" s="110">
        <v>50.685057806574399</v>
      </c>
      <c r="P177" s="110">
        <v>51.842517388033301</v>
      </c>
      <c r="Q177" s="110">
        <v>265.10000000000002</v>
      </c>
      <c r="R177">
        <v>3061949</v>
      </c>
    </row>
    <row r="178" spans="1:18" x14ac:dyDescent="0.25">
      <c r="A178" s="133">
        <v>42257</v>
      </c>
      <c r="B178" s="110">
        <v>51.581039487628402</v>
      </c>
      <c r="C178" s="110">
        <v>50.151204902548002</v>
      </c>
      <c r="D178" s="110">
        <v>49.411970695295601</v>
      </c>
      <c r="E178" s="110">
        <v>51.581039487628402</v>
      </c>
      <c r="F178" s="110">
        <v>257.8</v>
      </c>
      <c r="G178">
        <v>322801</v>
      </c>
      <c r="H178" s="110"/>
      <c r="I178" s="110"/>
      <c r="L178" s="133">
        <v>42257</v>
      </c>
      <c r="M178" s="110">
        <v>50.082011638083202</v>
      </c>
      <c r="N178" s="110">
        <v>50.578065744422801</v>
      </c>
      <c r="O178" s="110">
        <v>49.3719734074404</v>
      </c>
      <c r="P178" s="110">
        <v>50.578065744422801</v>
      </c>
      <c r="Q178" s="110">
        <v>257.45</v>
      </c>
      <c r="R178">
        <v>3616917</v>
      </c>
    </row>
    <row r="179" spans="1:18" x14ac:dyDescent="0.25">
      <c r="A179" s="133">
        <v>42258</v>
      </c>
      <c r="B179" s="110">
        <v>51.483771828779403</v>
      </c>
      <c r="C179" s="110">
        <v>50.384647283785696</v>
      </c>
      <c r="D179" s="110">
        <v>49.995576648389601</v>
      </c>
      <c r="E179" s="110">
        <v>50.559729069713903</v>
      </c>
      <c r="F179" s="110">
        <v>259</v>
      </c>
      <c r="G179">
        <v>352969</v>
      </c>
      <c r="H179" s="110"/>
      <c r="I179" s="110"/>
      <c r="L179" s="133">
        <v>42258</v>
      </c>
      <c r="M179" s="110">
        <v>50.461347131166399</v>
      </c>
      <c r="N179" s="110">
        <v>51.502088099368997</v>
      </c>
      <c r="O179" s="110">
        <v>49.9555664737222</v>
      </c>
      <c r="P179" s="110">
        <v>50.704510908783803</v>
      </c>
      <c r="Q179" s="110">
        <v>259.39999999999998</v>
      </c>
      <c r="R179">
        <v>2673054</v>
      </c>
    </row>
    <row r="180" spans="1:18" x14ac:dyDescent="0.25">
      <c r="A180" s="133">
        <v>42261</v>
      </c>
      <c r="B180" s="110">
        <v>52.1938257383772</v>
      </c>
      <c r="C180" s="110">
        <v>51.989563654794303</v>
      </c>
      <c r="D180" s="110">
        <v>50.2679260931668</v>
      </c>
      <c r="E180" s="110">
        <v>50.968253236879697</v>
      </c>
      <c r="F180" s="110">
        <v>267.25</v>
      </c>
      <c r="G180">
        <v>330212</v>
      </c>
      <c r="H180" s="110"/>
      <c r="I180" s="110"/>
      <c r="L180" s="133">
        <v>42261</v>
      </c>
      <c r="M180" s="110">
        <v>51.968962552394402</v>
      </c>
      <c r="N180" s="110">
        <v>52.173220125592998</v>
      </c>
      <c r="O180" s="110">
        <v>50.266816109072501</v>
      </c>
      <c r="P180" s="110">
        <v>50.869862277563698</v>
      </c>
      <c r="Q180" s="110">
        <v>267.14999999999998</v>
      </c>
      <c r="R180">
        <v>2641619</v>
      </c>
    </row>
    <row r="181" spans="1:18" x14ac:dyDescent="0.25">
      <c r="A181" s="133">
        <v>42262</v>
      </c>
      <c r="B181" s="110">
        <v>52.310546928995997</v>
      </c>
      <c r="C181" s="110">
        <v>50.9293461733401</v>
      </c>
      <c r="D181" s="110">
        <v>50.6764502603327</v>
      </c>
      <c r="E181" s="110">
        <v>51.979836888909396</v>
      </c>
      <c r="F181" s="110">
        <v>261.8</v>
      </c>
      <c r="G181">
        <v>283998</v>
      </c>
      <c r="H181" s="110"/>
      <c r="I181" s="110"/>
      <c r="L181" s="133">
        <v>42262</v>
      </c>
      <c r="M181" s="110">
        <v>50.967127788610597</v>
      </c>
      <c r="N181" s="110">
        <v>52.309391841058797</v>
      </c>
      <c r="O181" s="110">
        <v>50.733690562097898</v>
      </c>
      <c r="P181" s="110">
        <v>52.1148608189649</v>
      </c>
      <c r="Q181" s="110">
        <v>262</v>
      </c>
      <c r="R181">
        <v>2571159</v>
      </c>
    </row>
    <row r="182" spans="1:18" x14ac:dyDescent="0.25">
      <c r="A182" s="133">
        <v>42263</v>
      </c>
      <c r="B182" s="110">
        <v>52.738524627931596</v>
      </c>
      <c r="C182" s="110">
        <v>51.970110123024497</v>
      </c>
      <c r="D182" s="110">
        <v>51.201695618117299</v>
      </c>
      <c r="E182" s="110">
        <v>51.454591531124699</v>
      </c>
      <c r="F182" s="110">
        <v>267.14999999999998</v>
      </c>
      <c r="G182">
        <v>310745</v>
      </c>
      <c r="H182" s="110"/>
      <c r="I182" s="110"/>
      <c r="L182" s="133">
        <v>42263</v>
      </c>
      <c r="M182" s="110">
        <v>52.105134267860201</v>
      </c>
      <c r="N182" s="110">
        <v>52.766539742979496</v>
      </c>
      <c r="O182" s="110">
        <v>51.190838464018697</v>
      </c>
      <c r="P182" s="110">
        <v>51.706345672567601</v>
      </c>
      <c r="Q182" s="110">
        <v>267.85000000000002</v>
      </c>
      <c r="R182">
        <v>3363433</v>
      </c>
    </row>
    <row r="183" spans="1:18" x14ac:dyDescent="0.25">
      <c r="A183" s="133">
        <v>42265</v>
      </c>
      <c r="B183" s="110">
        <v>54.820052527300398</v>
      </c>
      <c r="C183" s="110">
        <v>53.886283002349899</v>
      </c>
      <c r="D183" s="110">
        <v>52.660710500852403</v>
      </c>
      <c r="E183" s="110">
        <v>52.660710500852403</v>
      </c>
      <c r="F183" s="110">
        <v>277</v>
      </c>
      <c r="G183">
        <v>323442</v>
      </c>
      <c r="H183" s="110"/>
      <c r="I183" s="110"/>
      <c r="L183" s="133">
        <v>42265</v>
      </c>
      <c r="M183" s="110">
        <v>53.894819671124303</v>
      </c>
      <c r="N183" s="110">
        <v>54.8577482304893</v>
      </c>
      <c r="O183" s="110">
        <v>52.717906987455997</v>
      </c>
      <c r="P183" s="110">
        <v>52.892984907340598</v>
      </c>
      <c r="Q183" s="110">
        <v>277.05</v>
      </c>
      <c r="R183">
        <v>3911250</v>
      </c>
    </row>
    <row r="184" spans="1:18" x14ac:dyDescent="0.25">
      <c r="A184" s="133">
        <v>42268</v>
      </c>
      <c r="B184" s="110">
        <v>55.4620190757038</v>
      </c>
      <c r="C184" s="110">
        <v>55.218849928581299</v>
      </c>
      <c r="D184" s="110">
        <v>53.010874072708802</v>
      </c>
      <c r="E184" s="110">
        <v>53.672294152882102</v>
      </c>
      <c r="F184" s="110">
        <v>283.85000000000002</v>
      </c>
      <c r="G184">
        <v>269715</v>
      </c>
      <c r="H184" s="110"/>
      <c r="I184" s="110"/>
      <c r="L184" s="133">
        <v>42268</v>
      </c>
      <c r="M184" s="110">
        <v>55.285716479096003</v>
      </c>
      <c r="N184" s="110">
        <v>55.5288802567134</v>
      </c>
      <c r="O184" s="110">
        <v>52.951344213968802</v>
      </c>
      <c r="P184" s="110">
        <v>53.301500053737797</v>
      </c>
      <c r="Q184" s="110">
        <v>284.2</v>
      </c>
      <c r="R184">
        <v>3022246</v>
      </c>
    </row>
    <row r="185" spans="1:18" x14ac:dyDescent="0.25">
      <c r="A185" s="133">
        <v>42269</v>
      </c>
      <c r="B185" s="110">
        <v>56.395788600654299</v>
      </c>
      <c r="C185" s="110">
        <v>53.331857346910603</v>
      </c>
      <c r="D185" s="110">
        <v>52.719071096161798</v>
      </c>
      <c r="E185" s="110">
        <v>56.084532092337497</v>
      </c>
      <c r="F185" s="110">
        <v>274.14999999999998</v>
      </c>
      <c r="G185">
        <v>336928</v>
      </c>
      <c r="H185" s="110"/>
      <c r="I185" s="110"/>
      <c r="L185" s="133">
        <v>42269</v>
      </c>
      <c r="M185" s="110">
        <v>53.359859360366002</v>
      </c>
      <c r="N185" s="110">
        <v>56.413996407240802</v>
      </c>
      <c r="O185" s="110">
        <v>52.912438009550002</v>
      </c>
      <c r="P185" s="110">
        <v>55.830403340959002</v>
      </c>
      <c r="Q185" s="110">
        <v>274.3</v>
      </c>
      <c r="R185">
        <v>3447871</v>
      </c>
    </row>
    <row r="186" spans="1:18" x14ac:dyDescent="0.25">
      <c r="A186" s="133">
        <v>42270</v>
      </c>
      <c r="B186" s="110">
        <v>54.946500483804101</v>
      </c>
      <c r="C186" s="110">
        <v>54.197539510666701</v>
      </c>
      <c r="D186" s="110">
        <v>52.135465143067798</v>
      </c>
      <c r="E186" s="110">
        <v>52.5245357784638</v>
      </c>
      <c r="F186" s="110">
        <v>278.60000000000002</v>
      </c>
      <c r="G186">
        <v>348213</v>
      </c>
      <c r="H186" s="110"/>
      <c r="I186" s="110"/>
      <c r="L186" s="133">
        <v>42270</v>
      </c>
      <c r="M186" s="110">
        <v>54.196342755369898</v>
      </c>
      <c r="N186" s="110">
        <v>54.974466843745702</v>
      </c>
      <c r="O186" s="110">
        <v>52.037048410127298</v>
      </c>
      <c r="P186" s="110">
        <v>52.231579432221203</v>
      </c>
      <c r="Q186" s="110">
        <v>278.60000000000002</v>
      </c>
      <c r="R186">
        <v>3285995</v>
      </c>
    </row>
    <row r="187" spans="1:18" x14ac:dyDescent="0.25">
      <c r="A187" s="133">
        <v>42271</v>
      </c>
      <c r="B187" s="110">
        <v>54.858959590840001</v>
      </c>
      <c r="C187" s="110">
        <v>54.1197253835875</v>
      </c>
      <c r="D187" s="110">
        <v>53.575026494033096</v>
      </c>
      <c r="E187" s="110">
        <v>54.080818320047896</v>
      </c>
      <c r="F187" s="110">
        <v>278.2</v>
      </c>
      <c r="G187">
        <v>293113</v>
      </c>
      <c r="H187" s="110"/>
      <c r="I187" s="110"/>
      <c r="L187" s="133">
        <v>42271</v>
      </c>
      <c r="M187" s="110">
        <v>54.147709999846498</v>
      </c>
      <c r="N187" s="110">
        <v>54.916107537117497</v>
      </c>
      <c r="O187" s="110">
        <v>53.544663831355301</v>
      </c>
      <c r="P187" s="110">
        <v>54.128256897637101</v>
      </c>
      <c r="Q187" s="110">
        <v>278.35000000000002</v>
      </c>
      <c r="R187">
        <v>2922532</v>
      </c>
    </row>
    <row r="188" spans="1:18" x14ac:dyDescent="0.25">
      <c r="A188" s="133">
        <v>42275</v>
      </c>
      <c r="B188" s="110">
        <v>55.559286734552799</v>
      </c>
      <c r="C188" s="110">
        <v>54.1197253835875</v>
      </c>
      <c r="D188" s="110">
        <v>53.886283002349899</v>
      </c>
      <c r="E188" s="110">
        <v>54.255900105976103</v>
      </c>
      <c r="F188" s="110">
        <v>278.2</v>
      </c>
      <c r="G188">
        <v>273894</v>
      </c>
      <c r="H188" s="110"/>
      <c r="I188" s="110"/>
      <c r="L188" s="133">
        <v>42275</v>
      </c>
      <c r="M188" s="110">
        <v>54.128256897637101</v>
      </c>
      <c r="N188" s="110">
        <v>55.538606807818098</v>
      </c>
      <c r="O188" s="110">
        <v>53.923999324438398</v>
      </c>
      <c r="P188" s="110">
        <v>54.468686186301497</v>
      </c>
      <c r="Q188" s="110">
        <v>278.25</v>
      </c>
      <c r="R188">
        <v>2197237</v>
      </c>
    </row>
    <row r="189" spans="1:18" x14ac:dyDescent="0.25">
      <c r="A189" s="133">
        <v>42276</v>
      </c>
      <c r="B189" s="110">
        <v>55.588467032207497</v>
      </c>
      <c r="C189" s="110">
        <v>54.771418697875902</v>
      </c>
      <c r="D189" s="110">
        <v>52.631530203197698</v>
      </c>
      <c r="E189" s="110">
        <v>54.1197253835875</v>
      </c>
      <c r="F189" s="110">
        <v>281.55</v>
      </c>
      <c r="G189">
        <v>545729</v>
      </c>
      <c r="H189" s="110"/>
      <c r="I189" s="110"/>
      <c r="L189" s="133">
        <v>42276</v>
      </c>
      <c r="M189" s="110">
        <v>54.779935821651698</v>
      </c>
      <c r="N189" s="110">
        <v>55.626145767760399</v>
      </c>
      <c r="O189" s="110">
        <v>52.572008720885599</v>
      </c>
      <c r="P189" s="110">
        <v>53.437671769203597</v>
      </c>
      <c r="Q189" s="110">
        <v>281.60000000000002</v>
      </c>
      <c r="R189">
        <v>5336337</v>
      </c>
    </row>
    <row r="190" spans="1:18" x14ac:dyDescent="0.25">
      <c r="A190" s="133">
        <v>42277</v>
      </c>
      <c r="B190" s="110">
        <v>55.666281159286697</v>
      </c>
      <c r="C190" s="110">
        <v>54.411528360134497</v>
      </c>
      <c r="D190" s="110">
        <v>53.925190065889502</v>
      </c>
      <c r="E190" s="110">
        <v>55.053494908537999</v>
      </c>
      <c r="F190" s="110">
        <v>279.7</v>
      </c>
      <c r="G190">
        <v>243538</v>
      </c>
      <c r="H190" s="110"/>
      <c r="I190" s="110"/>
      <c r="L190" s="133">
        <v>42277</v>
      </c>
      <c r="M190" s="110">
        <v>54.429779981882703</v>
      </c>
      <c r="N190" s="110">
        <v>55.674778523283798</v>
      </c>
      <c r="O190" s="110">
        <v>53.894819671124303</v>
      </c>
      <c r="P190" s="110">
        <v>55.3051695813054</v>
      </c>
      <c r="Q190" s="110">
        <v>279.8</v>
      </c>
      <c r="R190">
        <v>2023254</v>
      </c>
    </row>
    <row r="191" spans="1:18" x14ac:dyDescent="0.25">
      <c r="A191" s="133">
        <v>42278</v>
      </c>
      <c r="B191" s="110">
        <v>55.014587844998402</v>
      </c>
      <c r="C191" s="110">
        <v>54.353167764825102</v>
      </c>
      <c r="D191" s="110">
        <v>53.905736534119697</v>
      </c>
      <c r="E191" s="110">
        <v>54.985407547343698</v>
      </c>
      <c r="F191" s="110">
        <v>279.39999999999998</v>
      </c>
      <c r="G191">
        <v>172889</v>
      </c>
      <c r="H191" s="110"/>
      <c r="I191" s="110"/>
      <c r="L191" s="133">
        <v>42278</v>
      </c>
      <c r="M191" s="110">
        <v>54.3130613686263</v>
      </c>
      <c r="N191" s="110">
        <v>55.110638559211402</v>
      </c>
      <c r="O191" s="110">
        <v>53.904546222229101</v>
      </c>
      <c r="P191" s="110">
        <v>55.110638559211402</v>
      </c>
      <c r="Q191" s="110">
        <v>279.2</v>
      </c>
      <c r="R191">
        <v>1528864</v>
      </c>
    </row>
    <row r="192" spans="1:18" x14ac:dyDescent="0.25">
      <c r="A192" s="133">
        <v>42282</v>
      </c>
      <c r="B192" s="110">
        <v>56.609777450122102</v>
      </c>
      <c r="C192" s="110">
        <v>56.415242132424098</v>
      </c>
      <c r="D192" s="110">
        <v>54.761691931991002</v>
      </c>
      <c r="E192" s="110">
        <v>55.053494908537999</v>
      </c>
      <c r="F192" s="110">
        <v>290</v>
      </c>
      <c r="G192">
        <v>267122</v>
      </c>
      <c r="H192" s="110"/>
      <c r="I192" s="110"/>
      <c r="L192" s="133">
        <v>42282</v>
      </c>
      <c r="M192" s="110">
        <v>56.394543305031398</v>
      </c>
      <c r="N192" s="110">
        <v>56.598800878230001</v>
      </c>
      <c r="O192" s="110">
        <v>54.731303066128298</v>
      </c>
      <c r="P192" s="110">
        <v>55.120365110316101</v>
      </c>
      <c r="Q192" s="110">
        <v>289.89999999999998</v>
      </c>
      <c r="R192">
        <v>2610251</v>
      </c>
    </row>
    <row r="193" spans="1:18" x14ac:dyDescent="0.25">
      <c r="A193" s="133">
        <v>42283</v>
      </c>
      <c r="B193" s="110">
        <v>58.360595309404196</v>
      </c>
      <c r="C193" s="110">
        <v>57.650541399806499</v>
      </c>
      <c r="D193" s="110">
        <v>56.172072985301597</v>
      </c>
      <c r="E193" s="110">
        <v>56.8043127678201</v>
      </c>
      <c r="F193" s="110">
        <v>296.35000000000002</v>
      </c>
      <c r="G193">
        <v>307030</v>
      </c>
      <c r="H193" s="110"/>
      <c r="I193" s="110"/>
      <c r="L193" s="133">
        <v>42283</v>
      </c>
      <c r="M193" s="110">
        <v>57.707627704165397</v>
      </c>
      <c r="N193" s="110">
        <v>58.339853525970703</v>
      </c>
      <c r="O193" s="110">
        <v>56.122199874099898</v>
      </c>
      <c r="P193" s="110">
        <v>56.861417758056803</v>
      </c>
      <c r="Q193" s="110">
        <v>296.64999999999998</v>
      </c>
      <c r="R193">
        <v>3944912</v>
      </c>
    </row>
    <row r="194" spans="1:18" x14ac:dyDescent="0.25">
      <c r="A194" s="133">
        <v>42284</v>
      </c>
      <c r="B194" s="110">
        <v>59.099829516656698</v>
      </c>
      <c r="C194" s="110">
        <v>58.311961479979701</v>
      </c>
      <c r="D194" s="110">
        <v>57.582454038612198</v>
      </c>
      <c r="E194" s="110">
        <v>57.854803483389396</v>
      </c>
      <c r="F194" s="110">
        <v>299.75</v>
      </c>
      <c r="G194">
        <v>261535</v>
      </c>
      <c r="H194" s="110"/>
      <c r="I194" s="110"/>
      <c r="L194" s="133">
        <v>42284</v>
      </c>
      <c r="M194" s="110">
        <v>58.310673872656601</v>
      </c>
      <c r="N194" s="110">
        <v>59.108251063241802</v>
      </c>
      <c r="O194" s="110">
        <v>57.581182539804402</v>
      </c>
      <c r="P194" s="110">
        <v>57.678448050851401</v>
      </c>
      <c r="Q194" s="110">
        <v>299.75</v>
      </c>
      <c r="R194">
        <v>2766233</v>
      </c>
    </row>
    <row r="195" spans="1:18" x14ac:dyDescent="0.25">
      <c r="A195" s="133">
        <v>42285</v>
      </c>
      <c r="B195" s="110">
        <v>59.333271897894299</v>
      </c>
      <c r="C195" s="110">
        <v>58.020158503432697</v>
      </c>
      <c r="D195" s="110">
        <v>57.601907570381996</v>
      </c>
      <c r="E195" s="110">
        <v>58.185513523475997</v>
      </c>
      <c r="F195" s="110">
        <v>298.25</v>
      </c>
      <c r="G195">
        <v>244963</v>
      </c>
      <c r="H195" s="110"/>
      <c r="I195" s="110"/>
      <c r="L195" s="133">
        <v>42285</v>
      </c>
      <c r="M195" s="110">
        <v>57.989697686201701</v>
      </c>
      <c r="N195" s="110">
        <v>59.400047596382699</v>
      </c>
      <c r="O195" s="110">
        <v>57.600635642013799</v>
      </c>
      <c r="P195" s="110">
        <v>58.164775606086202</v>
      </c>
      <c r="Q195" s="110">
        <v>298.10000000000002</v>
      </c>
      <c r="R195">
        <v>2538550</v>
      </c>
    </row>
    <row r="196" spans="1:18" x14ac:dyDescent="0.25">
      <c r="A196" s="133">
        <v>42286</v>
      </c>
      <c r="B196" s="110">
        <v>59.119283048426503</v>
      </c>
      <c r="C196" s="110">
        <v>57.990978205777999</v>
      </c>
      <c r="D196" s="110">
        <v>57.718628761000801</v>
      </c>
      <c r="E196" s="110">
        <v>58.380048841174002</v>
      </c>
      <c r="F196" s="110">
        <v>298.10000000000002</v>
      </c>
      <c r="G196">
        <v>205379</v>
      </c>
      <c r="H196" s="110"/>
      <c r="I196" s="110"/>
      <c r="L196" s="133">
        <v>42286</v>
      </c>
      <c r="M196" s="110">
        <v>58.077236646143902</v>
      </c>
      <c r="N196" s="110">
        <v>59.098524512137097</v>
      </c>
      <c r="O196" s="110">
        <v>57.688174601956099</v>
      </c>
      <c r="P196" s="110">
        <v>58.651103161320997</v>
      </c>
      <c r="Q196" s="110">
        <v>298.55</v>
      </c>
      <c r="R196">
        <v>1820431</v>
      </c>
    </row>
    <row r="197" spans="1:18" x14ac:dyDescent="0.25">
      <c r="A197" s="133">
        <v>42289</v>
      </c>
      <c r="B197" s="110">
        <v>58.788573008339903</v>
      </c>
      <c r="C197" s="110">
        <v>57.592180804497097</v>
      </c>
      <c r="D197" s="110">
        <v>56.901580426669099</v>
      </c>
      <c r="E197" s="110">
        <v>57.699175229231003</v>
      </c>
      <c r="F197" s="110">
        <v>296.05</v>
      </c>
      <c r="G197">
        <v>158704</v>
      </c>
      <c r="H197" s="110"/>
      <c r="I197" s="110"/>
      <c r="L197" s="133">
        <v>42289</v>
      </c>
      <c r="M197" s="110">
        <v>57.581182539804402</v>
      </c>
      <c r="N197" s="110">
        <v>58.826181081205597</v>
      </c>
      <c r="O197" s="110">
        <v>56.880870860266199</v>
      </c>
      <c r="P197" s="110">
        <v>57.299112557768197</v>
      </c>
      <c r="Q197" s="110">
        <v>296</v>
      </c>
      <c r="R197">
        <v>1963691</v>
      </c>
    </row>
    <row r="198" spans="1:18" x14ac:dyDescent="0.25">
      <c r="A198" s="133">
        <v>42290</v>
      </c>
      <c r="B198" s="110">
        <v>58.243874118785399</v>
      </c>
      <c r="C198" s="110">
        <v>57.874257015159202</v>
      </c>
      <c r="D198" s="110">
        <v>57.203110169101102</v>
      </c>
      <c r="E198" s="110">
        <v>57.436552550338703</v>
      </c>
      <c r="F198" s="110">
        <v>297.5</v>
      </c>
      <c r="G198">
        <v>110025</v>
      </c>
      <c r="H198" s="110"/>
      <c r="I198" s="110"/>
      <c r="L198" s="133">
        <v>42290</v>
      </c>
      <c r="M198" s="110">
        <v>57.872979072945299</v>
      </c>
      <c r="N198" s="110">
        <v>58.242588014923797</v>
      </c>
      <c r="O198" s="110">
        <v>57.124034637883597</v>
      </c>
      <c r="P198" s="110">
        <v>57.678448050851401</v>
      </c>
      <c r="Q198" s="110">
        <v>297.5</v>
      </c>
      <c r="R198">
        <v>1445267</v>
      </c>
    </row>
    <row r="199" spans="1:18" x14ac:dyDescent="0.25">
      <c r="A199" s="133">
        <v>42291</v>
      </c>
      <c r="B199" s="110">
        <v>58.214693821130702</v>
      </c>
      <c r="C199" s="110">
        <v>57.1447495737917</v>
      </c>
      <c r="D199" s="110">
        <v>56.901580426669099</v>
      </c>
      <c r="E199" s="110">
        <v>57.037755149057702</v>
      </c>
      <c r="F199" s="110">
        <v>293.75</v>
      </c>
      <c r="G199">
        <v>127262</v>
      </c>
      <c r="H199" s="110"/>
      <c r="I199" s="110"/>
      <c r="L199" s="133">
        <v>42291</v>
      </c>
      <c r="M199" s="110">
        <v>57.124034637883597</v>
      </c>
      <c r="N199" s="110">
        <v>58.242588014923797</v>
      </c>
      <c r="O199" s="110">
        <v>56.900323962475603</v>
      </c>
      <c r="P199" s="110">
        <v>58.067510095039196</v>
      </c>
      <c r="Q199" s="110">
        <v>293.64999999999998</v>
      </c>
      <c r="R199">
        <v>1643212</v>
      </c>
    </row>
    <row r="200" spans="1:18" x14ac:dyDescent="0.25">
      <c r="A200" s="133">
        <v>42292</v>
      </c>
      <c r="B200" s="110">
        <v>58.944201262498297</v>
      </c>
      <c r="C200" s="110">
        <v>58.701032115375803</v>
      </c>
      <c r="D200" s="110">
        <v>57.271197530295403</v>
      </c>
      <c r="E200" s="110">
        <v>57.271197530295403</v>
      </c>
      <c r="F200" s="110">
        <v>301.75</v>
      </c>
      <c r="G200">
        <v>187653</v>
      </c>
      <c r="H200" s="110"/>
      <c r="I200" s="110"/>
      <c r="L200" s="133">
        <v>42292</v>
      </c>
      <c r="M200" s="110">
        <v>58.699735916844503</v>
      </c>
      <c r="N200" s="110">
        <v>59.001259001090098</v>
      </c>
      <c r="O200" s="110">
        <v>57.386651517710497</v>
      </c>
      <c r="P200" s="110">
        <v>57.435284273233897</v>
      </c>
      <c r="Q200" s="110">
        <v>301.75</v>
      </c>
      <c r="R200">
        <v>1962529</v>
      </c>
    </row>
    <row r="201" spans="1:18" x14ac:dyDescent="0.25">
      <c r="A201" s="133">
        <v>42293</v>
      </c>
      <c r="B201" s="110">
        <v>59.099829516656698</v>
      </c>
      <c r="C201" s="110">
        <v>58.535677095332403</v>
      </c>
      <c r="D201" s="110">
        <v>57.708901995115902</v>
      </c>
      <c r="E201" s="110">
        <v>58.749665944800299</v>
      </c>
      <c r="F201" s="110">
        <v>300.89999999999998</v>
      </c>
      <c r="G201">
        <v>163412</v>
      </c>
      <c r="H201" s="110"/>
      <c r="I201" s="110"/>
      <c r="L201" s="133">
        <v>42293</v>
      </c>
      <c r="M201" s="110">
        <v>58.514931445855296</v>
      </c>
      <c r="N201" s="110">
        <v>59.088797961032398</v>
      </c>
      <c r="O201" s="110">
        <v>57.688174601956099</v>
      </c>
      <c r="P201" s="110">
        <v>58.748368672368002</v>
      </c>
      <c r="Q201" s="110">
        <v>300.8</v>
      </c>
      <c r="R201">
        <v>1920925</v>
      </c>
    </row>
    <row r="202" spans="1:18" x14ac:dyDescent="0.25">
      <c r="A202" s="133">
        <v>42296</v>
      </c>
      <c r="B202" s="110">
        <v>58.895567433073801</v>
      </c>
      <c r="C202" s="110">
        <v>58.0687923328572</v>
      </c>
      <c r="D202" s="110">
        <v>57.776989356310203</v>
      </c>
      <c r="E202" s="110">
        <v>58.749665944800299</v>
      </c>
      <c r="F202" s="110">
        <v>298.5</v>
      </c>
      <c r="G202">
        <v>76185</v>
      </c>
      <c r="H202" s="110"/>
      <c r="I202" s="110"/>
      <c r="L202" s="133">
        <v>42296</v>
      </c>
      <c r="M202" s="110">
        <v>58.057783543934498</v>
      </c>
      <c r="N202" s="110">
        <v>58.884540387833702</v>
      </c>
      <c r="O202" s="110">
        <v>57.7757135618983</v>
      </c>
      <c r="P202" s="110">
        <v>58.709462467949201</v>
      </c>
      <c r="Q202" s="110">
        <v>298.45</v>
      </c>
      <c r="R202">
        <v>1127551</v>
      </c>
    </row>
    <row r="203" spans="1:18" x14ac:dyDescent="0.25">
      <c r="A203" s="133">
        <v>42297</v>
      </c>
      <c r="B203" s="110">
        <v>59.294364834354703</v>
      </c>
      <c r="C203" s="110">
        <v>58.448136202368303</v>
      </c>
      <c r="D203" s="110">
        <v>57.631087868036701</v>
      </c>
      <c r="E203" s="110">
        <v>57.631087868036701</v>
      </c>
      <c r="F203" s="110">
        <v>300.45</v>
      </c>
      <c r="G203">
        <v>117099</v>
      </c>
      <c r="H203" s="110"/>
      <c r="I203" s="110"/>
      <c r="L203" s="133">
        <v>42297</v>
      </c>
      <c r="M203" s="110">
        <v>58.485751792541201</v>
      </c>
      <c r="N203" s="110">
        <v>59.283328983126303</v>
      </c>
      <c r="O203" s="110">
        <v>57.979971135097003</v>
      </c>
      <c r="P203" s="110">
        <v>57.979971135097003</v>
      </c>
      <c r="Q203" s="110">
        <v>300.64999999999998</v>
      </c>
      <c r="R203">
        <v>1463975</v>
      </c>
    </row>
    <row r="204" spans="1:18" x14ac:dyDescent="0.25">
      <c r="A204" s="133">
        <v>42298</v>
      </c>
      <c r="B204" s="110">
        <v>58.7399391789154</v>
      </c>
      <c r="C204" s="110">
        <v>57.212836934986001</v>
      </c>
      <c r="D204" s="110">
        <v>56.950214256093602</v>
      </c>
      <c r="E204" s="110">
        <v>58.7399391789154</v>
      </c>
      <c r="F204" s="110">
        <v>294.10000000000002</v>
      </c>
      <c r="G204">
        <v>119866</v>
      </c>
      <c r="H204" s="110"/>
      <c r="I204" s="110"/>
      <c r="L204" s="133">
        <v>42298</v>
      </c>
      <c r="M204" s="110">
        <v>57.211573597825897</v>
      </c>
      <c r="N204" s="110">
        <v>58.738642121263297</v>
      </c>
      <c r="O204" s="110">
        <v>56.919777064685</v>
      </c>
      <c r="P204" s="110">
        <v>58.456572139227099</v>
      </c>
      <c r="Q204" s="110">
        <v>294.10000000000002</v>
      </c>
      <c r="R204">
        <v>1410590</v>
      </c>
    </row>
    <row r="205" spans="1:18" x14ac:dyDescent="0.25">
      <c r="A205" s="133">
        <v>42300</v>
      </c>
      <c r="B205" s="110">
        <v>58.214693821130702</v>
      </c>
      <c r="C205" s="110">
        <v>57.524093443302803</v>
      </c>
      <c r="D205" s="110">
        <v>57.2322904667557</v>
      </c>
      <c r="E205" s="110">
        <v>57.961797908123302</v>
      </c>
      <c r="F205" s="110">
        <v>295.7</v>
      </c>
      <c r="G205">
        <v>91321</v>
      </c>
      <c r="H205" s="110"/>
      <c r="I205" s="110"/>
      <c r="L205" s="133">
        <v>42300</v>
      </c>
      <c r="M205" s="110">
        <v>57.561729437594998</v>
      </c>
      <c r="N205" s="110">
        <v>58.242588014923797</v>
      </c>
      <c r="O205" s="110">
        <v>57.386651517710497</v>
      </c>
      <c r="P205" s="110">
        <v>57.7757135618983</v>
      </c>
      <c r="Q205" s="110">
        <v>295.89999999999998</v>
      </c>
      <c r="R205">
        <v>1170134</v>
      </c>
    </row>
    <row r="206" spans="1:18" x14ac:dyDescent="0.25">
      <c r="A206" s="133">
        <v>42303</v>
      </c>
      <c r="B206" s="110">
        <v>57.961797908123302</v>
      </c>
      <c r="C206" s="110">
        <v>56.707045108971101</v>
      </c>
      <c r="D206" s="110">
        <v>56.522236557158003</v>
      </c>
      <c r="E206" s="110">
        <v>57.961797908123302</v>
      </c>
      <c r="F206" s="110">
        <v>291.5</v>
      </c>
      <c r="G206">
        <v>109611</v>
      </c>
      <c r="H206" s="110"/>
      <c r="I206" s="110"/>
      <c r="L206" s="133">
        <v>42303</v>
      </c>
      <c r="M206" s="110">
        <v>56.715519491486397</v>
      </c>
      <c r="N206" s="110">
        <v>57.931338379573504</v>
      </c>
      <c r="O206" s="110">
        <v>56.520988469392499</v>
      </c>
      <c r="P206" s="110">
        <v>57.931338379573504</v>
      </c>
      <c r="Q206" s="110">
        <v>291.55</v>
      </c>
      <c r="R206">
        <v>1173174</v>
      </c>
    </row>
    <row r="207" spans="1:18" x14ac:dyDescent="0.25">
      <c r="A207" s="133">
        <v>42304</v>
      </c>
      <c r="B207" s="110">
        <v>57.2225637008709</v>
      </c>
      <c r="C207" s="110">
        <v>56.3860618347694</v>
      </c>
      <c r="D207" s="110">
        <v>56.026171497028102</v>
      </c>
      <c r="E207" s="110">
        <v>56.794586001935201</v>
      </c>
      <c r="F207" s="110">
        <v>289.85000000000002</v>
      </c>
      <c r="G207">
        <v>168583</v>
      </c>
      <c r="H207" s="110"/>
      <c r="I207" s="110"/>
      <c r="L207" s="133">
        <v>42304</v>
      </c>
      <c r="M207" s="110">
        <v>56.472355713869</v>
      </c>
      <c r="N207" s="110">
        <v>57.231026700035301</v>
      </c>
      <c r="O207" s="110">
        <v>56.122199874099898</v>
      </c>
      <c r="P207" s="110">
        <v>56.773878798114602</v>
      </c>
      <c r="Q207" s="110">
        <v>290.3</v>
      </c>
      <c r="R207">
        <v>1577519</v>
      </c>
    </row>
    <row r="208" spans="1:18" x14ac:dyDescent="0.25">
      <c r="A208" s="133">
        <v>42305</v>
      </c>
      <c r="B208" s="110">
        <v>56.240160346495898</v>
      </c>
      <c r="C208" s="110">
        <v>55.286937289775601</v>
      </c>
      <c r="D208" s="110">
        <v>54.8784131226098</v>
      </c>
      <c r="E208" s="110">
        <v>56.2207068147261</v>
      </c>
      <c r="F208" s="110">
        <v>284.2</v>
      </c>
      <c r="G208">
        <v>210291</v>
      </c>
      <c r="H208" s="110"/>
      <c r="I208" s="110"/>
      <c r="L208" s="133">
        <v>42305</v>
      </c>
      <c r="M208" s="110">
        <v>55.382981990142902</v>
      </c>
      <c r="N208" s="110">
        <v>56.316730896193803</v>
      </c>
      <c r="O208" s="110">
        <v>54.955013741536298</v>
      </c>
      <c r="P208" s="110">
        <v>56.316730896193803</v>
      </c>
      <c r="Q208" s="110">
        <v>284.7</v>
      </c>
      <c r="R208">
        <v>1529926</v>
      </c>
    </row>
    <row r="209" spans="1:18" x14ac:dyDescent="0.25">
      <c r="A209" s="133">
        <v>42306</v>
      </c>
      <c r="B209" s="110">
        <v>55.821909413445098</v>
      </c>
      <c r="C209" s="110">
        <v>54.654697507257097</v>
      </c>
      <c r="D209" s="110">
        <v>54.469888955443999</v>
      </c>
      <c r="E209" s="110">
        <v>55.637100861632</v>
      </c>
      <c r="F209" s="110">
        <v>280.95</v>
      </c>
      <c r="G209">
        <v>107666</v>
      </c>
      <c r="H209" s="110"/>
      <c r="I209" s="110"/>
      <c r="L209" s="133">
        <v>42306</v>
      </c>
      <c r="M209" s="110">
        <v>54.604857901767197</v>
      </c>
      <c r="N209" s="110">
        <v>55.655325421074501</v>
      </c>
      <c r="O209" s="110">
        <v>54.468686186301497</v>
      </c>
      <c r="P209" s="110">
        <v>55.577513012236899</v>
      </c>
      <c r="Q209" s="110">
        <v>280.7</v>
      </c>
      <c r="R209">
        <v>1318937</v>
      </c>
    </row>
    <row r="210" spans="1:18" x14ac:dyDescent="0.25">
      <c r="A210" s="133">
        <v>42307</v>
      </c>
      <c r="B210" s="110">
        <v>55.607920563977302</v>
      </c>
      <c r="C210" s="110">
        <v>53.896009768234798</v>
      </c>
      <c r="D210" s="110">
        <v>53.497212366953903</v>
      </c>
      <c r="E210" s="110">
        <v>55.248030226235997</v>
      </c>
      <c r="F210" s="110">
        <v>277.05</v>
      </c>
      <c r="G210">
        <v>126569</v>
      </c>
      <c r="H210" s="110"/>
      <c r="I210" s="110"/>
      <c r="L210" s="133">
        <v>42307</v>
      </c>
      <c r="M210" s="110">
        <v>53.8656400178103</v>
      </c>
      <c r="N210" s="110">
        <v>55.635872318865097</v>
      </c>
      <c r="O210" s="110">
        <v>53.515484178041199</v>
      </c>
      <c r="P210" s="110">
        <v>55.013373048164503</v>
      </c>
      <c r="Q210" s="110">
        <v>276.89999999999998</v>
      </c>
      <c r="R210">
        <v>1939601</v>
      </c>
    </row>
    <row r="211" spans="1:18" x14ac:dyDescent="0.25">
      <c r="A211" s="133">
        <v>42310</v>
      </c>
      <c r="B211" s="110">
        <v>54.216993042436499</v>
      </c>
      <c r="C211" s="110">
        <v>54.012730958853602</v>
      </c>
      <c r="D211" s="110">
        <v>53.195682624522</v>
      </c>
      <c r="E211" s="110">
        <v>53.934916831774402</v>
      </c>
      <c r="F211" s="110">
        <v>277.64999999999998</v>
      </c>
      <c r="G211">
        <v>165677</v>
      </c>
      <c r="H211" s="110"/>
      <c r="I211" s="110"/>
      <c r="L211" s="133">
        <v>42310</v>
      </c>
      <c r="M211" s="110">
        <v>54.060171039904198</v>
      </c>
      <c r="N211" s="110">
        <v>54.235248959788699</v>
      </c>
      <c r="O211" s="110">
        <v>53.175054889376803</v>
      </c>
      <c r="P211" s="110">
        <v>53.846186915600903</v>
      </c>
      <c r="Q211" s="110">
        <v>277.89999999999998</v>
      </c>
      <c r="R211">
        <v>1606564</v>
      </c>
    </row>
    <row r="212" spans="1:18" x14ac:dyDescent="0.25">
      <c r="A212" s="133">
        <v>42311</v>
      </c>
      <c r="B212" s="110">
        <v>55.004861079113503</v>
      </c>
      <c r="C212" s="110">
        <v>54.362894530710001</v>
      </c>
      <c r="D212" s="110">
        <v>54.129452149472399</v>
      </c>
      <c r="E212" s="110">
        <v>54.430981891904402</v>
      </c>
      <c r="F212" s="110">
        <v>279.45</v>
      </c>
      <c r="G212">
        <v>114854</v>
      </c>
      <c r="H212" s="110"/>
      <c r="I212" s="110"/>
      <c r="L212" s="133">
        <v>42311</v>
      </c>
      <c r="M212" s="110">
        <v>54.468686186301497</v>
      </c>
      <c r="N212" s="110">
        <v>55.003646497059798</v>
      </c>
      <c r="O212" s="110">
        <v>54.157436550951203</v>
      </c>
      <c r="P212" s="110">
        <v>54.429779981882703</v>
      </c>
      <c r="Q212" s="110">
        <v>280</v>
      </c>
      <c r="R212">
        <v>1406645</v>
      </c>
    </row>
    <row r="213" spans="1:18" x14ac:dyDescent="0.25">
      <c r="A213" s="133">
        <v>42312</v>
      </c>
      <c r="B213" s="110">
        <v>55.248030226235997</v>
      </c>
      <c r="C213" s="110">
        <v>53.3610376445653</v>
      </c>
      <c r="D213" s="110">
        <v>53.001147306823903</v>
      </c>
      <c r="E213" s="110">
        <v>54.829779293185297</v>
      </c>
      <c r="F213" s="110">
        <v>274.3</v>
      </c>
      <c r="G213">
        <v>488125</v>
      </c>
      <c r="H213" s="110"/>
      <c r="I213" s="110"/>
      <c r="L213" s="133">
        <v>42312</v>
      </c>
      <c r="M213" s="110">
        <v>53.1945079915862</v>
      </c>
      <c r="N213" s="110">
        <v>55.246810274677202</v>
      </c>
      <c r="O213" s="110">
        <v>52.912438009550002</v>
      </c>
      <c r="P213" s="110">
        <v>54.935560639326901</v>
      </c>
      <c r="Q213" s="110">
        <v>273.45</v>
      </c>
      <c r="R213">
        <v>5239703</v>
      </c>
    </row>
    <row r="214" spans="1:18" x14ac:dyDescent="0.25">
      <c r="A214" s="133">
        <v>42313</v>
      </c>
      <c r="B214" s="110">
        <v>53.331857346910603</v>
      </c>
      <c r="C214" s="110">
        <v>52.5245357784638</v>
      </c>
      <c r="D214" s="110">
        <v>52.291093397226199</v>
      </c>
      <c r="E214" s="110">
        <v>52.913606413859803</v>
      </c>
      <c r="F214" s="110">
        <v>270</v>
      </c>
      <c r="G214">
        <v>162322</v>
      </c>
      <c r="H214" s="110"/>
      <c r="I214" s="110"/>
      <c r="L214" s="133">
        <v>42313</v>
      </c>
      <c r="M214" s="110">
        <v>52.513649414257401</v>
      </c>
      <c r="N214" s="110">
        <v>53.379312462575399</v>
      </c>
      <c r="O214" s="110">
        <v>52.2510325344306</v>
      </c>
      <c r="P214" s="110">
        <v>52.912438009550002</v>
      </c>
      <c r="Q214" s="110">
        <v>269.95</v>
      </c>
      <c r="R214">
        <v>2091965</v>
      </c>
    </row>
    <row r="215" spans="1:18" x14ac:dyDescent="0.25">
      <c r="A215" s="133">
        <v>42314</v>
      </c>
      <c r="B215" s="110">
        <v>53.993277427083797</v>
      </c>
      <c r="C215" s="110">
        <v>53.487485601068997</v>
      </c>
      <c r="D215" s="110">
        <v>52.261913099571501</v>
      </c>
      <c r="E215" s="110">
        <v>52.5245357784638</v>
      </c>
      <c r="F215" s="110">
        <v>274.95</v>
      </c>
      <c r="G215">
        <v>257239</v>
      </c>
      <c r="H215" s="110"/>
      <c r="I215" s="110"/>
      <c r="L215" s="133">
        <v>42314</v>
      </c>
      <c r="M215" s="110">
        <v>53.486304524727103</v>
      </c>
      <c r="N215" s="110">
        <v>54.011538284380698</v>
      </c>
      <c r="O215" s="110">
        <v>52.241305983325901</v>
      </c>
      <c r="P215" s="110">
        <v>52.513649414257401</v>
      </c>
      <c r="Q215" s="110">
        <v>274.95</v>
      </c>
      <c r="R215">
        <v>2479889</v>
      </c>
    </row>
    <row r="216" spans="1:18" x14ac:dyDescent="0.25">
      <c r="A216" s="133">
        <v>42317</v>
      </c>
      <c r="B216" s="110">
        <v>54.323987467170397</v>
      </c>
      <c r="C216" s="110">
        <v>53.857102704695201</v>
      </c>
      <c r="D216" s="110">
        <v>52.028470718333899</v>
      </c>
      <c r="E216" s="110">
        <v>52.709344330276899</v>
      </c>
      <c r="F216" s="110">
        <v>276.85000000000002</v>
      </c>
      <c r="G216">
        <v>242991</v>
      </c>
      <c r="H216" s="110"/>
      <c r="I216" s="110"/>
      <c r="L216" s="133">
        <v>42317</v>
      </c>
      <c r="M216" s="110">
        <v>53.9142727733337</v>
      </c>
      <c r="N216" s="110">
        <v>54.371420675254498</v>
      </c>
      <c r="O216" s="110">
        <v>51.998142205708497</v>
      </c>
      <c r="P216" s="110">
        <v>52.309391841058797</v>
      </c>
      <c r="Q216" s="110">
        <v>277.14999999999998</v>
      </c>
      <c r="R216">
        <v>1496616</v>
      </c>
    </row>
    <row r="217" spans="1:18" x14ac:dyDescent="0.25">
      <c r="A217" s="133">
        <v>42318</v>
      </c>
      <c r="B217" s="110">
        <v>54.829779293185297</v>
      </c>
      <c r="C217" s="110">
        <v>53.137322029212598</v>
      </c>
      <c r="D217" s="110">
        <v>52.942786711514501</v>
      </c>
      <c r="E217" s="110">
        <v>53.594480025802902</v>
      </c>
      <c r="F217" s="110">
        <v>273.14999999999998</v>
      </c>
      <c r="G217">
        <v>166388</v>
      </c>
      <c r="H217" s="110"/>
      <c r="I217" s="110"/>
      <c r="L217" s="133">
        <v>42318</v>
      </c>
      <c r="M217" s="110">
        <v>53.1458752360627</v>
      </c>
      <c r="N217" s="110">
        <v>54.8091154749658</v>
      </c>
      <c r="O217" s="110">
        <v>52.873531805131201</v>
      </c>
      <c r="P217" s="110">
        <v>53.583570035774102</v>
      </c>
      <c r="Q217" s="110">
        <v>273.2</v>
      </c>
      <c r="R217">
        <v>1814614</v>
      </c>
    </row>
    <row r="218" spans="1:18" x14ac:dyDescent="0.25">
      <c r="A218" s="133">
        <v>42319</v>
      </c>
      <c r="B218" s="110">
        <v>54.275353637745901</v>
      </c>
      <c r="C218" s="110">
        <v>53.390217942219998</v>
      </c>
      <c r="D218" s="110">
        <v>53.254043219831402</v>
      </c>
      <c r="E218" s="110">
        <v>54.275353637745901</v>
      </c>
      <c r="F218" s="110">
        <v>274.45</v>
      </c>
      <c r="G218">
        <v>12085</v>
      </c>
      <c r="H218" s="110"/>
      <c r="I218" s="110"/>
      <c r="L218" s="133">
        <v>42319</v>
      </c>
      <c r="M218" s="110">
        <v>53.340406258156598</v>
      </c>
      <c r="N218" s="110">
        <v>53.8656400178103</v>
      </c>
      <c r="O218" s="110">
        <v>52.824899049607701</v>
      </c>
      <c r="P218" s="110">
        <v>53.690562097925699</v>
      </c>
      <c r="Q218" s="110">
        <v>274.2</v>
      </c>
      <c r="R218">
        <v>158969</v>
      </c>
    </row>
    <row r="219" spans="1:18" x14ac:dyDescent="0.25">
      <c r="A219" s="133">
        <v>42321</v>
      </c>
      <c r="B219" s="110">
        <v>54.080818320047896</v>
      </c>
      <c r="C219" s="110">
        <v>53.769561811731101</v>
      </c>
      <c r="D219" s="110">
        <v>52.602349905543001</v>
      </c>
      <c r="E219" s="110">
        <v>53.1081417315579</v>
      </c>
      <c r="F219" s="110">
        <v>276.39999999999998</v>
      </c>
      <c r="G219">
        <v>111250</v>
      </c>
      <c r="H219" s="110"/>
      <c r="I219" s="110"/>
      <c r="L219" s="133">
        <v>42321</v>
      </c>
      <c r="M219" s="110">
        <v>53.953178977752501</v>
      </c>
      <c r="N219" s="110">
        <v>54.196342755369898</v>
      </c>
      <c r="O219" s="110">
        <v>52.630368027513803</v>
      </c>
      <c r="P219" s="110">
        <v>53.126422133853303</v>
      </c>
      <c r="Q219" s="110">
        <v>277.35000000000002</v>
      </c>
      <c r="R219">
        <v>1368734</v>
      </c>
    </row>
    <row r="220" spans="1:18" x14ac:dyDescent="0.25">
      <c r="A220" s="133">
        <v>42324</v>
      </c>
      <c r="B220" s="110">
        <v>55.024314610883302</v>
      </c>
      <c r="C220" s="110">
        <v>54.858959590840001</v>
      </c>
      <c r="D220" s="110">
        <v>53.652840621112297</v>
      </c>
      <c r="E220" s="110">
        <v>53.652840621112297</v>
      </c>
      <c r="F220" s="110">
        <v>282</v>
      </c>
      <c r="G220">
        <v>159517</v>
      </c>
      <c r="H220" s="110"/>
      <c r="I220" s="110"/>
      <c r="L220" s="133">
        <v>42324</v>
      </c>
      <c r="M220" s="110">
        <v>54.799388923861102</v>
      </c>
      <c r="N220" s="110">
        <v>54.955013741536298</v>
      </c>
      <c r="O220" s="110">
        <v>53.622476240192803</v>
      </c>
      <c r="P220" s="110">
        <v>53.846186915600903</v>
      </c>
      <c r="Q220" s="110">
        <v>281.7</v>
      </c>
      <c r="R220">
        <v>1122171</v>
      </c>
    </row>
    <row r="221" spans="1:18" x14ac:dyDescent="0.25">
      <c r="A221" s="133">
        <v>42325</v>
      </c>
      <c r="B221" s="110">
        <v>55.335571119200097</v>
      </c>
      <c r="C221" s="110">
        <v>53.769561811731101</v>
      </c>
      <c r="D221" s="110">
        <v>53.516665898723701</v>
      </c>
      <c r="E221" s="110">
        <v>55.277210523890702</v>
      </c>
      <c r="F221" s="110">
        <v>276.39999999999998</v>
      </c>
      <c r="G221">
        <v>154419</v>
      </c>
      <c r="H221" s="110"/>
      <c r="I221" s="110"/>
      <c r="L221" s="133">
        <v>42325</v>
      </c>
      <c r="M221" s="110">
        <v>53.671108995716303</v>
      </c>
      <c r="N221" s="110">
        <v>55.275989927991297</v>
      </c>
      <c r="O221" s="110">
        <v>53.4182186669942</v>
      </c>
      <c r="P221" s="110">
        <v>55.149544763630203</v>
      </c>
      <c r="Q221" s="110">
        <v>275.89999999999998</v>
      </c>
      <c r="R221">
        <v>1914965</v>
      </c>
    </row>
    <row r="222" spans="1:18" x14ac:dyDescent="0.25">
      <c r="A222" s="133">
        <v>42326</v>
      </c>
      <c r="B222" s="110">
        <v>54.430981891904402</v>
      </c>
      <c r="C222" s="110">
        <v>52.427268119614801</v>
      </c>
      <c r="D222" s="110">
        <v>52.135465143067798</v>
      </c>
      <c r="E222" s="110">
        <v>54.430981891904402</v>
      </c>
      <c r="F222" s="110">
        <v>269.5</v>
      </c>
      <c r="G222">
        <v>862137</v>
      </c>
      <c r="H222" s="110"/>
      <c r="I222" s="110"/>
      <c r="L222" s="133">
        <v>42326</v>
      </c>
      <c r="M222" s="110">
        <v>52.455290107629203</v>
      </c>
      <c r="N222" s="110">
        <v>54.322787919730999</v>
      </c>
      <c r="O222" s="110">
        <v>52.173220125592998</v>
      </c>
      <c r="P222" s="110">
        <v>53.817007262286801</v>
      </c>
      <c r="Q222" s="110">
        <v>269.64999999999998</v>
      </c>
      <c r="R222">
        <v>1327185</v>
      </c>
    </row>
    <row r="223" spans="1:18" x14ac:dyDescent="0.25">
      <c r="A223" s="133">
        <v>42327</v>
      </c>
      <c r="B223" s="110">
        <v>53.1081417315579</v>
      </c>
      <c r="C223" s="110">
        <v>52.543989310233599</v>
      </c>
      <c r="D223" s="110">
        <v>52.135465143067798</v>
      </c>
      <c r="E223" s="110">
        <v>53.1081417315579</v>
      </c>
      <c r="F223" s="110">
        <v>270.10000000000002</v>
      </c>
      <c r="G223">
        <v>168873</v>
      </c>
      <c r="H223" s="110"/>
      <c r="I223" s="110"/>
      <c r="L223" s="133">
        <v>42327</v>
      </c>
      <c r="M223" s="110">
        <v>52.387204249896399</v>
      </c>
      <c r="N223" s="110">
        <v>53.087515929434502</v>
      </c>
      <c r="O223" s="110">
        <v>52.085681165650797</v>
      </c>
      <c r="P223" s="110">
        <v>53.029156622806298</v>
      </c>
      <c r="Q223" s="110">
        <v>269.3</v>
      </c>
      <c r="R223">
        <v>1800101</v>
      </c>
    </row>
    <row r="224" spans="1:18" x14ac:dyDescent="0.25">
      <c r="A224" s="133">
        <v>42328</v>
      </c>
      <c r="B224" s="110">
        <v>52.971967009169198</v>
      </c>
      <c r="C224" s="110">
        <v>52.320273694880903</v>
      </c>
      <c r="D224" s="110">
        <v>51.707487444132198</v>
      </c>
      <c r="E224" s="110">
        <v>52.719071096161798</v>
      </c>
      <c r="F224" s="110">
        <v>268.95</v>
      </c>
      <c r="G224">
        <v>189642</v>
      </c>
      <c r="H224" s="110"/>
      <c r="I224" s="110"/>
      <c r="L224" s="133">
        <v>42328</v>
      </c>
      <c r="M224" s="110">
        <v>52.270485636639997</v>
      </c>
      <c r="N224" s="110">
        <v>53.009703520597</v>
      </c>
      <c r="O224" s="110">
        <v>51.647986365939403</v>
      </c>
      <c r="P224" s="110">
        <v>52.260759085535298</v>
      </c>
      <c r="Q224" s="110">
        <v>268.7</v>
      </c>
      <c r="R224">
        <v>2136760</v>
      </c>
    </row>
    <row r="225" spans="1:18" x14ac:dyDescent="0.25">
      <c r="A225" s="133">
        <v>42331</v>
      </c>
      <c r="B225" s="110">
        <v>52.757978159701402</v>
      </c>
      <c r="C225" s="110">
        <v>52.203552504262099</v>
      </c>
      <c r="D225" s="110">
        <v>52.018743952449</v>
      </c>
      <c r="E225" s="110">
        <v>52.602349905543001</v>
      </c>
      <c r="F225" s="110">
        <v>268.35000000000002</v>
      </c>
      <c r="G225">
        <v>67588</v>
      </c>
      <c r="H225" s="110"/>
      <c r="I225" s="110"/>
      <c r="L225" s="133">
        <v>42331</v>
      </c>
      <c r="M225" s="110">
        <v>52.182946676697703</v>
      </c>
      <c r="N225" s="110">
        <v>52.795719396293599</v>
      </c>
      <c r="O225" s="110">
        <v>51.9786891034991</v>
      </c>
      <c r="P225" s="110">
        <v>52.523375965362099</v>
      </c>
      <c r="Q225" s="110">
        <v>268.25</v>
      </c>
      <c r="R225">
        <v>1078363</v>
      </c>
    </row>
    <row r="226" spans="1:18" x14ac:dyDescent="0.25">
      <c r="A226" s="133">
        <v>42332</v>
      </c>
      <c r="B226" s="110">
        <v>52.5245357784638</v>
      </c>
      <c r="C226" s="110">
        <v>51.328143574621002</v>
      </c>
      <c r="D226" s="110">
        <v>51.065520895728703</v>
      </c>
      <c r="E226" s="110">
        <v>52.505082246694002</v>
      </c>
      <c r="F226" s="110">
        <v>263.85000000000002</v>
      </c>
      <c r="G226">
        <v>173443</v>
      </c>
      <c r="H226" s="110"/>
      <c r="I226" s="110"/>
      <c r="L226" s="133">
        <v>42332</v>
      </c>
      <c r="M226" s="110">
        <v>51.307557077275</v>
      </c>
      <c r="N226" s="110">
        <v>52.426110454315101</v>
      </c>
      <c r="O226" s="110">
        <v>50.986580890820001</v>
      </c>
      <c r="P226" s="110">
        <v>52.134313921174197</v>
      </c>
      <c r="Q226" s="110">
        <v>263.75</v>
      </c>
      <c r="R226">
        <v>1535483</v>
      </c>
    </row>
    <row r="227" spans="1:18" x14ac:dyDescent="0.25">
      <c r="A227" s="133">
        <v>42334</v>
      </c>
      <c r="B227" s="110">
        <v>51.707487444132198</v>
      </c>
      <c r="C227" s="110">
        <v>51.036340598073998</v>
      </c>
      <c r="D227" s="110">
        <v>50.948799705109899</v>
      </c>
      <c r="E227" s="110">
        <v>51.551859189973698</v>
      </c>
      <c r="F227" s="110">
        <v>262.35000000000002</v>
      </c>
      <c r="G227">
        <v>103140</v>
      </c>
      <c r="H227" s="110"/>
      <c r="I227" s="110"/>
      <c r="L227" s="133">
        <v>42334</v>
      </c>
      <c r="M227" s="110">
        <v>51.0352136463435</v>
      </c>
      <c r="N227" s="110">
        <v>51.735525325881703</v>
      </c>
      <c r="O227" s="110">
        <v>50.879588828668403</v>
      </c>
      <c r="P227" s="110">
        <v>51.609080161520602</v>
      </c>
      <c r="Q227" s="110">
        <v>262.35000000000002</v>
      </c>
      <c r="R227">
        <v>1271103</v>
      </c>
    </row>
    <row r="228" spans="1:18" x14ac:dyDescent="0.25">
      <c r="A228" s="133">
        <v>42335</v>
      </c>
      <c r="B228" s="110">
        <v>52.796885223240999</v>
      </c>
      <c r="C228" s="110">
        <v>52.680164032622201</v>
      </c>
      <c r="D228" s="110">
        <v>51.1822420863475</v>
      </c>
      <c r="E228" s="110">
        <v>51.337870340505901</v>
      </c>
      <c r="F228" s="110">
        <v>270.8</v>
      </c>
      <c r="G228">
        <v>182139</v>
      </c>
      <c r="H228" s="110"/>
      <c r="I228" s="110"/>
      <c r="L228" s="133">
        <v>42335</v>
      </c>
      <c r="M228" s="110">
        <v>52.6984538852467</v>
      </c>
      <c r="N228" s="110">
        <v>52.854078702921797</v>
      </c>
      <c r="O228" s="110">
        <v>51.229744668437498</v>
      </c>
      <c r="P228" s="110">
        <v>51.511814650473703</v>
      </c>
      <c r="Q228" s="110">
        <v>270.89999999999998</v>
      </c>
      <c r="R228">
        <v>2079835</v>
      </c>
    </row>
    <row r="229" spans="1:18" x14ac:dyDescent="0.25">
      <c r="A229" s="133">
        <v>42338</v>
      </c>
      <c r="B229" s="110">
        <v>53.575026494033096</v>
      </c>
      <c r="C229" s="110">
        <v>53.049781136248399</v>
      </c>
      <c r="D229" s="110">
        <v>52.719071096161798</v>
      </c>
      <c r="E229" s="110">
        <v>52.719071096161798</v>
      </c>
      <c r="F229" s="110">
        <v>272.7</v>
      </c>
      <c r="G229">
        <v>307289</v>
      </c>
      <c r="H229" s="110"/>
      <c r="I229" s="110"/>
      <c r="L229" s="133">
        <v>42338</v>
      </c>
      <c r="M229" s="110">
        <v>52.961070765073501</v>
      </c>
      <c r="N229" s="110">
        <v>53.476577973622398</v>
      </c>
      <c r="O229" s="110">
        <v>52.669274231932597</v>
      </c>
      <c r="P229" s="110">
        <v>52.6984538852467</v>
      </c>
      <c r="Q229" s="110">
        <v>272.25</v>
      </c>
      <c r="R229">
        <v>1419457</v>
      </c>
    </row>
    <row r="230" spans="1:18" x14ac:dyDescent="0.25">
      <c r="A230" s="133">
        <v>42339</v>
      </c>
      <c r="B230" s="110">
        <v>53.302677049255898</v>
      </c>
      <c r="C230" s="110">
        <v>52.573169607888303</v>
      </c>
      <c r="D230" s="110">
        <v>52.3591807584205</v>
      </c>
      <c r="E230" s="110">
        <v>53.010874072708802</v>
      </c>
      <c r="F230" s="110">
        <v>270.25</v>
      </c>
      <c r="G230">
        <v>163373</v>
      </c>
      <c r="H230" s="110"/>
      <c r="I230" s="110"/>
      <c r="L230" s="133">
        <v>42339</v>
      </c>
      <c r="M230" s="110">
        <v>52.581735271990297</v>
      </c>
      <c r="N230" s="110">
        <v>53.320953155947201</v>
      </c>
      <c r="O230" s="110">
        <v>52.260759085535298</v>
      </c>
      <c r="P230" s="110">
        <v>53.204234542690898</v>
      </c>
      <c r="Q230" s="110">
        <v>270.3</v>
      </c>
      <c r="R230">
        <v>1017864</v>
      </c>
    </row>
    <row r="231" spans="1:18" x14ac:dyDescent="0.25">
      <c r="A231" s="133">
        <v>42340</v>
      </c>
      <c r="B231" s="110">
        <v>52.738524627931596</v>
      </c>
      <c r="C231" s="110">
        <v>51.396230935815296</v>
      </c>
      <c r="D231" s="110">
        <v>51.162788554577702</v>
      </c>
      <c r="E231" s="110">
        <v>52.738524627931596</v>
      </c>
      <c r="F231" s="110">
        <v>264.2</v>
      </c>
      <c r="G231">
        <v>110993</v>
      </c>
      <c r="H231" s="110"/>
      <c r="I231" s="110"/>
      <c r="L231" s="133">
        <v>42340</v>
      </c>
      <c r="M231" s="110">
        <v>51.385369486112602</v>
      </c>
      <c r="N231" s="110">
        <v>52.572008720885599</v>
      </c>
      <c r="O231" s="110">
        <v>51.210291566228101</v>
      </c>
      <c r="P231" s="110">
        <v>52.435837005419799</v>
      </c>
      <c r="Q231" s="110">
        <v>264.14999999999998</v>
      </c>
      <c r="R231">
        <v>1305872</v>
      </c>
    </row>
    <row r="232" spans="1:18" x14ac:dyDescent="0.25">
      <c r="A232" s="133">
        <v>42341</v>
      </c>
      <c r="B232" s="110">
        <v>51.483771828779403</v>
      </c>
      <c r="C232" s="110">
        <v>50.608362899138399</v>
      </c>
      <c r="D232" s="110">
        <v>50.384647283785696</v>
      </c>
      <c r="E232" s="110">
        <v>51.298963276966298</v>
      </c>
      <c r="F232" s="110">
        <v>260.14999999999998</v>
      </c>
      <c r="G232">
        <v>181334</v>
      </c>
      <c r="H232" s="110"/>
      <c r="I232" s="110"/>
      <c r="L232" s="133">
        <v>42341</v>
      </c>
      <c r="M232" s="110">
        <v>50.509979886689898</v>
      </c>
      <c r="N232" s="110">
        <v>51.4826349971596</v>
      </c>
      <c r="O232" s="110">
        <v>50.402987824538201</v>
      </c>
      <c r="P232" s="110">
        <v>50.967127788610597</v>
      </c>
      <c r="Q232" s="110">
        <v>259.64999999999998</v>
      </c>
      <c r="R232">
        <v>1583408</v>
      </c>
    </row>
    <row r="233" spans="1:18" x14ac:dyDescent="0.25">
      <c r="A233" s="133">
        <v>42342</v>
      </c>
      <c r="B233" s="110">
        <v>50.569455835598802</v>
      </c>
      <c r="C233" s="110">
        <v>49.217435377597603</v>
      </c>
      <c r="D233" s="110">
        <v>49.120167718748597</v>
      </c>
      <c r="E233" s="110">
        <v>50.4235543473253</v>
      </c>
      <c r="F233" s="110">
        <v>253</v>
      </c>
      <c r="G233">
        <v>365456</v>
      </c>
      <c r="H233" s="110"/>
      <c r="I233" s="110"/>
      <c r="L233" s="133">
        <v>42342</v>
      </c>
      <c r="M233" s="110">
        <v>49.226075140869902</v>
      </c>
      <c r="N233" s="110">
        <v>50.305722313491302</v>
      </c>
      <c r="O233" s="110">
        <v>49.138536180927701</v>
      </c>
      <c r="P233" s="110">
        <v>50.189003700234899</v>
      </c>
      <c r="Q233" s="110">
        <v>253.05</v>
      </c>
      <c r="R233">
        <v>2123522</v>
      </c>
    </row>
    <row r="234" spans="1:18" x14ac:dyDescent="0.25">
      <c r="A234" s="133">
        <v>42345</v>
      </c>
      <c r="B234" s="110">
        <v>49.801041330691604</v>
      </c>
      <c r="C234" s="110">
        <v>49.197981845827798</v>
      </c>
      <c r="D234" s="110">
        <v>48.818637976316602</v>
      </c>
      <c r="E234" s="110">
        <v>49.742680735382201</v>
      </c>
      <c r="F234" s="110">
        <v>252.9</v>
      </c>
      <c r="G234">
        <v>128334</v>
      </c>
      <c r="H234" s="110"/>
      <c r="I234" s="110"/>
      <c r="L234" s="133">
        <v>42345</v>
      </c>
      <c r="M234" s="110">
        <v>49.196895487555899</v>
      </c>
      <c r="N234" s="110">
        <v>49.819394758256401</v>
      </c>
      <c r="O234" s="110">
        <v>48.759200687844498</v>
      </c>
      <c r="P234" s="110">
        <v>49.761035451628302</v>
      </c>
      <c r="Q234" s="110">
        <v>252.9</v>
      </c>
      <c r="R234">
        <v>1296362</v>
      </c>
    </row>
    <row r="235" spans="1:18" x14ac:dyDescent="0.25">
      <c r="A235" s="133">
        <v>42346</v>
      </c>
      <c r="B235" s="110">
        <v>49.742680735382201</v>
      </c>
      <c r="C235" s="110">
        <v>48.653282956273301</v>
      </c>
      <c r="D235" s="110">
        <v>48.439294106805498</v>
      </c>
      <c r="E235" s="110">
        <v>49.304976270561703</v>
      </c>
      <c r="F235" s="110">
        <v>250.1</v>
      </c>
      <c r="G235">
        <v>200634</v>
      </c>
      <c r="H235" s="110"/>
      <c r="I235" s="110"/>
      <c r="L235" s="133">
        <v>42346</v>
      </c>
      <c r="M235" s="110">
        <v>48.642482074588102</v>
      </c>
      <c r="N235" s="110">
        <v>49.692949593895399</v>
      </c>
      <c r="O235" s="110">
        <v>48.516036910227101</v>
      </c>
      <c r="P235" s="110">
        <v>49.021817567671299</v>
      </c>
      <c r="Q235" s="110">
        <v>250.05</v>
      </c>
      <c r="R235">
        <v>1595476</v>
      </c>
    </row>
    <row r="236" spans="1:18" x14ac:dyDescent="0.25">
      <c r="A236" s="133">
        <v>42347</v>
      </c>
      <c r="B236" s="110">
        <v>49.2563424411372</v>
      </c>
      <c r="C236" s="110">
        <v>48.128037598488703</v>
      </c>
      <c r="D236" s="110">
        <v>47.855688153711498</v>
      </c>
      <c r="E236" s="110">
        <v>48.828364742201501</v>
      </c>
      <c r="F236" s="110">
        <v>247.4</v>
      </c>
      <c r="G236">
        <v>221459</v>
      </c>
      <c r="H236" s="110"/>
      <c r="I236" s="110"/>
      <c r="L236" s="133">
        <v>42347</v>
      </c>
      <c r="M236" s="110">
        <v>48.175607621562698</v>
      </c>
      <c r="N236" s="110">
        <v>49.216348589765197</v>
      </c>
      <c r="O236" s="110">
        <v>47.874084537317103</v>
      </c>
      <c r="P236" s="110">
        <v>48.613302421274</v>
      </c>
      <c r="Q236" s="110">
        <v>247.65</v>
      </c>
      <c r="R236">
        <v>1287360</v>
      </c>
    </row>
    <row r="237" spans="1:18" x14ac:dyDescent="0.25">
      <c r="A237" s="133">
        <v>42348</v>
      </c>
      <c r="B237" s="110">
        <v>48.692190019812898</v>
      </c>
      <c r="C237" s="110">
        <v>47.845961387826598</v>
      </c>
      <c r="D237" s="110">
        <v>47.388803391236202</v>
      </c>
      <c r="E237" s="110">
        <v>48.633829424503503</v>
      </c>
      <c r="F237" s="110">
        <v>245.95</v>
      </c>
      <c r="G237">
        <v>138664</v>
      </c>
      <c r="H237" s="110"/>
      <c r="I237" s="110"/>
      <c r="L237" s="133">
        <v>42348</v>
      </c>
      <c r="M237" s="110">
        <v>47.805998679584199</v>
      </c>
      <c r="N237" s="110">
        <v>48.798106892263299</v>
      </c>
      <c r="O237" s="110">
        <v>47.378030430977603</v>
      </c>
      <c r="P237" s="110">
        <v>48.593849319064702</v>
      </c>
      <c r="Q237" s="110">
        <v>245.75</v>
      </c>
      <c r="R237">
        <v>1336446</v>
      </c>
    </row>
    <row r="238" spans="1:18" x14ac:dyDescent="0.25">
      <c r="A238" s="133">
        <v>42349</v>
      </c>
      <c r="B238" s="110">
        <v>48.731097083352502</v>
      </c>
      <c r="C238" s="110">
        <v>46.941372160530797</v>
      </c>
      <c r="D238" s="110">
        <v>46.688476247523397</v>
      </c>
      <c r="E238" s="110">
        <v>47.904321983136001</v>
      </c>
      <c r="F238" s="110">
        <v>241.3</v>
      </c>
      <c r="G238">
        <v>353615</v>
      </c>
      <c r="H238" s="110"/>
      <c r="I238" s="110"/>
      <c r="L238" s="133">
        <v>42349</v>
      </c>
      <c r="M238" s="110">
        <v>47.066780795627302</v>
      </c>
      <c r="N238" s="110">
        <v>48.613302421274</v>
      </c>
      <c r="O238" s="110">
        <v>46.823617018009898</v>
      </c>
      <c r="P238" s="110">
        <v>47.951896946154697</v>
      </c>
      <c r="Q238" s="110">
        <v>241.95</v>
      </c>
      <c r="R238">
        <v>2069762</v>
      </c>
    </row>
    <row r="239" spans="1:18" x14ac:dyDescent="0.25">
      <c r="A239" s="133">
        <v>42352</v>
      </c>
      <c r="B239" s="110">
        <v>47.486071050085201</v>
      </c>
      <c r="C239" s="110">
        <v>47.165087775883499</v>
      </c>
      <c r="D239" s="110">
        <v>46.493940929825399</v>
      </c>
      <c r="E239" s="110">
        <v>47.058093351149601</v>
      </c>
      <c r="F239" s="110">
        <v>242.45</v>
      </c>
      <c r="G239">
        <v>207370</v>
      </c>
      <c r="H239" s="110"/>
      <c r="I239" s="110"/>
      <c r="L239" s="133">
        <v>42352</v>
      </c>
      <c r="M239" s="110">
        <v>47.095960448941398</v>
      </c>
      <c r="N239" s="110">
        <v>47.4461162887104</v>
      </c>
      <c r="O239" s="110">
        <v>46.424828422717297</v>
      </c>
      <c r="P239" s="110">
        <v>46.667992200334702</v>
      </c>
      <c r="Q239" s="110">
        <v>242.1</v>
      </c>
      <c r="R239">
        <v>1361302</v>
      </c>
    </row>
    <row r="240" spans="1:18" x14ac:dyDescent="0.25">
      <c r="A240" s="133">
        <v>42353</v>
      </c>
      <c r="B240" s="110">
        <v>47.349896327696598</v>
      </c>
      <c r="C240" s="110">
        <v>46.6495691839838</v>
      </c>
      <c r="D240" s="110">
        <v>46.270225314472697</v>
      </c>
      <c r="E240" s="110">
        <v>47.272082200617398</v>
      </c>
      <c r="F240" s="110">
        <v>239.8</v>
      </c>
      <c r="G240">
        <v>131649</v>
      </c>
      <c r="H240" s="110"/>
      <c r="I240" s="110"/>
      <c r="L240" s="133">
        <v>42353</v>
      </c>
      <c r="M240" s="110">
        <v>46.522093933764303</v>
      </c>
      <c r="N240" s="110">
        <v>47.339124226558802</v>
      </c>
      <c r="O240" s="110">
        <v>46.201117747309297</v>
      </c>
      <c r="P240" s="110">
        <v>47.251585266616502</v>
      </c>
      <c r="Q240" s="110">
        <v>239.15</v>
      </c>
      <c r="R240">
        <v>1814641</v>
      </c>
    </row>
    <row r="241" spans="1:18" x14ac:dyDescent="0.25">
      <c r="A241" s="133">
        <v>42354</v>
      </c>
      <c r="B241" s="110">
        <v>47.320716030041901</v>
      </c>
      <c r="C241" s="110">
        <v>46.785743906372403</v>
      </c>
      <c r="D241" s="110">
        <v>46.591208588674398</v>
      </c>
      <c r="E241" s="110">
        <v>46.6495691839838</v>
      </c>
      <c r="F241" s="110">
        <v>240.5</v>
      </c>
      <c r="G241">
        <v>129552</v>
      </c>
      <c r="H241" s="110"/>
      <c r="I241" s="110"/>
      <c r="L241" s="133">
        <v>42354</v>
      </c>
      <c r="M241" s="110">
        <v>46.755531160277002</v>
      </c>
      <c r="N241" s="110">
        <v>47.290491471035303</v>
      </c>
      <c r="O241" s="110">
        <v>46.5901797914971</v>
      </c>
      <c r="P241" s="110">
        <v>46.726351506962899</v>
      </c>
      <c r="Q241" s="110">
        <v>240.35</v>
      </c>
      <c r="R241">
        <v>1388192</v>
      </c>
    </row>
    <row r="242" spans="1:18" x14ac:dyDescent="0.25">
      <c r="A242" s="133">
        <v>42355</v>
      </c>
      <c r="B242" s="110">
        <v>47.427710454775799</v>
      </c>
      <c r="C242" s="110">
        <v>47.252628668847599</v>
      </c>
      <c r="D242" s="110">
        <v>46.7371100769479</v>
      </c>
      <c r="E242" s="110">
        <v>47.0775468829194</v>
      </c>
      <c r="F242" s="110">
        <v>242.9</v>
      </c>
      <c r="G242">
        <v>157704</v>
      </c>
      <c r="H242" s="110"/>
      <c r="I242" s="110"/>
      <c r="L242" s="133">
        <v>42355</v>
      </c>
      <c r="M242" s="110">
        <v>47.222405613302399</v>
      </c>
      <c r="N242" s="110">
        <v>47.455842839815098</v>
      </c>
      <c r="O242" s="110">
        <v>46.706898404753503</v>
      </c>
      <c r="P242" s="110">
        <v>47.212679062197701</v>
      </c>
      <c r="Q242" s="110">
        <v>242.75</v>
      </c>
      <c r="R242">
        <v>1329692</v>
      </c>
    </row>
    <row r="243" spans="1:18" x14ac:dyDescent="0.25">
      <c r="A243" s="133">
        <v>42356</v>
      </c>
      <c r="B243" s="110">
        <v>48.225305257337702</v>
      </c>
      <c r="C243" s="110">
        <v>47.116453946459004</v>
      </c>
      <c r="D243" s="110">
        <v>46.980279224070401</v>
      </c>
      <c r="E243" s="110">
        <v>47.272082200617398</v>
      </c>
      <c r="F243" s="110">
        <v>242.2</v>
      </c>
      <c r="G243">
        <v>305297</v>
      </c>
      <c r="H243" s="110"/>
      <c r="I243" s="110"/>
      <c r="L243" s="133">
        <v>42356</v>
      </c>
      <c r="M243" s="110">
        <v>47.193225959988297</v>
      </c>
      <c r="N243" s="110">
        <v>48.175607621562698</v>
      </c>
      <c r="O243" s="110">
        <v>46.940335631266201</v>
      </c>
      <c r="P243" s="110">
        <v>47.2613118177212</v>
      </c>
      <c r="Q243" s="110">
        <v>242.6</v>
      </c>
      <c r="R243">
        <v>2031277</v>
      </c>
    </row>
    <row r="244" spans="1:18" x14ac:dyDescent="0.25">
      <c r="A244" s="133">
        <v>42359</v>
      </c>
      <c r="B244" s="110">
        <v>47.524978113624897</v>
      </c>
      <c r="C244" s="110">
        <v>47.369349859466404</v>
      </c>
      <c r="D244" s="110">
        <v>46.912191862876099</v>
      </c>
      <c r="E244" s="110">
        <v>47.408256923006</v>
      </c>
      <c r="F244" s="110">
        <v>243.5</v>
      </c>
      <c r="G244">
        <v>105768</v>
      </c>
      <c r="H244" s="110"/>
      <c r="I244" s="110"/>
      <c r="L244" s="133">
        <v>42359</v>
      </c>
      <c r="M244" s="110">
        <v>47.309944573244699</v>
      </c>
      <c r="N244" s="110">
        <v>47.660100413013801</v>
      </c>
      <c r="O244" s="110">
        <v>47.076507346732001</v>
      </c>
      <c r="P244" s="110">
        <v>47.660100413013801</v>
      </c>
      <c r="Q244" s="110">
        <v>243.2</v>
      </c>
      <c r="R244">
        <v>1061434</v>
      </c>
    </row>
    <row r="245" spans="1:18" x14ac:dyDescent="0.25">
      <c r="A245" s="133">
        <v>42360</v>
      </c>
      <c r="B245" s="110">
        <v>47.952955812560504</v>
      </c>
      <c r="C245" s="110">
        <v>46.581481822789499</v>
      </c>
      <c r="D245" s="110">
        <v>46.3188591438972</v>
      </c>
      <c r="E245" s="110">
        <v>47.563885177164501</v>
      </c>
      <c r="F245" s="110">
        <v>239.45</v>
      </c>
      <c r="G245">
        <v>186972</v>
      </c>
      <c r="H245" s="110"/>
      <c r="I245" s="110"/>
      <c r="L245" s="133">
        <v>42360</v>
      </c>
      <c r="M245" s="110">
        <v>46.619359444811202</v>
      </c>
      <c r="N245" s="110">
        <v>47.971350048364101</v>
      </c>
      <c r="O245" s="110">
        <v>46.4540080760314</v>
      </c>
      <c r="P245" s="110">
        <v>47.358577328768199</v>
      </c>
      <c r="Q245" s="110">
        <v>239.65</v>
      </c>
      <c r="R245">
        <v>1355374</v>
      </c>
    </row>
    <row r="246" spans="1:18" x14ac:dyDescent="0.25">
      <c r="A246" s="133">
        <v>42361</v>
      </c>
      <c r="B246" s="110">
        <v>47.194268073538197</v>
      </c>
      <c r="C246" s="110">
        <v>46.863558033451604</v>
      </c>
      <c r="D246" s="110">
        <v>46.717656545178102</v>
      </c>
      <c r="E246" s="110">
        <v>46.883011565221402</v>
      </c>
      <c r="F246" s="110">
        <v>240.9</v>
      </c>
      <c r="G246">
        <v>129241</v>
      </c>
      <c r="H246" s="110"/>
      <c r="I246" s="110"/>
      <c r="L246" s="133">
        <v>42361</v>
      </c>
      <c r="M246" s="110">
        <v>46.852796671323901</v>
      </c>
      <c r="N246" s="110">
        <v>47.1737728577789</v>
      </c>
      <c r="O246" s="110">
        <v>46.745804609172303</v>
      </c>
      <c r="P246" s="110">
        <v>46.881976324638003</v>
      </c>
      <c r="Q246" s="110">
        <v>240.85</v>
      </c>
      <c r="R246">
        <v>897303</v>
      </c>
    </row>
    <row r="247" spans="1:18" x14ac:dyDescent="0.25">
      <c r="A247" s="133">
        <v>42362</v>
      </c>
      <c r="B247" s="110">
        <v>47.252628668847599</v>
      </c>
      <c r="C247" s="110">
        <v>46.834377735796899</v>
      </c>
      <c r="D247" s="110">
        <v>46.581481822789499</v>
      </c>
      <c r="E247" s="110">
        <v>47.252628668847599</v>
      </c>
      <c r="F247" s="110">
        <v>240.75</v>
      </c>
      <c r="G247">
        <v>69727</v>
      </c>
      <c r="H247" s="110"/>
      <c r="I247" s="110"/>
      <c r="L247" s="133">
        <v>42362</v>
      </c>
      <c r="M247" s="110">
        <v>46.774984262486399</v>
      </c>
      <c r="N247" s="110">
        <v>47.2613118177212</v>
      </c>
      <c r="O247" s="110">
        <v>46.531820484869002</v>
      </c>
      <c r="P247" s="110">
        <v>47.2613118177212</v>
      </c>
      <c r="Q247" s="110">
        <v>240.45</v>
      </c>
      <c r="R247">
        <v>798678</v>
      </c>
    </row>
    <row r="248" spans="1:18" x14ac:dyDescent="0.25">
      <c r="A248" s="133">
        <v>42366</v>
      </c>
      <c r="B248" s="110">
        <v>47.233175137077801</v>
      </c>
      <c r="C248" s="110">
        <v>46.883011565221402</v>
      </c>
      <c r="D248" s="110">
        <v>46.639842418098901</v>
      </c>
      <c r="E248" s="110">
        <v>46.844104501681798</v>
      </c>
      <c r="F248" s="110">
        <v>241</v>
      </c>
      <c r="G248">
        <v>63681</v>
      </c>
      <c r="H248" s="110"/>
      <c r="I248" s="110"/>
      <c r="L248" s="133">
        <v>42366</v>
      </c>
      <c r="M248" s="110">
        <v>46.862523222428599</v>
      </c>
      <c r="N248" s="110">
        <v>47.251585266616502</v>
      </c>
      <c r="O248" s="110">
        <v>46.697171853648797</v>
      </c>
      <c r="P248" s="110">
        <v>46.852796671323901</v>
      </c>
      <c r="Q248" s="110">
        <v>240.9</v>
      </c>
      <c r="R248">
        <v>753711</v>
      </c>
    </row>
    <row r="249" spans="1:18" x14ac:dyDescent="0.25">
      <c r="A249" s="133">
        <v>42367</v>
      </c>
      <c r="B249" s="110">
        <v>47.233175137077801</v>
      </c>
      <c r="C249" s="110">
        <v>46.814924204027101</v>
      </c>
      <c r="D249" s="110">
        <v>46.503667695710298</v>
      </c>
      <c r="E249" s="110">
        <v>47.0775468829194</v>
      </c>
      <c r="F249" s="110">
        <v>240.65</v>
      </c>
      <c r="G249">
        <v>87093</v>
      </c>
      <c r="H249" s="110"/>
      <c r="I249" s="110"/>
      <c r="L249" s="133">
        <v>42367</v>
      </c>
      <c r="M249" s="110">
        <v>46.804163915800501</v>
      </c>
      <c r="N249" s="110">
        <v>47.271038368825899</v>
      </c>
      <c r="O249" s="110">
        <v>46.492914280450201</v>
      </c>
      <c r="P249" s="110">
        <v>47.076507346732001</v>
      </c>
      <c r="Q249" s="110">
        <v>240.6</v>
      </c>
      <c r="R249">
        <v>929046</v>
      </c>
    </row>
    <row r="250" spans="1:18" x14ac:dyDescent="0.25">
      <c r="A250" s="133">
        <v>42368</v>
      </c>
      <c r="B250" s="110">
        <v>47.340169561811699</v>
      </c>
      <c r="C250" s="110">
        <v>46.104870294429297</v>
      </c>
      <c r="D250" s="110">
        <v>45.949242040270903</v>
      </c>
      <c r="E250" s="110">
        <v>46.960825692300602</v>
      </c>
      <c r="F250" s="110">
        <v>237</v>
      </c>
      <c r="G250">
        <v>162275</v>
      </c>
      <c r="H250" s="110"/>
      <c r="I250" s="110"/>
      <c r="L250" s="133">
        <v>42368</v>
      </c>
      <c r="M250" s="110">
        <v>46.084399134052902</v>
      </c>
      <c r="N250" s="110">
        <v>47.309944573244699</v>
      </c>
      <c r="O250" s="110">
        <v>45.948227418587201</v>
      </c>
      <c r="P250" s="110">
        <v>46.9014294268474</v>
      </c>
      <c r="Q250" s="110">
        <v>236.9</v>
      </c>
      <c r="R250">
        <v>1495870</v>
      </c>
    </row>
    <row r="251" spans="1:18" x14ac:dyDescent="0.25">
      <c r="A251" s="133">
        <v>42369</v>
      </c>
      <c r="B251" s="110">
        <v>46.104870294429297</v>
      </c>
      <c r="C251" s="110">
        <v>45.453176980141002</v>
      </c>
      <c r="D251" s="110">
        <v>45.346182555407097</v>
      </c>
      <c r="E251" s="110">
        <v>46.104870294429297</v>
      </c>
      <c r="F251" s="110">
        <v>233.65</v>
      </c>
      <c r="G251">
        <v>161447</v>
      </c>
      <c r="H251" s="110"/>
      <c r="I251" s="110"/>
      <c r="L251" s="133">
        <v>42369</v>
      </c>
      <c r="M251" s="110">
        <v>45.316001596781902</v>
      </c>
      <c r="N251" s="110">
        <v>46.064946031843498</v>
      </c>
      <c r="O251" s="110">
        <v>45.170103330211397</v>
      </c>
      <c r="P251" s="110">
        <v>46.064946031843498</v>
      </c>
      <c r="Q251" s="110">
        <v>232.95</v>
      </c>
      <c r="R251">
        <v>4417890</v>
      </c>
    </row>
    <row r="252" spans="1:18" x14ac:dyDescent="0.25">
      <c r="A252" s="133">
        <v>42370</v>
      </c>
      <c r="B252" s="110">
        <v>46.591208588674398</v>
      </c>
      <c r="C252" s="110">
        <v>46.328585909782099</v>
      </c>
      <c r="D252" s="110">
        <v>45.2294613647883</v>
      </c>
      <c r="E252" s="110">
        <v>45.423996682486298</v>
      </c>
      <c r="F252" s="110">
        <v>238.15</v>
      </c>
      <c r="G252">
        <v>129385</v>
      </c>
      <c r="H252" s="110"/>
      <c r="I252" s="110"/>
      <c r="L252" s="133">
        <v>42370</v>
      </c>
      <c r="M252" s="110">
        <v>46.356742564984401</v>
      </c>
      <c r="N252" s="110">
        <v>46.609632893706497</v>
      </c>
      <c r="O252" s="110">
        <v>45.209009534630198</v>
      </c>
      <c r="P252" s="110">
        <v>45.306275045677197</v>
      </c>
      <c r="Q252" s="110">
        <v>238.3</v>
      </c>
      <c r="R252">
        <v>1549290</v>
      </c>
    </row>
    <row r="253" spans="1:18" x14ac:dyDescent="0.25">
      <c r="A253" s="133">
        <v>42373</v>
      </c>
      <c r="B253" s="110">
        <v>46.386946505091501</v>
      </c>
      <c r="C253" s="110">
        <v>45.404543150716499</v>
      </c>
      <c r="D253" s="110">
        <v>44.9765654517809</v>
      </c>
      <c r="E253" s="110">
        <v>46.279952080357603</v>
      </c>
      <c r="F253" s="110">
        <v>233.4</v>
      </c>
      <c r="G253">
        <v>183792</v>
      </c>
      <c r="H253" s="110"/>
      <c r="I253" s="110"/>
      <c r="L253" s="133">
        <v>42373</v>
      </c>
      <c r="M253" s="110">
        <v>45.393814005619397</v>
      </c>
      <c r="N253" s="110">
        <v>46.415101871612599</v>
      </c>
      <c r="O253" s="110">
        <v>44.956119205908102</v>
      </c>
      <c r="P253" s="110">
        <v>45.948227418587201</v>
      </c>
      <c r="Q253" s="110">
        <v>233.35</v>
      </c>
      <c r="R253">
        <v>1609920</v>
      </c>
    </row>
    <row r="254" spans="1:18" x14ac:dyDescent="0.25">
      <c r="A254" s="133">
        <v>42374</v>
      </c>
      <c r="B254" s="110">
        <v>46.046509699119902</v>
      </c>
      <c r="C254" s="110">
        <v>44.840390729392297</v>
      </c>
      <c r="D254" s="110">
        <v>44.597221582269697</v>
      </c>
      <c r="E254" s="110">
        <v>46.046509699119902</v>
      </c>
      <c r="F254" s="110">
        <v>230.5</v>
      </c>
      <c r="G254">
        <v>244004</v>
      </c>
      <c r="H254" s="110"/>
      <c r="I254" s="110"/>
      <c r="L254" s="133">
        <v>42374</v>
      </c>
      <c r="M254" s="110">
        <v>44.858853694861097</v>
      </c>
      <c r="N254" s="110">
        <v>45.8217822542261</v>
      </c>
      <c r="O254" s="110">
        <v>44.5670571617202</v>
      </c>
      <c r="P254" s="110">
        <v>45.695337089864999</v>
      </c>
      <c r="Q254" s="110">
        <v>230.6</v>
      </c>
      <c r="R254">
        <v>1600599</v>
      </c>
    </row>
    <row r="255" spans="1:18" x14ac:dyDescent="0.25">
      <c r="A255" s="133">
        <v>42375</v>
      </c>
      <c r="B255" s="110">
        <v>45.287821960097702</v>
      </c>
      <c r="C255" s="110">
        <v>44.461046859881101</v>
      </c>
      <c r="D255" s="110">
        <v>44.208150946873701</v>
      </c>
      <c r="E255" s="110">
        <v>44.752849836428098</v>
      </c>
      <c r="F255" s="110">
        <v>228.55</v>
      </c>
      <c r="G255">
        <v>211574</v>
      </c>
      <c r="H255" s="110"/>
      <c r="I255" s="110"/>
      <c r="L255" s="133">
        <v>42375</v>
      </c>
      <c r="M255" s="110">
        <v>44.2558075263699</v>
      </c>
      <c r="N255" s="110">
        <v>45.228462636839602</v>
      </c>
      <c r="O255" s="110">
        <v>44.158542015323</v>
      </c>
      <c r="P255" s="110">
        <v>44.936666103698698</v>
      </c>
      <c r="Q255" s="110">
        <v>227.5</v>
      </c>
      <c r="R255">
        <v>1955221</v>
      </c>
    </row>
    <row r="256" spans="1:18" x14ac:dyDescent="0.25">
      <c r="A256" s="133">
        <v>42376</v>
      </c>
      <c r="B256" s="110">
        <v>43.955255033866301</v>
      </c>
      <c r="C256" s="110">
        <v>42.593507809980203</v>
      </c>
      <c r="D256" s="110">
        <v>42.408699258167097</v>
      </c>
      <c r="E256" s="110">
        <v>43.955255033866301</v>
      </c>
      <c r="F256" s="110">
        <v>218.95</v>
      </c>
      <c r="G256">
        <v>208992</v>
      </c>
      <c r="H256" s="110"/>
      <c r="I256" s="110"/>
      <c r="L256" s="133">
        <v>42376</v>
      </c>
      <c r="M256" s="110">
        <v>42.5439345319433</v>
      </c>
      <c r="N256" s="110">
        <v>43.769479971135098</v>
      </c>
      <c r="O256" s="110">
        <v>42.436942469791703</v>
      </c>
      <c r="P256" s="110">
        <v>43.769479971135098</v>
      </c>
      <c r="Q256" s="110">
        <v>218.7</v>
      </c>
      <c r="R256">
        <v>1815578</v>
      </c>
    </row>
    <row r="257" spans="1:18" x14ac:dyDescent="0.25">
      <c r="A257" s="133">
        <v>42377</v>
      </c>
      <c r="B257" s="110">
        <v>43.206294060728901</v>
      </c>
      <c r="C257" s="110">
        <v>42.826950191217797</v>
      </c>
      <c r="D257" s="110">
        <v>42.583781044095304</v>
      </c>
      <c r="E257" s="110">
        <v>42.7977698935631</v>
      </c>
      <c r="F257" s="110">
        <v>220.15</v>
      </c>
      <c r="G257">
        <v>137336</v>
      </c>
      <c r="H257" s="110"/>
      <c r="I257" s="110"/>
      <c r="L257" s="133">
        <v>42377</v>
      </c>
      <c r="M257" s="110">
        <v>42.738465554037198</v>
      </c>
      <c r="N257" s="110">
        <v>43.185886904853298</v>
      </c>
      <c r="O257" s="110">
        <v>42.5439345319433</v>
      </c>
      <c r="P257" s="110">
        <v>42.796824860665403</v>
      </c>
      <c r="Q257" s="110">
        <v>219.7</v>
      </c>
      <c r="R257">
        <v>1206267</v>
      </c>
    </row>
    <row r="258" spans="1:18" x14ac:dyDescent="0.25">
      <c r="A258" s="133">
        <v>42380</v>
      </c>
      <c r="B258" s="110">
        <v>42.856130488872502</v>
      </c>
      <c r="C258" s="110">
        <v>42.087715983965403</v>
      </c>
      <c r="D258" s="110">
        <v>41.494383264986404</v>
      </c>
      <c r="E258" s="110">
        <v>42.408699258167097</v>
      </c>
      <c r="F258" s="110">
        <v>216.35</v>
      </c>
      <c r="G258">
        <v>135818</v>
      </c>
      <c r="H258" s="110"/>
      <c r="I258" s="110"/>
      <c r="L258" s="133">
        <v>42380</v>
      </c>
      <c r="M258" s="110">
        <v>41.882529056823898</v>
      </c>
      <c r="N258" s="110">
        <v>42.826004513979498</v>
      </c>
      <c r="O258" s="110">
        <v>41.474013910426699</v>
      </c>
      <c r="P258" s="110">
        <v>42.4077628164776</v>
      </c>
      <c r="Q258" s="110">
        <v>215.3</v>
      </c>
      <c r="R258">
        <v>1592579</v>
      </c>
    </row>
    <row r="259" spans="1:18" x14ac:dyDescent="0.25">
      <c r="A259" s="133">
        <v>42381</v>
      </c>
      <c r="B259" s="110">
        <v>42.379518960512399</v>
      </c>
      <c r="C259" s="110">
        <v>40.385531954107698</v>
      </c>
      <c r="D259" s="110">
        <v>39.879740128092898</v>
      </c>
      <c r="E259" s="110">
        <v>42.019628622771101</v>
      </c>
      <c r="F259" s="110">
        <v>207.6</v>
      </c>
      <c r="G259">
        <v>147096</v>
      </c>
      <c r="H259" s="110"/>
      <c r="I259" s="110"/>
      <c r="L259" s="133">
        <v>42381</v>
      </c>
      <c r="M259" s="110">
        <v>40.462452595538203</v>
      </c>
      <c r="N259" s="110">
        <v>42.388309714268203</v>
      </c>
      <c r="O259" s="110">
        <v>40.238741920130202</v>
      </c>
      <c r="P259" s="110">
        <v>42.018700772289698</v>
      </c>
      <c r="Q259" s="110">
        <v>208</v>
      </c>
      <c r="R259">
        <v>1875444</v>
      </c>
    </row>
    <row r="260" spans="1:18" x14ac:dyDescent="0.25">
      <c r="A260" s="133">
        <v>42382</v>
      </c>
      <c r="B260" s="110">
        <v>41.046952034280999</v>
      </c>
      <c r="C260" s="110">
        <v>38.722254987789697</v>
      </c>
      <c r="D260" s="110">
        <v>38.372091415933298</v>
      </c>
      <c r="E260" s="110">
        <v>40.657881398885003</v>
      </c>
      <c r="F260" s="110">
        <v>199.05</v>
      </c>
      <c r="G260">
        <v>577767</v>
      </c>
      <c r="H260" s="110"/>
      <c r="I260" s="110"/>
      <c r="L260" s="133">
        <v>42382</v>
      </c>
      <c r="M260" s="110">
        <v>38.770032703321</v>
      </c>
      <c r="N260" s="110">
        <v>41.026592559610599</v>
      </c>
      <c r="O260" s="110">
        <v>38.342064454714297</v>
      </c>
      <c r="P260" s="110">
        <v>40.715342924260298</v>
      </c>
      <c r="Q260" s="110">
        <v>199.3</v>
      </c>
      <c r="R260">
        <v>3633560</v>
      </c>
    </row>
    <row r="261" spans="1:18" x14ac:dyDescent="0.25">
      <c r="A261" s="133">
        <v>42383</v>
      </c>
      <c r="B261" s="110">
        <v>38.187282864120199</v>
      </c>
      <c r="C261" s="110">
        <v>37.195152743860298</v>
      </c>
      <c r="D261" s="110">
        <v>36.981163894392502</v>
      </c>
      <c r="E261" s="110">
        <v>37.934386951112799</v>
      </c>
      <c r="F261" s="110">
        <v>191.2</v>
      </c>
      <c r="G261">
        <v>473016</v>
      </c>
      <c r="H261" s="110"/>
      <c r="I261" s="110"/>
      <c r="L261" s="133">
        <v>42383</v>
      </c>
      <c r="M261" s="110">
        <v>37.272143833197703</v>
      </c>
      <c r="N261" s="110">
        <v>38.205892739248597</v>
      </c>
      <c r="O261" s="110">
        <v>36.8830817890098</v>
      </c>
      <c r="P261" s="110">
        <v>37.972455512735898</v>
      </c>
      <c r="Q261" s="110">
        <v>191.6</v>
      </c>
      <c r="R261">
        <v>2781061</v>
      </c>
    </row>
    <row r="262" spans="1:18" x14ac:dyDescent="0.25">
      <c r="A262" s="133">
        <v>42384</v>
      </c>
      <c r="B262" s="110">
        <v>37.798212228724097</v>
      </c>
      <c r="C262" s="110">
        <v>34.9969036538727</v>
      </c>
      <c r="D262" s="110">
        <v>34.753734506750199</v>
      </c>
      <c r="E262" s="110">
        <v>37.311873934479102</v>
      </c>
      <c r="F262" s="110">
        <v>179.9</v>
      </c>
      <c r="G262">
        <v>437574</v>
      </c>
      <c r="H262" s="110"/>
      <c r="I262" s="110"/>
      <c r="L262" s="133">
        <v>42384</v>
      </c>
      <c r="M262" s="110">
        <v>34.957224670279899</v>
      </c>
      <c r="N262" s="110">
        <v>37.719565184013803</v>
      </c>
      <c r="O262" s="110">
        <v>34.626521932720202</v>
      </c>
      <c r="P262" s="110">
        <v>37.593120019652702</v>
      </c>
      <c r="Q262" s="110">
        <v>179.7</v>
      </c>
      <c r="R262">
        <v>3103453</v>
      </c>
    </row>
    <row r="263" spans="1:18" x14ac:dyDescent="0.25">
      <c r="A263" s="133">
        <v>42387</v>
      </c>
      <c r="B263" s="110">
        <v>35.804225222319502</v>
      </c>
      <c r="C263" s="110">
        <v>34.539745657282403</v>
      </c>
      <c r="D263" s="110">
        <v>33.469801409943301</v>
      </c>
      <c r="E263" s="110">
        <v>35.026083951527397</v>
      </c>
      <c r="F263" s="110">
        <v>177.55</v>
      </c>
      <c r="G263">
        <v>487780</v>
      </c>
      <c r="H263" s="110"/>
      <c r="I263" s="110"/>
      <c r="L263" s="133">
        <v>42387</v>
      </c>
      <c r="M263" s="110">
        <v>34.480623666149803</v>
      </c>
      <c r="N263" s="110">
        <v>35.754801860865001</v>
      </c>
      <c r="O263" s="110">
        <v>33.420429595737801</v>
      </c>
      <c r="P263" s="110">
        <v>35.112849487955003</v>
      </c>
      <c r="Q263" s="110">
        <v>177.25</v>
      </c>
      <c r="R263">
        <v>4266163</v>
      </c>
    </row>
    <row r="264" spans="1:18" x14ac:dyDescent="0.25">
      <c r="A264" s="133">
        <v>42388</v>
      </c>
      <c r="B264" s="110">
        <v>35.561056075197001</v>
      </c>
      <c r="C264" s="110">
        <v>34.753734506750199</v>
      </c>
      <c r="D264" s="110">
        <v>34.442477998433397</v>
      </c>
      <c r="E264" s="110">
        <v>34.598106252591798</v>
      </c>
      <c r="F264" s="110">
        <v>178.65</v>
      </c>
      <c r="G264">
        <v>244450</v>
      </c>
      <c r="H264" s="110"/>
      <c r="I264" s="110"/>
      <c r="L264" s="133">
        <v>42388</v>
      </c>
      <c r="M264" s="110">
        <v>34.743240545976597</v>
      </c>
      <c r="N264" s="110">
        <v>35.589450492085199</v>
      </c>
      <c r="O264" s="110">
        <v>34.363905052893401</v>
      </c>
      <c r="P264" s="110">
        <v>35.015583976908097</v>
      </c>
      <c r="Q264" s="110">
        <v>178.6</v>
      </c>
      <c r="R264">
        <v>2210555</v>
      </c>
    </row>
    <row r="265" spans="1:18" x14ac:dyDescent="0.25">
      <c r="A265" s="133">
        <v>42389</v>
      </c>
      <c r="B265" s="110">
        <v>34.218762383080701</v>
      </c>
      <c r="C265" s="110">
        <v>33.508708473482898</v>
      </c>
      <c r="D265" s="110">
        <v>32.681933373266403</v>
      </c>
      <c r="E265" s="110">
        <v>34.218762383080701</v>
      </c>
      <c r="F265" s="110">
        <v>172.25</v>
      </c>
      <c r="G265">
        <v>304067</v>
      </c>
      <c r="H265" s="110"/>
      <c r="I265" s="110"/>
      <c r="L265" s="133">
        <v>42389</v>
      </c>
      <c r="M265" s="110">
        <v>33.3328906357956</v>
      </c>
      <c r="N265" s="110">
        <v>34.072108519752497</v>
      </c>
      <c r="O265" s="110">
        <v>32.554766547419803</v>
      </c>
      <c r="P265" s="110">
        <v>34.042928866438402</v>
      </c>
      <c r="Q265" s="110">
        <v>171.35</v>
      </c>
      <c r="R265">
        <v>3107624</v>
      </c>
    </row>
    <row r="266" spans="1:18" x14ac:dyDescent="0.25">
      <c r="A266" s="133">
        <v>42390</v>
      </c>
      <c r="B266" s="110">
        <v>34.588379486706899</v>
      </c>
      <c r="C266" s="110">
        <v>34.033953831267603</v>
      </c>
      <c r="D266" s="110">
        <v>33.158544901626499</v>
      </c>
      <c r="E266" s="110">
        <v>34.335483573699499</v>
      </c>
      <c r="F266" s="110">
        <v>174.95</v>
      </c>
      <c r="G266">
        <v>252699</v>
      </c>
      <c r="H266" s="110"/>
      <c r="I266" s="110"/>
      <c r="L266" s="133">
        <v>42390</v>
      </c>
      <c r="M266" s="110">
        <v>34.023475764228998</v>
      </c>
      <c r="N266" s="110">
        <v>34.577889177196703</v>
      </c>
      <c r="O266" s="110">
        <v>33.148086164806301</v>
      </c>
      <c r="P266" s="110">
        <v>34.042928866438402</v>
      </c>
      <c r="Q266" s="110">
        <v>174.9</v>
      </c>
      <c r="R266">
        <v>2753334</v>
      </c>
    </row>
    <row r="267" spans="1:18" x14ac:dyDescent="0.25">
      <c r="A267" s="133">
        <v>42391</v>
      </c>
      <c r="B267" s="110">
        <v>36.640727088421002</v>
      </c>
      <c r="C267" s="110">
        <v>36.2516564530249</v>
      </c>
      <c r="D267" s="110">
        <v>34.423024466663598</v>
      </c>
      <c r="E267" s="110">
        <v>34.423024466663598</v>
      </c>
      <c r="F267" s="110">
        <v>186.35</v>
      </c>
      <c r="G267">
        <v>348522</v>
      </c>
      <c r="H267" s="110"/>
      <c r="I267" s="110"/>
      <c r="L267" s="133">
        <v>42391</v>
      </c>
      <c r="M267" s="110">
        <v>36.231402864995196</v>
      </c>
      <c r="N267" s="110">
        <v>36.610738358078301</v>
      </c>
      <c r="O267" s="110">
        <v>34.431990910626297</v>
      </c>
      <c r="P267" s="110">
        <v>34.431990910626297</v>
      </c>
      <c r="Q267" s="110">
        <v>186.25</v>
      </c>
      <c r="R267">
        <v>3891967</v>
      </c>
    </row>
    <row r="268" spans="1:18" x14ac:dyDescent="0.25">
      <c r="A268" s="133">
        <v>42394</v>
      </c>
      <c r="B268" s="110">
        <v>36.932530064967999</v>
      </c>
      <c r="C268" s="110">
        <v>35.843132285859099</v>
      </c>
      <c r="D268" s="110">
        <v>35.658323734046</v>
      </c>
      <c r="E268" s="110">
        <v>36.767175044924699</v>
      </c>
      <c r="F268" s="110">
        <v>184.25</v>
      </c>
      <c r="G268">
        <v>188676</v>
      </c>
      <c r="H268" s="110"/>
      <c r="I268" s="110"/>
      <c r="L268" s="133">
        <v>42394</v>
      </c>
      <c r="M268" s="110">
        <v>35.842340820807301</v>
      </c>
      <c r="N268" s="110">
        <v>36.912261442323903</v>
      </c>
      <c r="O268" s="110">
        <v>35.638083247608698</v>
      </c>
      <c r="P268" s="110">
        <v>36.766363175753497</v>
      </c>
      <c r="Q268" s="110">
        <v>184.25</v>
      </c>
      <c r="R268">
        <v>2162302</v>
      </c>
    </row>
    <row r="269" spans="1:18" x14ac:dyDescent="0.25">
      <c r="A269" s="133">
        <v>42396</v>
      </c>
      <c r="B269" s="110">
        <v>37.837119292263701</v>
      </c>
      <c r="C269" s="110">
        <v>36.951983596737797</v>
      </c>
      <c r="D269" s="110">
        <v>35.648596968161101</v>
      </c>
      <c r="E269" s="110">
        <v>36.173842325945699</v>
      </c>
      <c r="F269" s="110">
        <v>189.95</v>
      </c>
      <c r="G269">
        <v>491992</v>
      </c>
      <c r="H269" s="110"/>
      <c r="I269" s="110"/>
      <c r="L269" s="133">
        <v>42396</v>
      </c>
      <c r="M269" s="110">
        <v>36.990073851161497</v>
      </c>
      <c r="N269" s="110">
        <v>37.933549308317097</v>
      </c>
      <c r="O269" s="110">
        <v>35.599177043189897</v>
      </c>
      <c r="P269" s="110">
        <v>35.968785985168402</v>
      </c>
      <c r="Q269" s="110">
        <v>190.15</v>
      </c>
      <c r="R269">
        <v>4412866</v>
      </c>
    </row>
    <row r="270" spans="1:18" x14ac:dyDescent="0.25">
      <c r="A270" s="133">
        <v>42397</v>
      </c>
      <c r="B270" s="110">
        <v>37.545316315716697</v>
      </c>
      <c r="C270" s="110">
        <v>37.282693636824398</v>
      </c>
      <c r="D270" s="110">
        <v>36.4170114730682</v>
      </c>
      <c r="E270" s="110">
        <v>36.767175044924699</v>
      </c>
      <c r="F270" s="110">
        <v>191.65</v>
      </c>
      <c r="G270">
        <v>235286</v>
      </c>
      <c r="H270" s="110"/>
      <c r="I270" s="110"/>
      <c r="L270" s="133">
        <v>42397</v>
      </c>
      <c r="M270" s="110">
        <v>37.320776588721202</v>
      </c>
      <c r="N270" s="110">
        <v>37.729291735118501</v>
      </c>
      <c r="O270" s="110">
        <v>36.387027682670301</v>
      </c>
      <c r="P270" s="110">
        <v>36.766363175753497</v>
      </c>
      <c r="Q270" s="110">
        <v>191.85</v>
      </c>
      <c r="R270">
        <v>2595162</v>
      </c>
    </row>
    <row r="271" spans="1:18" x14ac:dyDescent="0.25">
      <c r="A271" s="133">
        <v>42398</v>
      </c>
      <c r="B271" s="110">
        <v>38.2553702253145</v>
      </c>
      <c r="C271" s="110">
        <v>37.739851633414702</v>
      </c>
      <c r="D271" s="110">
        <v>35.697230797585597</v>
      </c>
      <c r="E271" s="110">
        <v>37.156245680320701</v>
      </c>
      <c r="F271" s="110">
        <v>194</v>
      </c>
      <c r="G271">
        <v>350457</v>
      </c>
      <c r="H271" s="110"/>
      <c r="I271" s="110"/>
      <c r="L271" s="133">
        <v>42398</v>
      </c>
      <c r="M271" s="110">
        <v>37.7390182862232</v>
      </c>
      <c r="N271" s="110">
        <v>38.342064454714297</v>
      </c>
      <c r="O271" s="110">
        <v>35.647809798713403</v>
      </c>
      <c r="P271" s="110">
        <v>37.126245566627297</v>
      </c>
      <c r="Q271" s="110">
        <v>194</v>
      </c>
      <c r="R271">
        <v>4622572</v>
      </c>
    </row>
    <row r="272" spans="1:18" x14ac:dyDescent="0.25">
      <c r="A272" s="133">
        <v>42401</v>
      </c>
      <c r="B272" s="110">
        <v>37.944113716997698</v>
      </c>
      <c r="C272" s="110">
        <v>36.475372068377602</v>
      </c>
      <c r="D272" s="110">
        <v>36.193295857715498</v>
      </c>
      <c r="E272" s="110">
        <v>37.934386951112799</v>
      </c>
      <c r="F272" s="110">
        <v>187.5</v>
      </c>
      <c r="G272">
        <v>275440</v>
      </c>
      <c r="H272" s="110"/>
      <c r="I272" s="110"/>
      <c r="L272" s="133">
        <v>42401</v>
      </c>
      <c r="M272" s="110">
        <v>36.474566642612601</v>
      </c>
      <c r="N272" s="110">
        <v>37.933549308317097</v>
      </c>
      <c r="O272" s="110">
        <v>36.192496660576403</v>
      </c>
      <c r="P272" s="110">
        <v>37.933549308317097</v>
      </c>
      <c r="Q272" s="110">
        <v>187.5</v>
      </c>
      <c r="R272">
        <v>2319495</v>
      </c>
    </row>
    <row r="273" spans="1:18" x14ac:dyDescent="0.25">
      <c r="A273" s="133">
        <v>42402</v>
      </c>
      <c r="B273" s="110">
        <v>37.574496613371402</v>
      </c>
      <c r="C273" s="110">
        <v>36.203022623600397</v>
      </c>
      <c r="D273" s="110">
        <v>36.027940837672197</v>
      </c>
      <c r="E273" s="110">
        <v>36.183569091830599</v>
      </c>
      <c r="F273" s="110">
        <v>186.1</v>
      </c>
      <c r="G273">
        <v>356447</v>
      </c>
      <c r="H273" s="110"/>
      <c r="I273" s="110"/>
      <c r="L273" s="133">
        <v>42402</v>
      </c>
      <c r="M273" s="110">
        <v>36.114684251738801</v>
      </c>
      <c r="N273" s="110">
        <v>37.583393468548003</v>
      </c>
      <c r="O273" s="110">
        <v>35.9882390873777</v>
      </c>
      <c r="P273" s="110">
        <v>36.503746295926703</v>
      </c>
      <c r="Q273" s="110">
        <v>185.65</v>
      </c>
      <c r="R273">
        <v>3446022</v>
      </c>
    </row>
    <row r="274" spans="1:18" x14ac:dyDescent="0.25">
      <c r="A274" s="133">
        <v>42403</v>
      </c>
      <c r="B274" s="110">
        <v>35.687504031700698</v>
      </c>
      <c r="C274" s="110">
        <v>35.171985439800999</v>
      </c>
      <c r="D274" s="110">
        <v>34.695373911440797</v>
      </c>
      <c r="E274" s="110">
        <v>35.4054278210386</v>
      </c>
      <c r="F274" s="110">
        <v>180.8</v>
      </c>
      <c r="G274">
        <v>233749</v>
      </c>
      <c r="H274" s="110"/>
      <c r="I274" s="110"/>
      <c r="L274" s="133">
        <v>42403</v>
      </c>
      <c r="M274" s="110">
        <v>35.103122936850298</v>
      </c>
      <c r="N274" s="110">
        <v>35.725622207550899</v>
      </c>
      <c r="O274" s="110">
        <v>34.6848812393484</v>
      </c>
      <c r="P274" s="110">
        <v>35.599177043189897</v>
      </c>
      <c r="Q274" s="110">
        <v>180.45</v>
      </c>
      <c r="R274">
        <v>2430474</v>
      </c>
    </row>
    <row r="275" spans="1:18" x14ac:dyDescent="0.25">
      <c r="A275" s="133">
        <v>42404</v>
      </c>
      <c r="B275" s="110">
        <v>35.950126710592997</v>
      </c>
      <c r="C275" s="110">
        <v>35.444334884578197</v>
      </c>
      <c r="D275" s="110">
        <v>34.666193613786099</v>
      </c>
      <c r="E275" s="110">
        <v>35.424881352808399</v>
      </c>
      <c r="F275" s="110">
        <v>182.2</v>
      </c>
      <c r="G275">
        <v>282165</v>
      </c>
      <c r="H275" s="110"/>
      <c r="I275" s="110"/>
      <c r="L275" s="133">
        <v>42404</v>
      </c>
      <c r="M275" s="110">
        <v>35.346286714467801</v>
      </c>
      <c r="N275" s="110">
        <v>35.910426678540198</v>
      </c>
      <c r="O275" s="110">
        <v>34.645975034929599</v>
      </c>
      <c r="P275" s="110">
        <v>35.443552225514701</v>
      </c>
      <c r="Q275" s="110">
        <v>181.7</v>
      </c>
      <c r="R275">
        <v>2284077</v>
      </c>
    </row>
    <row r="276" spans="1:18" x14ac:dyDescent="0.25">
      <c r="A276" s="133">
        <v>42405</v>
      </c>
      <c r="B276" s="110">
        <v>37.798212228724097</v>
      </c>
      <c r="C276" s="110">
        <v>37.584223379256301</v>
      </c>
      <c r="D276" s="110">
        <v>35.337340459844299</v>
      </c>
      <c r="E276" s="110">
        <v>35.5707828410819</v>
      </c>
      <c r="F276" s="110">
        <v>193.2</v>
      </c>
      <c r="G276">
        <v>333329</v>
      </c>
      <c r="H276" s="110"/>
      <c r="I276" s="110"/>
      <c r="L276" s="133">
        <v>42405</v>
      </c>
      <c r="M276" s="110">
        <v>37.534760713024497</v>
      </c>
      <c r="N276" s="110">
        <v>37.797377592851298</v>
      </c>
      <c r="O276" s="110">
        <v>35.336560163363103</v>
      </c>
      <c r="P276" s="110">
        <v>35.4046460210959</v>
      </c>
      <c r="Q276" s="110">
        <v>192.95</v>
      </c>
      <c r="R276">
        <v>3823880</v>
      </c>
    </row>
    <row r="277" spans="1:18" x14ac:dyDescent="0.25">
      <c r="A277" s="133">
        <v>42408</v>
      </c>
      <c r="B277" s="110">
        <v>40.3660784223379</v>
      </c>
      <c r="C277" s="110">
        <v>38.381818181818197</v>
      </c>
      <c r="D277" s="110">
        <v>37.584223379256301</v>
      </c>
      <c r="E277" s="110">
        <v>37.584223379256301</v>
      </c>
      <c r="F277" s="110">
        <v>197.3</v>
      </c>
      <c r="G277">
        <v>477132</v>
      </c>
      <c r="H277" s="110"/>
      <c r="I277" s="110"/>
      <c r="L277" s="133">
        <v>42408</v>
      </c>
      <c r="M277" s="110">
        <v>38.264252045876802</v>
      </c>
      <c r="N277" s="110">
        <v>40.394366737805299</v>
      </c>
      <c r="O277" s="110">
        <v>37.622299672966797</v>
      </c>
      <c r="P277" s="110">
        <v>37.670932428490303</v>
      </c>
      <c r="Q277" s="110">
        <v>196.7</v>
      </c>
      <c r="R277">
        <v>5231581</v>
      </c>
    </row>
    <row r="278" spans="1:18" x14ac:dyDescent="0.25">
      <c r="A278" s="133">
        <v>42409</v>
      </c>
      <c r="B278" s="110">
        <v>38.868156476063199</v>
      </c>
      <c r="C278" s="110">
        <v>37.068704787356602</v>
      </c>
      <c r="D278" s="110">
        <v>36.718541215500203</v>
      </c>
      <c r="E278" s="110">
        <v>37.350780998018699</v>
      </c>
      <c r="F278" s="110">
        <v>190.55</v>
      </c>
      <c r="G278">
        <v>525226</v>
      </c>
      <c r="H278" s="110"/>
      <c r="I278" s="110"/>
      <c r="L278" s="133">
        <v>42409</v>
      </c>
      <c r="M278" s="110">
        <v>37.0192535044756</v>
      </c>
      <c r="N278" s="110">
        <v>38.808938907739801</v>
      </c>
      <c r="O278" s="110">
        <v>36.727456971334703</v>
      </c>
      <c r="P278" s="110">
        <v>37.641752775176201</v>
      </c>
      <c r="Q278" s="110">
        <v>190.3</v>
      </c>
      <c r="R278">
        <v>4548622</v>
      </c>
    </row>
    <row r="279" spans="1:18" x14ac:dyDescent="0.25">
      <c r="A279" s="133">
        <v>42410</v>
      </c>
      <c r="B279" s="110">
        <v>37.272966870939499</v>
      </c>
      <c r="C279" s="110">
        <v>35.648596968161101</v>
      </c>
      <c r="D279" s="110">
        <v>34.782914804404903</v>
      </c>
      <c r="E279" s="110">
        <v>36.6699073860757</v>
      </c>
      <c r="F279" s="110">
        <v>183.25</v>
      </c>
      <c r="G279">
        <v>458549</v>
      </c>
      <c r="H279" s="110"/>
      <c r="I279" s="110"/>
      <c r="L279" s="133">
        <v>42410</v>
      </c>
      <c r="M279" s="110">
        <v>35.686716003132098</v>
      </c>
      <c r="N279" s="110">
        <v>37.233237628778902</v>
      </c>
      <c r="O279" s="110">
        <v>34.723787443767201</v>
      </c>
      <c r="P279" s="110">
        <v>36.9317145445333</v>
      </c>
      <c r="Q279" s="110">
        <v>183.45</v>
      </c>
      <c r="R279">
        <v>5585774</v>
      </c>
    </row>
    <row r="280" spans="1:18" x14ac:dyDescent="0.25">
      <c r="A280" s="133">
        <v>42411</v>
      </c>
      <c r="B280" s="110">
        <v>36.183569091830599</v>
      </c>
      <c r="C280" s="110">
        <v>33.596249366446997</v>
      </c>
      <c r="D280" s="110">
        <v>32.934829286273803</v>
      </c>
      <c r="E280" s="110">
        <v>35.599963138736598</v>
      </c>
      <c r="F280" s="110">
        <v>172.7</v>
      </c>
      <c r="G280">
        <v>579146</v>
      </c>
      <c r="H280" s="110"/>
      <c r="I280" s="110"/>
      <c r="L280" s="133">
        <v>42411</v>
      </c>
      <c r="M280" s="110">
        <v>33.5566013112036</v>
      </c>
      <c r="N280" s="110">
        <v>36.182770109471697</v>
      </c>
      <c r="O280" s="110">
        <v>33.070273755968699</v>
      </c>
      <c r="P280" s="110">
        <v>35.560270838771103</v>
      </c>
      <c r="Q280" s="110">
        <v>172.5</v>
      </c>
      <c r="R280">
        <v>5001049</v>
      </c>
    </row>
    <row r="281" spans="1:18" x14ac:dyDescent="0.25">
      <c r="A281" s="133">
        <v>42412</v>
      </c>
      <c r="B281" s="110">
        <v>35.016357185642498</v>
      </c>
      <c r="C281" s="110">
        <v>33.6448831958715</v>
      </c>
      <c r="D281" s="110">
        <v>31.349366447034999</v>
      </c>
      <c r="E281" s="110">
        <v>33.080730774547298</v>
      </c>
      <c r="F281" s="110">
        <v>172.95</v>
      </c>
      <c r="G281">
        <v>1216559</v>
      </c>
      <c r="H281" s="110"/>
      <c r="I281" s="110"/>
      <c r="L281" s="133">
        <v>42412</v>
      </c>
      <c r="M281" s="110">
        <v>33.897030599868003</v>
      </c>
      <c r="N281" s="110">
        <v>34.6848812393484</v>
      </c>
      <c r="O281" s="110">
        <v>31.3584007615421</v>
      </c>
      <c r="P281" s="110">
        <v>33.897030599868003</v>
      </c>
      <c r="Q281" s="110">
        <v>174.25</v>
      </c>
      <c r="R281">
        <v>8875912</v>
      </c>
    </row>
    <row r="282" spans="1:18" x14ac:dyDescent="0.25">
      <c r="A282" s="133">
        <v>42415</v>
      </c>
      <c r="B282" s="110">
        <v>36.018214071787298</v>
      </c>
      <c r="C282" s="110">
        <v>34.851002165599198</v>
      </c>
      <c r="D282" s="110">
        <v>33.751877620605399</v>
      </c>
      <c r="E282" s="110">
        <v>34.393844169008901</v>
      </c>
      <c r="F282" s="110">
        <v>179.15</v>
      </c>
      <c r="G282">
        <v>600642</v>
      </c>
      <c r="H282" s="110"/>
      <c r="I282" s="110"/>
      <c r="L282" s="133">
        <v>42415</v>
      </c>
      <c r="M282" s="110">
        <v>34.898865363651701</v>
      </c>
      <c r="N282" s="110">
        <v>36.017418740691802</v>
      </c>
      <c r="O282" s="110">
        <v>34.2374598885323</v>
      </c>
      <c r="P282" s="110">
        <v>34.431990910626297</v>
      </c>
      <c r="Q282" s="110">
        <v>179.4</v>
      </c>
      <c r="R282">
        <v>5160631</v>
      </c>
    </row>
    <row r="283" spans="1:18" x14ac:dyDescent="0.25">
      <c r="A283" s="133">
        <v>42416</v>
      </c>
      <c r="B283" s="110">
        <v>35.794498456434603</v>
      </c>
      <c r="C283" s="110">
        <v>33.216905496935901</v>
      </c>
      <c r="D283" s="110">
        <v>32.925102520388897</v>
      </c>
      <c r="E283" s="110">
        <v>35.794498456434603</v>
      </c>
      <c r="F283" s="110">
        <v>170.75</v>
      </c>
      <c r="G283">
        <v>498513</v>
      </c>
      <c r="H283" s="110"/>
      <c r="I283" s="110"/>
      <c r="L283" s="133">
        <v>42416</v>
      </c>
      <c r="M283" s="110">
        <v>33.167539267015698</v>
      </c>
      <c r="N283" s="110">
        <v>35.501911532142898</v>
      </c>
      <c r="O283" s="110">
        <v>32.904922387188897</v>
      </c>
      <c r="P283" s="110">
        <v>35.394919469991201</v>
      </c>
      <c r="Q283" s="110">
        <v>170.5</v>
      </c>
      <c r="R283">
        <v>4117556</v>
      </c>
    </row>
    <row r="284" spans="1:18" x14ac:dyDescent="0.25">
      <c r="A284" s="133">
        <v>42417</v>
      </c>
      <c r="B284" s="110">
        <v>36.183569091830599</v>
      </c>
      <c r="C284" s="110">
        <v>33.839418513569598</v>
      </c>
      <c r="D284" s="110">
        <v>31.709256784776301</v>
      </c>
      <c r="E284" s="110">
        <v>32.681933373266403</v>
      </c>
      <c r="F284" s="110">
        <v>173.95</v>
      </c>
      <c r="G284">
        <v>737540</v>
      </c>
      <c r="H284" s="110"/>
      <c r="I284" s="110"/>
      <c r="L284" s="133">
        <v>42417</v>
      </c>
      <c r="M284" s="110">
        <v>33.4690623512613</v>
      </c>
      <c r="N284" s="110">
        <v>33.702499577773999</v>
      </c>
      <c r="O284" s="110">
        <v>31.611291090264199</v>
      </c>
      <c r="P284" s="110">
        <v>32.681211711780897</v>
      </c>
      <c r="Q284" s="110">
        <v>172.05</v>
      </c>
      <c r="R284">
        <v>4755404</v>
      </c>
    </row>
    <row r="285" spans="1:18" x14ac:dyDescent="0.25">
      <c r="A285" s="133">
        <v>42418</v>
      </c>
      <c r="B285" s="110">
        <v>34.393844169008901</v>
      </c>
      <c r="C285" s="110">
        <v>33.518435239367797</v>
      </c>
      <c r="D285" s="110">
        <v>32.711113670921101</v>
      </c>
      <c r="E285" s="110">
        <v>34.033953831267603</v>
      </c>
      <c r="F285" s="110">
        <v>172.3</v>
      </c>
      <c r="G285">
        <v>415728</v>
      </c>
      <c r="H285" s="110"/>
      <c r="I285" s="110"/>
      <c r="L285" s="133">
        <v>42418</v>
      </c>
      <c r="M285" s="110">
        <v>33.546874760098902</v>
      </c>
      <c r="N285" s="110">
        <v>34.4125378084169</v>
      </c>
      <c r="O285" s="110">
        <v>32.710391365094999</v>
      </c>
      <c r="P285" s="110">
        <v>34.013749213124299</v>
      </c>
      <c r="Q285" s="110">
        <v>172.45</v>
      </c>
      <c r="R285">
        <v>2961700</v>
      </c>
    </row>
    <row r="286" spans="1:18" x14ac:dyDescent="0.25">
      <c r="A286" s="133">
        <v>42419</v>
      </c>
      <c r="B286" s="110">
        <v>34.1506750218864</v>
      </c>
      <c r="C286" s="110">
        <v>33.3919872828641</v>
      </c>
      <c r="D286" s="110">
        <v>32.9737363498134</v>
      </c>
      <c r="E286" s="110">
        <v>32.9737363498134</v>
      </c>
      <c r="F286" s="110">
        <v>171.65</v>
      </c>
      <c r="G286">
        <v>342184</v>
      </c>
      <c r="H286" s="110"/>
      <c r="I286" s="110"/>
      <c r="L286" s="133">
        <v>42419</v>
      </c>
      <c r="M286" s="110">
        <v>33.293984431376799</v>
      </c>
      <c r="N286" s="110">
        <v>34.1888271330089</v>
      </c>
      <c r="O286" s="110">
        <v>33.089726858178103</v>
      </c>
      <c r="P286" s="110">
        <v>33.449609249051903</v>
      </c>
      <c r="Q286" s="110">
        <v>171.15</v>
      </c>
      <c r="R286">
        <v>4471510</v>
      </c>
    </row>
    <row r="287" spans="1:18" x14ac:dyDescent="0.25">
      <c r="A287" s="133">
        <v>42422</v>
      </c>
      <c r="B287" s="110">
        <v>33.683790259411097</v>
      </c>
      <c r="C287" s="110">
        <v>32.711113670921101</v>
      </c>
      <c r="D287" s="110">
        <v>32.545758650877801</v>
      </c>
      <c r="E287" s="110">
        <v>33.460074644058402</v>
      </c>
      <c r="F287" s="110">
        <v>168.15</v>
      </c>
      <c r="G287">
        <v>354816</v>
      </c>
      <c r="H287" s="110"/>
      <c r="I287" s="110"/>
      <c r="L287" s="133">
        <v>42422</v>
      </c>
      <c r="M287" s="110">
        <v>32.642305507362103</v>
      </c>
      <c r="N287" s="110">
        <v>33.663593373355198</v>
      </c>
      <c r="O287" s="110">
        <v>32.496407240791598</v>
      </c>
      <c r="P287" s="110">
        <v>33.4690623512613</v>
      </c>
      <c r="Q287" s="110">
        <v>167.8</v>
      </c>
      <c r="R287">
        <v>2899053</v>
      </c>
    </row>
    <row r="288" spans="1:18" x14ac:dyDescent="0.25">
      <c r="A288" s="133">
        <v>42423</v>
      </c>
      <c r="B288" s="110">
        <v>32.662479841496598</v>
      </c>
      <c r="C288" s="110">
        <v>31.689803253006499</v>
      </c>
      <c r="D288" s="110">
        <v>31.534174998848101</v>
      </c>
      <c r="E288" s="110">
        <v>32.662479841496598</v>
      </c>
      <c r="F288" s="110">
        <v>162.9</v>
      </c>
      <c r="G288">
        <v>339134</v>
      </c>
      <c r="H288" s="110"/>
      <c r="I288" s="110"/>
      <c r="L288" s="133">
        <v>42423</v>
      </c>
      <c r="M288" s="110">
        <v>31.640470743578302</v>
      </c>
      <c r="N288" s="110">
        <v>32.720117916199698</v>
      </c>
      <c r="O288" s="110">
        <v>31.5140255792173</v>
      </c>
      <c r="P288" s="110">
        <v>32.486680689686899</v>
      </c>
      <c r="Q288" s="110">
        <v>162.65</v>
      </c>
      <c r="R288">
        <v>2927004</v>
      </c>
    </row>
    <row r="289" spans="1:18" x14ac:dyDescent="0.25">
      <c r="A289" s="133">
        <v>42424</v>
      </c>
      <c r="B289" s="110">
        <v>32.594392480302297</v>
      </c>
      <c r="C289" s="110">
        <v>31.7578906142008</v>
      </c>
      <c r="D289" s="110">
        <v>31.0867437681427</v>
      </c>
      <c r="E289" s="110">
        <v>31.456360871768901</v>
      </c>
      <c r="F289" s="110">
        <v>163.25</v>
      </c>
      <c r="G289">
        <v>417904</v>
      </c>
      <c r="H289" s="110"/>
      <c r="I289" s="110"/>
      <c r="L289" s="133">
        <v>42424</v>
      </c>
      <c r="M289" s="110">
        <v>31.776642459044101</v>
      </c>
      <c r="N289" s="110">
        <v>32.622852405152699</v>
      </c>
      <c r="O289" s="110">
        <v>31.027698023982399</v>
      </c>
      <c r="P289" s="110">
        <v>31.300041454913899</v>
      </c>
      <c r="Q289" s="110">
        <v>163.35</v>
      </c>
      <c r="R289">
        <v>3254197</v>
      </c>
    </row>
    <row r="290" spans="1:18" x14ac:dyDescent="0.25">
      <c r="A290" s="133">
        <v>42425</v>
      </c>
      <c r="B290" s="110">
        <v>32.263682440215597</v>
      </c>
      <c r="C290" s="110">
        <v>31.261825554070899</v>
      </c>
      <c r="D290" s="110">
        <v>31.135377597567199</v>
      </c>
      <c r="E290" s="110">
        <v>31.7578906142008</v>
      </c>
      <c r="F290" s="110">
        <v>160.69999999999999</v>
      </c>
      <c r="G290">
        <v>248143</v>
      </c>
      <c r="H290" s="110"/>
      <c r="I290" s="110"/>
      <c r="L290" s="133">
        <v>42425</v>
      </c>
      <c r="M290" s="110">
        <v>31.231955597181098</v>
      </c>
      <c r="N290" s="110">
        <v>32.292149667593002</v>
      </c>
      <c r="O290" s="110">
        <v>31.124963535029401</v>
      </c>
      <c r="P290" s="110">
        <v>31.912814174509801</v>
      </c>
      <c r="Q290" s="110">
        <v>160.55000000000001</v>
      </c>
      <c r="R290">
        <v>3288236</v>
      </c>
    </row>
    <row r="291" spans="1:18" x14ac:dyDescent="0.25">
      <c r="A291" s="133">
        <v>42426</v>
      </c>
      <c r="B291" s="110">
        <v>31.903792102474299</v>
      </c>
      <c r="C291" s="110">
        <v>31.398000276459499</v>
      </c>
      <c r="D291" s="110">
        <v>30.950569045754001</v>
      </c>
      <c r="E291" s="110">
        <v>31.5925355941575</v>
      </c>
      <c r="F291" s="110">
        <v>161.4</v>
      </c>
      <c r="G291">
        <v>419552</v>
      </c>
      <c r="H291" s="110"/>
      <c r="I291" s="110"/>
      <c r="L291" s="133">
        <v>42426</v>
      </c>
      <c r="M291" s="110">
        <v>31.368127312646799</v>
      </c>
      <c r="N291" s="110">
        <v>31.903087623405099</v>
      </c>
      <c r="O291" s="110">
        <v>30.9304325129355</v>
      </c>
      <c r="P291" s="110">
        <v>31.747462805729999</v>
      </c>
      <c r="Q291" s="110">
        <v>161.25</v>
      </c>
      <c r="R291">
        <v>3593431</v>
      </c>
    </row>
    <row r="292" spans="1:18" x14ac:dyDescent="0.25">
      <c r="A292" s="133">
        <v>42429</v>
      </c>
      <c r="B292" s="110">
        <v>32.292862737870301</v>
      </c>
      <c r="C292" s="110">
        <v>30.8435746210201</v>
      </c>
      <c r="D292" s="110">
        <v>30.386416624429799</v>
      </c>
      <c r="E292" s="110">
        <v>31.184011426991699</v>
      </c>
      <c r="F292" s="110">
        <v>158.55000000000001</v>
      </c>
      <c r="G292">
        <v>946317</v>
      </c>
      <c r="H292" s="110"/>
      <c r="I292" s="110"/>
      <c r="L292" s="133">
        <v>42429</v>
      </c>
      <c r="M292" s="110">
        <v>30.823440450783799</v>
      </c>
      <c r="N292" s="110">
        <v>32.292149667593002</v>
      </c>
      <c r="O292" s="110">
        <v>30.3468394466537</v>
      </c>
      <c r="P292" s="110">
        <v>31.621017641368901</v>
      </c>
      <c r="Q292" s="110">
        <v>158.44999999999999</v>
      </c>
      <c r="R292">
        <v>6900505</v>
      </c>
    </row>
    <row r="293" spans="1:18" x14ac:dyDescent="0.25">
      <c r="A293" s="133">
        <v>42430</v>
      </c>
      <c r="B293" s="110">
        <v>32.370676864949601</v>
      </c>
      <c r="C293" s="110">
        <v>32.156688015481699</v>
      </c>
      <c r="D293" s="110">
        <v>30.814394323365399</v>
      </c>
      <c r="E293" s="110">
        <v>30.814394323365399</v>
      </c>
      <c r="F293" s="110">
        <v>165.3</v>
      </c>
      <c r="G293">
        <v>408714</v>
      </c>
      <c r="H293" s="110"/>
      <c r="I293" s="110"/>
      <c r="L293" s="133">
        <v>42430</v>
      </c>
      <c r="M293" s="110">
        <v>32.097618645499097</v>
      </c>
      <c r="N293" s="110">
        <v>32.272696565383598</v>
      </c>
      <c r="O293" s="110">
        <v>30.988791819563598</v>
      </c>
      <c r="P293" s="110">
        <v>30.988791819563598</v>
      </c>
      <c r="Q293" s="110">
        <v>165</v>
      </c>
      <c r="R293">
        <v>3180839</v>
      </c>
    </row>
    <row r="294" spans="1:18" x14ac:dyDescent="0.25">
      <c r="A294" s="133">
        <v>42431</v>
      </c>
      <c r="B294" s="110">
        <v>34.812095102059601</v>
      </c>
      <c r="C294" s="110">
        <v>34.432751232548497</v>
      </c>
      <c r="D294" s="110">
        <v>33.635156429986601</v>
      </c>
      <c r="E294" s="110">
        <v>33.6546099617564</v>
      </c>
      <c r="F294" s="110">
        <v>177</v>
      </c>
      <c r="G294">
        <v>721575</v>
      </c>
      <c r="H294" s="110"/>
      <c r="I294" s="110"/>
      <c r="L294" s="133">
        <v>42431</v>
      </c>
      <c r="M294" s="110">
        <v>34.470897115045098</v>
      </c>
      <c r="N294" s="110">
        <v>34.830779505918798</v>
      </c>
      <c r="O294" s="110">
        <v>33.683046475564602</v>
      </c>
      <c r="P294" s="110">
        <v>34.042928866438402</v>
      </c>
      <c r="Q294" s="110">
        <v>177.2</v>
      </c>
      <c r="R294">
        <v>5889489</v>
      </c>
    </row>
    <row r="295" spans="1:18" x14ac:dyDescent="0.25">
      <c r="A295" s="133">
        <v>42432</v>
      </c>
      <c r="B295" s="110">
        <v>35.113624844491497</v>
      </c>
      <c r="C295" s="110">
        <v>34.714827443210602</v>
      </c>
      <c r="D295" s="110">
        <v>33.819964981799799</v>
      </c>
      <c r="E295" s="110">
        <v>34.588379486706899</v>
      </c>
      <c r="F295" s="110">
        <v>178.45</v>
      </c>
      <c r="G295">
        <v>380454</v>
      </c>
      <c r="H295" s="110"/>
      <c r="I295" s="110"/>
      <c r="L295" s="133">
        <v>42432</v>
      </c>
      <c r="M295" s="110">
        <v>34.714060892662502</v>
      </c>
      <c r="N295" s="110">
        <v>35.112849487955003</v>
      </c>
      <c r="O295" s="110">
        <v>33.809491639925703</v>
      </c>
      <c r="P295" s="110">
        <v>34.859959159232901</v>
      </c>
      <c r="Q295" s="110">
        <v>178.45</v>
      </c>
      <c r="R295">
        <v>3562228</v>
      </c>
    </row>
    <row r="296" spans="1:18" x14ac:dyDescent="0.25">
      <c r="A296" s="133">
        <v>42433</v>
      </c>
      <c r="B296" s="110">
        <v>36.125208496521203</v>
      </c>
      <c r="C296" s="110">
        <v>35.8236787540893</v>
      </c>
      <c r="D296" s="110">
        <v>34.218762383080701</v>
      </c>
      <c r="E296" s="110">
        <v>34.957996590333103</v>
      </c>
      <c r="F296" s="110">
        <v>184.15</v>
      </c>
      <c r="G296">
        <v>588187</v>
      </c>
      <c r="H296" s="110"/>
      <c r="I296" s="110"/>
      <c r="L296" s="133">
        <v>42433</v>
      </c>
      <c r="M296" s="110">
        <v>35.852067371912</v>
      </c>
      <c r="N296" s="110">
        <v>36.124410802843499</v>
      </c>
      <c r="O296" s="110">
        <v>34.159647479694797</v>
      </c>
      <c r="P296" s="110">
        <v>34.957224670279899</v>
      </c>
      <c r="Q296" s="110">
        <v>184.3</v>
      </c>
      <c r="R296">
        <v>4750409</v>
      </c>
    </row>
    <row r="297" spans="1:18" x14ac:dyDescent="0.25">
      <c r="A297" s="133">
        <v>42437</v>
      </c>
      <c r="B297" s="110">
        <v>36.280836750679597</v>
      </c>
      <c r="C297" s="110">
        <v>34.9871768879878</v>
      </c>
      <c r="D297" s="110">
        <v>34.841275399714299</v>
      </c>
      <c r="E297" s="110">
        <v>35.794498456434603</v>
      </c>
      <c r="F297" s="110">
        <v>179.85</v>
      </c>
      <c r="G297">
        <v>376449</v>
      </c>
      <c r="H297" s="110"/>
      <c r="I297" s="110"/>
      <c r="L297" s="133">
        <v>42437</v>
      </c>
      <c r="M297" s="110">
        <v>34.918318465861098</v>
      </c>
      <c r="N297" s="110">
        <v>36.318941824937397</v>
      </c>
      <c r="O297" s="110">
        <v>34.752967097081303</v>
      </c>
      <c r="P297" s="110">
        <v>35.676989452027399</v>
      </c>
      <c r="Q297" s="110">
        <v>179.5</v>
      </c>
      <c r="R297">
        <v>4055773</v>
      </c>
    </row>
    <row r="298" spans="1:18" x14ac:dyDescent="0.25">
      <c r="A298" s="133">
        <v>42438</v>
      </c>
      <c r="B298" s="110">
        <v>35.162258673916099</v>
      </c>
      <c r="C298" s="110">
        <v>35.035810717412303</v>
      </c>
      <c r="D298" s="110">
        <v>34.131221490116602</v>
      </c>
      <c r="E298" s="110">
        <v>34.588379486706899</v>
      </c>
      <c r="F298" s="110">
        <v>180.1</v>
      </c>
      <c r="G298">
        <v>461164</v>
      </c>
      <c r="H298" s="110"/>
      <c r="I298" s="110"/>
      <c r="L298" s="133">
        <v>42438</v>
      </c>
      <c r="M298" s="110">
        <v>35.044763630222199</v>
      </c>
      <c r="N298" s="110">
        <v>35.161482243478503</v>
      </c>
      <c r="O298" s="110">
        <v>34.130467826380702</v>
      </c>
      <c r="P298" s="110">
        <v>34.529256421673203</v>
      </c>
      <c r="Q298" s="110">
        <v>180.15</v>
      </c>
      <c r="R298">
        <v>4604379</v>
      </c>
    </row>
    <row r="299" spans="1:18" x14ac:dyDescent="0.25">
      <c r="A299" s="133">
        <v>42439</v>
      </c>
      <c r="B299" s="110">
        <v>35.561056075197001</v>
      </c>
      <c r="C299" s="110">
        <v>34.9871768879878</v>
      </c>
      <c r="D299" s="110">
        <v>34.510565359627698</v>
      </c>
      <c r="E299" s="110">
        <v>35.171985439800999</v>
      </c>
      <c r="F299" s="110">
        <v>179.85</v>
      </c>
      <c r="G299">
        <v>325081</v>
      </c>
      <c r="H299" s="110"/>
      <c r="I299" s="110"/>
      <c r="L299" s="133">
        <v>42439</v>
      </c>
      <c r="M299" s="110">
        <v>35.015583976908097</v>
      </c>
      <c r="N299" s="110">
        <v>35.501911532142898</v>
      </c>
      <c r="O299" s="110">
        <v>34.490350217254502</v>
      </c>
      <c r="P299" s="110">
        <v>35.210114999002002</v>
      </c>
      <c r="Q299" s="110">
        <v>180</v>
      </c>
      <c r="R299">
        <v>2445827</v>
      </c>
    </row>
    <row r="300" spans="1:18" x14ac:dyDescent="0.25">
      <c r="A300" s="133">
        <v>42440</v>
      </c>
      <c r="B300" s="110">
        <v>35.726411095240302</v>
      </c>
      <c r="C300" s="110">
        <v>35.473515182232902</v>
      </c>
      <c r="D300" s="110">
        <v>34.432751232548497</v>
      </c>
      <c r="E300" s="110">
        <v>34.607833018476697</v>
      </c>
      <c r="F300" s="110">
        <v>182.35</v>
      </c>
      <c r="G300">
        <v>309534</v>
      </c>
      <c r="H300" s="110"/>
      <c r="I300" s="110"/>
      <c r="L300" s="133">
        <v>42440</v>
      </c>
      <c r="M300" s="110">
        <v>35.453278776619399</v>
      </c>
      <c r="N300" s="110">
        <v>35.725622207550899</v>
      </c>
      <c r="O300" s="110">
        <v>34.383358155102798</v>
      </c>
      <c r="P300" s="110">
        <v>34.509803319463799</v>
      </c>
      <c r="Q300" s="110">
        <v>182.25</v>
      </c>
      <c r="R300">
        <v>3625300</v>
      </c>
    </row>
    <row r="301" spans="1:18" x14ac:dyDescent="0.25">
      <c r="A301" s="133">
        <v>42443</v>
      </c>
      <c r="B301" s="110">
        <v>36.232202921255102</v>
      </c>
      <c r="C301" s="110">
        <v>36.008487305902399</v>
      </c>
      <c r="D301" s="110">
        <v>35.638870202276202</v>
      </c>
      <c r="E301" s="110">
        <v>35.979307008247702</v>
      </c>
      <c r="F301" s="110">
        <v>185.1</v>
      </c>
      <c r="G301">
        <v>242065</v>
      </c>
      <c r="H301" s="110"/>
      <c r="I301" s="110"/>
      <c r="L301" s="133">
        <v>42443</v>
      </c>
      <c r="M301" s="110">
        <v>36.017418740691802</v>
      </c>
      <c r="N301" s="110">
        <v>36.241129416099902</v>
      </c>
      <c r="O301" s="110">
        <v>35.628356696504</v>
      </c>
      <c r="P301" s="110">
        <v>35.881247025226102</v>
      </c>
      <c r="Q301" s="110">
        <v>185.15</v>
      </c>
      <c r="R301">
        <v>2178606</v>
      </c>
    </row>
    <row r="302" spans="1:18" x14ac:dyDescent="0.25">
      <c r="A302" s="133">
        <v>42444</v>
      </c>
      <c r="B302" s="110">
        <v>36.631000322536103</v>
      </c>
      <c r="C302" s="110">
        <v>36.310017048334302</v>
      </c>
      <c r="D302" s="110">
        <v>35.969580242362802</v>
      </c>
      <c r="E302" s="110">
        <v>36.0863014329816</v>
      </c>
      <c r="F302" s="110">
        <v>186.65</v>
      </c>
      <c r="G302">
        <v>208917</v>
      </c>
      <c r="H302" s="110"/>
      <c r="I302" s="110"/>
      <c r="L302" s="133">
        <v>42444</v>
      </c>
      <c r="M302" s="110">
        <v>36.299488722728</v>
      </c>
      <c r="N302" s="110">
        <v>36.649644562497102</v>
      </c>
      <c r="O302" s="110">
        <v>35.890973576330801</v>
      </c>
      <c r="P302" s="110">
        <v>36.182770109471697</v>
      </c>
      <c r="Q302" s="110">
        <v>186.6</v>
      </c>
      <c r="R302">
        <v>2633300</v>
      </c>
    </row>
    <row r="303" spans="1:18" x14ac:dyDescent="0.25">
      <c r="A303" s="133">
        <v>42445</v>
      </c>
      <c r="B303" s="110">
        <v>36.767175044924699</v>
      </c>
      <c r="C303" s="110">
        <v>36.533732663687097</v>
      </c>
      <c r="D303" s="110">
        <v>35.561056075197001</v>
      </c>
      <c r="E303" s="110">
        <v>36.514279131917199</v>
      </c>
      <c r="F303" s="110">
        <v>187.8</v>
      </c>
      <c r="G303">
        <v>241356</v>
      </c>
      <c r="H303" s="110"/>
      <c r="I303" s="110"/>
      <c r="L303" s="133">
        <v>42445</v>
      </c>
      <c r="M303" s="110">
        <v>36.494019744821998</v>
      </c>
      <c r="N303" s="110">
        <v>36.708003869125299</v>
      </c>
      <c r="O303" s="110">
        <v>35.550544287666398</v>
      </c>
      <c r="P303" s="110">
        <v>36.377301131565602</v>
      </c>
      <c r="Q303" s="110">
        <v>187.6</v>
      </c>
      <c r="R303">
        <v>2925050</v>
      </c>
    </row>
    <row r="304" spans="1:18" x14ac:dyDescent="0.25">
      <c r="A304" s="133">
        <v>42446</v>
      </c>
      <c r="B304" s="110">
        <v>37.6814910381053</v>
      </c>
      <c r="C304" s="110">
        <v>36.368377643643697</v>
      </c>
      <c r="D304" s="110">
        <v>36.027940837672197</v>
      </c>
      <c r="E304" s="110">
        <v>37.331327466248901</v>
      </c>
      <c r="F304" s="110">
        <v>186.95</v>
      </c>
      <c r="G304">
        <v>359185</v>
      </c>
      <c r="H304" s="110"/>
      <c r="I304" s="110"/>
      <c r="L304" s="133">
        <v>42446</v>
      </c>
      <c r="M304" s="110">
        <v>36.416207335984403</v>
      </c>
      <c r="N304" s="110">
        <v>37.281870384302401</v>
      </c>
      <c r="O304" s="110">
        <v>36.182770109471697</v>
      </c>
      <c r="P304" s="110">
        <v>37.252690730988299</v>
      </c>
      <c r="Q304" s="110">
        <v>187.2</v>
      </c>
      <c r="R304">
        <v>3001104</v>
      </c>
    </row>
    <row r="305" spans="1:18" x14ac:dyDescent="0.25">
      <c r="A305" s="133">
        <v>42447</v>
      </c>
      <c r="B305" s="110">
        <v>37.136792148550903</v>
      </c>
      <c r="C305" s="110">
        <v>36.981163894392502</v>
      </c>
      <c r="D305" s="110">
        <v>36.183569091830599</v>
      </c>
      <c r="E305" s="110">
        <v>36.241929687140001</v>
      </c>
      <c r="F305" s="110">
        <v>190.1</v>
      </c>
      <c r="G305">
        <v>208850</v>
      </c>
      <c r="H305" s="110"/>
      <c r="I305" s="110"/>
      <c r="L305" s="133">
        <v>42447</v>
      </c>
      <c r="M305" s="110">
        <v>37.0192535044756</v>
      </c>
      <c r="N305" s="110">
        <v>37.174878322150697</v>
      </c>
      <c r="O305" s="110">
        <v>36.318941824937397</v>
      </c>
      <c r="P305" s="110">
        <v>36.552379051450202</v>
      </c>
      <c r="Q305" s="110">
        <v>190.3</v>
      </c>
      <c r="R305">
        <v>2189264</v>
      </c>
    </row>
    <row r="306" spans="1:18" x14ac:dyDescent="0.25">
      <c r="A306" s="133">
        <v>42450</v>
      </c>
      <c r="B306" s="110">
        <v>37.691217803990199</v>
      </c>
      <c r="C306" s="110">
        <v>37.535589549831798</v>
      </c>
      <c r="D306" s="110">
        <v>37.146518914435802</v>
      </c>
      <c r="E306" s="110">
        <v>37.195152743860298</v>
      </c>
      <c r="F306" s="110">
        <v>192.95</v>
      </c>
      <c r="G306">
        <v>238732</v>
      </c>
      <c r="H306" s="110"/>
      <c r="I306" s="110"/>
      <c r="L306" s="133">
        <v>42450</v>
      </c>
      <c r="M306" s="110">
        <v>37.563940366338599</v>
      </c>
      <c r="N306" s="110">
        <v>37.700112081804399</v>
      </c>
      <c r="O306" s="110">
        <v>37.194331424360101</v>
      </c>
      <c r="P306" s="110">
        <v>37.408315548663502</v>
      </c>
      <c r="Q306" s="110">
        <v>193.1</v>
      </c>
      <c r="R306">
        <v>1982240</v>
      </c>
    </row>
    <row r="307" spans="1:18" x14ac:dyDescent="0.25">
      <c r="A307" s="133">
        <v>42451</v>
      </c>
      <c r="B307" s="110">
        <v>37.837119292263701</v>
      </c>
      <c r="C307" s="110">
        <v>37.574496613371402</v>
      </c>
      <c r="D307" s="110">
        <v>36.864442703773697</v>
      </c>
      <c r="E307" s="110">
        <v>37.798212228724097</v>
      </c>
      <c r="F307" s="110">
        <v>193.15</v>
      </c>
      <c r="G307">
        <v>360710</v>
      </c>
      <c r="H307" s="110"/>
      <c r="I307" s="110"/>
      <c r="L307" s="133">
        <v>42451</v>
      </c>
      <c r="M307" s="110">
        <v>37.573666917443298</v>
      </c>
      <c r="N307" s="110">
        <v>37.894643103898296</v>
      </c>
      <c r="O307" s="110">
        <v>36.902534891219197</v>
      </c>
      <c r="P307" s="110">
        <v>37.894643103898296</v>
      </c>
      <c r="Q307" s="110">
        <v>193.15</v>
      </c>
      <c r="R307">
        <v>1955126</v>
      </c>
    </row>
    <row r="308" spans="1:18" x14ac:dyDescent="0.25">
      <c r="A308" s="133">
        <v>42452</v>
      </c>
      <c r="B308" s="110">
        <v>37.555043081601603</v>
      </c>
      <c r="C308" s="110">
        <v>37.1756992120905</v>
      </c>
      <c r="D308" s="110">
        <v>36.961710362622703</v>
      </c>
      <c r="E308" s="110">
        <v>37.311873934479102</v>
      </c>
      <c r="F308" s="110">
        <v>191.1</v>
      </c>
      <c r="G308">
        <v>180079</v>
      </c>
      <c r="H308" s="110"/>
      <c r="I308" s="110"/>
      <c r="L308" s="133">
        <v>42452</v>
      </c>
      <c r="M308" s="110">
        <v>37.213784526569498</v>
      </c>
      <c r="N308" s="110">
        <v>37.573666917443298</v>
      </c>
      <c r="O308" s="110">
        <v>36.980347300056799</v>
      </c>
      <c r="P308" s="110">
        <v>37.311050037616504</v>
      </c>
      <c r="Q308" s="110">
        <v>191.3</v>
      </c>
      <c r="R308">
        <v>2199250</v>
      </c>
    </row>
    <row r="309" spans="1:18" x14ac:dyDescent="0.25">
      <c r="A309" s="133">
        <v>42457</v>
      </c>
      <c r="B309" s="110">
        <v>37.350780998018699</v>
      </c>
      <c r="C309" s="110">
        <v>35.512422245772498</v>
      </c>
      <c r="D309" s="110">
        <v>35.210892503340602</v>
      </c>
      <c r="E309" s="110">
        <v>37.350780998018699</v>
      </c>
      <c r="F309" s="110">
        <v>182.55</v>
      </c>
      <c r="G309">
        <v>364578</v>
      </c>
      <c r="H309" s="110"/>
      <c r="I309" s="110"/>
      <c r="L309" s="133">
        <v>42457</v>
      </c>
      <c r="M309" s="110">
        <v>35.443552225514701</v>
      </c>
      <c r="N309" s="110">
        <v>37.320776588721202</v>
      </c>
      <c r="O309" s="110">
        <v>35.200388447897303</v>
      </c>
      <c r="P309" s="110">
        <v>37.155425219941399</v>
      </c>
      <c r="Q309" s="110">
        <v>182.2</v>
      </c>
      <c r="R309">
        <v>2492569</v>
      </c>
    </row>
    <row r="310" spans="1:18" x14ac:dyDescent="0.25">
      <c r="A310" s="133">
        <v>42458</v>
      </c>
      <c r="B310" s="110">
        <v>35.687504031700698</v>
      </c>
      <c r="C310" s="110">
        <v>35.162258673916099</v>
      </c>
      <c r="D310" s="110">
        <v>34.919089526793499</v>
      </c>
      <c r="E310" s="110">
        <v>35.599963138736598</v>
      </c>
      <c r="F310" s="110">
        <v>180.75</v>
      </c>
      <c r="G310">
        <v>239131</v>
      </c>
      <c r="H310" s="110"/>
      <c r="I310" s="110"/>
      <c r="L310" s="133">
        <v>42458</v>
      </c>
      <c r="M310" s="110">
        <v>35.093396385745599</v>
      </c>
      <c r="N310" s="110">
        <v>35.696442554236803</v>
      </c>
      <c r="O310" s="110">
        <v>34.869685710337599</v>
      </c>
      <c r="P310" s="110">
        <v>35.463005327724098</v>
      </c>
      <c r="Q310" s="110">
        <v>180.4</v>
      </c>
      <c r="R310">
        <v>3053918</v>
      </c>
    </row>
    <row r="311" spans="1:18" x14ac:dyDescent="0.25">
      <c r="A311" s="133">
        <v>42459</v>
      </c>
      <c r="B311" s="110">
        <v>36.708814449615303</v>
      </c>
      <c r="C311" s="110">
        <v>36.4170114730682</v>
      </c>
      <c r="D311" s="110">
        <v>35.278979864534897</v>
      </c>
      <c r="E311" s="110">
        <v>35.415154586923499</v>
      </c>
      <c r="F311" s="110">
        <v>187.2</v>
      </c>
      <c r="G311">
        <v>266994</v>
      </c>
      <c r="H311" s="110"/>
      <c r="I311" s="110"/>
      <c r="L311" s="133">
        <v>42459</v>
      </c>
      <c r="M311" s="110">
        <v>36.416207335984403</v>
      </c>
      <c r="N311" s="110">
        <v>36.717730420229998</v>
      </c>
      <c r="O311" s="110">
        <v>35.2684743056302</v>
      </c>
      <c r="P311" s="110">
        <v>35.424099123305297</v>
      </c>
      <c r="Q311" s="110">
        <v>187.2</v>
      </c>
      <c r="R311">
        <v>2600785</v>
      </c>
    </row>
    <row r="312" spans="1:18" x14ac:dyDescent="0.25">
      <c r="A312" s="133">
        <v>42460</v>
      </c>
      <c r="B312" s="110">
        <v>37.331327466248901</v>
      </c>
      <c r="C312" s="110">
        <v>36.932530064967999</v>
      </c>
      <c r="D312" s="110">
        <v>35.891766115283602</v>
      </c>
      <c r="E312" s="110">
        <v>36.378104409528603</v>
      </c>
      <c r="F312" s="110">
        <v>189.85</v>
      </c>
      <c r="G312">
        <v>434844</v>
      </c>
      <c r="H312" s="110"/>
      <c r="I312" s="110"/>
      <c r="L312" s="133">
        <v>42460</v>
      </c>
      <c r="M312" s="110">
        <v>36.970620748952101</v>
      </c>
      <c r="N312" s="110">
        <v>37.281870384302401</v>
      </c>
      <c r="O312" s="110">
        <v>35.949332882958998</v>
      </c>
      <c r="P312" s="110">
        <v>36.513472847031402</v>
      </c>
      <c r="Q312" s="110">
        <v>190.05</v>
      </c>
      <c r="R312">
        <v>3882935</v>
      </c>
    </row>
    <row r="313" spans="1:18" x14ac:dyDescent="0.25">
      <c r="A313" s="133">
        <v>42461</v>
      </c>
      <c r="B313" s="110">
        <v>38.868156476063199</v>
      </c>
      <c r="C313" s="110">
        <v>38.663894392480302</v>
      </c>
      <c r="D313" s="110">
        <v>36.553186195456902</v>
      </c>
      <c r="E313" s="110">
        <v>36.990890660277401</v>
      </c>
      <c r="F313" s="110">
        <v>198.75</v>
      </c>
      <c r="G313">
        <v>742919</v>
      </c>
      <c r="H313" s="110"/>
      <c r="I313" s="110"/>
      <c r="L313" s="133">
        <v>42461</v>
      </c>
      <c r="M313" s="110">
        <v>38.643587538959899</v>
      </c>
      <c r="N313" s="110">
        <v>38.867298214367999</v>
      </c>
      <c r="O313" s="110">
        <v>36.513472847031402</v>
      </c>
      <c r="P313" s="110">
        <v>36.766363175753497</v>
      </c>
      <c r="Q313" s="110">
        <v>198.65</v>
      </c>
      <c r="R313">
        <v>4147881</v>
      </c>
    </row>
    <row r="314" spans="1:18" x14ac:dyDescent="0.25">
      <c r="A314" s="133">
        <v>42464</v>
      </c>
      <c r="B314" s="110">
        <v>39.247500345574402</v>
      </c>
      <c r="C314" s="110">
        <v>38.605533797170899</v>
      </c>
      <c r="D314" s="110">
        <v>38.226189927659803</v>
      </c>
      <c r="E314" s="110">
        <v>39.004331198451801</v>
      </c>
      <c r="F314" s="110">
        <v>198.45</v>
      </c>
      <c r="G314">
        <v>298678</v>
      </c>
      <c r="H314" s="110"/>
      <c r="I314" s="110"/>
      <c r="L314" s="133">
        <v>42464</v>
      </c>
      <c r="M314" s="110">
        <v>38.585228232331801</v>
      </c>
      <c r="N314" s="110">
        <v>39.275813360765198</v>
      </c>
      <c r="O314" s="110">
        <v>38.147533432620399</v>
      </c>
      <c r="P314" s="110">
        <v>38.984016827624302</v>
      </c>
      <c r="Q314" s="110">
        <v>198.35</v>
      </c>
      <c r="R314">
        <v>2740428</v>
      </c>
    </row>
    <row r="315" spans="1:18" x14ac:dyDescent="0.25">
      <c r="A315" s="133">
        <v>42465</v>
      </c>
      <c r="B315" s="110">
        <v>38.605533797170899</v>
      </c>
      <c r="C315" s="110">
        <v>36.290563516564497</v>
      </c>
      <c r="D315" s="110">
        <v>36.125208496521203</v>
      </c>
      <c r="E315" s="110">
        <v>38.304004054739003</v>
      </c>
      <c r="F315" s="110">
        <v>186.55</v>
      </c>
      <c r="G315">
        <v>535096</v>
      </c>
      <c r="H315" s="110"/>
      <c r="I315" s="110"/>
      <c r="L315" s="133">
        <v>42465</v>
      </c>
      <c r="M315" s="110">
        <v>36.2508559672046</v>
      </c>
      <c r="N315" s="110">
        <v>38.614407885645903</v>
      </c>
      <c r="O315" s="110">
        <v>35.9882390873777</v>
      </c>
      <c r="P315" s="110">
        <v>38.400423761342502</v>
      </c>
      <c r="Q315" s="110">
        <v>186.35</v>
      </c>
      <c r="R315">
        <v>4292322</v>
      </c>
    </row>
    <row r="316" spans="1:18" x14ac:dyDescent="0.25">
      <c r="A316" s="133">
        <v>42466</v>
      </c>
      <c r="B316" s="110">
        <v>36.426738238953099</v>
      </c>
      <c r="C316" s="110">
        <v>35.920946412938299</v>
      </c>
      <c r="D316" s="110">
        <v>35.619416670506403</v>
      </c>
      <c r="E316" s="110">
        <v>36.280836750679597</v>
      </c>
      <c r="F316" s="110">
        <v>184.65</v>
      </c>
      <c r="G316">
        <v>183591</v>
      </c>
      <c r="H316" s="110"/>
      <c r="I316" s="110"/>
      <c r="L316" s="133">
        <v>42466</v>
      </c>
      <c r="M316" s="110">
        <v>35.949332882958998</v>
      </c>
      <c r="N316" s="110">
        <v>36.4356604381938</v>
      </c>
      <c r="O316" s="110">
        <v>35.608903594294603</v>
      </c>
      <c r="P316" s="110">
        <v>36.085504598424698</v>
      </c>
      <c r="Q316" s="110">
        <v>184.8</v>
      </c>
      <c r="R316">
        <v>2849465</v>
      </c>
    </row>
    <row r="317" spans="1:18" x14ac:dyDescent="0.25">
      <c r="A317" s="133">
        <v>42467</v>
      </c>
      <c r="B317" s="110">
        <v>36.280836750679597</v>
      </c>
      <c r="C317" s="110">
        <v>35.4054278210386</v>
      </c>
      <c r="D317" s="110">
        <v>35.123351610376503</v>
      </c>
      <c r="E317" s="110">
        <v>36.271109984794698</v>
      </c>
      <c r="F317" s="110">
        <v>182</v>
      </c>
      <c r="G317">
        <v>254186</v>
      </c>
      <c r="H317" s="110"/>
      <c r="I317" s="110"/>
      <c r="L317" s="133">
        <v>42467</v>
      </c>
      <c r="M317" s="110">
        <v>35.414372572200598</v>
      </c>
      <c r="N317" s="110">
        <v>36.318941824937397</v>
      </c>
      <c r="O317" s="110">
        <v>35.200388447897303</v>
      </c>
      <c r="P317" s="110">
        <v>35.9882390873777</v>
      </c>
      <c r="Q317" s="110">
        <v>182.05</v>
      </c>
      <c r="R317">
        <v>2839688</v>
      </c>
    </row>
    <row r="318" spans="1:18" x14ac:dyDescent="0.25">
      <c r="A318" s="133">
        <v>42468</v>
      </c>
      <c r="B318" s="110">
        <v>35.726411095240302</v>
      </c>
      <c r="C318" s="110">
        <v>35.512422245772498</v>
      </c>
      <c r="D318" s="110">
        <v>35.249799566880199</v>
      </c>
      <c r="E318" s="110">
        <v>35.502695479887599</v>
      </c>
      <c r="F318" s="110">
        <v>182.55</v>
      </c>
      <c r="G318">
        <v>138625</v>
      </c>
      <c r="H318" s="110"/>
      <c r="I318" s="110"/>
      <c r="L318" s="133">
        <v>42468</v>
      </c>
      <c r="M318" s="110">
        <v>35.501911532142898</v>
      </c>
      <c r="N318" s="110">
        <v>35.735348758655597</v>
      </c>
      <c r="O318" s="110">
        <v>35.210114999002002</v>
      </c>
      <c r="P318" s="110">
        <v>35.463005327724098</v>
      </c>
      <c r="Q318" s="110">
        <v>182.5</v>
      </c>
      <c r="R318">
        <v>2087286</v>
      </c>
    </row>
    <row r="319" spans="1:18" x14ac:dyDescent="0.25">
      <c r="A319" s="133">
        <v>42471</v>
      </c>
      <c r="B319" s="110">
        <v>36.572639727226701</v>
      </c>
      <c r="C319" s="110">
        <v>36.446191770722898</v>
      </c>
      <c r="D319" s="110">
        <v>35.113624844491497</v>
      </c>
      <c r="E319" s="110">
        <v>35.599963138736598</v>
      </c>
      <c r="F319" s="110">
        <v>187.35</v>
      </c>
      <c r="G319">
        <v>238212</v>
      </c>
      <c r="H319" s="110"/>
      <c r="I319" s="110"/>
      <c r="L319" s="133">
        <v>42471</v>
      </c>
      <c r="M319" s="110">
        <v>36.464840091507902</v>
      </c>
      <c r="N319" s="110">
        <v>36.542652500345497</v>
      </c>
      <c r="O319" s="110">
        <v>35.112849487955003</v>
      </c>
      <c r="P319" s="110">
        <v>35.6672629009228</v>
      </c>
      <c r="Q319" s="110">
        <v>187.45</v>
      </c>
      <c r="R319">
        <v>3603540</v>
      </c>
    </row>
    <row r="320" spans="1:18" x14ac:dyDescent="0.25">
      <c r="A320" s="133">
        <v>42472</v>
      </c>
      <c r="B320" s="110">
        <v>37.156245680320701</v>
      </c>
      <c r="C320" s="110">
        <v>36.990890660277401</v>
      </c>
      <c r="D320" s="110">
        <v>36.4170114730682</v>
      </c>
      <c r="E320" s="110">
        <v>36.6601806201908</v>
      </c>
      <c r="F320" s="110">
        <v>190.15</v>
      </c>
      <c r="G320">
        <v>249099</v>
      </c>
      <c r="H320" s="110"/>
      <c r="I320" s="110"/>
      <c r="L320" s="133">
        <v>42472</v>
      </c>
      <c r="M320" s="110">
        <v>37.0192535044756</v>
      </c>
      <c r="N320" s="110">
        <v>37.213784526569498</v>
      </c>
      <c r="O320" s="110">
        <v>36.396754233774999</v>
      </c>
      <c r="P320" s="110">
        <v>36.474566642612601</v>
      </c>
      <c r="Q320" s="110">
        <v>190.3</v>
      </c>
      <c r="R320">
        <v>2739730</v>
      </c>
    </row>
    <row r="321" spans="1:18" x14ac:dyDescent="0.25">
      <c r="A321" s="133">
        <v>42473</v>
      </c>
      <c r="B321" s="110">
        <v>38.712528221904797</v>
      </c>
      <c r="C321" s="110">
        <v>38.216463161774897</v>
      </c>
      <c r="D321" s="110">
        <v>37.350780998018699</v>
      </c>
      <c r="E321" s="110">
        <v>37.350780998018699</v>
      </c>
      <c r="F321" s="110">
        <v>196.45</v>
      </c>
      <c r="G321">
        <v>411864</v>
      </c>
      <c r="H321" s="110"/>
      <c r="I321" s="110"/>
      <c r="L321" s="133">
        <v>42473</v>
      </c>
      <c r="M321" s="110">
        <v>38.254525494772103</v>
      </c>
      <c r="N321" s="110">
        <v>38.770032703321</v>
      </c>
      <c r="O321" s="110">
        <v>37.456948304186902</v>
      </c>
      <c r="P321" s="110">
        <v>37.456948304186902</v>
      </c>
      <c r="Q321" s="110">
        <v>196.65</v>
      </c>
      <c r="R321">
        <v>3896957</v>
      </c>
    </row>
    <row r="322" spans="1:18" x14ac:dyDescent="0.25">
      <c r="A322" s="133">
        <v>42478</v>
      </c>
      <c r="B322" s="110">
        <v>38.216463161774897</v>
      </c>
      <c r="C322" s="110">
        <v>37.710671335759997</v>
      </c>
      <c r="D322" s="110">
        <v>37.302147168594203</v>
      </c>
      <c r="E322" s="110">
        <v>38.216463161774897</v>
      </c>
      <c r="F322" s="110">
        <v>193.85</v>
      </c>
      <c r="G322">
        <v>131327</v>
      </c>
      <c r="H322" s="110"/>
      <c r="I322" s="110"/>
      <c r="L322" s="133">
        <v>42478</v>
      </c>
      <c r="M322" s="110">
        <v>37.670932428490303</v>
      </c>
      <c r="N322" s="110">
        <v>38.225345841458001</v>
      </c>
      <c r="O322" s="110">
        <v>37.252690730988299</v>
      </c>
      <c r="P322" s="110">
        <v>38.225345841458001</v>
      </c>
      <c r="Q322" s="110">
        <v>193.65</v>
      </c>
      <c r="R322">
        <v>1596235</v>
      </c>
    </row>
    <row r="323" spans="1:18" x14ac:dyDescent="0.25">
      <c r="A323" s="133">
        <v>42480</v>
      </c>
      <c r="B323" s="110">
        <v>38.547173201861497</v>
      </c>
      <c r="C323" s="110">
        <v>38.333184352393701</v>
      </c>
      <c r="D323" s="110">
        <v>36.9228032990831</v>
      </c>
      <c r="E323" s="110">
        <v>37.739851633414702</v>
      </c>
      <c r="F323" s="110">
        <v>197.05</v>
      </c>
      <c r="G323">
        <v>309858</v>
      </c>
      <c r="H323" s="110"/>
      <c r="I323" s="110"/>
      <c r="L323" s="133">
        <v>42480</v>
      </c>
      <c r="M323" s="110">
        <v>38.351791005819003</v>
      </c>
      <c r="N323" s="110">
        <v>38.575501681227102</v>
      </c>
      <c r="O323" s="110">
        <v>36.960894197847402</v>
      </c>
      <c r="P323" s="110">
        <v>37.544487264129202</v>
      </c>
      <c r="Q323" s="110">
        <v>197.15</v>
      </c>
      <c r="R323">
        <v>2855724</v>
      </c>
    </row>
    <row r="324" spans="1:18" x14ac:dyDescent="0.25">
      <c r="A324" s="133">
        <v>42481</v>
      </c>
      <c r="B324" s="110">
        <v>40.687061696539701</v>
      </c>
      <c r="C324" s="110">
        <v>39.977007786941897</v>
      </c>
      <c r="D324" s="110">
        <v>38.712528221904797</v>
      </c>
      <c r="E324" s="110">
        <v>38.712528221904797</v>
      </c>
      <c r="F324" s="110">
        <v>205.5</v>
      </c>
      <c r="G324">
        <v>591312</v>
      </c>
      <c r="H324" s="110"/>
      <c r="I324" s="110"/>
      <c r="L324" s="133">
        <v>42481</v>
      </c>
      <c r="M324" s="110">
        <v>40.053937449141003</v>
      </c>
      <c r="N324" s="110">
        <v>40.754249128679099</v>
      </c>
      <c r="O324" s="110">
        <v>38.721399947797501</v>
      </c>
      <c r="P324" s="110">
        <v>38.721399947797501</v>
      </c>
      <c r="Q324" s="110">
        <v>205.9</v>
      </c>
      <c r="R324">
        <v>5512606</v>
      </c>
    </row>
    <row r="325" spans="1:18" x14ac:dyDescent="0.25">
      <c r="A325" s="133">
        <v>42482</v>
      </c>
      <c r="B325" s="110">
        <v>41.611104455605201</v>
      </c>
      <c r="C325" s="110">
        <v>41.085859097820602</v>
      </c>
      <c r="D325" s="110">
        <v>39.918647191632502</v>
      </c>
      <c r="E325" s="110">
        <v>40.035368382251299</v>
      </c>
      <c r="F325" s="110">
        <v>211.2</v>
      </c>
      <c r="G325">
        <v>632474</v>
      </c>
      <c r="H325" s="110"/>
      <c r="I325" s="110"/>
      <c r="L325" s="133">
        <v>42482</v>
      </c>
      <c r="M325" s="110">
        <v>41.133584621762303</v>
      </c>
      <c r="N325" s="110">
        <v>41.726904239148801</v>
      </c>
      <c r="O325" s="110">
        <v>39.878859529256403</v>
      </c>
      <c r="P325" s="110">
        <v>39.946945386989299</v>
      </c>
      <c r="Q325" s="110">
        <v>211.45</v>
      </c>
      <c r="R325">
        <v>6448739</v>
      </c>
    </row>
    <row r="326" spans="1:18" x14ac:dyDescent="0.25">
      <c r="A326" s="133">
        <v>42485</v>
      </c>
      <c r="B326" s="110">
        <v>41.611104455605201</v>
      </c>
      <c r="C326" s="110">
        <v>40.259083997604002</v>
      </c>
      <c r="D326" s="110">
        <v>39.724111873934497</v>
      </c>
      <c r="E326" s="110">
        <v>41.611104455605201</v>
      </c>
      <c r="F326" s="110">
        <v>206.95</v>
      </c>
      <c r="G326">
        <v>317265</v>
      </c>
      <c r="H326" s="110"/>
      <c r="I326" s="110"/>
      <c r="L326" s="133">
        <v>42485</v>
      </c>
      <c r="M326" s="110">
        <v>40.219288817920798</v>
      </c>
      <c r="N326" s="110">
        <v>41.464287359322</v>
      </c>
      <c r="O326" s="110">
        <v>39.684328507162498</v>
      </c>
      <c r="P326" s="110">
        <v>41.328115643856201</v>
      </c>
      <c r="Q326" s="110">
        <v>206.75</v>
      </c>
      <c r="R326">
        <v>3177971</v>
      </c>
    </row>
    <row r="327" spans="1:18" x14ac:dyDescent="0.25">
      <c r="A327" s="133">
        <v>42486</v>
      </c>
      <c r="B327" s="110">
        <v>41.8737271344975</v>
      </c>
      <c r="C327" s="110">
        <v>41.640284753259898</v>
      </c>
      <c r="D327" s="110">
        <v>39.724111873934497</v>
      </c>
      <c r="E327" s="110">
        <v>40.229903699949297</v>
      </c>
      <c r="F327" s="110">
        <v>214.05</v>
      </c>
      <c r="G327">
        <v>442577</v>
      </c>
      <c r="H327" s="110"/>
      <c r="I327" s="110"/>
      <c r="L327" s="133">
        <v>42486</v>
      </c>
      <c r="M327" s="110">
        <v>41.629638728101803</v>
      </c>
      <c r="N327" s="110">
        <v>41.765810443567602</v>
      </c>
      <c r="O327" s="110">
        <v>39.742687813790702</v>
      </c>
      <c r="P327" s="110">
        <v>40.336007431177201</v>
      </c>
      <c r="Q327" s="110">
        <v>214</v>
      </c>
      <c r="R327">
        <v>4041753</v>
      </c>
    </row>
    <row r="328" spans="1:18" x14ac:dyDescent="0.25">
      <c r="A328" s="133">
        <v>42487</v>
      </c>
      <c r="B328" s="110">
        <v>42.2919780675483</v>
      </c>
      <c r="C328" s="110">
        <v>41.231760586094097</v>
      </c>
      <c r="D328" s="110">
        <v>41.017771736626301</v>
      </c>
      <c r="E328" s="110">
        <v>41.630557987374999</v>
      </c>
      <c r="F328" s="110">
        <v>211.95</v>
      </c>
      <c r="G328">
        <v>339268</v>
      </c>
      <c r="H328" s="110"/>
      <c r="I328" s="110"/>
      <c r="L328" s="133">
        <v>42487</v>
      </c>
      <c r="M328" s="110">
        <v>41.221123581704603</v>
      </c>
      <c r="N328" s="110">
        <v>42.291044203221198</v>
      </c>
      <c r="O328" s="110">
        <v>40.987686355191798</v>
      </c>
      <c r="P328" s="110">
        <v>41.610185625892399</v>
      </c>
      <c r="Q328" s="110">
        <v>211.9</v>
      </c>
      <c r="R328">
        <v>3557828</v>
      </c>
    </row>
    <row r="329" spans="1:18" x14ac:dyDescent="0.25">
      <c r="A329" s="133">
        <v>42488</v>
      </c>
      <c r="B329" s="110">
        <v>41.7861862415334</v>
      </c>
      <c r="C329" s="110">
        <v>40.930230843662201</v>
      </c>
      <c r="D329" s="110">
        <v>40.638427867115098</v>
      </c>
      <c r="E329" s="110">
        <v>41.338755010828002</v>
      </c>
      <c r="F329" s="110">
        <v>210.4</v>
      </c>
      <c r="G329">
        <v>354993</v>
      </c>
      <c r="H329" s="110"/>
      <c r="I329" s="110"/>
      <c r="L329" s="133">
        <v>42488</v>
      </c>
      <c r="M329" s="110">
        <v>40.7931553330979</v>
      </c>
      <c r="N329" s="110">
        <v>41.785263545776999</v>
      </c>
      <c r="O329" s="110">
        <v>40.549991555480503</v>
      </c>
      <c r="P329" s="110">
        <v>41.415654603798501</v>
      </c>
      <c r="Q329" s="110">
        <v>209.7</v>
      </c>
      <c r="R329">
        <v>2814372</v>
      </c>
    </row>
    <row r="330" spans="1:18" x14ac:dyDescent="0.25">
      <c r="A330" s="133">
        <v>42489</v>
      </c>
      <c r="B330" s="110">
        <v>41.163673224899803</v>
      </c>
      <c r="C330" s="110">
        <v>40.074275445790903</v>
      </c>
      <c r="D330" s="110">
        <v>39.091872091415901</v>
      </c>
      <c r="E330" s="110">
        <v>40.949684375432</v>
      </c>
      <c r="F330" s="110">
        <v>206</v>
      </c>
      <c r="G330">
        <v>333422</v>
      </c>
      <c r="H330" s="110"/>
      <c r="I330" s="110"/>
      <c r="L330" s="133">
        <v>42489</v>
      </c>
      <c r="M330" s="110">
        <v>40.063664000245701</v>
      </c>
      <c r="N330" s="110">
        <v>41.182217377285802</v>
      </c>
      <c r="O330" s="110">
        <v>39.0423761342525</v>
      </c>
      <c r="P330" s="110">
        <v>40.841788088621399</v>
      </c>
      <c r="Q330" s="110">
        <v>205.95</v>
      </c>
      <c r="R330">
        <v>3420929</v>
      </c>
    </row>
    <row r="331" spans="1:18" x14ac:dyDescent="0.25">
      <c r="A331" s="133">
        <v>42492</v>
      </c>
      <c r="B331" s="110">
        <v>39.763018937474101</v>
      </c>
      <c r="C331" s="110">
        <v>39.150232686725303</v>
      </c>
      <c r="D331" s="110">
        <v>38.7611620513293</v>
      </c>
      <c r="E331" s="110">
        <v>39.656024512740203</v>
      </c>
      <c r="F331" s="110">
        <v>201.25</v>
      </c>
      <c r="G331">
        <v>1136032</v>
      </c>
      <c r="H331" s="110"/>
      <c r="I331" s="110"/>
      <c r="L331" s="133">
        <v>42492</v>
      </c>
      <c r="M331" s="110">
        <v>39.110461991985403</v>
      </c>
      <c r="N331" s="110">
        <v>39.888586080361101</v>
      </c>
      <c r="O331" s="110">
        <v>38.808938907739801</v>
      </c>
      <c r="P331" s="110">
        <v>39.878859529256403</v>
      </c>
      <c r="Q331" s="110">
        <v>201.05</v>
      </c>
      <c r="R331">
        <v>3503310</v>
      </c>
    </row>
    <row r="332" spans="1:18" x14ac:dyDescent="0.25">
      <c r="A332" s="133">
        <v>42493</v>
      </c>
      <c r="B332" s="110">
        <v>39.8602865963231</v>
      </c>
      <c r="C332" s="110">
        <v>38.197009630005098</v>
      </c>
      <c r="D332" s="110">
        <v>38.080288439386301</v>
      </c>
      <c r="E332" s="110">
        <v>39.296134174998897</v>
      </c>
      <c r="F332" s="110">
        <v>196.35</v>
      </c>
      <c r="G332">
        <v>799790</v>
      </c>
      <c r="H332" s="110"/>
      <c r="I332" s="110"/>
      <c r="L332" s="133">
        <v>42493</v>
      </c>
      <c r="M332" s="110">
        <v>38.1864396370392</v>
      </c>
      <c r="N332" s="110">
        <v>39.878859529256403</v>
      </c>
      <c r="O332" s="110">
        <v>38.050267921573401</v>
      </c>
      <c r="P332" s="110">
        <v>39.392531974021601</v>
      </c>
      <c r="Q332" s="110">
        <v>196.3</v>
      </c>
      <c r="R332">
        <v>4027393</v>
      </c>
    </row>
    <row r="333" spans="1:18" x14ac:dyDescent="0.25">
      <c r="A333" s="133">
        <v>42494</v>
      </c>
      <c r="B333" s="110">
        <v>38.488812606552102</v>
      </c>
      <c r="C333" s="110">
        <v>36.825535640234101</v>
      </c>
      <c r="D333" s="110">
        <v>36.679634151960599</v>
      </c>
      <c r="E333" s="110">
        <v>38.128922268810797</v>
      </c>
      <c r="F333" s="110">
        <v>189.3</v>
      </c>
      <c r="G333">
        <v>224961</v>
      </c>
      <c r="H333" s="110"/>
      <c r="I333" s="110"/>
      <c r="L333" s="133">
        <v>42494</v>
      </c>
      <c r="M333" s="110">
        <v>36.824722482381702</v>
      </c>
      <c r="N333" s="110">
        <v>38.497689272389501</v>
      </c>
      <c r="O333" s="110">
        <v>36.620464909182999</v>
      </c>
      <c r="P333" s="110">
        <v>38.011361717154699</v>
      </c>
      <c r="Q333" s="110">
        <v>189.3</v>
      </c>
      <c r="R333">
        <v>3042719</v>
      </c>
    </row>
    <row r="334" spans="1:18" x14ac:dyDescent="0.25">
      <c r="A334" s="133">
        <v>42495</v>
      </c>
      <c r="B334" s="110">
        <v>37.467502188637503</v>
      </c>
      <c r="C334" s="110">
        <v>36.864442703773697</v>
      </c>
      <c r="D334" s="110">
        <v>36.407284707183301</v>
      </c>
      <c r="E334" s="110">
        <v>37.156245680320701</v>
      </c>
      <c r="F334" s="110">
        <v>189.5</v>
      </c>
      <c r="G334">
        <v>307441</v>
      </c>
      <c r="H334" s="110"/>
      <c r="I334" s="110"/>
      <c r="L334" s="133">
        <v>42495</v>
      </c>
      <c r="M334" s="110">
        <v>36.892808340114499</v>
      </c>
      <c r="N334" s="110">
        <v>37.408315548663502</v>
      </c>
      <c r="O334" s="110">
        <v>36.396754233774999</v>
      </c>
      <c r="P334" s="110">
        <v>36.960894197847402</v>
      </c>
      <c r="Q334" s="110">
        <v>189.65</v>
      </c>
      <c r="R334">
        <v>2564056</v>
      </c>
    </row>
    <row r="335" spans="1:18" x14ac:dyDescent="0.25">
      <c r="A335" s="133">
        <v>42496</v>
      </c>
      <c r="B335" s="110">
        <v>37.350780998018699</v>
      </c>
      <c r="C335" s="110">
        <v>36.796355342579403</v>
      </c>
      <c r="D335" s="110">
        <v>36.475372068377602</v>
      </c>
      <c r="E335" s="110">
        <v>37.350780998018699</v>
      </c>
      <c r="F335" s="110">
        <v>189.15</v>
      </c>
      <c r="G335">
        <v>298742</v>
      </c>
      <c r="H335" s="110"/>
      <c r="I335" s="110"/>
      <c r="L335" s="133">
        <v>42496</v>
      </c>
      <c r="M335" s="110">
        <v>36.776089726858203</v>
      </c>
      <c r="N335" s="110">
        <v>37.281870384302401</v>
      </c>
      <c r="O335" s="110">
        <v>36.396754233774999</v>
      </c>
      <c r="P335" s="110">
        <v>36.776089726858203</v>
      </c>
      <c r="Q335" s="110">
        <v>189.05</v>
      </c>
      <c r="R335">
        <v>3371884</v>
      </c>
    </row>
    <row r="336" spans="1:18" x14ac:dyDescent="0.25">
      <c r="A336" s="133">
        <v>42499</v>
      </c>
      <c r="B336" s="110">
        <v>37.934386951112799</v>
      </c>
      <c r="C336" s="110">
        <v>37.730124867529803</v>
      </c>
      <c r="D336" s="110">
        <v>37.0006174261623</v>
      </c>
      <c r="E336" s="110">
        <v>37.234059807399902</v>
      </c>
      <c r="F336" s="110">
        <v>193.95</v>
      </c>
      <c r="G336">
        <v>209542</v>
      </c>
      <c r="H336" s="110"/>
      <c r="I336" s="110"/>
      <c r="L336" s="133">
        <v>42499</v>
      </c>
      <c r="M336" s="110">
        <v>37.748744837327799</v>
      </c>
      <c r="N336" s="110">
        <v>37.933549308317097</v>
      </c>
      <c r="O336" s="110">
        <v>36.980347300056799</v>
      </c>
      <c r="P336" s="110">
        <v>36.980347300056799</v>
      </c>
      <c r="Q336" s="110">
        <v>194.05</v>
      </c>
      <c r="R336">
        <v>2510122</v>
      </c>
    </row>
    <row r="337" spans="1:18" x14ac:dyDescent="0.25">
      <c r="A337" s="133">
        <v>42500</v>
      </c>
      <c r="B337" s="110">
        <v>38.304004054739003</v>
      </c>
      <c r="C337" s="110">
        <v>37.652310740450602</v>
      </c>
      <c r="D337" s="110">
        <v>37.350780998018699</v>
      </c>
      <c r="E337" s="110">
        <v>38.304004054739003</v>
      </c>
      <c r="F337" s="110">
        <v>193.55</v>
      </c>
      <c r="G337">
        <v>182491</v>
      </c>
      <c r="H337" s="110"/>
      <c r="I337" s="110"/>
      <c r="L337" s="133">
        <v>42500</v>
      </c>
      <c r="M337" s="110">
        <v>37.632026224071502</v>
      </c>
      <c r="N337" s="110">
        <v>38.059994472678099</v>
      </c>
      <c r="O337" s="110">
        <v>37.311050037616504</v>
      </c>
      <c r="P337" s="110">
        <v>38.059994472678099</v>
      </c>
      <c r="Q337" s="110">
        <v>193.45</v>
      </c>
      <c r="R337">
        <v>2335699</v>
      </c>
    </row>
    <row r="338" spans="1:18" x14ac:dyDescent="0.25">
      <c r="A338" s="133">
        <v>42501</v>
      </c>
      <c r="B338" s="110">
        <v>37.5064092521771</v>
      </c>
      <c r="C338" s="110">
        <v>36.387831175413503</v>
      </c>
      <c r="D338" s="110">
        <v>36.203022623600397</v>
      </c>
      <c r="E338" s="110">
        <v>36.961710362622703</v>
      </c>
      <c r="F338" s="110">
        <v>187.05</v>
      </c>
      <c r="G338">
        <v>255762</v>
      </c>
      <c r="H338" s="110"/>
      <c r="I338" s="110"/>
      <c r="L338" s="133">
        <v>42501</v>
      </c>
      <c r="M338" s="110">
        <v>36.416207335984403</v>
      </c>
      <c r="N338" s="110">
        <v>37.495854508605703</v>
      </c>
      <c r="O338" s="110">
        <v>36.1633170072623</v>
      </c>
      <c r="P338" s="110">
        <v>36.766363175753497</v>
      </c>
      <c r="Q338" s="110">
        <v>187.2</v>
      </c>
      <c r="R338">
        <v>2941287</v>
      </c>
    </row>
    <row r="339" spans="1:18" x14ac:dyDescent="0.25">
      <c r="A339" s="133">
        <v>42502</v>
      </c>
      <c r="B339" s="110">
        <v>36.903349767313301</v>
      </c>
      <c r="C339" s="110">
        <v>36.6699073860757</v>
      </c>
      <c r="D339" s="110">
        <v>36.096028198866499</v>
      </c>
      <c r="E339" s="110">
        <v>36.572639727226701</v>
      </c>
      <c r="F339" s="110">
        <v>188.5</v>
      </c>
      <c r="G339">
        <v>243343</v>
      </c>
      <c r="H339" s="110"/>
      <c r="I339" s="110"/>
      <c r="L339" s="133">
        <v>42502</v>
      </c>
      <c r="M339" s="110">
        <v>36.639918011392403</v>
      </c>
      <c r="N339" s="110">
        <v>36.902534891219197</v>
      </c>
      <c r="O339" s="110">
        <v>36.085504598424698</v>
      </c>
      <c r="P339" s="110">
        <v>36.464840091507902</v>
      </c>
      <c r="Q339" s="110">
        <v>188.35</v>
      </c>
      <c r="R339">
        <v>2461103</v>
      </c>
    </row>
    <row r="340" spans="1:18" x14ac:dyDescent="0.25">
      <c r="A340" s="133">
        <v>42503</v>
      </c>
      <c r="B340" s="110">
        <v>36.942256830852898</v>
      </c>
      <c r="C340" s="110">
        <v>36.280836750679597</v>
      </c>
      <c r="D340" s="110">
        <v>35.989033774132601</v>
      </c>
      <c r="E340" s="110">
        <v>36.942256830852898</v>
      </c>
      <c r="F340" s="110">
        <v>186.5</v>
      </c>
      <c r="G340">
        <v>158991</v>
      </c>
      <c r="H340" s="110"/>
      <c r="I340" s="110"/>
      <c r="L340" s="133">
        <v>42503</v>
      </c>
      <c r="M340" s="110">
        <v>36.270309069413898</v>
      </c>
      <c r="N340" s="110">
        <v>36.6593711136018</v>
      </c>
      <c r="O340" s="110">
        <v>35.997965638482398</v>
      </c>
      <c r="P340" s="110">
        <v>36.377301131565602</v>
      </c>
      <c r="Q340" s="110">
        <v>186.45</v>
      </c>
      <c r="R340">
        <v>1937553</v>
      </c>
    </row>
    <row r="341" spans="1:18" x14ac:dyDescent="0.25">
      <c r="A341" s="133">
        <v>42506</v>
      </c>
      <c r="B341" s="110">
        <v>36.728267981385102</v>
      </c>
      <c r="C341" s="110">
        <v>34.705100677325703</v>
      </c>
      <c r="D341" s="110">
        <v>34.199308851310903</v>
      </c>
      <c r="E341" s="110">
        <v>36.728267981385102</v>
      </c>
      <c r="F341" s="110">
        <v>178.4</v>
      </c>
      <c r="G341">
        <v>403695</v>
      </c>
      <c r="H341" s="110"/>
      <c r="I341" s="110"/>
      <c r="L341" s="133">
        <v>42506</v>
      </c>
      <c r="M341" s="110">
        <v>34.694607790453098</v>
      </c>
      <c r="N341" s="110">
        <v>36.425933887089101</v>
      </c>
      <c r="O341" s="110">
        <v>34.218006786322903</v>
      </c>
      <c r="P341" s="110">
        <v>36.377301131565602</v>
      </c>
      <c r="Q341" s="110">
        <v>178.35</v>
      </c>
      <c r="R341">
        <v>3529233</v>
      </c>
    </row>
    <row r="342" spans="1:18" x14ac:dyDescent="0.25">
      <c r="A342" s="133">
        <v>42507</v>
      </c>
      <c r="B342" s="110">
        <v>35.638870202276202</v>
      </c>
      <c r="C342" s="110">
        <v>35.2400728009953</v>
      </c>
      <c r="D342" s="110">
        <v>34.257669446620298</v>
      </c>
      <c r="E342" s="110">
        <v>34.627286550246502</v>
      </c>
      <c r="F342" s="110">
        <v>181.15</v>
      </c>
      <c r="G342">
        <v>308859</v>
      </c>
      <c r="H342" s="110"/>
      <c r="I342" s="110"/>
      <c r="L342" s="133">
        <v>42507</v>
      </c>
      <c r="M342" s="110">
        <v>35.229568101211399</v>
      </c>
      <c r="N342" s="110">
        <v>35.638083247608698</v>
      </c>
      <c r="O342" s="110">
        <v>34.256912990741696</v>
      </c>
      <c r="P342" s="110">
        <v>34.830779505918798</v>
      </c>
      <c r="Q342" s="110">
        <v>181.1</v>
      </c>
      <c r="R342">
        <v>3124393</v>
      </c>
    </row>
    <row r="343" spans="1:18" x14ac:dyDescent="0.25">
      <c r="A343" s="133">
        <v>42508</v>
      </c>
      <c r="B343" s="110">
        <v>36.173842325945699</v>
      </c>
      <c r="C343" s="110">
        <v>35.950126710592997</v>
      </c>
      <c r="D343" s="110">
        <v>34.919089526793499</v>
      </c>
      <c r="E343" s="110">
        <v>35.210892503340602</v>
      </c>
      <c r="F343" s="110">
        <v>184.8</v>
      </c>
      <c r="G343">
        <v>286217</v>
      </c>
      <c r="H343" s="110"/>
      <c r="I343" s="110"/>
      <c r="L343" s="133">
        <v>42508</v>
      </c>
      <c r="M343" s="110">
        <v>35.968785985168402</v>
      </c>
      <c r="N343" s="110">
        <v>36.182770109471697</v>
      </c>
      <c r="O343" s="110">
        <v>34.879412261442297</v>
      </c>
      <c r="P343" s="110">
        <v>35.093396385745599</v>
      </c>
      <c r="Q343" s="110">
        <v>184.9</v>
      </c>
      <c r="R343">
        <v>2850490</v>
      </c>
    </row>
    <row r="344" spans="1:18" x14ac:dyDescent="0.25">
      <c r="A344" s="133">
        <v>42509</v>
      </c>
      <c r="B344" s="110">
        <v>36.232202921255102</v>
      </c>
      <c r="C344" s="110">
        <v>34.753734506750199</v>
      </c>
      <c r="D344" s="110">
        <v>34.627286550246502</v>
      </c>
      <c r="E344" s="110">
        <v>35.424881352808399</v>
      </c>
      <c r="F344" s="110">
        <v>178.65</v>
      </c>
      <c r="G344">
        <v>192778</v>
      </c>
      <c r="H344" s="110"/>
      <c r="I344" s="110"/>
      <c r="L344" s="133">
        <v>42509</v>
      </c>
      <c r="M344" s="110">
        <v>34.7724201992907</v>
      </c>
      <c r="N344" s="110">
        <v>36.241129416099902</v>
      </c>
      <c r="O344" s="110">
        <v>34.597342279406099</v>
      </c>
      <c r="P344" s="110">
        <v>35.8034346163885</v>
      </c>
      <c r="Q344" s="110">
        <v>178.75</v>
      </c>
      <c r="R344">
        <v>2739679</v>
      </c>
    </row>
    <row r="345" spans="1:18" x14ac:dyDescent="0.25">
      <c r="A345" s="133">
        <v>42510</v>
      </c>
      <c r="B345" s="110">
        <v>36.057121135326902</v>
      </c>
      <c r="C345" s="110">
        <v>35.7458646270101</v>
      </c>
      <c r="D345" s="110">
        <v>34.782914804404903</v>
      </c>
      <c r="E345" s="110">
        <v>35.016357185642498</v>
      </c>
      <c r="F345" s="110">
        <v>183.75</v>
      </c>
      <c r="G345">
        <v>301270</v>
      </c>
      <c r="H345" s="110"/>
      <c r="I345" s="110"/>
      <c r="L345" s="133">
        <v>42510</v>
      </c>
      <c r="M345" s="110">
        <v>35.706169105341502</v>
      </c>
      <c r="N345" s="110">
        <v>35.890973576330801</v>
      </c>
      <c r="O345" s="110">
        <v>34.782146750395398</v>
      </c>
      <c r="P345" s="110">
        <v>34.9961308746987</v>
      </c>
      <c r="Q345" s="110">
        <v>183.55</v>
      </c>
      <c r="R345">
        <v>3075972</v>
      </c>
    </row>
    <row r="346" spans="1:18" x14ac:dyDescent="0.25">
      <c r="A346" s="133">
        <v>42513</v>
      </c>
      <c r="B346" s="110">
        <v>36.134935262406103</v>
      </c>
      <c r="C346" s="110">
        <v>35.084444546836799</v>
      </c>
      <c r="D346" s="110">
        <v>34.831548633829399</v>
      </c>
      <c r="E346" s="110">
        <v>36.134935262406103</v>
      </c>
      <c r="F346" s="110">
        <v>180.35</v>
      </c>
      <c r="G346">
        <v>157862</v>
      </c>
      <c r="H346" s="110"/>
      <c r="I346" s="110"/>
      <c r="L346" s="133">
        <v>42513</v>
      </c>
      <c r="M346" s="110">
        <v>35.171208794583201</v>
      </c>
      <c r="N346" s="110">
        <v>36.066051496215302</v>
      </c>
      <c r="O346" s="110">
        <v>34.801599852604802</v>
      </c>
      <c r="P346" s="110">
        <v>36.066051496215302</v>
      </c>
      <c r="Q346" s="110">
        <v>180.8</v>
      </c>
      <c r="R346">
        <v>1970517</v>
      </c>
    </row>
    <row r="347" spans="1:18" x14ac:dyDescent="0.25">
      <c r="A347" s="133">
        <v>42514</v>
      </c>
      <c r="B347" s="110">
        <v>35.502695479887599</v>
      </c>
      <c r="C347" s="110">
        <v>35.288706630419803</v>
      </c>
      <c r="D347" s="110">
        <v>34.666193613786099</v>
      </c>
      <c r="E347" s="110">
        <v>35.502695479887599</v>
      </c>
      <c r="F347" s="110">
        <v>181.4</v>
      </c>
      <c r="G347">
        <v>179451</v>
      </c>
      <c r="H347" s="110"/>
      <c r="I347" s="110"/>
      <c r="L347" s="133">
        <v>42514</v>
      </c>
      <c r="M347" s="110">
        <v>35.365739816677198</v>
      </c>
      <c r="N347" s="110">
        <v>35.540817736561699</v>
      </c>
      <c r="O347" s="110">
        <v>34.645975034929599</v>
      </c>
      <c r="P347" s="110">
        <v>35.210114999002002</v>
      </c>
      <c r="Q347" s="110">
        <v>181.8</v>
      </c>
      <c r="R347">
        <v>1953506</v>
      </c>
    </row>
    <row r="348" spans="1:18" x14ac:dyDescent="0.25">
      <c r="A348" s="133">
        <v>42515</v>
      </c>
      <c r="B348" s="110">
        <v>37.730124867529803</v>
      </c>
      <c r="C348" s="110">
        <v>37.603676911026099</v>
      </c>
      <c r="D348" s="110">
        <v>35.609689904621497</v>
      </c>
      <c r="E348" s="110">
        <v>36.144662028291002</v>
      </c>
      <c r="F348" s="110">
        <v>193.3</v>
      </c>
      <c r="G348">
        <v>310673</v>
      </c>
      <c r="H348" s="110"/>
      <c r="I348" s="110"/>
      <c r="L348" s="133">
        <v>42515</v>
      </c>
      <c r="M348" s="110">
        <v>37.612573121862098</v>
      </c>
      <c r="N348" s="110">
        <v>37.7390182862232</v>
      </c>
      <c r="O348" s="110">
        <v>35.618630145399301</v>
      </c>
      <c r="P348" s="110">
        <v>35.774254963074398</v>
      </c>
      <c r="Q348" s="110">
        <v>193.35</v>
      </c>
      <c r="R348">
        <v>3678522</v>
      </c>
    </row>
    <row r="349" spans="1:18" x14ac:dyDescent="0.25">
      <c r="A349" s="133">
        <v>42516</v>
      </c>
      <c r="B349" s="110">
        <v>38.984877666682003</v>
      </c>
      <c r="C349" s="110">
        <v>38.663894392480302</v>
      </c>
      <c r="D349" s="110">
        <v>37.214606275630103</v>
      </c>
      <c r="E349" s="110">
        <v>37.545316315716697</v>
      </c>
      <c r="F349" s="110">
        <v>198.75</v>
      </c>
      <c r="G349">
        <v>306085</v>
      </c>
      <c r="H349" s="110"/>
      <c r="I349" s="110"/>
      <c r="L349" s="133">
        <v>42516</v>
      </c>
      <c r="M349" s="110">
        <v>38.789485805530397</v>
      </c>
      <c r="N349" s="110">
        <v>39.071555787566602</v>
      </c>
      <c r="O349" s="110">
        <v>37.2429641798836</v>
      </c>
      <c r="P349" s="110">
        <v>37.544487264129202</v>
      </c>
      <c r="Q349" s="110">
        <v>199.4</v>
      </c>
      <c r="R349">
        <v>3573949</v>
      </c>
    </row>
    <row r="350" spans="1:18" x14ac:dyDescent="0.25">
      <c r="A350" s="133">
        <v>42517</v>
      </c>
      <c r="B350" s="110">
        <v>39.510123024466701</v>
      </c>
      <c r="C350" s="110">
        <v>37.525862783946899</v>
      </c>
      <c r="D350" s="110">
        <v>36.125208496521203</v>
      </c>
      <c r="E350" s="110">
        <v>38.323457586508802</v>
      </c>
      <c r="F350" s="110">
        <v>192.9</v>
      </c>
      <c r="G350">
        <v>1086331</v>
      </c>
      <c r="H350" s="110"/>
      <c r="I350" s="110"/>
      <c r="L350" s="133">
        <v>42517</v>
      </c>
      <c r="M350" s="110">
        <v>37.476401406396299</v>
      </c>
      <c r="N350" s="110">
        <v>39.528703689487301</v>
      </c>
      <c r="O350" s="110">
        <v>36.046598394005898</v>
      </c>
      <c r="P350" s="110">
        <v>38.517142374598897</v>
      </c>
      <c r="Q350" s="110">
        <v>192.65</v>
      </c>
      <c r="R350">
        <v>9048647</v>
      </c>
    </row>
    <row r="351" spans="1:18" x14ac:dyDescent="0.25">
      <c r="A351" s="133">
        <v>42520</v>
      </c>
      <c r="B351" s="110">
        <v>38.051108141731603</v>
      </c>
      <c r="C351" s="110">
        <v>37.516136018061999</v>
      </c>
      <c r="D351" s="110">
        <v>36.7477215131549</v>
      </c>
      <c r="E351" s="110">
        <v>37.739851633414702</v>
      </c>
      <c r="F351" s="110">
        <v>192.85</v>
      </c>
      <c r="G351">
        <v>451201</v>
      </c>
      <c r="H351" s="110"/>
      <c r="I351" s="110"/>
      <c r="L351" s="133">
        <v>42520</v>
      </c>
      <c r="M351" s="110">
        <v>37.525034161919798</v>
      </c>
      <c r="N351" s="110">
        <v>38.069721023782797</v>
      </c>
      <c r="O351" s="110">
        <v>36.708003869125299</v>
      </c>
      <c r="P351" s="110">
        <v>37.748744837327799</v>
      </c>
      <c r="Q351" s="110">
        <v>192.9</v>
      </c>
      <c r="R351">
        <v>3896132</v>
      </c>
    </row>
    <row r="352" spans="1:18" x14ac:dyDescent="0.25">
      <c r="A352" s="133">
        <v>42521</v>
      </c>
      <c r="B352" s="110">
        <v>40.463346081186899</v>
      </c>
      <c r="C352" s="110">
        <v>39.986734552826803</v>
      </c>
      <c r="D352" s="110">
        <v>37.078431553241501</v>
      </c>
      <c r="E352" s="110">
        <v>37.525862783946899</v>
      </c>
      <c r="F352" s="110">
        <v>205.55</v>
      </c>
      <c r="G352">
        <v>585243</v>
      </c>
      <c r="H352" s="110"/>
      <c r="I352" s="110"/>
      <c r="L352" s="133">
        <v>42521</v>
      </c>
      <c r="M352" s="110">
        <v>40.151202960187902</v>
      </c>
      <c r="N352" s="110">
        <v>40.637530515422803</v>
      </c>
      <c r="O352" s="110">
        <v>37.077612811103798</v>
      </c>
      <c r="P352" s="110">
        <v>37.447221753082196</v>
      </c>
      <c r="Q352" s="110">
        <v>206.4</v>
      </c>
      <c r="R352">
        <v>7939032</v>
      </c>
    </row>
    <row r="353" spans="1:18" x14ac:dyDescent="0.25">
      <c r="A353" s="133">
        <v>42522</v>
      </c>
      <c r="B353" s="110">
        <v>40.434165783532201</v>
      </c>
      <c r="C353" s="110">
        <v>38.391544947703103</v>
      </c>
      <c r="D353" s="110">
        <v>38.187282864120199</v>
      </c>
      <c r="E353" s="110">
        <v>40.074275445790903</v>
      </c>
      <c r="F353" s="110">
        <v>197.35</v>
      </c>
      <c r="G353">
        <v>634534</v>
      </c>
      <c r="H353" s="110"/>
      <c r="I353" s="110"/>
      <c r="L353" s="133">
        <v>42522</v>
      </c>
      <c r="M353" s="110">
        <v>38.419876863551899</v>
      </c>
      <c r="N353" s="110">
        <v>40.452726044433497</v>
      </c>
      <c r="O353" s="110">
        <v>38.205892739248597</v>
      </c>
      <c r="P353" s="110">
        <v>40.267921573444298</v>
      </c>
      <c r="Q353" s="110">
        <v>197.5</v>
      </c>
      <c r="R353">
        <v>7609556</v>
      </c>
    </row>
    <row r="354" spans="1:18" x14ac:dyDescent="0.25">
      <c r="A354" s="133">
        <v>42523</v>
      </c>
      <c r="B354" s="110">
        <v>39.169686218495102</v>
      </c>
      <c r="C354" s="110">
        <v>38.887610007832997</v>
      </c>
      <c r="D354" s="110">
        <v>37.905206653458102</v>
      </c>
      <c r="E354" s="110">
        <v>37.934386951112799</v>
      </c>
      <c r="F354" s="110">
        <v>199.9</v>
      </c>
      <c r="G354">
        <v>411969</v>
      </c>
      <c r="H354" s="110"/>
      <c r="I354" s="110"/>
      <c r="L354" s="133">
        <v>42523</v>
      </c>
      <c r="M354" s="110">
        <v>38.867298214367999</v>
      </c>
      <c r="N354" s="110">
        <v>39.139641645299498</v>
      </c>
      <c r="O354" s="110">
        <v>37.855736899479503</v>
      </c>
      <c r="P354" s="110">
        <v>38.128080330411002</v>
      </c>
      <c r="Q354" s="110">
        <v>199.8</v>
      </c>
      <c r="R354">
        <v>4723158</v>
      </c>
    </row>
    <row r="355" spans="1:18" x14ac:dyDescent="0.25">
      <c r="A355" s="133">
        <v>42524</v>
      </c>
      <c r="B355" s="110">
        <v>39.286407409113899</v>
      </c>
      <c r="C355" s="110">
        <v>37.477228954522403</v>
      </c>
      <c r="D355" s="110">
        <v>37.2535133391697</v>
      </c>
      <c r="E355" s="110">
        <v>39.140505920840397</v>
      </c>
      <c r="F355" s="110">
        <v>192.65</v>
      </c>
      <c r="G355">
        <v>628567</v>
      </c>
      <c r="H355" s="110"/>
      <c r="I355" s="110"/>
      <c r="L355" s="133">
        <v>42524</v>
      </c>
      <c r="M355" s="110">
        <v>37.398588997558797</v>
      </c>
      <c r="N355" s="110">
        <v>39.285539911869897</v>
      </c>
      <c r="O355" s="110">
        <v>37.204057975464799</v>
      </c>
      <c r="P355" s="110">
        <v>39.285539911869897</v>
      </c>
      <c r="Q355" s="110">
        <v>192.25</v>
      </c>
      <c r="R355">
        <v>6032808</v>
      </c>
    </row>
    <row r="356" spans="1:18" x14ac:dyDescent="0.25">
      <c r="A356" s="133">
        <v>42527</v>
      </c>
      <c r="B356" s="110">
        <v>38.051108141731603</v>
      </c>
      <c r="C356" s="110">
        <v>37.778758696954299</v>
      </c>
      <c r="D356" s="110">
        <v>37.2535133391697</v>
      </c>
      <c r="E356" s="110">
        <v>37.370234529788497</v>
      </c>
      <c r="F356" s="110">
        <v>194.2</v>
      </c>
      <c r="G356">
        <v>383819</v>
      </c>
      <c r="H356" s="110"/>
      <c r="I356" s="110"/>
      <c r="L356" s="133">
        <v>42527</v>
      </c>
      <c r="M356" s="110">
        <v>37.632026224071502</v>
      </c>
      <c r="N356" s="110">
        <v>38.021088268259298</v>
      </c>
      <c r="O356" s="110">
        <v>37.155425219941399</v>
      </c>
      <c r="P356" s="110">
        <v>37.2429641798836</v>
      </c>
      <c r="Q356" s="110">
        <v>193.45</v>
      </c>
      <c r="R356">
        <v>3333644</v>
      </c>
    </row>
    <row r="357" spans="1:18" x14ac:dyDescent="0.25">
      <c r="A357" s="133">
        <v>42528</v>
      </c>
      <c r="B357" s="110">
        <v>38.498539372437001</v>
      </c>
      <c r="C357" s="110">
        <v>38.0900152052712</v>
      </c>
      <c r="D357" s="110">
        <v>37.311873934479102</v>
      </c>
      <c r="E357" s="110">
        <v>37.788485462839198</v>
      </c>
      <c r="F357" s="110">
        <v>195.8</v>
      </c>
      <c r="G357">
        <v>637953</v>
      </c>
      <c r="H357" s="110"/>
      <c r="I357" s="110"/>
      <c r="L357" s="133">
        <v>42528</v>
      </c>
      <c r="M357" s="110">
        <v>38.021088268259298</v>
      </c>
      <c r="N357" s="110">
        <v>38.4587830679707</v>
      </c>
      <c r="O357" s="110">
        <v>37.194331424360101</v>
      </c>
      <c r="P357" s="110">
        <v>37.7390182862232</v>
      </c>
      <c r="Q357" s="110">
        <v>195.45</v>
      </c>
      <c r="R357">
        <v>6458216</v>
      </c>
    </row>
    <row r="358" spans="1:18" x14ac:dyDescent="0.25">
      <c r="A358" s="133">
        <v>42529</v>
      </c>
      <c r="B358" s="110">
        <v>38.420725245357801</v>
      </c>
      <c r="C358" s="110">
        <v>37.730124867529803</v>
      </c>
      <c r="D358" s="110">
        <v>37.409141593328101</v>
      </c>
      <c r="E358" s="110">
        <v>38.0900152052712</v>
      </c>
      <c r="F358" s="110">
        <v>193.95</v>
      </c>
      <c r="G358">
        <v>651910</v>
      </c>
      <c r="H358" s="110"/>
      <c r="I358" s="110"/>
      <c r="L358" s="133">
        <v>42529</v>
      </c>
      <c r="M358" s="110">
        <v>37.748744837327799</v>
      </c>
      <c r="N358" s="110">
        <v>38.4101503124472</v>
      </c>
      <c r="O358" s="110">
        <v>37.398588997558797</v>
      </c>
      <c r="P358" s="110">
        <v>37.933549308317097</v>
      </c>
      <c r="Q358" s="110">
        <v>194.05</v>
      </c>
      <c r="R358">
        <v>5589452</v>
      </c>
    </row>
    <row r="359" spans="1:18" x14ac:dyDescent="0.25">
      <c r="A359" s="133">
        <v>42530</v>
      </c>
      <c r="B359" s="110">
        <v>38.829249412523602</v>
      </c>
      <c r="C359" s="110">
        <v>38.304004054739003</v>
      </c>
      <c r="D359" s="110">
        <v>37.739851633414702</v>
      </c>
      <c r="E359" s="110">
        <v>37.7593051651845</v>
      </c>
      <c r="F359" s="110">
        <v>196.9</v>
      </c>
      <c r="G359">
        <v>492874</v>
      </c>
      <c r="H359" s="110"/>
      <c r="I359" s="110"/>
      <c r="L359" s="133">
        <v>42530</v>
      </c>
      <c r="M359" s="110">
        <v>38.4101503124472</v>
      </c>
      <c r="N359" s="110">
        <v>38.8575716632633</v>
      </c>
      <c r="O359" s="110">
        <v>37.680658979595002</v>
      </c>
      <c r="P359" s="110">
        <v>37.7390182862232</v>
      </c>
      <c r="Q359" s="110">
        <v>197.45</v>
      </c>
      <c r="R359">
        <v>5429040</v>
      </c>
    </row>
    <row r="360" spans="1:18" x14ac:dyDescent="0.25">
      <c r="A360" s="133">
        <v>42531</v>
      </c>
      <c r="B360" s="110">
        <v>38.858429710178299</v>
      </c>
      <c r="C360" s="110">
        <v>38.138649034695703</v>
      </c>
      <c r="D360" s="110">
        <v>37.9246601852279</v>
      </c>
      <c r="E360" s="110">
        <v>38.323457586508802</v>
      </c>
      <c r="F360" s="110">
        <v>196.05</v>
      </c>
      <c r="G360">
        <v>397756</v>
      </c>
      <c r="H360" s="110"/>
      <c r="I360" s="110"/>
      <c r="L360" s="133">
        <v>42531</v>
      </c>
      <c r="M360" s="110">
        <v>37.982182063840597</v>
      </c>
      <c r="N360" s="110">
        <v>38.886751316577403</v>
      </c>
      <c r="O360" s="110">
        <v>37.865463450584201</v>
      </c>
      <c r="P360" s="110">
        <v>38.322611352505</v>
      </c>
      <c r="Q360" s="110">
        <v>195.25</v>
      </c>
      <c r="R360">
        <v>4101361</v>
      </c>
    </row>
    <row r="361" spans="1:18" x14ac:dyDescent="0.25">
      <c r="A361" s="133">
        <v>42534</v>
      </c>
      <c r="B361" s="110">
        <v>37.720398101644903</v>
      </c>
      <c r="C361" s="110">
        <v>37.448048656867698</v>
      </c>
      <c r="D361" s="110">
        <v>37.078431553241501</v>
      </c>
      <c r="E361" s="110">
        <v>37.545316315716697</v>
      </c>
      <c r="F361" s="110">
        <v>192.5</v>
      </c>
      <c r="G361">
        <v>218166</v>
      </c>
      <c r="H361" s="110"/>
      <c r="I361" s="110"/>
      <c r="L361" s="133">
        <v>42534</v>
      </c>
      <c r="M361" s="110">
        <v>37.476401406396299</v>
      </c>
      <c r="N361" s="110">
        <v>37.719565184013803</v>
      </c>
      <c r="O361" s="110">
        <v>37.048433157789702</v>
      </c>
      <c r="P361" s="110">
        <v>37.632026224071502</v>
      </c>
      <c r="Q361" s="110">
        <v>192.65</v>
      </c>
      <c r="R361">
        <v>2118598</v>
      </c>
    </row>
    <row r="362" spans="1:18" x14ac:dyDescent="0.25">
      <c r="A362" s="133">
        <v>42535</v>
      </c>
      <c r="B362" s="110">
        <v>38.5179929042068</v>
      </c>
      <c r="C362" s="110">
        <v>38.3429111182786</v>
      </c>
      <c r="D362" s="110">
        <v>37.574496613371402</v>
      </c>
      <c r="E362" s="110">
        <v>37.720398101644903</v>
      </c>
      <c r="F362" s="110">
        <v>197.1</v>
      </c>
      <c r="G362">
        <v>305244</v>
      </c>
      <c r="H362" s="110"/>
      <c r="I362" s="110"/>
      <c r="L362" s="133">
        <v>42535</v>
      </c>
      <c r="M362" s="110">
        <v>38.361517556923701</v>
      </c>
      <c r="N362" s="110">
        <v>38.497689272389501</v>
      </c>
      <c r="O362" s="110">
        <v>37.573666917443298</v>
      </c>
      <c r="P362" s="110">
        <v>37.923822757212399</v>
      </c>
      <c r="Q362" s="110">
        <v>197.2</v>
      </c>
      <c r="R362">
        <v>3252985</v>
      </c>
    </row>
    <row r="363" spans="1:18" x14ac:dyDescent="0.25">
      <c r="A363" s="133">
        <v>42536</v>
      </c>
      <c r="B363" s="110">
        <v>39.276680643229</v>
      </c>
      <c r="C363" s="110">
        <v>38.751435285444401</v>
      </c>
      <c r="D363" s="110">
        <v>38.245643459429601</v>
      </c>
      <c r="E363" s="110">
        <v>38.702801456019898</v>
      </c>
      <c r="F363" s="110">
        <v>199.2</v>
      </c>
      <c r="G363">
        <v>380847</v>
      </c>
      <c r="H363" s="110"/>
      <c r="I363" s="110"/>
      <c r="L363" s="133">
        <v>42536</v>
      </c>
      <c r="M363" s="110">
        <v>38.760306152216302</v>
      </c>
      <c r="N363" s="110">
        <v>39.246633707451103</v>
      </c>
      <c r="O363" s="110">
        <v>38.166986534829803</v>
      </c>
      <c r="P363" s="110">
        <v>38.6824937433787</v>
      </c>
      <c r="Q363" s="110">
        <v>199.25</v>
      </c>
      <c r="R363">
        <v>3062755</v>
      </c>
    </row>
    <row r="364" spans="1:18" x14ac:dyDescent="0.25">
      <c r="A364" s="133">
        <v>42537</v>
      </c>
      <c r="B364" s="110">
        <v>39.763018937474101</v>
      </c>
      <c r="C364" s="110">
        <v>39.422582131502601</v>
      </c>
      <c r="D364" s="110">
        <v>38.313730820623903</v>
      </c>
      <c r="E364" s="110">
        <v>38.6833479242501</v>
      </c>
      <c r="F364" s="110">
        <v>202.65</v>
      </c>
      <c r="G364">
        <v>775312</v>
      </c>
      <c r="H364" s="110"/>
      <c r="I364" s="110"/>
      <c r="L364" s="133">
        <v>42537</v>
      </c>
      <c r="M364" s="110">
        <v>39.382805422916903</v>
      </c>
      <c r="N364" s="110">
        <v>39.839953324837602</v>
      </c>
      <c r="O364" s="110">
        <v>38.293431699190897</v>
      </c>
      <c r="P364" s="110">
        <v>38.517142374598897</v>
      </c>
      <c r="Q364" s="110">
        <v>202.45</v>
      </c>
      <c r="R364">
        <v>7512250</v>
      </c>
    </row>
    <row r="365" spans="1:18" x14ac:dyDescent="0.25">
      <c r="A365" s="133">
        <v>42538</v>
      </c>
      <c r="B365" s="110">
        <v>40.307717827028497</v>
      </c>
      <c r="C365" s="110">
        <v>39.471215960927097</v>
      </c>
      <c r="D365" s="110">
        <v>39.0237847302216</v>
      </c>
      <c r="E365" s="110">
        <v>39.801926001013697</v>
      </c>
      <c r="F365" s="110">
        <v>202.9</v>
      </c>
      <c r="G365">
        <v>566296</v>
      </c>
      <c r="H365" s="110"/>
      <c r="I365" s="110"/>
      <c r="L365" s="133">
        <v>42538</v>
      </c>
      <c r="M365" s="110">
        <v>39.470344382859203</v>
      </c>
      <c r="N365" s="110">
        <v>40.306827777863099</v>
      </c>
      <c r="O365" s="110">
        <v>39.003469929833699</v>
      </c>
      <c r="P365" s="110">
        <v>39.839953324837602</v>
      </c>
      <c r="Q365" s="110">
        <v>202.9</v>
      </c>
      <c r="R365">
        <v>5700858</v>
      </c>
    </row>
    <row r="366" spans="1:18" x14ac:dyDescent="0.25">
      <c r="A366" s="133">
        <v>42541</v>
      </c>
      <c r="B366" s="110">
        <v>40.813509653043397</v>
      </c>
      <c r="C366" s="110">
        <v>40.6189743353453</v>
      </c>
      <c r="D366" s="110">
        <v>38.605533797170899</v>
      </c>
      <c r="E366" s="110">
        <v>38.955697369027298</v>
      </c>
      <c r="F366" s="110">
        <v>208.8</v>
      </c>
      <c r="G366">
        <v>585932</v>
      </c>
      <c r="H366" s="110"/>
      <c r="I366" s="110"/>
      <c r="L366" s="133">
        <v>42541</v>
      </c>
      <c r="M366" s="110">
        <v>40.666710168736898</v>
      </c>
      <c r="N366" s="110">
        <v>40.832061537516701</v>
      </c>
      <c r="O366" s="110">
        <v>38.526868925703603</v>
      </c>
      <c r="P366" s="110">
        <v>38.663040641169303</v>
      </c>
      <c r="Q366" s="110">
        <v>209.05</v>
      </c>
      <c r="R366">
        <v>5695538</v>
      </c>
    </row>
    <row r="367" spans="1:18" x14ac:dyDescent="0.25">
      <c r="A367" s="133">
        <v>42542</v>
      </c>
      <c r="B367" s="110">
        <v>42.146076579274798</v>
      </c>
      <c r="C367" s="110">
        <v>41.2803944155186</v>
      </c>
      <c r="D367" s="110">
        <v>40.570340505920797</v>
      </c>
      <c r="E367" s="110">
        <v>40.852416716583001</v>
      </c>
      <c r="F367" s="110">
        <v>212.2</v>
      </c>
      <c r="G367">
        <v>732458</v>
      </c>
      <c r="H367" s="110"/>
      <c r="I367" s="110"/>
      <c r="L367" s="133">
        <v>42542</v>
      </c>
      <c r="M367" s="110">
        <v>41.260029786123297</v>
      </c>
      <c r="N367" s="110">
        <v>42.164599038860104</v>
      </c>
      <c r="O367" s="110">
        <v>40.559718106585201</v>
      </c>
      <c r="P367" s="110">
        <v>40.851514639726098</v>
      </c>
      <c r="Q367" s="110">
        <v>212.1</v>
      </c>
      <c r="R367">
        <v>7319052</v>
      </c>
    </row>
    <row r="368" spans="1:18" x14ac:dyDescent="0.25">
      <c r="A368" s="133">
        <v>42543</v>
      </c>
      <c r="B368" s="110">
        <v>41.776459475648501</v>
      </c>
      <c r="C368" s="110">
        <v>41.163673224899803</v>
      </c>
      <c r="D368" s="110">
        <v>40.842689950698102</v>
      </c>
      <c r="E368" s="110">
        <v>41.241487351979004</v>
      </c>
      <c r="F368" s="110">
        <v>211.6</v>
      </c>
      <c r="G368">
        <v>322828</v>
      </c>
      <c r="H368" s="110"/>
      <c r="I368" s="110"/>
      <c r="L368" s="133">
        <v>42543</v>
      </c>
      <c r="M368" s="110">
        <v>41.114131519552899</v>
      </c>
      <c r="N368" s="110">
        <v>41.765810443567602</v>
      </c>
      <c r="O368" s="110">
        <v>40.7931553330979</v>
      </c>
      <c r="P368" s="110">
        <v>41.143311172867001</v>
      </c>
      <c r="Q368" s="110">
        <v>211.35</v>
      </c>
      <c r="R368">
        <v>3746061</v>
      </c>
    </row>
    <row r="369" spans="1:18" x14ac:dyDescent="0.25">
      <c r="A369" s="133">
        <v>42544</v>
      </c>
      <c r="B369" s="110">
        <v>41.669465050914603</v>
      </c>
      <c r="C369" s="110">
        <v>41.494383264986404</v>
      </c>
      <c r="D369" s="110">
        <v>41.1150393954753</v>
      </c>
      <c r="E369" s="110">
        <v>41.358208542597801</v>
      </c>
      <c r="F369" s="110">
        <v>213.3</v>
      </c>
      <c r="G369">
        <v>288908</v>
      </c>
      <c r="H369" s="110"/>
      <c r="I369" s="110"/>
      <c r="L369" s="133">
        <v>42544</v>
      </c>
      <c r="M369" s="110">
        <v>41.328115643856201</v>
      </c>
      <c r="N369" s="110">
        <v>41.629638728101803</v>
      </c>
      <c r="O369" s="110">
        <v>41.046045661820003</v>
      </c>
      <c r="P369" s="110">
        <v>41.046045661820003</v>
      </c>
      <c r="Q369" s="110">
        <v>212.45</v>
      </c>
      <c r="R369">
        <v>2482605</v>
      </c>
    </row>
    <row r="370" spans="1:18" x14ac:dyDescent="0.25">
      <c r="A370" s="133">
        <v>42545</v>
      </c>
      <c r="B370" s="110">
        <v>41.192853522554501</v>
      </c>
      <c r="C370" s="110">
        <v>40.813509653043397</v>
      </c>
      <c r="D370" s="110">
        <v>38.712528221904797</v>
      </c>
      <c r="E370" s="110">
        <v>40.229903699949297</v>
      </c>
      <c r="F370" s="110">
        <v>209.8</v>
      </c>
      <c r="G370">
        <v>558997</v>
      </c>
      <c r="H370" s="110"/>
      <c r="I370" s="110"/>
      <c r="L370" s="133">
        <v>42545</v>
      </c>
      <c r="M370" s="110">
        <v>40.870967741935502</v>
      </c>
      <c r="N370" s="110">
        <v>41.201670479495199</v>
      </c>
      <c r="O370" s="110">
        <v>38.575501681227102</v>
      </c>
      <c r="P370" s="110">
        <v>40.053937449141003</v>
      </c>
      <c r="Q370" s="110">
        <v>210.1</v>
      </c>
      <c r="R370">
        <v>5692643</v>
      </c>
    </row>
    <row r="371" spans="1:18" x14ac:dyDescent="0.25">
      <c r="A371" s="133">
        <v>42548</v>
      </c>
      <c r="B371" s="110">
        <v>42.330885131087904</v>
      </c>
      <c r="C371" s="110">
        <v>41.795913007418299</v>
      </c>
      <c r="D371" s="110">
        <v>40.949684375432</v>
      </c>
      <c r="E371" s="110">
        <v>41.222033820209198</v>
      </c>
      <c r="F371" s="110">
        <v>214.85</v>
      </c>
      <c r="G371">
        <v>403663</v>
      </c>
      <c r="H371" s="110"/>
      <c r="I371" s="110"/>
      <c r="L371" s="133">
        <v>42548</v>
      </c>
      <c r="M371" s="110">
        <v>41.853349403509803</v>
      </c>
      <c r="N371" s="110">
        <v>42.349403509849402</v>
      </c>
      <c r="O371" s="110">
        <v>40.851514639726098</v>
      </c>
      <c r="P371" s="110">
        <v>41.036319110715297</v>
      </c>
      <c r="Q371" s="110">
        <v>215.15</v>
      </c>
      <c r="R371">
        <v>4279859</v>
      </c>
    </row>
    <row r="372" spans="1:18" x14ac:dyDescent="0.25">
      <c r="A372" s="133">
        <v>42549</v>
      </c>
      <c r="B372" s="110">
        <v>42.398972492282198</v>
      </c>
      <c r="C372" s="110">
        <v>41.893180666267298</v>
      </c>
      <c r="D372" s="110">
        <v>41.611104455605201</v>
      </c>
      <c r="E372" s="110">
        <v>42.398972492282198</v>
      </c>
      <c r="F372" s="110">
        <v>215.35</v>
      </c>
      <c r="G372">
        <v>243206</v>
      </c>
      <c r="H372" s="110"/>
      <c r="I372" s="110"/>
      <c r="L372" s="133">
        <v>42549</v>
      </c>
      <c r="M372" s="110">
        <v>41.843622852405097</v>
      </c>
      <c r="N372" s="110">
        <v>42.349403509849402</v>
      </c>
      <c r="O372" s="110">
        <v>41.571279421473598</v>
      </c>
      <c r="P372" s="110">
        <v>42.154872487755398</v>
      </c>
      <c r="Q372" s="110">
        <v>215.1</v>
      </c>
      <c r="R372">
        <v>3916263</v>
      </c>
    </row>
    <row r="373" spans="1:18" x14ac:dyDescent="0.25">
      <c r="A373" s="133">
        <v>42550</v>
      </c>
      <c r="B373" s="110">
        <v>42.924217850066803</v>
      </c>
      <c r="C373" s="110">
        <v>42.360065428742601</v>
      </c>
      <c r="D373" s="110">
        <v>41.941814495691801</v>
      </c>
      <c r="E373" s="110">
        <v>42.019628622771101</v>
      </c>
      <c r="F373" s="110">
        <v>217.75</v>
      </c>
      <c r="G373">
        <v>416029</v>
      </c>
      <c r="H373" s="110"/>
      <c r="I373" s="110"/>
      <c r="L373" s="133">
        <v>42550</v>
      </c>
      <c r="M373" s="110">
        <v>42.329950407639998</v>
      </c>
      <c r="N373" s="110">
        <v>42.971902780550003</v>
      </c>
      <c r="O373" s="110">
        <v>41.833896301300499</v>
      </c>
      <c r="P373" s="110">
        <v>42.018700772289698</v>
      </c>
      <c r="Q373" s="110">
        <v>217.6</v>
      </c>
      <c r="R373">
        <v>4343324</v>
      </c>
    </row>
    <row r="374" spans="1:18" x14ac:dyDescent="0.25">
      <c r="A374" s="133">
        <v>42551</v>
      </c>
      <c r="B374" s="110">
        <v>43.011758743030903</v>
      </c>
      <c r="C374" s="110">
        <v>42.496240151131197</v>
      </c>
      <c r="D374" s="110">
        <v>42.3697921946275</v>
      </c>
      <c r="E374" s="110">
        <v>42.758862830023503</v>
      </c>
      <c r="F374" s="110">
        <v>218.45</v>
      </c>
      <c r="G374">
        <v>205829</v>
      </c>
      <c r="H374" s="110"/>
      <c r="I374" s="110"/>
      <c r="L374" s="133">
        <v>42551</v>
      </c>
      <c r="M374" s="110">
        <v>42.495301776419801</v>
      </c>
      <c r="N374" s="110">
        <v>43.0399886382828</v>
      </c>
      <c r="O374" s="110">
        <v>42.4077628164776</v>
      </c>
      <c r="P374" s="110">
        <v>42.699559349618497</v>
      </c>
      <c r="Q374" s="110">
        <v>218.45</v>
      </c>
      <c r="R374">
        <v>2432582</v>
      </c>
    </row>
    <row r="375" spans="1:18" x14ac:dyDescent="0.25">
      <c r="A375" s="133">
        <v>42552</v>
      </c>
      <c r="B375" s="110">
        <v>42.895037552412099</v>
      </c>
      <c r="C375" s="110">
        <v>42.535147214670801</v>
      </c>
      <c r="D375" s="110">
        <v>42.272524535778501</v>
      </c>
      <c r="E375" s="110">
        <v>42.467059853476499</v>
      </c>
      <c r="F375" s="110">
        <v>218.65</v>
      </c>
      <c r="G375">
        <v>198575</v>
      </c>
      <c r="H375" s="110"/>
      <c r="I375" s="110"/>
      <c r="L375" s="133">
        <v>42552</v>
      </c>
      <c r="M375" s="110">
        <v>42.475848674210397</v>
      </c>
      <c r="N375" s="110">
        <v>42.894090371712402</v>
      </c>
      <c r="O375" s="110">
        <v>42.213231794383603</v>
      </c>
      <c r="P375" s="110">
        <v>42.777371758455999</v>
      </c>
      <c r="Q375" s="110">
        <v>218.35</v>
      </c>
      <c r="R375">
        <v>2430575</v>
      </c>
    </row>
    <row r="376" spans="1:18" x14ac:dyDescent="0.25">
      <c r="A376" s="133">
        <v>42555</v>
      </c>
      <c r="B376" s="110">
        <v>44.431866562226404</v>
      </c>
      <c r="C376" s="110">
        <v>43.945528267981402</v>
      </c>
      <c r="D376" s="110">
        <v>42.476786619361398</v>
      </c>
      <c r="E376" s="110">
        <v>42.476786619361398</v>
      </c>
      <c r="F376" s="110">
        <v>225.9</v>
      </c>
      <c r="G376">
        <v>429964</v>
      </c>
      <c r="H376" s="110"/>
      <c r="I376" s="110"/>
      <c r="L376" s="133">
        <v>42555</v>
      </c>
      <c r="M376" s="110">
        <v>43.934831339914901</v>
      </c>
      <c r="N376" s="110">
        <v>44.489244752882598</v>
      </c>
      <c r="O376" s="110">
        <v>42.7287390029325</v>
      </c>
      <c r="P376" s="110">
        <v>42.787098309560697</v>
      </c>
      <c r="Q376" s="110">
        <v>225.85</v>
      </c>
      <c r="R376">
        <v>3988218</v>
      </c>
    </row>
    <row r="377" spans="1:18" x14ac:dyDescent="0.25">
      <c r="A377" s="133">
        <v>42556</v>
      </c>
      <c r="B377" s="110">
        <v>45.180827535363797</v>
      </c>
      <c r="C377" s="110">
        <v>44.509680689305597</v>
      </c>
      <c r="D377" s="110">
        <v>43.9649817997512</v>
      </c>
      <c r="E377" s="110">
        <v>43.9649817997512</v>
      </c>
      <c r="F377" s="110">
        <v>228.8</v>
      </c>
      <c r="G377">
        <v>395837</v>
      </c>
      <c r="H377" s="110"/>
      <c r="I377" s="110"/>
      <c r="L377" s="133">
        <v>42556</v>
      </c>
      <c r="M377" s="110">
        <v>44.644869570557802</v>
      </c>
      <c r="N377" s="110">
        <v>45.267368841258403</v>
      </c>
      <c r="O377" s="110">
        <v>43.934831339914901</v>
      </c>
      <c r="P377" s="110">
        <v>43.944557891019599</v>
      </c>
      <c r="Q377" s="110">
        <v>229.5</v>
      </c>
      <c r="R377">
        <v>3727164</v>
      </c>
    </row>
    <row r="378" spans="1:18" x14ac:dyDescent="0.25">
      <c r="A378" s="133">
        <v>42558</v>
      </c>
      <c r="B378" s="110">
        <v>45.4823572777957</v>
      </c>
      <c r="C378" s="110">
        <v>44.743123070543199</v>
      </c>
      <c r="D378" s="110">
        <v>44.159517117449198</v>
      </c>
      <c r="E378" s="110">
        <v>44.431866562226404</v>
      </c>
      <c r="F378" s="110">
        <v>230</v>
      </c>
      <c r="G378">
        <v>257787</v>
      </c>
      <c r="H378" s="110"/>
      <c r="I378" s="110"/>
      <c r="L378" s="133">
        <v>42558</v>
      </c>
      <c r="M378" s="110">
        <v>44.849127143756398</v>
      </c>
      <c r="N378" s="110">
        <v>45.500806067771101</v>
      </c>
      <c r="O378" s="110">
        <v>44.168268566427699</v>
      </c>
      <c r="P378" s="110">
        <v>44.353073037416898</v>
      </c>
      <c r="Q378" s="110">
        <v>230.55</v>
      </c>
      <c r="R378">
        <v>3012328</v>
      </c>
    </row>
    <row r="379" spans="1:18" x14ac:dyDescent="0.25">
      <c r="A379" s="133">
        <v>42559</v>
      </c>
      <c r="B379" s="110">
        <v>45.112740174169502</v>
      </c>
      <c r="C379" s="110">
        <v>44.033069160945502</v>
      </c>
      <c r="D379" s="110">
        <v>43.575911164355198</v>
      </c>
      <c r="E379" s="110">
        <v>44.743123070543199</v>
      </c>
      <c r="F379" s="110">
        <v>226.35</v>
      </c>
      <c r="G379">
        <v>271737</v>
      </c>
      <c r="H379" s="110"/>
      <c r="I379" s="110"/>
      <c r="L379" s="133">
        <v>42559</v>
      </c>
      <c r="M379" s="110">
        <v>43.964010993229003</v>
      </c>
      <c r="N379" s="110">
        <v>45.170103330211397</v>
      </c>
      <c r="O379" s="110">
        <v>43.506863091308297</v>
      </c>
      <c r="P379" s="110">
        <v>44.936666103698698</v>
      </c>
      <c r="Q379" s="110">
        <v>226</v>
      </c>
      <c r="R379">
        <v>3055257</v>
      </c>
    </row>
    <row r="380" spans="1:18" x14ac:dyDescent="0.25">
      <c r="A380" s="133">
        <v>42562</v>
      </c>
      <c r="B380" s="110">
        <v>46.260498548587798</v>
      </c>
      <c r="C380" s="110">
        <v>46.007602635580298</v>
      </c>
      <c r="D380" s="110">
        <v>44.7236695387735</v>
      </c>
      <c r="E380" s="110">
        <v>44.937658388241303</v>
      </c>
      <c r="F380" s="110">
        <v>236.5</v>
      </c>
      <c r="G380">
        <v>284356</v>
      </c>
      <c r="H380" s="110"/>
      <c r="I380" s="110"/>
      <c r="L380" s="133">
        <v>42562</v>
      </c>
      <c r="M380" s="110">
        <v>46.103852236262298</v>
      </c>
      <c r="N380" s="110">
        <v>46.288656707251498</v>
      </c>
      <c r="O380" s="110">
        <v>44.693502326081301</v>
      </c>
      <c r="P380" s="110">
        <v>44.868580245965802</v>
      </c>
      <c r="Q380" s="110">
        <v>237</v>
      </c>
      <c r="R380">
        <v>3183028</v>
      </c>
    </row>
    <row r="381" spans="1:18" x14ac:dyDescent="0.25">
      <c r="A381" s="133">
        <v>42563</v>
      </c>
      <c r="B381" s="110">
        <v>46.883011565221402</v>
      </c>
      <c r="C381" s="110">
        <v>46.357766207436804</v>
      </c>
      <c r="D381" s="110">
        <v>46.104870294429297</v>
      </c>
      <c r="E381" s="110">
        <v>46.357766207436804</v>
      </c>
      <c r="F381" s="110">
        <v>238.3</v>
      </c>
      <c r="G381">
        <v>355109</v>
      </c>
      <c r="H381" s="110"/>
      <c r="I381" s="110"/>
      <c r="L381" s="133">
        <v>42563</v>
      </c>
      <c r="M381" s="110">
        <v>46.473461178240797</v>
      </c>
      <c r="N381" s="110">
        <v>46.862523222428599</v>
      </c>
      <c r="O381" s="110">
        <v>46.113578787366997</v>
      </c>
      <c r="P381" s="110">
        <v>46.483187729345502</v>
      </c>
      <c r="Q381" s="110">
        <v>238.9</v>
      </c>
      <c r="R381">
        <v>4150502</v>
      </c>
    </row>
    <row r="382" spans="1:18" x14ac:dyDescent="0.25">
      <c r="A382" s="133">
        <v>42564</v>
      </c>
      <c r="B382" s="110">
        <v>47.116453946459004</v>
      </c>
      <c r="C382" s="110">
        <v>46.669022715753599</v>
      </c>
      <c r="D382" s="110">
        <v>45.521264341335304</v>
      </c>
      <c r="E382" s="110">
        <v>46.435580334515997</v>
      </c>
      <c r="F382" s="110">
        <v>239.9</v>
      </c>
      <c r="G382">
        <v>329989</v>
      </c>
      <c r="H382" s="110"/>
      <c r="I382" s="110"/>
      <c r="L382" s="133">
        <v>42564</v>
      </c>
      <c r="M382" s="110">
        <v>46.745804609172303</v>
      </c>
      <c r="N382" s="110">
        <v>47.057054244522597</v>
      </c>
      <c r="O382" s="110">
        <v>45.520259169980498</v>
      </c>
      <c r="P382" s="110">
        <v>46.658265649230003</v>
      </c>
      <c r="Q382" s="110">
        <v>240.3</v>
      </c>
      <c r="R382">
        <v>3168548</v>
      </c>
    </row>
    <row r="383" spans="1:18" x14ac:dyDescent="0.25">
      <c r="A383" s="133">
        <v>42565</v>
      </c>
      <c r="B383" s="110">
        <v>50.579182601483701</v>
      </c>
      <c r="C383" s="110">
        <v>49.723227203612403</v>
      </c>
      <c r="D383" s="110">
        <v>46.299405612127401</v>
      </c>
      <c r="E383" s="110">
        <v>46.824650969912</v>
      </c>
      <c r="F383" s="110">
        <v>255.6</v>
      </c>
      <c r="G383">
        <v>1117698</v>
      </c>
      <c r="H383" s="110"/>
      <c r="I383" s="110"/>
      <c r="L383" s="133">
        <v>42565</v>
      </c>
      <c r="M383" s="110">
        <v>49.702676145000098</v>
      </c>
      <c r="N383" s="110">
        <v>50.539159540004</v>
      </c>
      <c r="O383" s="110">
        <v>46.2302974006234</v>
      </c>
      <c r="P383" s="110">
        <v>46.687445302544099</v>
      </c>
      <c r="Q383" s="110">
        <v>255.5</v>
      </c>
      <c r="R383">
        <v>11534878</v>
      </c>
    </row>
    <row r="384" spans="1:18" x14ac:dyDescent="0.25">
      <c r="A384" s="133">
        <v>42566</v>
      </c>
      <c r="B384" s="110">
        <v>50.5986361332535</v>
      </c>
      <c r="C384" s="110">
        <v>49.966396350734897</v>
      </c>
      <c r="D384" s="110">
        <v>49.324429802331501</v>
      </c>
      <c r="E384" s="110">
        <v>49.606506012993599</v>
      </c>
      <c r="F384" s="110">
        <v>256.85000000000002</v>
      </c>
      <c r="G384">
        <v>688826</v>
      </c>
      <c r="H384" s="110"/>
      <c r="I384" s="110"/>
      <c r="L384" s="133">
        <v>42566</v>
      </c>
      <c r="M384" s="110">
        <v>49.975019575931597</v>
      </c>
      <c r="N384" s="110">
        <v>50.655878153260304</v>
      </c>
      <c r="O384" s="110">
        <v>49.255254794183998</v>
      </c>
      <c r="P384" s="110">
        <v>49.945839922617502</v>
      </c>
      <c r="Q384" s="110">
        <v>256.89999999999998</v>
      </c>
      <c r="R384">
        <v>5717868</v>
      </c>
    </row>
    <row r="385" spans="1:18" x14ac:dyDescent="0.25">
      <c r="A385" s="133">
        <v>42569</v>
      </c>
      <c r="B385" s="110">
        <v>50.637543196793096</v>
      </c>
      <c r="C385" s="110">
        <v>48.069677003179301</v>
      </c>
      <c r="D385" s="110">
        <v>47.7389669630927</v>
      </c>
      <c r="E385" s="110">
        <v>49.976123116619803</v>
      </c>
      <c r="F385" s="110">
        <v>247.1</v>
      </c>
      <c r="G385">
        <v>378977</v>
      </c>
      <c r="H385" s="110"/>
      <c r="I385" s="110"/>
      <c r="L385" s="133">
        <v>42569</v>
      </c>
      <c r="M385" s="110">
        <v>48.049162457201597</v>
      </c>
      <c r="N385" s="110">
        <v>50.694784357679097</v>
      </c>
      <c r="O385" s="110">
        <v>47.7087331685373</v>
      </c>
      <c r="P385" s="110">
        <v>50.189003700234899</v>
      </c>
      <c r="Q385" s="110">
        <v>247</v>
      </c>
      <c r="R385">
        <v>4334594</v>
      </c>
    </row>
    <row r="386" spans="1:18" x14ac:dyDescent="0.25">
      <c r="A386" s="133">
        <v>42570</v>
      </c>
      <c r="B386" s="110">
        <v>50.948799705109899</v>
      </c>
      <c r="C386" s="110">
        <v>50.336013454361201</v>
      </c>
      <c r="D386" s="110">
        <v>47.563885177164501</v>
      </c>
      <c r="E386" s="110">
        <v>48.4198405750357</v>
      </c>
      <c r="F386" s="110">
        <v>258.75</v>
      </c>
      <c r="G386">
        <v>1099568</v>
      </c>
      <c r="H386" s="110"/>
      <c r="I386" s="110"/>
      <c r="L386" s="133">
        <v>42570</v>
      </c>
      <c r="M386" s="110">
        <v>50.393261273433502</v>
      </c>
      <c r="N386" s="110">
        <v>50.967127788610597</v>
      </c>
      <c r="O386" s="110">
        <v>47.543381799757398</v>
      </c>
      <c r="P386" s="110">
        <v>48.438224501389499</v>
      </c>
      <c r="Q386" s="110">
        <v>259.05</v>
      </c>
      <c r="R386">
        <v>8987587</v>
      </c>
    </row>
    <row r="387" spans="1:18" x14ac:dyDescent="0.25">
      <c r="A387" s="133">
        <v>42571</v>
      </c>
      <c r="B387" s="110">
        <v>51.3573238722757</v>
      </c>
      <c r="C387" s="110">
        <v>50.443007879095099</v>
      </c>
      <c r="D387" s="110">
        <v>49.995576648389601</v>
      </c>
      <c r="E387" s="110">
        <v>50.773717919181699</v>
      </c>
      <c r="F387" s="110">
        <v>259.3</v>
      </c>
      <c r="G387">
        <v>500225</v>
      </c>
      <c r="H387" s="110"/>
      <c r="I387" s="110"/>
      <c r="L387" s="133">
        <v>42571</v>
      </c>
      <c r="M387" s="110">
        <v>50.558612642213397</v>
      </c>
      <c r="N387" s="110">
        <v>51.336736730589102</v>
      </c>
      <c r="O387" s="110">
        <v>50.189003700234899</v>
      </c>
      <c r="P387" s="110">
        <v>50.597518846632198</v>
      </c>
      <c r="Q387" s="110">
        <v>259.89999999999998</v>
      </c>
      <c r="R387">
        <v>5099710</v>
      </c>
    </row>
    <row r="388" spans="1:18" x14ac:dyDescent="0.25">
      <c r="A388" s="133">
        <v>42572</v>
      </c>
      <c r="B388" s="110">
        <v>50.491641708519602</v>
      </c>
      <c r="C388" s="110">
        <v>48.9256324010505</v>
      </c>
      <c r="D388" s="110">
        <v>48.760277381007199</v>
      </c>
      <c r="E388" s="110">
        <v>49.625959544763397</v>
      </c>
      <c r="F388" s="110">
        <v>251.5</v>
      </c>
      <c r="G388">
        <v>386806</v>
      </c>
      <c r="H388" s="110"/>
      <c r="I388" s="110"/>
      <c r="L388" s="133">
        <v>42572</v>
      </c>
      <c r="M388" s="110">
        <v>48.7883803411586</v>
      </c>
      <c r="N388" s="110">
        <v>50.471073682271097</v>
      </c>
      <c r="O388" s="110">
        <v>48.632755523483397</v>
      </c>
      <c r="P388" s="110">
        <v>50.383534722328797</v>
      </c>
      <c r="Q388" s="110">
        <v>250.8</v>
      </c>
      <c r="R388">
        <v>3476035</v>
      </c>
    </row>
    <row r="389" spans="1:18" x14ac:dyDescent="0.25">
      <c r="A389" s="133">
        <v>42573</v>
      </c>
      <c r="B389" s="110">
        <v>48.838091508086499</v>
      </c>
      <c r="C389" s="110">
        <v>46.863558033451604</v>
      </c>
      <c r="D389" s="110">
        <v>46.6495691839838</v>
      </c>
      <c r="E389" s="110">
        <v>48.838091508086499</v>
      </c>
      <c r="F389" s="110">
        <v>240.9</v>
      </c>
      <c r="G389">
        <v>619211</v>
      </c>
      <c r="H389" s="110"/>
      <c r="I389" s="110"/>
      <c r="L389" s="133">
        <v>42573</v>
      </c>
      <c r="M389" s="110">
        <v>46.940335631266201</v>
      </c>
      <c r="N389" s="110">
        <v>48.827286545577401</v>
      </c>
      <c r="O389" s="110">
        <v>46.726351506962899</v>
      </c>
      <c r="P389" s="110">
        <v>48.730021034530402</v>
      </c>
      <c r="Q389" s="110">
        <v>241.3</v>
      </c>
      <c r="R389">
        <v>5481118</v>
      </c>
    </row>
    <row r="390" spans="1:18" x14ac:dyDescent="0.25">
      <c r="A390" s="133">
        <v>42576</v>
      </c>
      <c r="B390" s="110">
        <v>50.481914942634702</v>
      </c>
      <c r="C390" s="110">
        <v>49.353610099986199</v>
      </c>
      <c r="D390" s="110">
        <v>46.250771782702898</v>
      </c>
      <c r="E390" s="110">
        <v>46.688476247523397</v>
      </c>
      <c r="F390" s="110">
        <v>253.7</v>
      </c>
      <c r="G390">
        <v>1221552</v>
      </c>
      <c r="H390" s="110"/>
      <c r="I390" s="110"/>
      <c r="L390" s="133">
        <v>42576</v>
      </c>
      <c r="M390" s="110">
        <v>49.5567778784296</v>
      </c>
      <c r="N390" s="110">
        <v>50.539159540004</v>
      </c>
      <c r="O390" s="110">
        <v>46.1816646450999</v>
      </c>
      <c r="P390" s="110">
        <v>46.833343569114597</v>
      </c>
      <c r="Q390" s="110">
        <v>254.75</v>
      </c>
      <c r="R390">
        <v>10465576</v>
      </c>
    </row>
    <row r="391" spans="1:18" x14ac:dyDescent="0.25">
      <c r="A391" s="133">
        <v>42577</v>
      </c>
      <c r="B391" s="110">
        <v>51.824208634751002</v>
      </c>
      <c r="C391" s="110">
        <v>50.141478136663103</v>
      </c>
      <c r="D391" s="110">
        <v>47.865414919596397</v>
      </c>
      <c r="E391" s="110">
        <v>48.633829424503503</v>
      </c>
      <c r="F391" s="110">
        <v>257.75</v>
      </c>
      <c r="G391">
        <v>1536206</v>
      </c>
      <c r="H391" s="110"/>
      <c r="I391" s="110"/>
      <c r="L391" s="133">
        <v>42577</v>
      </c>
      <c r="M391" s="110">
        <v>50.150097495816098</v>
      </c>
      <c r="N391" s="110">
        <v>51.861970490242697</v>
      </c>
      <c r="O391" s="110">
        <v>47.854631435107699</v>
      </c>
      <c r="P391" s="110">
        <v>48.593849319064702</v>
      </c>
      <c r="Q391" s="110">
        <v>257.8</v>
      </c>
      <c r="R391">
        <v>15415961</v>
      </c>
    </row>
    <row r="392" spans="1:18" x14ac:dyDescent="0.25">
      <c r="A392" s="133">
        <v>42578</v>
      </c>
      <c r="B392" s="110">
        <v>51.211422384002198</v>
      </c>
      <c r="C392" s="110">
        <v>50.802898216836397</v>
      </c>
      <c r="D392" s="110">
        <v>49.801041330691604</v>
      </c>
      <c r="E392" s="110">
        <v>49.801041330691604</v>
      </c>
      <c r="F392" s="110">
        <v>261.14999999999998</v>
      </c>
      <c r="G392">
        <v>477999</v>
      </c>
      <c r="H392" s="110"/>
      <c r="I392" s="110"/>
      <c r="L392" s="133">
        <v>42578</v>
      </c>
      <c r="M392" s="110">
        <v>50.860135726458999</v>
      </c>
      <c r="N392" s="110">
        <v>51.220018117332799</v>
      </c>
      <c r="O392" s="110">
        <v>49.897207167094003</v>
      </c>
      <c r="P392" s="110">
        <v>50.033378882559802</v>
      </c>
      <c r="Q392" s="110">
        <v>261.45</v>
      </c>
      <c r="R392">
        <v>5385152</v>
      </c>
    </row>
    <row r="393" spans="1:18" x14ac:dyDescent="0.25">
      <c r="A393" s="133">
        <v>42579</v>
      </c>
      <c r="B393" s="110">
        <v>52.047924250103698</v>
      </c>
      <c r="C393" s="110">
        <v>50.238745795512102</v>
      </c>
      <c r="D393" s="110">
        <v>49.995576648389601</v>
      </c>
      <c r="E393" s="110">
        <v>50.987706768649502</v>
      </c>
      <c r="F393" s="110">
        <v>258.25</v>
      </c>
      <c r="G393">
        <v>694090</v>
      </c>
      <c r="H393" s="110"/>
      <c r="I393" s="110"/>
      <c r="L393" s="133">
        <v>42579</v>
      </c>
      <c r="M393" s="110">
        <v>50.198730251339597</v>
      </c>
      <c r="N393" s="110">
        <v>52.085681165650797</v>
      </c>
      <c r="O393" s="110">
        <v>49.926386820408098</v>
      </c>
      <c r="P393" s="110">
        <v>51.113026055181102</v>
      </c>
      <c r="Q393" s="110">
        <v>258.05</v>
      </c>
      <c r="R393">
        <v>5761552</v>
      </c>
    </row>
    <row r="394" spans="1:18" x14ac:dyDescent="0.25">
      <c r="A394" s="133">
        <v>42580</v>
      </c>
      <c r="B394" s="110">
        <v>50.481914942634702</v>
      </c>
      <c r="C394" s="110">
        <v>48.867271805741098</v>
      </c>
      <c r="D394" s="110">
        <v>48.653282956273301</v>
      </c>
      <c r="E394" s="110">
        <v>50.481914942634702</v>
      </c>
      <c r="F394" s="110">
        <v>251.2</v>
      </c>
      <c r="G394">
        <v>410475</v>
      </c>
      <c r="H394" s="110"/>
      <c r="I394" s="110"/>
      <c r="L394" s="133">
        <v>42580</v>
      </c>
      <c r="M394" s="110">
        <v>48.739747585635101</v>
      </c>
      <c r="N394" s="110">
        <v>50.344628517910103</v>
      </c>
      <c r="O394" s="110">
        <v>48.603575870169301</v>
      </c>
      <c r="P394" s="110">
        <v>50.198730251339597</v>
      </c>
      <c r="Q394" s="110">
        <v>250.55</v>
      </c>
      <c r="R394">
        <v>3663971</v>
      </c>
    </row>
    <row r="395" spans="1:18" x14ac:dyDescent="0.25">
      <c r="A395" s="133">
        <v>42583</v>
      </c>
      <c r="B395" s="110">
        <v>49.694046905957698</v>
      </c>
      <c r="C395" s="110">
        <v>47.466617518315402</v>
      </c>
      <c r="D395" s="110">
        <v>47.1553610099986</v>
      </c>
      <c r="E395" s="110">
        <v>49.694046905957698</v>
      </c>
      <c r="F395" s="110">
        <v>244</v>
      </c>
      <c r="G395">
        <v>447701</v>
      </c>
      <c r="H395" s="110"/>
      <c r="I395" s="110"/>
      <c r="L395" s="133">
        <v>42583</v>
      </c>
      <c r="M395" s="110">
        <v>47.378030430977603</v>
      </c>
      <c r="N395" s="110">
        <v>49.498418571801402</v>
      </c>
      <c r="O395" s="110">
        <v>47.144593204464798</v>
      </c>
      <c r="P395" s="110">
        <v>49.099629976508901</v>
      </c>
      <c r="Q395" s="110">
        <v>243.55</v>
      </c>
      <c r="R395">
        <v>4266990</v>
      </c>
    </row>
    <row r="396" spans="1:18" x14ac:dyDescent="0.25">
      <c r="A396" s="133">
        <v>42584</v>
      </c>
      <c r="B396" s="110">
        <v>49.480058056489902</v>
      </c>
      <c r="C396" s="110">
        <v>49.197981845827798</v>
      </c>
      <c r="D396" s="110">
        <v>47.466617518315402</v>
      </c>
      <c r="E396" s="110">
        <v>47.6611528360135</v>
      </c>
      <c r="F396" s="110">
        <v>252.9</v>
      </c>
      <c r="G396">
        <v>569393</v>
      </c>
      <c r="H396" s="110"/>
      <c r="I396" s="110"/>
      <c r="L396" s="133">
        <v>42584</v>
      </c>
      <c r="M396" s="110">
        <v>49.216348589765197</v>
      </c>
      <c r="N396" s="110">
        <v>49.488692020696703</v>
      </c>
      <c r="O396" s="110">
        <v>47.465569390919804</v>
      </c>
      <c r="P396" s="110">
        <v>47.796272128479501</v>
      </c>
      <c r="Q396" s="110">
        <v>253</v>
      </c>
      <c r="R396">
        <v>5250249</v>
      </c>
    </row>
    <row r="397" spans="1:18" x14ac:dyDescent="0.25">
      <c r="A397" s="133">
        <v>42585</v>
      </c>
      <c r="B397" s="110">
        <v>50.131751370778197</v>
      </c>
      <c r="C397" s="110">
        <v>48.847818273971299</v>
      </c>
      <c r="D397" s="110">
        <v>48.468474404460203</v>
      </c>
      <c r="E397" s="110">
        <v>49.606506012993599</v>
      </c>
      <c r="F397" s="110">
        <v>251.1</v>
      </c>
      <c r="G397">
        <v>367272</v>
      </c>
      <c r="H397" s="110"/>
      <c r="I397" s="110"/>
      <c r="L397" s="133">
        <v>42585</v>
      </c>
      <c r="M397" s="110">
        <v>48.953731709938403</v>
      </c>
      <c r="N397" s="110">
        <v>50.111191291397297</v>
      </c>
      <c r="O397" s="110">
        <v>48.457677603598903</v>
      </c>
      <c r="P397" s="110">
        <v>49.410879611859201</v>
      </c>
      <c r="Q397" s="110">
        <v>251.65</v>
      </c>
      <c r="R397">
        <v>4337844</v>
      </c>
    </row>
    <row r="398" spans="1:18" x14ac:dyDescent="0.25">
      <c r="A398" s="133">
        <v>42586</v>
      </c>
      <c r="B398" s="110">
        <v>50.501368474404501</v>
      </c>
      <c r="C398" s="110">
        <v>50.034483711929198</v>
      </c>
      <c r="D398" s="110">
        <v>48.770004146892099</v>
      </c>
      <c r="E398" s="110">
        <v>49.411970695295601</v>
      </c>
      <c r="F398" s="110">
        <v>257.2</v>
      </c>
      <c r="G398">
        <v>492733</v>
      </c>
      <c r="H398" s="110"/>
      <c r="I398" s="110"/>
      <c r="L398" s="133">
        <v>42586</v>
      </c>
      <c r="M398" s="110">
        <v>50.033378882559802</v>
      </c>
      <c r="N398" s="110">
        <v>50.558612642213397</v>
      </c>
      <c r="O398" s="110">
        <v>48.798106892263299</v>
      </c>
      <c r="P398" s="110">
        <v>49.585957531743702</v>
      </c>
      <c r="Q398" s="110">
        <v>257.2</v>
      </c>
      <c r="R398">
        <v>5301910</v>
      </c>
    </row>
    <row r="399" spans="1:18" x14ac:dyDescent="0.25">
      <c r="A399" s="133">
        <v>42587</v>
      </c>
      <c r="B399" s="110">
        <v>50.968253236879697</v>
      </c>
      <c r="C399" s="110">
        <v>50.433281113210199</v>
      </c>
      <c r="D399" s="110">
        <v>49.985849882504702</v>
      </c>
      <c r="E399" s="110">
        <v>50.481914942634702</v>
      </c>
      <c r="F399" s="110">
        <v>259.25</v>
      </c>
      <c r="G399">
        <v>305370</v>
      </c>
      <c r="H399" s="110"/>
      <c r="I399" s="110"/>
      <c r="L399" s="133">
        <v>42587</v>
      </c>
      <c r="M399" s="110">
        <v>50.432167477852303</v>
      </c>
      <c r="N399" s="110">
        <v>50.996307441924699</v>
      </c>
      <c r="O399" s="110">
        <v>49.916660269303399</v>
      </c>
      <c r="P399" s="110">
        <v>50.471073682271097</v>
      </c>
      <c r="Q399" s="110">
        <v>259.25</v>
      </c>
      <c r="R399">
        <v>3101405</v>
      </c>
    </row>
    <row r="400" spans="1:18" x14ac:dyDescent="0.25">
      <c r="A400" s="133">
        <v>42590</v>
      </c>
      <c r="B400" s="110">
        <v>50.773717919181699</v>
      </c>
      <c r="C400" s="110">
        <v>50.190111966087599</v>
      </c>
      <c r="D400" s="110">
        <v>49.266069207022099</v>
      </c>
      <c r="E400" s="110">
        <v>50.734810855642102</v>
      </c>
      <c r="F400" s="110">
        <v>258</v>
      </c>
      <c r="G400">
        <v>283543</v>
      </c>
      <c r="H400" s="110"/>
      <c r="I400" s="110"/>
      <c r="L400" s="133">
        <v>42590</v>
      </c>
      <c r="M400" s="110">
        <v>50.169550598025502</v>
      </c>
      <c r="N400" s="110">
        <v>50.762870215412001</v>
      </c>
      <c r="O400" s="110">
        <v>49.196895487555899</v>
      </c>
      <c r="P400" s="110">
        <v>50.753143664307302</v>
      </c>
      <c r="Q400" s="110">
        <v>257.89999999999998</v>
      </c>
      <c r="R400">
        <v>3224290</v>
      </c>
    </row>
    <row r="401" spans="1:18" x14ac:dyDescent="0.25">
      <c r="A401" s="133">
        <v>42591</v>
      </c>
      <c r="B401" s="110">
        <v>51.542132424088798</v>
      </c>
      <c r="C401" s="110">
        <v>50.812624982721303</v>
      </c>
      <c r="D401" s="110">
        <v>49.849675160116099</v>
      </c>
      <c r="E401" s="110">
        <v>50.034483711929198</v>
      </c>
      <c r="F401" s="110">
        <v>261.2</v>
      </c>
      <c r="G401">
        <v>601129</v>
      </c>
      <c r="H401" s="110"/>
      <c r="I401" s="110"/>
      <c r="L401" s="133">
        <v>42591</v>
      </c>
      <c r="M401" s="110">
        <v>50.850409175354301</v>
      </c>
      <c r="N401" s="110">
        <v>51.550720854892397</v>
      </c>
      <c r="O401" s="110">
        <v>49.819394758256401</v>
      </c>
      <c r="P401" s="110">
        <v>50.159824046920797</v>
      </c>
      <c r="Q401" s="110">
        <v>261.39999999999998</v>
      </c>
      <c r="R401">
        <v>5264744</v>
      </c>
    </row>
    <row r="402" spans="1:18" x14ac:dyDescent="0.25">
      <c r="A402" s="133">
        <v>42592</v>
      </c>
      <c r="B402" s="110">
        <v>51.3573238722757</v>
      </c>
      <c r="C402" s="110">
        <v>48.6727364880431</v>
      </c>
      <c r="D402" s="110">
        <v>48.458747638575304</v>
      </c>
      <c r="E402" s="110">
        <v>51.123881491038098</v>
      </c>
      <c r="F402" s="110">
        <v>250.2</v>
      </c>
      <c r="G402">
        <v>373558</v>
      </c>
      <c r="H402" s="110"/>
      <c r="I402" s="110"/>
      <c r="L402" s="133">
        <v>42592</v>
      </c>
      <c r="M402" s="110">
        <v>48.642482074588102</v>
      </c>
      <c r="N402" s="110">
        <v>51.404822588321998</v>
      </c>
      <c r="O402" s="110">
        <v>48.438224501389499</v>
      </c>
      <c r="P402" s="110">
        <v>50.869862277563698</v>
      </c>
      <c r="Q402" s="110">
        <v>250.05</v>
      </c>
      <c r="R402">
        <v>4971163</v>
      </c>
    </row>
    <row r="403" spans="1:18" x14ac:dyDescent="0.25">
      <c r="A403" s="133">
        <v>42593</v>
      </c>
      <c r="B403" s="110">
        <v>48.633829424503503</v>
      </c>
      <c r="C403" s="110">
        <v>48.050223471409502</v>
      </c>
      <c r="D403" s="110">
        <v>47.310989264157001</v>
      </c>
      <c r="E403" s="110">
        <v>48.633829424503503</v>
      </c>
      <c r="F403" s="110">
        <v>247</v>
      </c>
      <c r="G403">
        <v>346230</v>
      </c>
      <c r="H403" s="110"/>
      <c r="I403" s="110"/>
      <c r="L403" s="133">
        <v>42593</v>
      </c>
      <c r="M403" s="110">
        <v>48.088068661620397</v>
      </c>
      <c r="N403" s="110">
        <v>48.691114830111601</v>
      </c>
      <c r="O403" s="110">
        <v>47.193225959988297</v>
      </c>
      <c r="P403" s="110">
        <v>48.691114830111601</v>
      </c>
      <c r="Q403" s="110">
        <v>247.2</v>
      </c>
      <c r="R403">
        <v>4294248</v>
      </c>
    </row>
    <row r="404" spans="1:18" x14ac:dyDescent="0.25">
      <c r="A404" s="133">
        <v>42594</v>
      </c>
      <c r="B404" s="110">
        <v>50.656996728562902</v>
      </c>
      <c r="C404" s="110">
        <v>49.771861033036899</v>
      </c>
      <c r="D404" s="110">
        <v>47.9140487490209</v>
      </c>
      <c r="E404" s="110">
        <v>48.205851725567904</v>
      </c>
      <c r="F404" s="110">
        <v>255.85</v>
      </c>
      <c r="G404">
        <v>621479</v>
      </c>
      <c r="H404" s="110"/>
      <c r="I404" s="110"/>
      <c r="L404" s="133">
        <v>42594</v>
      </c>
      <c r="M404" s="110">
        <v>49.761035451628302</v>
      </c>
      <c r="N404" s="110">
        <v>50.665604704365002</v>
      </c>
      <c r="O404" s="110">
        <v>47.942170395049999</v>
      </c>
      <c r="P404" s="110">
        <v>48.418771399180102</v>
      </c>
      <c r="Q404" s="110">
        <v>255.8</v>
      </c>
      <c r="R404">
        <v>5135028</v>
      </c>
    </row>
    <row r="405" spans="1:18" x14ac:dyDescent="0.25">
      <c r="A405" s="133">
        <v>42598</v>
      </c>
      <c r="B405" s="110">
        <v>50.3457402202461</v>
      </c>
      <c r="C405" s="110">
        <v>49.373063631755997</v>
      </c>
      <c r="D405" s="110">
        <v>48.906178869280801</v>
      </c>
      <c r="E405" s="110">
        <v>49.801041330691604</v>
      </c>
      <c r="F405" s="110">
        <v>253.8</v>
      </c>
      <c r="G405">
        <v>246513</v>
      </c>
      <c r="H405" s="110"/>
      <c r="I405" s="110"/>
      <c r="L405" s="133">
        <v>42598</v>
      </c>
      <c r="M405" s="110">
        <v>49.440059265173304</v>
      </c>
      <c r="N405" s="110">
        <v>50.325175415700699</v>
      </c>
      <c r="O405" s="110">
        <v>48.866192749996202</v>
      </c>
      <c r="P405" s="110">
        <v>49.994472678141001</v>
      </c>
      <c r="Q405" s="110">
        <v>254.15</v>
      </c>
      <c r="R405">
        <v>3011175</v>
      </c>
    </row>
    <row r="406" spans="1:18" x14ac:dyDescent="0.25">
      <c r="A406" s="133">
        <v>42599</v>
      </c>
      <c r="B406" s="110">
        <v>50.968253236879697</v>
      </c>
      <c r="C406" s="110">
        <v>50.550002303828997</v>
      </c>
      <c r="D406" s="110">
        <v>48.945085932820398</v>
      </c>
      <c r="E406" s="110">
        <v>49.022900059899598</v>
      </c>
      <c r="F406" s="110">
        <v>259.85000000000002</v>
      </c>
      <c r="G406">
        <v>377491</v>
      </c>
      <c r="H406" s="110"/>
      <c r="I406" s="110"/>
      <c r="L406" s="133">
        <v>42599</v>
      </c>
      <c r="M406" s="110">
        <v>50.5877922955275</v>
      </c>
      <c r="N406" s="110">
        <v>50.967127788610597</v>
      </c>
      <c r="O406" s="110">
        <v>49.313614100812202</v>
      </c>
      <c r="P406" s="110">
        <v>49.7318557983142</v>
      </c>
      <c r="Q406" s="110">
        <v>260.05</v>
      </c>
      <c r="R406">
        <v>3947869</v>
      </c>
    </row>
    <row r="407" spans="1:18" x14ac:dyDescent="0.25">
      <c r="A407" s="133">
        <v>42600</v>
      </c>
      <c r="B407" s="110">
        <v>52.213279270146998</v>
      </c>
      <c r="C407" s="110">
        <v>51.512952126434101</v>
      </c>
      <c r="D407" s="110">
        <v>50.695903792102499</v>
      </c>
      <c r="E407" s="110">
        <v>50.695903792102499</v>
      </c>
      <c r="F407" s="110">
        <v>264.8</v>
      </c>
      <c r="G407">
        <v>403083</v>
      </c>
      <c r="H407" s="110"/>
      <c r="I407" s="110"/>
      <c r="L407" s="133">
        <v>42600</v>
      </c>
      <c r="M407" s="110">
        <v>51.4826349971596</v>
      </c>
      <c r="N407" s="110">
        <v>52.212126330011799</v>
      </c>
      <c r="O407" s="110">
        <v>50.6753312554697</v>
      </c>
      <c r="P407" s="110">
        <v>51.025487095238802</v>
      </c>
      <c r="Q407" s="110">
        <v>264.64999999999998</v>
      </c>
      <c r="R407">
        <v>3759476</v>
      </c>
    </row>
    <row r="408" spans="1:18" x14ac:dyDescent="0.25">
      <c r="A408" s="133">
        <v>42601</v>
      </c>
      <c r="B408" s="110">
        <v>52.184098972492301</v>
      </c>
      <c r="C408" s="110">
        <v>51.795028337096298</v>
      </c>
      <c r="D408" s="110">
        <v>50.968253236879697</v>
      </c>
      <c r="E408" s="110">
        <v>51.3573238722757</v>
      </c>
      <c r="F408" s="110">
        <v>266.25</v>
      </c>
      <c r="G408">
        <v>346251</v>
      </c>
      <c r="H408" s="110"/>
      <c r="I408" s="110"/>
      <c r="L408" s="133">
        <v>42601</v>
      </c>
      <c r="M408" s="110">
        <v>51.803611183614599</v>
      </c>
      <c r="N408" s="110">
        <v>52.153767023383601</v>
      </c>
      <c r="O408" s="110">
        <v>50.918495033087197</v>
      </c>
      <c r="P408" s="110">
        <v>51.550720854892397</v>
      </c>
      <c r="Q408" s="110">
        <v>266.3</v>
      </c>
      <c r="R408">
        <v>3807307</v>
      </c>
    </row>
    <row r="409" spans="1:18" x14ac:dyDescent="0.25">
      <c r="A409" s="133">
        <v>42604</v>
      </c>
      <c r="B409" s="110">
        <v>52.680164032622201</v>
      </c>
      <c r="C409" s="110">
        <v>52.038197484218799</v>
      </c>
      <c r="D409" s="110">
        <v>51.367050638160599</v>
      </c>
      <c r="E409" s="110">
        <v>51.367050638160599</v>
      </c>
      <c r="F409" s="110">
        <v>267.5</v>
      </c>
      <c r="G409">
        <v>287660</v>
      </c>
      <c r="H409" s="110"/>
      <c r="I409" s="110"/>
      <c r="L409" s="133">
        <v>42604</v>
      </c>
      <c r="M409" s="110">
        <v>52.017595307917901</v>
      </c>
      <c r="N409" s="110">
        <v>52.717906987455997</v>
      </c>
      <c r="O409" s="110">
        <v>51.472908446054902</v>
      </c>
      <c r="P409" s="110">
        <v>51.939782899080299</v>
      </c>
      <c r="Q409" s="110">
        <v>267.39999999999998</v>
      </c>
      <c r="R409">
        <v>3705621</v>
      </c>
    </row>
    <row r="410" spans="1:18" x14ac:dyDescent="0.25">
      <c r="A410" s="133">
        <v>42605</v>
      </c>
      <c r="B410" s="110">
        <v>52.242459567801703</v>
      </c>
      <c r="C410" s="110">
        <v>51.639400082937797</v>
      </c>
      <c r="D410" s="110">
        <v>50.9293461733401</v>
      </c>
      <c r="E410" s="110">
        <v>51.668580380592601</v>
      </c>
      <c r="F410" s="110">
        <v>265.45</v>
      </c>
      <c r="G410">
        <v>278064</v>
      </c>
      <c r="H410" s="110"/>
      <c r="I410" s="110"/>
      <c r="L410" s="133">
        <v>42605</v>
      </c>
      <c r="M410" s="110">
        <v>51.638259814834697</v>
      </c>
      <c r="N410" s="110">
        <v>52.2023997789071</v>
      </c>
      <c r="O410" s="110">
        <v>50.889315379773102</v>
      </c>
      <c r="P410" s="110">
        <v>52.046774961232003</v>
      </c>
      <c r="Q410" s="110">
        <v>265.45</v>
      </c>
      <c r="R410">
        <v>2953266</v>
      </c>
    </row>
    <row r="411" spans="1:18" x14ac:dyDescent="0.25">
      <c r="A411" s="133">
        <v>42606</v>
      </c>
      <c r="B411" s="110">
        <v>52.855245818550401</v>
      </c>
      <c r="C411" s="110">
        <v>52.719071096161798</v>
      </c>
      <c r="D411" s="110">
        <v>51.571312721743503</v>
      </c>
      <c r="E411" s="110">
        <v>51.619946551167999</v>
      </c>
      <c r="F411" s="110">
        <v>271</v>
      </c>
      <c r="G411">
        <v>374148</v>
      </c>
      <c r="H411" s="110"/>
      <c r="I411" s="110"/>
      <c r="L411" s="133">
        <v>42606</v>
      </c>
      <c r="M411" s="110">
        <v>52.727633538560703</v>
      </c>
      <c r="N411" s="110">
        <v>52.912438009550002</v>
      </c>
      <c r="O411" s="110">
        <v>51.550720854892397</v>
      </c>
      <c r="P411" s="110">
        <v>51.735525325881703</v>
      </c>
      <c r="Q411" s="110">
        <v>271.05</v>
      </c>
      <c r="R411">
        <v>4100069</v>
      </c>
    </row>
    <row r="412" spans="1:18" x14ac:dyDescent="0.25">
      <c r="A412" s="133">
        <v>42607</v>
      </c>
      <c r="B412" s="110">
        <v>53.5361194304935</v>
      </c>
      <c r="C412" s="110">
        <v>52.592623139658102</v>
      </c>
      <c r="D412" s="110">
        <v>52.310546928995997</v>
      </c>
      <c r="E412" s="110">
        <v>52.903879647974897</v>
      </c>
      <c r="F412" s="110">
        <v>270.35000000000002</v>
      </c>
      <c r="G412">
        <v>315080</v>
      </c>
      <c r="H412" s="110"/>
      <c r="I412" s="110"/>
      <c r="L412" s="133">
        <v>42607</v>
      </c>
      <c r="M412" s="110">
        <v>52.630368027513803</v>
      </c>
      <c r="N412" s="110">
        <v>53.476577973622398</v>
      </c>
      <c r="O412" s="110">
        <v>52.358024596582297</v>
      </c>
      <c r="P412" s="110">
        <v>52.737360089665401</v>
      </c>
      <c r="Q412" s="110">
        <v>270.55</v>
      </c>
      <c r="R412">
        <v>4271628</v>
      </c>
    </row>
    <row r="413" spans="1:18" x14ac:dyDescent="0.25">
      <c r="A413" s="133">
        <v>42608</v>
      </c>
      <c r="B413" s="110">
        <v>52.962240243284299</v>
      </c>
      <c r="C413" s="110">
        <v>52.242459567801703</v>
      </c>
      <c r="D413" s="110">
        <v>51.960383357139598</v>
      </c>
      <c r="E413" s="110">
        <v>52.592623139658102</v>
      </c>
      <c r="F413" s="110">
        <v>268.55</v>
      </c>
      <c r="G413">
        <v>246150</v>
      </c>
      <c r="H413" s="110"/>
      <c r="I413" s="110"/>
      <c r="L413" s="133">
        <v>42608</v>
      </c>
      <c r="M413" s="110">
        <v>52.2023997789071</v>
      </c>
      <c r="N413" s="110">
        <v>52.961070765073501</v>
      </c>
      <c r="O413" s="110">
        <v>51.959236001289703</v>
      </c>
      <c r="P413" s="110">
        <v>52.542829067571503</v>
      </c>
      <c r="Q413" s="110">
        <v>268.35000000000002</v>
      </c>
      <c r="R413">
        <v>2468834</v>
      </c>
    </row>
    <row r="414" spans="1:18" x14ac:dyDescent="0.25">
      <c r="A414" s="133">
        <v>42611</v>
      </c>
      <c r="B414" s="110">
        <v>53.205409390406899</v>
      </c>
      <c r="C414" s="110">
        <v>53.059507902133397</v>
      </c>
      <c r="D414" s="110">
        <v>51.960383357139598</v>
      </c>
      <c r="E414" s="110">
        <v>51.960383357139598</v>
      </c>
      <c r="F414" s="110">
        <v>272.75</v>
      </c>
      <c r="G414">
        <v>214849</v>
      </c>
      <c r="H414" s="110"/>
      <c r="I414" s="110"/>
      <c r="L414" s="133">
        <v>42611</v>
      </c>
      <c r="M414" s="110">
        <v>53.223687644900302</v>
      </c>
      <c r="N414" s="110">
        <v>53.476577973622398</v>
      </c>
      <c r="O414" s="110">
        <v>51.939782899080299</v>
      </c>
      <c r="P414" s="110">
        <v>52.1148608189649</v>
      </c>
      <c r="Q414" s="110">
        <v>273.60000000000002</v>
      </c>
      <c r="R414">
        <v>2686310</v>
      </c>
    </row>
    <row r="415" spans="1:18" x14ac:dyDescent="0.25">
      <c r="A415" s="133">
        <v>42612</v>
      </c>
      <c r="B415" s="110">
        <v>54.829779293185297</v>
      </c>
      <c r="C415" s="110">
        <v>54.596336911947702</v>
      </c>
      <c r="D415" s="110">
        <v>53.1081417315579</v>
      </c>
      <c r="E415" s="110">
        <v>53.1081417315579</v>
      </c>
      <c r="F415" s="110">
        <v>280.64999999999998</v>
      </c>
      <c r="G415">
        <v>340038</v>
      </c>
      <c r="H415" s="110"/>
      <c r="I415" s="110"/>
      <c r="L415" s="133">
        <v>42612</v>
      </c>
      <c r="M415" s="110">
        <v>54.5854047995578</v>
      </c>
      <c r="N415" s="110">
        <v>54.8091154749658</v>
      </c>
      <c r="O415" s="110">
        <v>53.243140747109699</v>
      </c>
      <c r="P415" s="110">
        <v>53.389039013680097</v>
      </c>
      <c r="Q415" s="110">
        <v>280.60000000000002</v>
      </c>
      <c r="R415">
        <v>3787614</v>
      </c>
    </row>
    <row r="416" spans="1:18" x14ac:dyDescent="0.25">
      <c r="A416" s="133">
        <v>42613</v>
      </c>
      <c r="B416" s="110">
        <v>55.248030226235997</v>
      </c>
      <c r="C416" s="110">
        <v>54.528249550753401</v>
      </c>
      <c r="D416" s="110">
        <v>54.314260701285498</v>
      </c>
      <c r="E416" s="110">
        <v>54.858959590840001</v>
      </c>
      <c r="F416" s="110">
        <v>280.3</v>
      </c>
      <c r="G416">
        <v>279084</v>
      </c>
      <c r="H416" s="110"/>
      <c r="I416" s="110"/>
      <c r="L416" s="133">
        <v>42613</v>
      </c>
      <c r="M416" s="110">
        <v>54.575678248453102</v>
      </c>
      <c r="N416" s="110">
        <v>55.2565368257819</v>
      </c>
      <c r="O416" s="110">
        <v>54.371420675254498</v>
      </c>
      <c r="P416" s="110">
        <v>54.663217208395402</v>
      </c>
      <c r="Q416" s="110">
        <v>280.55</v>
      </c>
      <c r="R416">
        <v>3466916</v>
      </c>
    </row>
    <row r="417" spans="1:18" x14ac:dyDescent="0.25">
      <c r="A417" s="133">
        <v>42614</v>
      </c>
      <c r="B417" s="110">
        <v>55.102128737962502</v>
      </c>
      <c r="C417" s="110">
        <v>53.973823895313998</v>
      </c>
      <c r="D417" s="110">
        <v>53.594480025802902</v>
      </c>
      <c r="E417" s="110">
        <v>54.314260701285498</v>
      </c>
      <c r="F417" s="110">
        <v>277.45</v>
      </c>
      <c r="G417">
        <v>226990</v>
      </c>
      <c r="H417" s="110"/>
      <c r="I417" s="110"/>
      <c r="L417" s="133">
        <v>42614</v>
      </c>
      <c r="M417" s="110">
        <v>53.972632079961897</v>
      </c>
      <c r="N417" s="110">
        <v>55.139818212525498</v>
      </c>
      <c r="O417" s="110">
        <v>53.612749689088098</v>
      </c>
      <c r="P417" s="110">
        <v>54.468686186301497</v>
      </c>
      <c r="Q417" s="110">
        <v>277.45</v>
      </c>
      <c r="R417">
        <v>2780959</v>
      </c>
    </row>
    <row r="418" spans="1:18" x14ac:dyDescent="0.25">
      <c r="A418" s="133">
        <v>42615</v>
      </c>
      <c r="B418" s="110">
        <v>54.956227249689</v>
      </c>
      <c r="C418" s="110">
        <v>54.751965166106103</v>
      </c>
      <c r="D418" s="110">
        <v>53.973823895313998</v>
      </c>
      <c r="E418" s="110">
        <v>54.129452149472399</v>
      </c>
      <c r="F418" s="110">
        <v>281.45</v>
      </c>
      <c r="G418">
        <v>122914</v>
      </c>
      <c r="H418" s="110"/>
      <c r="I418" s="110"/>
      <c r="L418" s="133">
        <v>42615</v>
      </c>
      <c r="M418" s="110">
        <v>54.770209270546999</v>
      </c>
      <c r="N418" s="110">
        <v>54.935560639326901</v>
      </c>
      <c r="O418" s="110">
        <v>53.923999324438398</v>
      </c>
      <c r="P418" s="110">
        <v>54.235248959788699</v>
      </c>
      <c r="Q418" s="110">
        <v>281.55</v>
      </c>
      <c r="R418">
        <v>1912227</v>
      </c>
    </row>
    <row r="419" spans="1:18" x14ac:dyDescent="0.25">
      <c r="A419" s="133">
        <v>42619</v>
      </c>
      <c r="B419" s="110">
        <v>55.987264433488498</v>
      </c>
      <c r="C419" s="110">
        <v>55.870543242869701</v>
      </c>
      <c r="D419" s="110">
        <v>54.907593420264497</v>
      </c>
      <c r="E419" s="110">
        <v>54.907593420264497</v>
      </c>
      <c r="F419" s="110">
        <v>287.2</v>
      </c>
      <c r="G419">
        <v>299764</v>
      </c>
      <c r="H419" s="110"/>
      <c r="I419" s="110"/>
      <c r="L419" s="133">
        <v>42619</v>
      </c>
      <c r="M419" s="110">
        <v>55.879036096482501</v>
      </c>
      <c r="N419" s="110">
        <v>55.986028158634099</v>
      </c>
      <c r="O419" s="110">
        <v>55.100912008106697</v>
      </c>
      <c r="P419" s="110">
        <v>55.246810274677202</v>
      </c>
      <c r="Q419" s="110">
        <v>287.25</v>
      </c>
      <c r="R419">
        <v>2433330</v>
      </c>
    </row>
    <row r="420" spans="1:18" x14ac:dyDescent="0.25">
      <c r="A420" s="133">
        <v>42620</v>
      </c>
      <c r="B420" s="110">
        <v>61.1716306501405</v>
      </c>
      <c r="C420" s="110">
        <v>59.634801640326202</v>
      </c>
      <c r="D420" s="110">
        <v>55.637100861632</v>
      </c>
      <c r="E420" s="110">
        <v>55.637100861632</v>
      </c>
      <c r="F420" s="110">
        <v>306.55</v>
      </c>
      <c r="G420">
        <v>1199976</v>
      </c>
      <c r="H420" s="110"/>
      <c r="I420" s="110"/>
      <c r="L420" s="133">
        <v>42620</v>
      </c>
      <c r="M420" s="110">
        <v>59.6626644762095</v>
      </c>
      <c r="N420" s="110">
        <v>61.180006448542201</v>
      </c>
      <c r="O420" s="110">
        <v>55.733137829912003</v>
      </c>
      <c r="P420" s="110">
        <v>56.0249343630529</v>
      </c>
      <c r="Q420" s="110">
        <v>306.7</v>
      </c>
      <c r="R420">
        <v>11999403</v>
      </c>
    </row>
    <row r="421" spans="1:18" x14ac:dyDescent="0.25">
      <c r="A421" s="133">
        <v>42621</v>
      </c>
      <c r="B421" s="110">
        <v>61.395346265493302</v>
      </c>
      <c r="C421" s="110">
        <v>60.208680827535403</v>
      </c>
      <c r="D421" s="110">
        <v>59.333271897894299</v>
      </c>
      <c r="E421" s="110">
        <v>59.751522830944999</v>
      </c>
      <c r="F421" s="110">
        <v>309.5</v>
      </c>
      <c r="G421">
        <v>492143</v>
      </c>
      <c r="H421" s="110"/>
      <c r="I421" s="110"/>
      <c r="L421" s="133">
        <v>42621</v>
      </c>
      <c r="M421" s="110">
        <v>60.275437195805402</v>
      </c>
      <c r="N421" s="110">
        <v>61.423170226159598</v>
      </c>
      <c r="O421" s="110">
        <v>59.341688289754501</v>
      </c>
      <c r="P421" s="110">
        <v>59.915554804931602</v>
      </c>
      <c r="Q421" s="110">
        <v>309.85000000000002</v>
      </c>
      <c r="R421">
        <v>5144950</v>
      </c>
    </row>
    <row r="422" spans="1:18" x14ac:dyDescent="0.25">
      <c r="A422" s="133">
        <v>42622</v>
      </c>
      <c r="B422" s="110">
        <v>61.619061880845997</v>
      </c>
      <c r="C422" s="110">
        <v>60.539390867621997</v>
      </c>
      <c r="D422" s="110">
        <v>59.722342533290302</v>
      </c>
      <c r="E422" s="110">
        <v>60.111413168686397</v>
      </c>
      <c r="F422" s="110">
        <v>311.2</v>
      </c>
      <c r="G422">
        <v>442077</v>
      </c>
      <c r="H422" s="110"/>
      <c r="I422" s="110"/>
      <c r="L422" s="133">
        <v>42622</v>
      </c>
      <c r="M422" s="110">
        <v>60.538054075632203</v>
      </c>
      <c r="N422" s="110">
        <v>61.646880901567599</v>
      </c>
      <c r="O422" s="110">
        <v>59.623758271790699</v>
      </c>
      <c r="P422" s="110">
        <v>60.382429257957</v>
      </c>
      <c r="Q422" s="110">
        <v>311.2</v>
      </c>
      <c r="R422">
        <v>5448412</v>
      </c>
    </row>
    <row r="423" spans="1:18" x14ac:dyDescent="0.25">
      <c r="A423" s="133">
        <v>42625</v>
      </c>
      <c r="B423" s="110">
        <v>59.858517255678898</v>
      </c>
      <c r="C423" s="110">
        <v>57.757535824540398</v>
      </c>
      <c r="D423" s="110">
        <v>57.485186379763199</v>
      </c>
      <c r="E423" s="110">
        <v>58.166059991706199</v>
      </c>
      <c r="F423" s="110">
        <v>296.89999999999998</v>
      </c>
      <c r="G423">
        <v>350060</v>
      </c>
      <c r="H423" s="110"/>
      <c r="I423" s="110"/>
      <c r="L423" s="133">
        <v>42625</v>
      </c>
      <c r="M423" s="110">
        <v>57.7757135618983</v>
      </c>
      <c r="N423" s="110">
        <v>59.857195498303398</v>
      </c>
      <c r="O423" s="110">
        <v>57.483917028757404</v>
      </c>
      <c r="P423" s="110">
        <v>58.651103161320997</v>
      </c>
      <c r="Q423" s="110">
        <v>297</v>
      </c>
      <c r="R423">
        <v>5016455</v>
      </c>
    </row>
    <row r="424" spans="1:18" x14ac:dyDescent="0.25">
      <c r="A424" s="133">
        <v>42627</v>
      </c>
      <c r="B424" s="110">
        <v>60.792286780629397</v>
      </c>
      <c r="C424" s="110">
        <v>60.626931760586103</v>
      </c>
      <c r="D424" s="110">
        <v>57.786716122195102</v>
      </c>
      <c r="E424" s="110">
        <v>57.8158964198498</v>
      </c>
      <c r="F424" s="110">
        <v>311.64999999999998</v>
      </c>
      <c r="G424">
        <v>483756</v>
      </c>
      <c r="H424" s="110"/>
      <c r="I424" s="110"/>
      <c r="L424" s="133">
        <v>42627</v>
      </c>
      <c r="M424" s="110">
        <v>60.576960280050997</v>
      </c>
      <c r="N424" s="110">
        <v>60.771491302144902</v>
      </c>
      <c r="O424" s="110">
        <v>57.853525970735902</v>
      </c>
      <c r="P424" s="110">
        <v>57.970244583992297</v>
      </c>
      <c r="Q424" s="110">
        <v>311.39999999999998</v>
      </c>
      <c r="R424">
        <v>5650680</v>
      </c>
    </row>
    <row r="425" spans="1:18" x14ac:dyDescent="0.25">
      <c r="A425" s="133">
        <v>42628</v>
      </c>
      <c r="B425" s="110">
        <v>61.064636225406602</v>
      </c>
      <c r="C425" s="110">
        <v>59.274911302584897</v>
      </c>
      <c r="D425" s="110">
        <v>58.944201262498297</v>
      </c>
      <c r="E425" s="110">
        <v>60.695019121780398</v>
      </c>
      <c r="F425" s="110">
        <v>304.7</v>
      </c>
      <c r="G425">
        <v>394808</v>
      </c>
      <c r="H425" s="110"/>
      <c r="I425" s="110"/>
      <c r="L425" s="133">
        <v>42628</v>
      </c>
      <c r="M425" s="110">
        <v>59.234696227602797</v>
      </c>
      <c r="N425" s="110">
        <v>61.034108181971703</v>
      </c>
      <c r="O425" s="110">
        <v>58.884540387833702</v>
      </c>
      <c r="P425" s="110">
        <v>60.625593035574397</v>
      </c>
      <c r="Q425" s="110">
        <v>304.5</v>
      </c>
      <c r="R425">
        <v>4995883</v>
      </c>
    </row>
    <row r="426" spans="1:18" x14ac:dyDescent="0.25">
      <c r="A426" s="133">
        <v>42629</v>
      </c>
      <c r="B426" s="110">
        <v>60.792286780629397</v>
      </c>
      <c r="C426" s="110">
        <v>58.506496797677698</v>
      </c>
      <c r="D426" s="110">
        <v>58.107699396396796</v>
      </c>
      <c r="E426" s="110">
        <v>59.722342533290302</v>
      </c>
      <c r="F426" s="110">
        <v>300.75</v>
      </c>
      <c r="G426">
        <v>515879</v>
      </c>
      <c r="H426" s="110"/>
      <c r="I426" s="110"/>
      <c r="L426" s="133">
        <v>42629</v>
      </c>
      <c r="M426" s="110">
        <v>58.378759730389497</v>
      </c>
      <c r="N426" s="110">
        <v>60.781217853249601</v>
      </c>
      <c r="O426" s="110">
        <v>57.989697686201701</v>
      </c>
      <c r="P426" s="110">
        <v>60.041999969292597</v>
      </c>
      <c r="Q426" s="110">
        <v>300.10000000000002</v>
      </c>
      <c r="R426">
        <v>7444504</v>
      </c>
    </row>
    <row r="427" spans="1:18" x14ac:dyDescent="0.25">
      <c r="A427" s="133">
        <v>42632</v>
      </c>
      <c r="B427" s="110">
        <v>59.449993088513096</v>
      </c>
      <c r="C427" s="110">
        <v>58.885840667188901</v>
      </c>
      <c r="D427" s="110">
        <v>58.535677095332403</v>
      </c>
      <c r="E427" s="110">
        <v>58.574584158872099</v>
      </c>
      <c r="F427" s="110">
        <v>302.7</v>
      </c>
      <c r="G427">
        <v>178754</v>
      </c>
      <c r="H427" s="110"/>
      <c r="I427" s="110"/>
      <c r="L427" s="133">
        <v>42632</v>
      </c>
      <c r="M427" s="110">
        <v>58.972079347776003</v>
      </c>
      <c r="N427" s="110">
        <v>59.438953800801499</v>
      </c>
      <c r="O427" s="110">
        <v>58.5343845480647</v>
      </c>
      <c r="P427" s="110">
        <v>59.0304386544042</v>
      </c>
      <c r="Q427" s="110">
        <v>303.14999999999998</v>
      </c>
      <c r="R427">
        <v>2710325</v>
      </c>
    </row>
    <row r="428" spans="1:18" x14ac:dyDescent="0.25">
      <c r="A428" s="133">
        <v>42633</v>
      </c>
      <c r="B428" s="110">
        <v>59.916877850988399</v>
      </c>
      <c r="C428" s="110">
        <v>59.109556282541597</v>
      </c>
      <c r="D428" s="110">
        <v>58.973381560153001</v>
      </c>
      <c r="E428" s="110">
        <v>59.342998663779198</v>
      </c>
      <c r="F428" s="110">
        <v>303.85000000000002</v>
      </c>
      <c r="G428">
        <v>256452</v>
      </c>
      <c r="H428" s="110"/>
      <c r="I428" s="110"/>
      <c r="L428" s="133">
        <v>42633</v>
      </c>
      <c r="M428" s="110">
        <v>59.147157267660603</v>
      </c>
      <c r="N428" s="110">
        <v>59.896101702722198</v>
      </c>
      <c r="O428" s="110">
        <v>58.9428996944619</v>
      </c>
      <c r="P428" s="110">
        <v>59.721023782837698</v>
      </c>
      <c r="Q428" s="110">
        <v>304.05</v>
      </c>
      <c r="R428">
        <v>3516765</v>
      </c>
    </row>
    <row r="429" spans="1:18" x14ac:dyDescent="0.25">
      <c r="A429" s="133">
        <v>42634</v>
      </c>
      <c r="B429" s="110">
        <v>59.527807215592297</v>
      </c>
      <c r="C429" s="110">
        <v>58.759392710685198</v>
      </c>
      <c r="D429" s="110">
        <v>58.516223563562598</v>
      </c>
      <c r="E429" s="110">
        <v>59.274911302584897</v>
      </c>
      <c r="F429" s="110">
        <v>302.05</v>
      </c>
      <c r="G429">
        <v>140302</v>
      </c>
      <c r="H429" s="110"/>
      <c r="I429" s="110"/>
      <c r="L429" s="133">
        <v>42634</v>
      </c>
      <c r="M429" s="110">
        <v>58.748368672368002</v>
      </c>
      <c r="N429" s="110">
        <v>59.5264927607437</v>
      </c>
      <c r="O429" s="110">
        <v>58.4954783436459</v>
      </c>
      <c r="P429" s="110">
        <v>59.312508636440398</v>
      </c>
      <c r="Q429" s="110">
        <v>302</v>
      </c>
      <c r="R429">
        <v>2269578</v>
      </c>
    </row>
    <row r="430" spans="1:18" x14ac:dyDescent="0.25">
      <c r="A430" s="133">
        <v>42635</v>
      </c>
      <c r="B430" s="110">
        <v>60.529664101737097</v>
      </c>
      <c r="C430" s="110">
        <v>59.897424319218501</v>
      </c>
      <c r="D430" s="110">
        <v>59.031742155462403</v>
      </c>
      <c r="E430" s="110">
        <v>59.9946919780676</v>
      </c>
      <c r="F430" s="110">
        <v>307.89999999999998</v>
      </c>
      <c r="G430">
        <v>227893</v>
      </c>
      <c r="H430" s="110"/>
      <c r="I430" s="110"/>
      <c r="L430" s="133">
        <v>42635</v>
      </c>
      <c r="M430" s="110">
        <v>59.935007907140999</v>
      </c>
      <c r="N430" s="110">
        <v>60.576960280050997</v>
      </c>
      <c r="O430" s="110">
        <v>59.020712103299502</v>
      </c>
      <c r="P430" s="110">
        <v>59.954461009350403</v>
      </c>
      <c r="Q430" s="110">
        <v>308.10000000000002</v>
      </c>
      <c r="R430">
        <v>3426057</v>
      </c>
    </row>
    <row r="431" spans="1:18" x14ac:dyDescent="0.25">
      <c r="A431" s="133">
        <v>42636</v>
      </c>
      <c r="B431" s="110">
        <v>60.0822328710317</v>
      </c>
      <c r="C431" s="110">
        <v>58.846933603649298</v>
      </c>
      <c r="D431" s="110">
        <v>58.710758881260702</v>
      </c>
      <c r="E431" s="110">
        <v>59.916877850988399</v>
      </c>
      <c r="F431" s="110">
        <v>302.5</v>
      </c>
      <c r="G431">
        <v>157682</v>
      </c>
      <c r="H431" s="110"/>
      <c r="I431" s="110"/>
      <c r="L431" s="133">
        <v>42636</v>
      </c>
      <c r="M431" s="110">
        <v>58.855360734519699</v>
      </c>
      <c r="N431" s="110">
        <v>60.1100858270255</v>
      </c>
      <c r="O431" s="110">
        <v>58.670556263530401</v>
      </c>
      <c r="P431" s="110">
        <v>60.1100858270255</v>
      </c>
      <c r="Q431" s="110">
        <v>302.55</v>
      </c>
      <c r="R431">
        <v>2591852</v>
      </c>
    </row>
    <row r="432" spans="1:18" x14ac:dyDescent="0.25">
      <c r="A432" s="133">
        <v>42639</v>
      </c>
      <c r="B432" s="110">
        <v>59.537533981477203</v>
      </c>
      <c r="C432" s="110">
        <v>59.197097175505696</v>
      </c>
      <c r="D432" s="110">
        <v>57.9812514398931</v>
      </c>
      <c r="E432" s="110">
        <v>58.6523982859513</v>
      </c>
      <c r="F432" s="110">
        <v>304.3</v>
      </c>
      <c r="G432">
        <v>300596</v>
      </c>
      <c r="H432" s="110"/>
      <c r="I432" s="110"/>
      <c r="L432" s="133">
        <v>42639</v>
      </c>
      <c r="M432" s="110">
        <v>59.205516574288701</v>
      </c>
      <c r="N432" s="110">
        <v>59.565398965162501</v>
      </c>
      <c r="O432" s="110">
        <v>57.979971135097003</v>
      </c>
      <c r="P432" s="110">
        <v>58.456572139227099</v>
      </c>
      <c r="Q432" s="110">
        <v>304.35000000000002</v>
      </c>
      <c r="R432">
        <v>4719920</v>
      </c>
    </row>
    <row r="433" spans="1:18" x14ac:dyDescent="0.25">
      <c r="A433" s="133">
        <v>42640</v>
      </c>
      <c r="B433" s="110">
        <v>59.625074874441303</v>
      </c>
      <c r="C433" s="110">
        <v>58.924747730728498</v>
      </c>
      <c r="D433" s="110">
        <v>58.574584158872099</v>
      </c>
      <c r="E433" s="110">
        <v>59.430539556743298</v>
      </c>
      <c r="F433" s="110">
        <v>302.89999999999998</v>
      </c>
      <c r="G433">
        <v>178676</v>
      </c>
      <c r="H433" s="110"/>
      <c r="I433" s="110"/>
      <c r="L433" s="133">
        <v>42640</v>
      </c>
      <c r="M433" s="110">
        <v>58.894266938938401</v>
      </c>
      <c r="N433" s="110">
        <v>59.682117578418897</v>
      </c>
      <c r="O433" s="110">
        <v>58.524657996960002</v>
      </c>
      <c r="P433" s="110">
        <v>59.370867943068603</v>
      </c>
      <c r="Q433" s="110">
        <v>302.75</v>
      </c>
      <c r="R433">
        <v>2823671</v>
      </c>
    </row>
    <row r="434" spans="1:18" x14ac:dyDescent="0.25">
      <c r="A434" s="133">
        <v>42641</v>
      </c>
      <c r="B434" s="110">
        <v>61.122996820715997</v>
      </c>
      <c r="C434" s="110">
        <v>60.792286780629397</v>
      </c>
      <c r="D434" s="110">
        <v>58.827480071879499</v>
      </c>
      <c r="E434" s="110">
        <v>58.944201262498297</v>
      </c>
      <c r="F434" s="110">
        <v>312.5</v>
      </c>
      <c r="G434">
        <v>376750</v>
      </c>
      <c r="H434" s="110"/>
      <c r="I434" s="110"/>
      <c r="L434" s="133">
        <v>42641</v>
      </c>
      <c r="M434" s="110">
        <v>60.771491302144902</v>
      </c>
      <c r="N434" s="110">
        <v>61.063287835285799</v>
      </c>
      <c r="O434" s="110">
        <v>58.845634183415001</v>
      </c>
      <c r="P434" s="110">
        <v>58.884540387833702</v>
      </c>
      <c r="Q434" s="110">
        <v>312.39999999999998</v>
      </c>
      <c r="R434">
        <v>5144251</v>
      </c>
    </row>
    <row r="435" spans="1:18" x14ac:dyDescent="0.25">
      <c r="A435" s="133">
        <v>42642</v>
      </c>
      <c r="B435" s="110">
        <v>62.047039579781597</v>
      </c>
      <c r="C435" s="110">
        <v>57.874257015159202</v>
      </c>
      <c r="D435" s="110">
        <v>56.950214256093602</v>
      </c>
      <c r="E435" s="110">
        <v>61.570428051421501</v>
      </c>
      <c r="F435" s="110">
        <v>297.5</v>
      </c>
      <c r="G435">
        <v>555740</v>
      </c>
      <c r="H435" s="110"/>
      <c r="I435" s="110"/>
      <c r="L435" s="133">
        <v>42642</v>
      </c>
      <c r="M435" s="110">
        <v>57.853525970735902</v>
      </c>
      <c r="N435" s="110">
        <v>62.026216394650802</v>
      </c>
      <c r="O435" s="110">
        <v>56.803058451428697</v>
      </c>
      <c r="P435" s="110">
        <v>61.2772719595891</v>
      </c>
      <c r="Q435" s="110">
        <v>297.39999999999998</v>
      </c>
      <c r="R435">
        <v>7256913</v>
      </c>
    </row>
    <row r="436" spans="1:18" x14ac:dyDescent="0.25">
      <c r="A436" s="133">
        <v>42643</v>
      </c>
      <c r="B436" s="110">
        <v>60.286494954614597</v>
      </c>
      <c r="C436" s="110">
        <v>59.984965212182701</v>
      </c>
      <c r="D436" s="110">
        <v>57.601907570381996</v>
      </c>
      <c r="E436" s="110">
        <v>58.127152928166602</v>
      </c>
      <c r="F436" s="110">
        <v>308.35000000000002</v>
      </c>
      <c r="G436">
        <v>412913</v>
      </c>
      <c r="H436" s="110"/>
      <c r="I436" s="110"/>
      <c r="L436" s="133">
        <v>42643</v>
      </c>
      <c r="M436" s="110">
        <v>59.983640662664499</v>
      </c>
      <c r="N436" s="110">
        <v>60.236530991386601</v>
      </c>
      <c r="O436" s="110">
        <v>57.483917028757404</v>
      </c>
      <c r="P436" s="110">
        <v>57.581182539804402</v>
      </c>
      <c r="Q436" s="110">
        <v>308.35000000000002</v>
      </c>
      <c r="R436">
        <v>5574632</v>
      </c>
    </row>
    <row r="437" spans="1:18" x14ac:dyDescent="0.25">
      <c r="A437" s="133">
        <v>42646</v>
      </c>
      <c r="B437" s="110">
        <v>62.562558171681303</v>
      </c>
      <c r="C437" s="110">
        <v>62.124853706860797</v>
      </c>
      <c r="D437" s="110">
        <v>60.150320232226001</v>
      </c>
      <c r="E437" s="110">
        <v>60.150320232226001</v>
      </c>
      <c r="F437" s="110">
        <v>319.35000000000002</v>
      </c>
      <c r="G437">
        <v>296970</v>
      </c>
      <c r="H437" s="110"/>
      <c r="I437" s="110"/>
      <c r="L437" s="133">
        <v>42646</v>
      </c>
      <c r="M437" s="110">
        <v>62.113755354593103</v>
      </c>
      <c r="N437" s="110">
        <v>62.629262563141999</v>
      </c>
      <c r="O437" s="110">
        <v>60.353249604642897</v>
      </c>
      <c r="P437" s="110">
        <v>60.6936788933073</v>
      </c>
      <c r="Q437" s="110">
        <v>319.3</v>
      </c>
      <c r="R437">
        <v>3661931</v>
      </c>
    </row>
    <row r="438" spans="1:18" x14ac:dyDescent="0.25">
      <c r="A438" s="133">
        <v>42647</v>
      </c>
      <c r="B438" s="110">
        <v>64.682993134589694</v>
      </c>
      <c r="C438" s="110">
        <v>64.216108372114505</v>
      </c>
      <c r="D438" s="110">
        <v>61.6676957102705</v>
      </c>
      <c r="E438" s="110">
        <v>62.640372298760497</v>
      </c>
      <c r="F438" s="110">
        <v>330.1</v>
      </c>
      <c r="G438">
        <v>752341</v>
      </c>
      <c r="H438" s="110"/>
      <c r="I438" s="110"/>
      <c r="L438" s="133">
        <v>42647</v>
      </c>
      <c r="M438" s="110">
        <v>64.341135557568606</v>
      </c>
      <c r="N438" s="110">
        <v>64.739924152861207</v>
      </c>
      <c r="O438" s="110">
        <v>61.607974697148798</v>
      </c>
      <c r="P438" s="110">
        <v>62.541723603199699</v>
      </c>
      <c r="Q438" s="110">
        <v>330.75</v>
      </c>
      <c r="R438">
        <v>7895322</v>
      </c>
    </row>
    <row r="439" spans="1:18" x14ac:dyDescent="0.25">
      <c r="A439" s="133">
        <v>42648</v>
      </c>
      <c r="B439" s="110">
        <v>65.986379763166397</v>
      </c>
      <c r="C439" s="110">
        <v>65.159604662949803</v>
      </c>
      <c r="D439" s="110">
        <v>64.410643689812503</v>
      </c>
      <c r="E439" s="110">
        <v>64.955342579366899</v>
      </c>
      <c r="F439" s="110">
        <v>334.95</v>
      </c>
      <c r="G439">
        <v>549621</v>
      </c>
      <c r="H439" s="110"/>
      <c r="I439" s="110"/>
      <c r="L439" s="133">
        <v>42648</v>
      </c>
      <c r="M439" s="110">
        <v>65.177618952572502</v>
      </c>
      <c r="N439" s="110">
        <v>65.926563387634104</v>
      </c>
      <c r="O439" s="110">
        <v>64.389768313092105</v>
      </c>
      <c r="P439" s="110">
        <v>65.012267583792706</v>
      </c>
      <c r="Q439" s="110">
        <v>335.05</v>
      </c>
      <c r="R439">
        <v>5477094</v>
      </c>
    </row>
    <row r="440" spans="1:18" x14ac:dyDescent="0.25">
      <c r="A440" s="133">
        <v>42649</v>
      </c>
      <c r="B440" s="110">
        <v>65.626489425425106</v>
      </c>
      <c r="C440" s="110">
        <v>64.177201308574894</v>
      </c>
      <c r="D440" s="110">
        <v>63.758950375524101</v>
      </c>
      <c r="E440" s="110">
        <v>65.169331428834695</v>
      </c>
      <c r="F440" s="110">
        <v>329.9</v>
      </c>
      <c r="G440">
        <v>412203</v>
      </c>
      <c r="H440" s="110"/>
      <c r="I440" s="110"/>
      <c r="L440" s="133">
        <v>42649</v>
      </c>
      <c r="M440" s="110">
        <v>64.185510739893402</v>
      </c>
      <c r="N440" s="110">
        <v>65.586134098969794</v>
      </c>
      <c r="O440" s="110">
        <v>63.708909735763299</v>
      </c>
      <c r="P440" s="110">
        <v>65.265157912514795</v>
      </c>
      <c r="Q440" s="110">
        <v>329.95</v>
      </c>
      <c r="R440">
        <v>3622321</v>
      </c>
    </row>
    <row r="441" spans="1:18" x14ac:dyDescent="0.25">
      <c r="A441" s="133">
        <v>42650</v>
      </c>
      <c r="B441" s="110">
        <v>64.585725475740702</v>
      </c>
      <c r="C441" s="110">
        <v>63.885398332027798</v>
      </c>
      <c r="D441" s="110">
        <v>63.126710593005598</v>
      </c>
      <c r="E441" s="110">
        <v>64.196654840344706</v>
      </c>
      <c r="F441" s="110">
        <v>328.4</v>
      </c>
      <c r="G441">
        <v>242077</v>
      </c>
      <c r="H441" s="110"/>
      <c r="I441" s="110"/>
      <c r="L441" s="133">
        <v>42650</v>
      </c>
      <c r="M441" s="110">
        <v>63.922893860066601</v>
      </c>
      <c r="N441" s="110">
        <v>64.477307273034299</v>
      </c>
      <c r="O441" s="110">
        <v>63.076683913958</v>
      </c>
      <c r="P441" s="110">
        <v>63.845081451229099</v>
      </c>
      <c r="Q441" s="110">
        <v>328.6</v>
      </c>
      <c r="R441">
        <v>3284801</v>
      </c>
    </row>
    <row r="442" spans="1:18" x14ac:dyDescent="0.25">
      <c r="A442" s="133">
        <v>42653</v>
      </c>
      <c r="B442" s="110">
        <v>64.585725475740702</v>
      </c>
      <c r="C442" s="110">
        <v>63.223978251854597</v>
      </c>
      <c r="D442" s="110">
        <v>63.000262636501901</v>
      </c>
      <c r="E442" s="110">
        <v>64.585725475740702</v>
      </c>
      <c r="F442" s="110">
        <v>325</v>
      </c>
      <c r="G442">
        <v>122933</v>
      </c>
      <c r="H442" s="110"/>
      <c r="I442" s="110"/>
      <c r="L442" s="133">
        <v>42653</v>
      </c>
      <c r="M442" s="110">
        <v>63.183675976109697</v>
      </c>
      <c r="N442" s="110">
        <v>64.525940028557798</v>
      </c>
      <c r="O442" s="110">
        <v>62.950238749596998</v>
      </c>
      <c r="P442" s="110">
        <v>64.292502802045107</v>
      </c>
      <c r="Q442" s="110">
        <v>324.8</v>
      </c>
      <c r="R442">
        <v>2349182</v>
      </c>
    </row>
    <row r="443" spans="1:18" x14ac:dyDescent="0.25">
      <c r="A443" s="133">
        <v>42656</v>
      </c>
      <c r="B443" s="110">
        <v>62.834907616458601</v>
      </c>
      <c r="C443" s="110">
        <v>60.393489379348502</v>
      </c>
      <c r="D443" s="110">
        <v>59.547260747362103</v>
      </c>
      <c r="E443" s="110">
        <v>62.834907616458601</v>
      </c>
      <c r="F443" s="110">
        <v>310.45</v>
      </c>
      <c r="G443">
        <v>389956</v>
      </c>
      <c r="H443" s="110"/>
      <c r="I443" s="110"/>
      <c r="L443" s="133">
        <v>42656</v>
      </c>
      <c r="M443" s="110">
        <v>60.362976155747603</v>
      </c>
      <c r="N443" s="110">
        <v>62.522270500990302</v>
      </c>
      <c r="O443" s="110">
        <v>59.497313107429598</v>
      </c>
      <c r="P443" s="110">
        <v>62.230473967849399</v>
      </c>
      <c r="Q443" s="110">
        <v>310.3</v>
      </c>
      <c r="R443">
        <v>4099951</v>
      </c>
    </row>
    <row r="444" spans="1:18" x14ac:dyDescent="0.25">
      <c r="A444" s="133">
        <v>42657</v>
      </c>
      <c r="B444" s="110">
        <v>61.317532138414101</v>
      </c>
      <c r="C444" s="110">
        <v>60.947915034787798</v>
      </c>
      <c r="D444" s="110">
        <v>60.189227295765598</v>
      </c>
      <c r="E444" s="110">
        <v>60.695019121780398</v>
      </c>
      <c r="F444" s="110">
        <v>313.3</v>
      </c>
      <c r="G444">
        <v>184965</v>
      </c>
      <c r="H444" s="110"/>
      <c r="I444" s="110"/>
      <c r="L444" s="133">
        <v>42657</v>
      </c>
      <c r="M444" s="110">
        <v>60.897936466506003</v>
      </c>
      <c r="N444" s="110">
        <v>61.345357817321997</v>
      </c>
      <c r="O444" s="110">
        <v>60.139265480339603</v>
      </c>
      <c r="P444" s="110">
        <v>60.888209915401298</v>
      </c>
      <c r="Q444" s="110">
        <v>313.05</v>
      </c>
      <c r="R444">
        <v>2654107</v>
      </c>
    </row>
    <row r="445" spans="1:18" x14ac:dyDescent="0.25">
      <c r="A445" s="133">
        <v>42660</v>
      </c>
      <c r="B445" s="110">
        <v>61.657968944385601</v>
      </c>
      <c r="C445" s="110">
        <v>59.362452195548997</v>
      </c>
      <c r="D445" s="110">
        <v>58.856660369534197</v>
      </c>
      <c r="E445" s="110">
        <v>61.375892733723497</v>
      </c>
      <c r="F445" s="110">
        <v>305.14999999999998</v>
      </c>
      <c r="G445">
        <v>344995</v>
      </c>
      <c r="H445" s="110"/>
      <c r="I445" s="110"/>
      <c r="L445" s="133">
        <v>42660</v>
      </c>
      <c r="M445" s="110">
        <v>59.293055534231002</v>
      </c>
      <c r="N445" s="110">
        <v>61.656607452672297</v>
      </c>
      <c r="O445" s="110">
        <v>58.777548325682098</v>
      </c>
      <c r="P445" s="110">
        <v>61.2772719595891</v>
      </c>
      <c r="Q445" s="110">
        <v>304.8</v>
      </c>
      <c r="R445">
        <v>3910808</v>
      </c>
    </row>
    <row r="446" spans="1:18" x14ac:dyDescent="0.25">
      <c r="A446" s="133">
        <v>42661</v>
      </c>
      <c r="B446" s="110">
        <v>61.327258904299001</v>
      </c>
      <c r="C446" s="110">
        <v>61.132723586600903</v>
      </c>
      <c r="D446" s="110">
        <v>59.440266322628197</v>
      </c>
      <c r="E446" s="110">
        <v>59.625074874441303</v>
      </c>
      <c r="F446" s="110">
        <v>314.25</v>
      </c>
      <c r="G446">
        <v>399677</v>
      </c>
      <c r="H446" s="110"/>
      <c r="I446" s="110"/>
      <c r="L446" s="133">
        <v>42661</v>
      </c>
      <c r="M446" s="110">
        <v>61.160553346332797</v>
      </c>
      <c r="N446" s="110">
        <v>61.355084368426702</v>
      </c>
      <c r="O446" s="110">
        <v>59.370867943068603</v>
      </c>
      <c r="P446" s="110">
        <v>59.935007907140999</v>
      </c>
      <c r="Q446" s="110">
        <v>314.39999999999998</v>
      </c>
      <c r="R446">
        <v>3481253</v>
      </c>
    </row>
    <row r="447" spans="1:18" x14ac:dyDescent="0.25">
      <c r="A447" s="133">
        <v>42662</v>
      </c>
      <c r="B447" s="110">
        <v>61.307805372529103</v>
      </c>
      <c r="C447" s="110">
        <v>61.054909459521703</v>
      </c>
      <c r="D447" s="110">
        <v>60.519937335852198</v>
      </c>
      <c r="E447" s="110">
        <v>61.307805372529103</v>
      </c>
      <c r="F447" s="110">
        <v>313.85000000000002</v>
      </c>
      <c r="G447">
        <v>204323</v>
      </c>
      <c r="H447" s="110"/>
      <c r="I447" s="110"/>
      <c r="L447" s="133">
        <v>42662</v>
      </c>
      <c r="M447" s="110">
        <v>61.1021940397046</v>
      </c>
      <c r="N447" s="110">
        <v>61.539888839415902</v>
      </c>
      <c r="O447" s="110">
        <v>60.518600973422799</v>
      </c>
      <c r="P447" s="110">
        <v>61.539888839415902</v>
      </c>
      <c r="Q447" s="110">
        <v>314.10000000000002</v>
      </c>
      <c r="R447">
        <v>2343624</v>
      </c>
    </row>
    <row r="448" spans="1:18" x14ac:dyDescent="0.25">
      <c r="A448" s="133">
        <v>42663</v>
      </c>
      <c r="B448" s="110">
        <v>63.2628853153942</v>
      </c>
      <c r="C448" s="110">
        <v>62.582011703451101</v>
      </c>
      <c r="D448" s="110">
        <v>61.239718011334801</v>
      </c>
      <c r="E448" s="110">
        <v>61.239718011334801</v>
      </c>
      <c r="F448" s="110">
        <v>321.7</v>
      </c>
      <c r="G448">
        <v>317742</v>
      </c>
      <c r="H448" s="110"/>
      <c r="I448" s="110"/>
      <c r="L448" s="133">
        <v>42663</v>
      </c>
      <c r="M448" s="110">
        <v>62.648715665351403</v>
      </c>
      <c r="N448" s="110">
        <v>63.261488384947299</v>
      </c>
      <c r="O448" s="110">
        <v>61.296725061798497</v>
      </c>
      <c r="P448" s="110">
        <v>61.316178164007901</v>
      </c>
      <c r="Q448" s="110">
        <v>322.05</v>
      </c>
      <c r="R448">
        <v>3856328</v>
      </c>
    </row>
    <row r="449" spans="1:18" x14ac:dyDescent="0.25">
      <c r="A449" s="133">
        <v>42664</v>
      </c>
      <c r="B449" s="110">
        <v>62.640372298760497</v>
      </c>
      <c r="C449" s="110">
        <v>62.1832143021702</v>
      </c>
      <c r="D449" s="110">
        <v>61.395346265493302</v>
      </c>
      <c r="E449" s="110">
        <v>62.640372298760497</v>
      </c>
      <c r="F449" s="110">
        <v>319.64999999999998</v>
      </c>
      <c r="G449">
        <v>117979</v>
      </c>
      <c r="H449" s="110"/>
      <c r="I449" s="110"/>
      <c r="L449" s="133">
        <v>42664</v>
      </c>
      <c r="M449" s="110">
        <v>62.1332084568024</v>
      </c>
      <c r="N449" s="110">
        <v>62.755707727503001</v>
      </c>
      <c r="O449" s="110">
        <v>61.393990572845503</v>
      </c>
      <c r="P449" s="110">
        <v>62.755707727503001</v>
      </c>
      <c r="Q449" s="110">
        <v>319.39999999999998</v>
      </c>
      <c r="R449">
        <v>2326470</v>
      </c>
    </row>
    <row r="450" spans="1:18" x14ac:dyDescent="0.25">
      <c r="A450" s="133">
        <v>42667</v>
      </c>
      <c r="B450" s="110">
        <v>63.972939224991897</v>
      </c>
      <c r="C450" s="110">
        <v>63.340699442473401</v>
      </c>
      <c r="D450" s="110">
        <v>62.124853706860797</v>
      </c>
      <c r="E450" s="110">
        <v>62.134580472745697</v>
      </c>
      <c r="F450" s="110">
        <v>325.60000000000002</v>
      </c>
      <c r="G450">
        <v>243948</v>
      </c>
      <c r="H450" s="110"/>
      <c r="I450" s="110"/>
      <c r="L450" s="133">
        <v>42667</v>
      </c>
      <c r="M450" s="110">
        <v>63.319847691575397</v>
      </c>
      <c r="N450" s="110">
        <v>63.981253166694799</v>
      </c>
      <c r="O450" s="110">
        <v>62.055396047964898</v>
      </c>
      <c r="P450" s="110">
        <v>62.230473967849399</v>
      </c>
      <c r="Q450" s="110">
        <v>325.5</v>
      </c>
      <c r="R450">
        <v>3055144</v>
      </c>
    </row>
    <row r="451" spans="1:18" x14ac:dyDescent="0.25">
      <c r="A451" s="133">
        <v>42668</v>
      </c>
      <c r="B451" s="110">
        <v>63.613048887250599</v>
      </c>
      <c r="C451" s="110">
        <v>62.9321752753076</v>
      </c>
      <c r="D451" s="110">
        <v>62.591738469336001</v>
      </c>
      <c r="E451" s="110">
        <v>63.223978251854597</v>
      </c>
      <c r="F451" s="110">
        <v>323.5</v>
      </c>
      <c r="G451">
        <v>117309</v>
      </c>
      <c r="H451" s="110"/>
      <c r="I451" s="110"/>
      <c r="L451" s="133">
        <v>42668</v>
      </c>
      <c r="M451" s="110">
        <v>62.930785647387602</v>
      </c>
      <c r="N451" s="110">
        <v>63.601917673611602</v>
      </c>
      <c r="O451" s="110">
        <v>62.5806298076185</v>
      </c>
      <c r="P451" s="110">
        <v>63.319847691575397</v>
      </c>
      <c r="Q451" s="110">
        <v>323.5</v>
      </c>
      <c r="R451">
        <v>1997133</v>
      </c>
    </row>
    <row r="452" spans="1:18" x14ac:dyDescent="0.25">
      <c r="A452" s="133">
        <v>42669</v>
      </c>
      <c r="B452" s="110">
        <v>63.992392756761703</v>
      </c>
      <c r="C452" s="110">
        <v>61.122996820715997</v>
      </c>
      <c r="D452" s="110">
        <v>60.656112058240801</v>
      </c>
      <c r="E452" s="110">
        <v>62.543104639911498</v>
      </c>
      <c r="F452" s="110">
        <v>314.2</v>
      </c>
      <c r="G452">
        <v>630832</v>
      </c>
      <c r="H452" s="110"/>
      <c r="I452" s="110"/>
      <c r="L452" s="133">
        <v>42669</v>
      </c>
      <c r="M452" s="110">
        <v>61.131373693018702</v>
      </c>
      <c r="N452" s="110">
        <v>64.000706268904196</v>
      </c>
      <c r="O452" s="110">
        <v>60.615866484469798</v>
      </c>
      <c r="P452" s="110">
        <v>62.152661559011797</v>
      </c>
      <c r="Q452" s="110">
        <v>314.25</v>
      </c>
      <c r="R452">
        <v>7665910</v>
      </c>
    </row>
    <row r="453" spans="1:18" x14ac:dyDescent="0.25">
      <c r="A453" s="133">
        <v>42670</v>
      </c>
      <c r="B453" s="110">
        <v>61.745509837349701</v>
      </c>
      <c r="C453" s="110">
        <v>61.2494447772198</v>
      </c>
      <c r="D453" s="110">
        <v>59.916877850988399</v>
      </c>
      <c r="E453" s="110">
        <v>60.305948486384402</v>
      </c>
      <c r="F453" s="110">
        <v>314.85000000000002</v>
      </c>
      <c r="G453">
        <v>215417</v>
      </c>
      <c r="H453" s="110"/>
      <c r="I453" s="110"/>
      <c r="L453" s="133">
        <v>42670</v>
      </c>
      <c r="M453" s="110">
        <v>61.2772719595891</v>
      </c>
      <c r="N453" s="110">
        <v>61.899771230289701</v>
      </c>
      <c r="O453" s="110">
        <v>59.993367213769197</v>
      </c>
      <c r="P453" s="110">
        <v>60.1100858270255</v>
      </c>
      <c r="Q453" s="110">
        <v>315</v>
      </c>
      <c r="R453">
        <v>4455839</v>
      </c>
    </row>
    <row r="454" spans="1:18" x14ac:dyDescent="0.25">
      <c r="A454" s="133">
        <v>42671</v>
      </c>
      <c r="B454" s="110">
        <v>62.105400175090999</v>
      </c>
      <c r="C454" s="110">
        <v>61.025729161866998</v>
      </c>
      <c r="D454" s="110">
        <v>60.724199419435102</v>
      </c>
      <c r="E454" s="110">
        <v>61.794143666774197</v>
      </c>
      <c r="F454" s="110">
        <v>313.7</v>
      </c>
      <c r="G454">
        <v>172616</v>
      </c>
      <c r="H454" s="110"/>
      <c r="I454" s="110"/>
      <c r="L454" s="133">
        <v>42671</v>
      </c>
      <c r="M454" s="110">
        <v>61.034108181971703</v>
      </c>
      <c r="N454" s="110">
        <v>62.1332084568024</v>
      </c>
      <c r="O454" s="110">
        <v>60.732585097726101</v>
      </c>
      <c r="P454" s="110">
        <v>61.763599514824001</v>
      </c>
      <c r="Q454" s="110">
        <v>313.75</v>
      </c>
      <c r="R454">
        <v>2822956</v>
      </c>
    </row>
    <row r="455" spans="1:18" x14ac:dyDescent="0.25">
      <c r="A455" s="133">
        <v>42673</v>
      </c>
      <c r="B455" s="110">
        <v>62.037312813896698</v>
      </c>
      <c r="C455" s="110">
        <v>61.132723586600903</v>
      </c>
      <c r="D455" s="110">
        <v>60.704745887665297</v>
      </c>
      <c r="E455" s="110">
        <v>62.037312813896698</v>
      </c>
      <c r="F455" s="110">
        <v>314.25</v>
      </c>
      <c r="G455">
        <v>26957</v>
      </c>
      <c r="H455" s="110"/>
      <c r="I455" s="110"/>
      <c r="L455" s="133">
        <v>42673</v>
      </c>
      <c r="M455" s="110">
        <v>61.092467488599901</v>
      </c>
      <c r="N455" s="110">
        <v>61.627427799358202</v>
      </c>
      <c r="O455" s="110">
        <v>60.790944404354299</v>
      </c>
      <c r="P455" s="110">
        <v>61.335631266217298</v>
      </c>
      <c r="Q455" s="110">
        <v>314.05</v>
      </c>
      <c r="R455">
        <v>237381</v>
      </c>
    </row>
    <row r="456" spans="1:18" x14ac:dyDescent="0.25">
      <c r="A456" s="133">
        <v>42675</v>
      </c>
      <c r="B456" s="110">
        <v>61.453706860802697</v>
      </c>
      <c r="C456" s="110">
        <v>60.617204994701197</v>
      </c>
      <c r="D456" s="110">
        <v>60.510210569967299</v>
      </c>
      <c r="E456" s="110">
        <v>61.161903884255601</v>
      </c>
      <c r="F456" s="110">
        <v>311.60000000000002</v>
      </c>
      <c r="G456">
        <v>108890</v>
      </c>
      <c r="H456" s="110"/>
      <c r="I456" s="110"/>
      <c r="L456" s="133">
        <v>42675</v>
      </c>
      <c r="M456" s="110">
        <v>60.625593035574397</v>
      </c>
      <c r="N456" s="110">
        <v>61.452349879473701</v>
      </c>
      <c r="O456" s="110">
        <v>60.508874422318101</v>
      </c>
      <c r="P456" s="110">
        <v>61.1897329996469</v>
      </c>
      <c r="Q456" s="110">
        <v>311.64999999999998</v>
      </c>
      <c r="R456">
        <v>1790925</v>
      </c>
    </row>
    <row r="457" spans="1:18" x14ac:dyDescent="0.25">
      <c r="A457" s="133">
        <v>42676</v>
      </c>
      <c r="B457" s="110">
        <v>59.527807215592297</v>
      </c>
      <c r="C457" s="110">
        <v>57.2225637008709</v>
      </c>
      <c r="D457" s="110">
        <v>57.008574851402997</v>
      </c>
      <c r="E457" s="110">
        <v>59.138736580196301</v>
      </c>
      <c r="F457" s="110">
        <v>294.14999999999998</v>
      </c>
      <c r="G457">
        <v>317456</v>
      </c>
      <c r="H457" s="110"/>
      <c r="I457" s="110"/>
      <c r="L457" s="133">
        <v>42676</v>
      </c>
      <c r="M457" s="110">
        <v>57.1921204956165</v>
      </c>
      <c r="N457" s="110">
        <v>59.516766209639002</v>
      </c>
      <c r="O457" s="110">
        <v>56.958683269103801</v>
      </c>
      <c r="P457" s="110">
        <v>59.263875880916899</v>
      </c>
      <c r="Q457" s="110">
        <v>294</v>
      </c>
      <c r="R457">
        <v>3731121</v>
      </c>
    </row>
    <row r="458" spans="1:18" x14ac:dyDescent="0.25">
      <c r="A458" s="133">
        <v>42677</v>
      </c>
      <c r="B458" s="110">
        <v>58.253600884670298</v>
      </c>
      <c r="C458" s="110">
        <v>57.5630005068424</v>
      </c>
      <c r="D458" s="110">
        <v>56.930760724323797</v>
      </c>
      <c r="E458" s="110">
        <v>57.135022807906701</v>
      </c>
      <c r="F458" s="110">
        <v>295.89999999999998</v>
      </c>
      <c r="G458">
        <v>268685</v>
      </c>
      <c r="H458" s="110"/>
      <c r="I458" s="110"/>
      <c r="L458" s="133">
        <v>42677</v>
      </c>
      <c r="M458" s="110">
        <v>57.522823233176197</v>
      </c>
      <c r="N458" s="110">
        <v>58.242588014923797</v>
      </c>
      <c r="O458" s="110">
        <v>56.812785002533403</v>
      </c>
      <c r="P458" s="110">
        <v>57.231026700035301</v>
      </c>
      <c r="Q458" s="110">
        <v>295.7</v>
      </c>
      <c r="R458">
        <v>3308573</v>
      </c>
    </row>
    <row r="459" spans="1:18" x14ac:dyDescent="0.25">
      <c r="A459" s="133">
        <v>42678</v>
      </c>
      <c r="B459" s="110">
        <v>57.932617610468597</v>
      </c>
      <c r="C459" s="110">
        <v>56.434695664193903</v>
      </c>
      <c r="D459" s="110">
        <v>55.734368520480999</v>
      </c>
      <c r="E459" s="110">
        <v>57.465732847993401</v>
      </c>
      <c r="F459" s="110">
        <v>290.10000000000002</v>
      </c>
      <c r="G459">
        <v>298227</v>
      </c>
      <c r="H459" s="110"/>
      <c r="I459" s="110"/>
      <c r="L459" s="133">
        <v>42678</v>
      </c>
      <c r="M459" s="110">
        <v>56.375090202822001</v>
      </c>
      <c r="N459" s="110">
        <v>57.921611828468798</v>
      </c>
      <c r="O459" s="110">
        <v>55.733137829912003</v>
      </c>
      <c r="P459" s="110">
        <v>57.231026700035301</v>
      </c>
      <c r="Q459" s="110">
        <v>289.8</v>
      </c>
      <c r="R459">
        <v>3326037</v>
      </c>
    </row>
    <row r="460" spans="1:18" x14ac:dyDescent="0.25">
      <c r="A460" s="133">
        <v>42681</v>
      </c>
      <c r="B460" s="110">
        <v>58.827480071879499</v>
      </c>
      <c r="C460" s="110">
        <v>58.185513523475997</v>
      </c>
      <c r="D460" s="110">
        <v>57.037755149057702</v>
      </c>
      <c r="E460" s="110">
        <v>57.037755149057702</v>
      </c>
      <c r="F460" s="110">
        <v>299.10000000000002</v>
      </c>
      <c r="G460">
        <v>284052</v>
      </c>
      <c r="H460" s="110"/>
      <c r="I460" s="110"/>
      <c r="L460" s="133">
        <v>42681</v>
      </c>
      <c r="M460" s="110">
        <v>58.174502157190901</v>
      </c>
      <c r="N460" s="110">
        <v>58.855360734519699</v>
      </c>
      <c r="O460" s="110">
        <v>57.240753251139999</v>
      </c>
      <c r="P460" s="110">
        <v>57.7757135618983</v>
      </c>
      <c r="Q460" s="110">
        <v>299.05</v>
      </c>
      <c r="R460">
        <v>2939219</v>
      </c>
    </row>
    <row r="461" spans="1:18" x14ac:dyDescent="0.25">
      <c r="A461" s="133">
        <v>42682</v>
      </c>
      <c r="B461" s="110">
        <v>58.749665944800299</v>
      </c>
      <c r="C461" s="110">
        <v>57.699175229231003</v>
      </c>
      <c r="D461" s="110">
        <v>57.426825784453797</v>
      </c>
      <c r="E461" s="110">
        <v>58.535677095332403</v>
      </c>
      <c r="F461" s="110">
        <v>296.60000000000002</v>
      </c>
      <c r="G461">
        <v>166652</v>
      </c>
      <c r="H461" s="110"/>
      <c r="I461" s="110"/>
      <c r="L461" s="133">
        <v>42682</v>
      </c>
      <c r="M461" s="110">
        <v>57.707627704165397</v>
      </c>
      <c r="N461" s="110">
        <v>58.709462467949201</v>
      </c>
      <c r="O461" s="110">
        <v>57.406104619919901</v>
      </c>
      <c r="P461" s="110">
        <v>58.514931445855296</v>
      </c>
      <c r="Q461" s="110">
        <v>296.64999999999998</v>
      </c>
      <c r="R461">
        <v>2193536</v>
      </c>
    </row>
    <row r="462" spans="1:18" x14ac:dyDescent="0.25">
      <c r="A462" s="133">
        <v>42683</v>
      </c>
      <c r="B462" s="110">
        <v>59.595894576786598</v>
      </c>
      <c r="C462" s="110">
        <v>58.418955904713599</v>
      </c>
      <c r="D462" s="110">
        <v>51.892295995945297</v>
      </c>
      <c r="E462" s="110">
        <v>54.080818320047896</v>
      </c>
      <c r="F462" s="110">
        <v>300.3</v>
      </c>
      <c r="G462">
        <v>753961</v>
      </c>
      <c r="H462" s="110"/>
      <c r="I462" s="110"/>
      <c r="L462" s="133">
        <v>42683</v>
      </c>
      <c r="M462" s="110">
        <v>58.437119037017702</v>
      </c>
      <c r="N462" s="110">
        <v>59.682117578418897</v>
      </c>
      <c r="O462" s="110">
        <v>49.0607237720901</v>
      </c>
      <c r="P462" s="110">
        <v>51.939782899080299</v>
      </c>
      <c r="Q462" s="110">
        <v>300.39999999999998</v>
      </c>
      <c r="R462">
        <v>7006892</v>
      </c>
    </row>
    <row r="463" spans="1:18" x14ac:dyDescent="0.25">
      <c r="A463" s="133">
        <v>42684</v>
      </c>
      <c r="B463" s="110">
        <v>63.535234760171399</v>
      </c>
      <c r="C463" s="110">
        <v>62.358296088098399</v>
      </c>
      <c r="D463" s="110">
        <v>59.848790489793998</v>
      </c>
      <c r="E463" s="110">
        <v>59.848790489793998</v>
      </c>
      <c r="F463" s="110">
        <v>320.55</v>
      </c>
      <c r="G463">
        <v>771809</v>
      </c>
      <c r="H463" s="110"/>
      <c r="I463" s="110"/>
      <c r="L463" s="133">
        <v>42684</v>
      </c>
      <c r="M463" s="110">
        <v>62.434731541048002</v>
      </c>
      <c r="N463" s="110">
        <v>63.592191122506897</v>
      </c>
      <c r="O463" s="110">
        <v>59.721023782837698</v>
      </c>
      <c r="P463" s="110">
        <v>60.304616849119498</v>
      </c>
      <c r="Q463" s="110">
        <v>320.95</v>
      </c>
      <c r="R463">
        <v>7986456</v>
      </c>
    </row>
    <row r="464" spans="1:18" x14ac:dyDescent="0.25">
      <c r="A464" s="133">
        <v>42685</v>
      </c>
      <c r="B464" s="110">
        <v>64.469004285121898</v>
      </c>
      <c r="C464" s="110">
        <v>60.607478228816298</v>
      </c>
      <c r="D464" s="110">
        <v>60.267041422844798</v>
      </c>
      <c r="E464" s="110">
        <v>61.823323964428901</v>
      </c>
      <c r="F464" s="110">
        <v>311.55</v>
      </c>
      <c r="G464">
        <v>670451</v>
      </c>
      <c r="H464" s="110"/>
      <c r="I464" s="110"/>
      <c r="L464" s="133">
        <v>42685</v>
      </c>
      <c r="M464" s="110">
        <v>60.674225791097903</v>
      </c>
      <c r="N464" s="110">
        <v>64.418947966406193</v>
      </c>
      <c r="O464" s="110">
        <v>60.314343400224203</v>
      </c>
      <c r="P464" s="110">
        <v>61.471802981683098</v>
      </c>
      <c r="Q464" s="110">
        <v>311.89999999999998</v>
      </c>
      <c r="R464">
        <v>6834299</v>
      </c>
    </row>
    <row r="465" spans="1:18" x14ac:dyDescent="0.25">
      <c r="A465" s="133">
        <v>42689</v>
      </c>
      <c r="B465" s="110">
        <v>62.6792793623002</v>
      </c>
      <c r="C465" s="110">
        <v>61.453706860802697</v>
      </c>
      <c r="D465" s="110">
        <v>60.014145509837398</v>
      </c>
      <c r="E465" s="110">
        <v>61.278625074874398</v>
      </c>
      <c r="F465" s="110">
        <v>315.89999999999998</v>
      </c>
      <c r="G465">
        <v>508184</v>
      </c>
      <c r="H465" s="110"/>
      <c r="I465" s="110"/>
      <c r="L465" s="133">
        <v>42689</v>
      </c>
      <c r="M465" s="110">
        <v>61.481529532787803</v>
      </c>
      <c r="N465" s="110">
        <v>62.687621869770197</v>
      </c>
      <c r="O465" s="110">
        <v>60.012820315978601</v>
      </c>
      <c r="P465" s="110">
        <v>61.2772719595891</v>
      </c>
      <c r="Q465" s="110">
        <v>316.05</v>
      </c>
      <c r="R465">
        <v>5981901</v>
      </c>
    </row>
    <row r="466" spans="1:18" x14ac:dyDescent="0.25">
      <c r="A466" s="133">
        <v>42690</v>
      </c>
      <c r="B466" s="110">
        <v>62.990535870617002</v>
      </c>
      <c r="C466" s="110">
        <v>62.202667833939998</v>
      </c>
      <c r="D466" s="110">
        <v>60.870100907708597</v>
      </c>
      <c r="E466" s="110">
        <v>62.3485693222135</v>
      </c>
      <c r="F466" s="110">
        <v>319.75</v>
      </c>
      <c r="G466">
        <v>275038</v>
      </c>
      <c r="H466" s="110"/>
      <c r="I466" s="110"/>
      <c r="L466" s="133">
        <v>42690</v>
      </c>
      <c r="M466" s="110">
        <v>62.2207474167447</v>
      </c>
      <c r="N466" s="110">
        <v>62.989144954015799</v>
      </c>
      <c r="O466" s="110">
        <v>60.946569222029403</v>
      </c>
      <c r="P466" s="110">
        <v>62.638989114246698</v>
      </c>
      <c r="Q466" s="110">
        <v>319.85000000000002</v>
      </c>
      <c r="R466">
        <v>3582324</v>
      </c>
    </row>
    <row r="467" spans="1:18" x14ac:dyDescent="0.25">
      <c r="A467" s="133">
        <v>42691</v>
      </c>
      <c r="B467" s="110">
        <v>63.807584204948597</v>
      </c>
      <c r="C467" s="110">
        <v>62.971082338847197</v>
      </c>
      <c r="D467" s="110">
        <v>62.338842556328601</v>
      </c>
      <c r="E467" s="110">
        <v>63.807584204948597</v>
      </c>
      <c r="F467" s="110">
        <v>323.7</v>
      </c>
      <c r="G467">
        <v>244546</v>
      </c>
      <c r="H467" s="110"/>
      <c r="I467" s="110"/>
      <c r="L467" s="133">
        <v>42691</v>
      </c>
      <c r="M467" s="110">
        <v>63.066957362853302</v>
      </c>
      <c r="N467" s="110">
        <v>63.786722144600901</v>
      </c>
      <c r="O467" s="110">
        <v>62.2693801722682</v>
      </c>
      <c r="P467" s="110">
        <v>62.444458092152701</v>
      </c>
      <c r="Q467" s="110">
        <v>324.2</v>
      </c>
      <c r="R467">
        <v>3860858</v>
      </c>
    </row>
    <row r="468" spans="1:18" x14ac:dyDescent="0.25">
      <c r="A468" s="133">
        <v>42692</v>
      </c>
      <c r="B468" s="110">
        <v>64.157747776805095</v>
      </c>
      <c r="C468" s="110">
        <v>63.476874164861997</v>
      </c>
      <c r="D468" s="110">
        <v>62.980809104732103</v>
      </c>
      <c r="E468" s="110">
        <v>64.157747776805095</v>
      </c>
      <c r="F468" s="110">
        <v>326.3</v>
      </c>
      <c r="G468">
        <v>242140</v>
      </c>
      <c r="H468" s="110"/>
      <c r="I468" s="110"/>
      <c r="L468" s="133">
        <v>42692</v>
      </c>
      <c r="M468" s="110">
        <v>63.475472509250601</v>
      </c>
      <c r="N468" s="110">
        <v>64.156331086579399</v>
      </c>
      <c r="O468" s="110">
        <v>62.969691851806402</v>
      </c>
      <c r="P468" s="110">
        <v>63.417113202622403</v>
      </c>
      <c r="Q468" s="110">
        <v>326.3</v>
      </c>
      <c r="R468">
        <v>3280381</v>
      </c>
    </row>
    <row r="469" spans="1:18" x14ac:dyDescent="0.25">
      <c r="A469" s="133">
        <v>42695</v>
      </c>
      <c r="B469" s="110">
        <v>64.148021010920203</v>
      </c>
      <c r="C469" s="110">
        <v>59.712615767405403</v>
      </c>
      <c r="D469" s="110">
        <v>59.430539556743298</v>
      </c>
      <c r="E469" s="110">
        <v>63.661682716675102</v>
      </c>
      <c r="F469" s="110">
        <v>306.95</v>
      </c>
      <c r="G469">
        <v>337635</v>
      </c>
      <c r="H469" s="110"/>
      <c r="I469" s="110"/>
      <c r="L469" s="133">
        <v>42695</v>
      </c>
      <c r="M469" s="110">
        <v>59.740476885047102</v>
      </c>
      <c r="N469" s="110">
        <v>64.136877984370003</v>
      </c>
      <c r="O469" s="110">
        <v>59.390321045278</v>
      </c>
      <c r="P469" s="110">
        <v>64.136877984370003</v>
      </c>
      <c r="Q469" s="110">
        <v>307.10000000000002</v>
      </c>
      <c r="R469">
        <v>5029884</v>
      </c>
    </row>
    <row r="470" spans="1:18" x14ac:dyDescent="0.25">
      <c r="A470" s="133">
        <v>42696</v>
      </c>
      <c r="B470" s="110">
        <v>60.879827673593503</v>
      </c>
      <c r="C470" s="110">
        <v>58.973381560153001</v>
      </c>
      <c r="D470" s="110">
        <v>57.582454038612198</v>
      </c>
      <c r="E470" s="110">
        <v>60.695019121780398</v>
      </c>
      <c r="F470" s="110">
        <v>303.14999999999998</v>
      </c>
      <c r="G470">
        <v>315193</v>
      </c>
      <c r="H470" s="110"/>
      <c r="I470" s="110"/>
      <c r="L470" s="133">
        <v>42696</v>
      </c>
      <c r="M470" s="110">
        <v>58.874813836728997</v>
      </c>
      <c r="N470" s="110">
        <v>60.868756813191901</v>
      </c>
      <c r="O470" s="110">
        <v>57.483917028757404</v>
      </c>
      <c r="P470" s="110">
        <v>60.645046137783901</v>
      </c>
      <c r="Q470" s="110">
        <v>302.64999999999998</v>
      </c>
      <c r="R470">
        <v>4935762</v>
      </c>
    </row>
    <row r="471" spans="1:18" x14ac:dyDescent="0.25">
      <c r="A471" s="133">
        <v>42697</v>
      </c>
      <c r="B471" s="110">
        <v>59.955784914527896</v>
      </c>
      <c r="C471" s="110">
        <v>59.216550707275502</v>
      </c>
      <c r="D471" s="110">
        <v>58.603764456526797</v>
      </c>
      <c r="E471" s="110">
        <v>59.508353683822499</v>
      </c>
      <c r="F471" s="110">
        <v>304.39999999999998</v>
      </c>
      <c r="G471">
        <v>229599</v>
      </c>
      <c r="H471" s="110"/>
      <c r="I471" s="110"/>
      <c r="L471" s="133">
        <v>42697</v>
      </c>
      <c r="M471" s="110">
        <v>59.283328983126303</v>
      </c>
      <c r="N471" s="110">
        <v>59.964187560455102</v>
      </c>
      <c r="O471" s="110">
        <v>58.573290752483501</v>
      </c>
      <c r="P471" s="110">
        <v>59.429227249696801</v>
      </c>
      <c r="Q471" s="110">
        <v>304.75</v>
      </c>
      <c r="R471">
        <v>2751218</v>
      </c>
    </row>
    <row r="472" spans="1:18" x14ac:dyDescent="0.25">
      <c r="A472" s="133">
        <v>42698</v>
      </c>
      <c r="B472" s="110">
        <v>60.014145509837398</v>
      </c>
      <c r="C472" s="110">
        <v>59.508353683822499</v>
      </c>
      <c r="D472" s="110">
        <v>58.4870432659079</v>
      </c>
      <c r="E472" s="110">
        <v>59.197097175505696</v>
      </c>
      <c r="F472" s="110">
        <v>305.89999999999998</v>
      </c>
      <c r="G472">
        <v>222529</v>
      </c>
      <c r="H472" s="110"/>
      <c r="I472" s="110"/>
      <c r="L472" s="133">
        <v>42698</v>
      </c>
      <c r="M472" s="110">
        <v>59.516766209639002</v>
      </c>
      <c r="N472" s="110">
        <v>60.003093764873903</v>
      </c>
      <c r="O472" s="110">
        <v>58.553837650274097</v>
      </c>
      <c r="P472" s="110">
        <v>59.117977614346501</v>
      </c>
      <c r="Q472" s="110">
        <v>305.95</v>
      </c>
      <c r="R472">
        <v>3436794</v>
      </c>
    </row>
    <row r="473" spans="1:18" x14ac:dyDescent="0.25">
      <c r="A473" s="133">
        <v>42699</v>
      </c>
      <c r="B473" s="110">
        <v>61.229991245449902</v>
      </c>
      <c r="C473" s="110">
        <v>60.432396442888098</v>
      </c>
      <c r="D473" s="110">
        <v>59.722342533290302</v>
      </c>
      <c r="E473" s="110">
        <v>59.916877850988399</v>
      </c>
      <c r="F473" s="110">
        <v>310.64999999999998</v>
      </c>
      <c r="G473">
        <v>230307</v>
      </c>
      <c r="H473" s="110"/>
      <c r="I473" s="110"/>
      <c r="L473" s="133">
        <v>42699</v>
      </c>
      <c r="M473" s="110">
        <v>60.401882360166397</v>
      </c>
      <c r="N473" s="110">
        <v>61.2383657551703</v>
      </c>
      <c r="O473" s="110">
        <v>59.730750333942403</v>
      </c>
      <c r="P473" s="110">
        <v>60.071179622606699</v>
      </c>
      <c r="Q473" s="110">
        <v>310.5</v>
      </c>
      <c r="R473">
        <v>3172620</v>
      </c>
    </row>
    <row r="474" spans="1:18" x14ac:dyDescent="0.25">
      <c r="A474" s="133">
        <v>42702</v>
      </c>
      <c r="B474" s="110">
        <v>60.617204994701197</v>
      </c>
      <c r="C474" s="110">
        <v>60.169773763995799</v>
      </c>
      <c r="D474" s="110">
        <v>58.691305349490897</v>
      </c>
      <c r="E474" s="110">
        <v>59.469446620282902</v>
      </c>
      <c r="F474" s="110">
        <v>309.3</v>
      </c>
      <c r="G474">
        <v>229113</v>
      </c>
      <c r="H474" s="110"/>
      <c r="I474" s="110"/>
      <c r="L474" s="133">
        <v>42702</v>
      </c>
      <c r="M474" s="110">
        <v>60.178171684758397</v>
      </c>
      <c r="N474" s="110">
        <v>60.674225791097903</v>
      </c>
      <c r="O474" s="110">
        <v>58.641376610216298</v>
      </c>
      <c r="P474" s="110">
        <v>59.040165205508899</v>
      </c>
      <c r="Q474" s="110">
        <v>309.35000000000002</v>
      </c>
      <c r="R474">
        <v>2753417</v>
      </c>
    </row>
    <row r="475" spans="1:18" x14ac:dyDescent="0.25">
      <c r="A475" s="133">
        <v>42703</v>
      </c>
      <c r="B475" s="110">
        <v>61.784416900889298</v>
      </c>
      <c r="C475" s="110">
        <v>60.481030272312601</v>
      </c>
      <c r="D475" s="110">
        <v>60.257314656959899</v>
      </c>
      <c r="E475" s="110">
        <v>60.5004838040824</v>
      </c>
      <c r="F475" s="110">
        <v>310.89999999999998</v>
      </c>
      <c r="G475">
        <v>303066</v>
      </c>
      <c r="H475" s="110"/>
      <c r="I475" s="110"/>
      <c r="L475" s="133">
        <v>42703</v>
      </c>
      <c r="M475" s="110">
        <v>60.421335462375801</v>
      </c>
      <c r="N475" s="110">
        <v>61.763599514824001</v>
      </c>
      <c r="O475" s="110">
        <v>60.178171684758397</v>
      </c>
      <c r="P475" s="110">
        <v>60.460241666794602</v>
      </c>
      <c r="Q475" s="110">
        <v>310.60000000000002</v>
      </c>
      <c r="R475">
        <v>2913967</v>
      </c>
    </row>
    <row r="476" spans="1:18" x14ac:dyDescent="0.25">
      <c r="A476" s="133">
        <v>42704</v>
      </c>
      <c r="B476" s="110">
        <v>62.154034004515502</v>
      </c>
      <c r="C476" s="110">
        <v>61.901138091508102</v>
      </c>
      <c r="D476" s="110">
        <v>60.442123208772998</v>
      </c>
      <c r="E476" s="110">
        <v>61.200810947795198</v>
      </c>
      <c r="F476" s="110">
        <v>318.2</v>
      </c>
      <c r="G476">
        <v>256027</v>
      </c>
      <c r="H476" s="110"/>
      <c r="I476" s="110"/>
      <c r="L476" s="133">
        <v>42704</v>
      </c>
      <c r="M476" s="110">
        <v>61.938677434708502</v>
      </c>
      <c r="N476" s="110">
        <v>62.162388110116503</v>
      </c>
      <c r="O476" s="110">
        <v>60.401882360166397</v>
      </c>
      <c r="P476" s="110">
        <v>60.771491302144902</v>
      </c>
      <c r="Q476" s="110">
        <v>318.39999999999998</v>
      </c>
      <c r="R476">
        <v>2759065</v>
      </c>
    </row>
    <row r="477" spans="1:18" x14ac:dyDescent="0.25">
      <c r="A477" s="133">
        <v>42705</v>
      </c>
      <c r="B477" s="110">
        <v>62.718186425839697</v>
      </c>
      <c r="C477" s="110">
        <v>61.200810947795198</v>
      </c>
      <c r="D477" s="110">
        <v>60.889554439478403</v>
      </c>
      <c r="E477" s="110">
        <v>62.251301663364501</v>
      </c>
      <c r="F477" s="110">
        <v>314.60000000000002</v>
      </c>
      <c r="G477">
        <v>220981</v>
      </c>
      <c r="H477" s="110"/>
      <c r="I477" s="110"/>
      <c r="L477" s="133">
        <v>42705</v>
      </c>
      <c r="M477" s="110">
        <v>61.209186101856297</v>
      </c>
      <c r="N477" s="110">
        <v>62.638989114246698</v>
      </c>
      <c r="O477" s="110">
        <v>60.810397506563703</v>
      </c>
      <c r="P477" s="110">
        <v>62.463911194362097</v>
      </c>
      <c r="Q477" s="110">
        <v>314.64999999999998</v>
      </c>
      <c r="R477">
        <v>2920789</v>
      </c>
    </row>
    <row r="478" spans="1:18" x14ac:dyDescent="0.25">
      <c r="A478" s="133">
        <v>42706</v>
      </c>
      <c r="B478" s="110">
        <v>61.4147997972631</v>
      </c>
      <c r="C478" s="110">
        <v>60.121139934571303</v>
      </c>
      <c r="D478" s="110">
        <v>59.566714279131901</v>
      </c>
      <c r="E478" s="110">
        <v>61.181357416025399</v>
      </c>
      <c r="F478" s="110">
        <v>309.05</v>
      </c>
      <c r="G478">
        <v>357043</v>
      </c>
      <c r="H478" s="110"/>
      <c r="I478" s="110"/>
      <c r="L478" s="133">
        <v>42706</v>
      </c>
      <c r="M478" s="110">
        <v>60.012820315978601</v>
      </c>
      <c r="N478" s="110">
        <v>61.384264021740798</v>
      </c>
      <c r="O478" s="110">
        <v>59.594578618476604</v>
      </c>
      <c r="P478" s="110">
        <v>60.868756813191901</v>
      </c>
      <c r="Q478" s="110">
        <v>308.5</v>
      </c>
      <c r="R478">
        <v>4120862</v>
      </c>
    </row>
    <row r="479" spans="1:18" x14ac:dyDescent="0.25">
      <c r="A479" s="133">
        <v>42709</v>
      </c>
      <c r="B479" s="110">
        <v>60.928461503017999</v>
      </c>
      <c r="C479" s="110">
        <v>60.6658388241257</v>
      </c>
      <c r="D479" s="110">
        <v>59.790429894484603</v>
      </c>
      <c r="E479" s="110">
        <v>60.286494954614597</v>
      </c>
      <c r="F479" s="110">
        <v>311.85000000000002</v>
      </c>
      <c r="G479">
        <v>152205</v>
      </c>
      <c r="H479" s="110"/>
      <c r="I479" s="110"/>
      <c r="L479" s="133">
        <v>42709</v>
      </c>
      <c r="M479" s="110">
        <v>60.615866484469798</v>
      </c>
      <c r="N479" s="110">
        <v>60.878483364296599</v>
      </c>
      <c r="O479" s="110">
        <v>59.7502034361518</v>
      </c>
      <c r="P479" s="110">
        <v>59.915554804931602</v>
      </c>
      <c r="Q479" s="110">
        <v>311.60000000000002</v>
      </c>
      <c r="R479">
        <v>2204853</v>
      </c>
    </row>
    <row r="480" spans="1:18" x14ac:dyDescent="0.25">
      <c r="A480" s="133">
        <v>42710</v>
      </c>
      <c r="B480" s="110">
        <v>61.609335114961098</v>
      </c>
      <c r="C480" s="110">
        <v>61.016002395982099</v>
      </c>
      <c r="D480" s="110">
        <v>60.821467078284101</v>
      </c>
      <c r="E480" s="110">
        <v>61.453706860802697</v>
      </c>
      <c r="F480" s="110">
        <v>313.64999999999998</v>
      </c>
      <c r="G480">
        <v>214164</v>
      </c>
      <c r="H480" s="110"/>
      <c r="I480" s="110"/>
      <c r="L480" s="133">
        <v>42710</v>
      </c>
      <c r="M480" s="110">
        <v>60.946569222029403</v>
      </c>
      <c r="N480" s="110">
        <v>61.627427799358202</v>
      </c>
      <c r="O480" s="110">
        <v>60.732585097726101</v>
      </c>
      <c r="P480" s="110">
        <v>61.530162288311203</v>
      </c>
      <c r="Q480" s="110">
        <v>313.3</v>
      </c>
      <c r="R480">
        <v>2746424</v>
      </c>
    </row>
    <row r="481" spans="1:18" x14ac:dyDescent="0.25">
      <c r="A481" s="133">
        <v>42711</v>
      </c>
      <c r="B481" s="110">
        <v>61.6676957102705</v>
      </c>
      <c r="C481" s="110">
        <v>59.975238446297801</v>
      </c>
      <c r="D481" s="110">
        <v>59.2457310049302</v>
      </c>
      <c r="E481" s="110">
        <v>61.648242178500702</v>
      </c>
      <c r="F481" s="110">
        <v>308.3</v>
      </c>
      <c r="G481">
        <v>290134</v>
      </c>
      <c r="H481" s="110"/>
      <c r="I481" s="110"/>
      <c r="L481" s="133">
        <v>42711</v>
      </c>
      <c r="M481" s="110">
        <v>59.983640662664499</v>
      </c>
      <c r="N481" s="110">
        <v>61.646880901567599</v>
      </c>
      <c r="O481" s="110">
        <v>59.186063472079297</v>
      </c>
      <c r="P481" s="110">
        <v>61.452349879473701</v>
      </c>
      <c r="Q481" s="110">
        <v>308.35000000000002</v>
      </c>
      <c r="R481">
        <v>3119210</v>
      </c>
    </row>
    <row r="482" spans="1:18" x14ac:dyDescent="0.25">
      <c r="A482" s="133">
        <v>42712</v>
      </c>
      <c r="B482" s="110">
        <v>60.957641800672697</v>
      </c>
      <c r="C482" s="110">
        <v>60.607478228816298</v>
      </c>
      <c r="D482" s="110">
        <v>60.286494954614597</v>
      </c>
      <c r="E482" s="110">
        <v>60.695019121780398</v>
      </c>
      <c r="F482" s="110">
        <v>311.55</v>
      </c>
      <c r="G482">
        <v>136176</v>
      </c>
      <c r="H482" s="110"/>
      <c r="I482" s="110"/>
      <c r="L482" s="133">
        <v>42712</v>
      </c>
      <c r="M482" s="110">
        <v>60.547780626736902</v>
      </c>
      <c r="N482" s="110">
        <v>60.975748875343498</v>
      </c>
      <c r="O482" s="110">
        <v>60.207351338072499</v>
      </c>
      <c r="P482" s="110">
        <v>60.518600973422799</v>
      </c>
      <c r="Q482" s="110">
        <v>311.25</v>
      </c>
      <c r="R482">
        <v>1949195</v>
      </c>
    </row>
    <row r="483" spans="1:18" x14ac:dyDescent="0.25">
      <c r="A483" s="133">
        <v>42713</v>
      </c>
      <c r="B483" s="110">
        <v>61.609335114961098</v>
      </c>
      <c r="C483" s="110">
        <v>61.405073031378201</v>
      </c>
      <c r="D483" s="110">
        <v>60.305948486384402</v>
      </c>
      <c r="E483" s="110">
        <v>60.986822098327401</v>
      </c>
      <c r="F483" s="110">
        <v>315.64999999999998</v>
      </c>
      <c r="G483">
        <v>190990</v>
      </c>
      <c r="H483" s="110"/>
      <c r="I483" s="110"/>
      <c r="L483" s="133">
        <v>42713</v>
      </c>
      <c r="M483" s="110">
        <v>61.393990572845503</v>
      </c>
      <c r="N483" s="110">
        <v>61.6371543504629</v>
      </c>
      <c r="O483" s="110">
        <v>60.294890298014799</v>
      </c>
      <c r="P483" s="110">
        <v>60.888209915401298</v>
      </c>
      <c r="Q483" s="110">
        <v>315.60000000000002</v>
      </c>
      <c r="R483">
        <v>2736668</v>
      </c>
    </row>
    <row r="484" spans="1:18" x14ac:dyDescent="0.25">
      <c r="A484" s="133">
        <v>42716</v>
      </c>
      <c r="B484" s="110">
        <v>61.278625074874398</v>
      </c>
      <c r="C484" s="110">
        <v>59.547260747362103</v>
      </c>
      <c r="D484" s="110">
        <v>59.430539556743298</v>
      </c>
      <c r="E484" s="110">
        <v>61.278625074874398</v>
      </c>
      <c r="F484" s="110">
        <v>306.10000000000002</v>
      </c>
      <c r="G484">
        <v>134919</v>
      </c>
      <c r="H484" s="110"/>
      <c r="I484" s="110"/>
      <c r="L484" s="133">
        <v>42716</v>
      </c>
      <c r="M484" s="110">
        <v>59.633484822895397</v>
      </c>
      <c r="N484" s="110">
        <v>61.2772719595891</v>
      </c>
      <c r="O484" s="110">
        <v>59.448680351906198</v>
      </c>
      <c r="P484" s="110">
        <v>61.160553346332797</v>
      </c>
      <c r="Q484" s="110">
        <v>306.55</v>
      </c>
      <c r="R484">
        <v>2350881</v>
      </c>
    </row>
    <row r="485" spans="1:18" x14ac:dyDescent="0.25">
      <c r="A485" s="133">
        <v>42717</v>
      </c>
      <c r="B485" s="110">
        <v>60.0822328710317</v>
      </c>
      <c r="C485" s="110">
        <v>59.3235451320094</v>
      </c>
      <c r="D485" s="110">
        <v>58.798299774224802</v>
      </c>
      <c r="E485" s="110">
        <v>59.722342533290302</v>
      </c>
      <c r="F485" s="110">
        <v>304.95</v>
      </c>
      <c r="G485">
        <v>174820</v>
      </c>
      <c r="H485" s="110"/>
      <c r="I485" s="110"/>
      <c r="L485" s="133">
        <v>42717</v>
      </c>
      <c r="M485" s="110">
        <v>59.3027820853357</v>
      </c>
      <c r="N485" s="110">
        <v>60.1100858270255</v>
      </c>
      <c r="O485" s="110">
        <v>58.767821774577399</v>
      </c>
      <c r="P485" s="110">
        <v>59.701570680628301</v>
      </c>
      <c r="Q485" s="110">
        <v>304.85000000000002</v>
      </c>
      <c r="R485">
        <v>2160539</v>
      </c>
    </row>
    <row r="486" spans="1:18" x14ac:dyDescent="0.25">
      <c r="A486" s="133">
        <v>42718</v>
      </c>
      <c r="B486" s="110">
        <v>59.644528406211101</v>
      </c>
      <c r="C486" s="110">
        <v>58.642671520066401</v>
      </c>
      <c r="D486" s="110">
        <v>58.3995023729438</v>
      </c>
      <c r="E486" s="110">
        <v>59.527807215592297</v>
      </c>
      <c r="F486" s="110">
        <v>301.45</v>
      </c>
      <c r="G486">
        <v>122925</v>
      </c>
      <c r="H486" s="110"/>
      <c r="I486" s="110"/>
      <c r="L486" s="133">
        <v>42718</v>
      </c>
      <c r="M486" s="110">
        <v>58.641376610216298</v>
      </c>
      <c r="N486" s="110">
        <v>59.643211374000103</v>
      </c>
      <c r="O486" s="110">
        <v>58.378759730389497</v>
      </c>
      <c r="P486" s="110">
        <v>59.516766209639002</v>
      </c>
      <c r="Q486" s="110">
        <v>301.45</v>
      </c>
      <c r="R486">
        <v>2002907</v>
      </c>
    </row>
    <row r="487" spans="1:18" x14ac:dyDescent="0.25">
      <c r="A487" s="133">
        <v>42719</v>
      </c>
      <c r="B487" s="110">
        <v>59.722342533290302</v>
      </c>
      <c r="C487" s="110">
        <v>59.265184536699998</v>
      </c>
      <c r="D487" s="110">
        <v>57.601907570381996</v>
      </c>
      <c r="E487" s="110">
        <v>58.360595309404196</v>
      </c>
      <c r="F487" s="110">
        <v>304.64999999999998</v>
      </c>
      <c r="G487">
        <v>239361</v>
      </c>
      <c r="H487" s="110"/>
      <c r="I487" s="110"/>
      <c r="L487" s="133">
        <v>42719</v>
      </c>
      <c r="M487" s="110">
        <v>59.3027820853357</v>
      </c>
      <c r="N487" s="110">
        <v>59.721023782837698</v>
      </c>
      <c r="O487" s="110">
        <v>57.590909090909101</v>
      </c>
      <c r="P487" s="110">
        <v>58.096689748353299</v>
      </c>
      <c r="Q487" s="110">
        <v>304.85000000000002</v>
      </c>
      <c r="R487">
        <v>2841555</v>
      </c>
    </row>
    <row r="488" spans="1:18" x14ac:dyDescent="0.25">
      <c r="A488" s="133">
        <v>42720</v>
      </c>
      <c r="B488" s="110">
        <v>59.430539556743298</v>
      </c>
      <c r="C488" s="110">
        <v>58.311961479979701</v>
      </c>
      <c r="D488" s="110">
        <v>58.039612035202502</v>
      </c>
      <c r="E488" s="110">
        <v>59.401359259088601</v>
      </c>
      <c r="F488" s="110">
        <v>299.75</v>
      </c>
      <c r="G488">
        <v>156704</v>
      </c>
      <c r="H488" s="110"/>
      <c r="I488" s="110"/>
      <c r="L488" s="133">
        <v>42720</v>
      </c>
      <c r="M488" s="110">
        <v>58.398212832598901</v>
      </c>
      <c r="N488" s="110">
        <v>59.429227249696801</v>
      </c>
      <c r="O488" s="110">
        <v>58.184228708295599</v>
      </c>
      <c r="P488" s="110">
        <v>59.3027820853357</v>
      </c>
      <c r="Q488" s="110">
        <v>300.2</v>
      </c>
      <c r="R488">
        <v>1686012</v>
      </c>
    </row>
    <row r="489" spans="1:18" x14ac:dyDescent="0.25">
      <c r="A489" s="133">
        <v>42723</v>
      </c>
      <c r="B489" s="110">
        <v>58.438409436483397</v>
      </c>
      <c r="C489" s="110">
        <v>57.952071142238403</v>
      </c>
      <c r="D489" s="110">
        <v>57.718628761000801</v>
      </c>
      <c r="E489" s="110">
        <v>58.418955904713599</v>
      </c>
      <c r="F489" s="110">
        <v>297.89999999999998</v>
      </c>
      <c r="G489">
        <v>132881</v>
      </c>
      <c r="H489" s="110"/>
      <c r="I489" s="110"/>
      <c r="L489" s="133">
        <v>42723</v>
      </c>
      <c r="M489" s="110">
        <v>57.892432175154703</v>
      </c>
      <c r="N489" s="110">
        <v>58.4954783436459</v>
      </c>
      <c r="O489" s="110">
        <v>57.658994948641997</v>
      </c>
      <c r="P489" s="110">
        <v>58.3593066281801</v>
      </c>
      <c r="Q489" s="110">
        <v>297.60000000000002</v>
      </c>
      <c r="R489">
        <v>1380947</v>
      </c>
    </row>
    <row r="490" spans="1:18" x14ac:dyDescent="0.25">
      <c r="A490" s="133">
        <v>42724</v>
      </c>
      <c r="B490" s="110">
        <v>58.418955904713599</v>
      </c>
      <c r="C490" s="110">
        <v>56.745952172510698</v>
      </c>
      <c r="D490" s="110">
        <v>56.502783025388197</v>
      </c>
      <c r="E490" s="110">
        <v>58.0687923328572</v>
      </c>
      <c r="F490" s="110">
        <v>291.7</v>
      </c>
      <c r="G490">
        <v>162144</v>
      </c>
      <c r="H490" s="110"/>
      <c r="I490" s="110"/>
      <c r="L490" s="133">
        <v>42724</v>
      </c>
      <c r="M490" s="110">
        <v>56.725246042591102</v>
      </c>
      <c r="N490" s="110">
        <v>58.456572139227099</v>
      </c>
      <c r="O490" s="110">
        <v>56.413996407240802</v>
      </c>
      <c r="P490" s="110">
        <v>57.9118852773641</v>
      </c>
      <c r="Q490" s="110">
        <v>291.60000000000002</v>
      </c>
      <c r="R490">
        <v>2398706</v>
      </c>
    </row>
    <row r="491" spans="1:18" x14ac:dyDescent="0.25">
      <c r="A491" s="133">
        <v>42725</v>
      </c>
      <c r="B491" s="110">
        <v>56.998848085518098</v>
      </c>
      <c r="C491" s="110">
        <v>56.317974473575099</v>
      </c>
      <c r="D491" s="110">
        <v>55.763548818135703</v>
      </c>
      <c r="E491" s="110">
        <v>56.317974473575099</v>
      </c>
      <c r="F491" s="110">
        <v>289.5</v>
      </c>
      <c r="G491">
        <v>225326</v>
      </c>
      <c r="H491" s="110"/>
      <c r="I491" s="110"/>
      <c r="L491" s="133">
        <v>42725</v>
      </c>
      <c r="M491" s="110">
        <v>56.180559180728103</v>
      </c>
      <c r="N491" s="110">
        <v>56.997589473522602</v>
      </c>
      <c r="O491" s="110">
        <v>55.703958176597901</v>
      </c>
      <c r="P491" s="110">
        <v>56.482082264973698</v>
      </c>
      <c r="Q491" s="110">
        <v>288.8</v>
      </c>
      <c r="R491">
        <v>2689715</v>
      </c>
    </row>
    <row r="492" spans="1:18" x14ac:dyDescent="0.25">
      <c r="A492" s="133">
        <v>42726</v>
      </c>
      <c r="B492" s="110">
        <v>56.123439155877101</v>
      </c>
      <c r="C492" s="110">
        <v>55.063221674422898</v>
      </c>
      <c r="D492" s="110">
        <v>54.664424273141996</v>
      </c>
      <c r="E492" s="110">
        <v>56.123439155877101</v>
      </c>
      <c r="F492" s="110">
        <v>283.05</v>
      </c>
      <c r="G492">
        <v>209222</v>
      </c>
      <c r="H492" s="110"/>
      <c r="I492" s="110"/>
      <c r="L492" s="133">
        <v>42726</v>
      </c>
      <c r="M492" s="110">
        <v>55.042552701478598</v>
      </c>
      <c r="N492" s="110">
        <v>56.0249343630529</v>
      </c>
      <c r="O492" s="110">
        <v>54.595131350662498</v>
      </c>
      <c r="P492" s="110">
        <v>56.0249343630529</v>
      </c>
      <c r="Q492" s="110">
        <v>282.95</v>
      </c>
      <c r="R492">
        <v>3153873</v>
      </c>
    </row>
    <row r="493" spans="1:18" x14ac:dyDescent="0.25">
      <c r="A493" s="133">
        <v>42727</v>
      </c>
      <c r="B493" s="110">
        <v>55.374478182739701</v>
      </c>
      <c r="C493" s="110">
        <v>54.392074828364798</v>
      </c>
      <c r="D493" s="110">
        <v>54.080818320047896</v>
      </c>
      <c r="E493" s="110">
        <v>54.858959590840001</v>
      </c>
      <c r="F493" s="110">
        <v>279.60000000000002</v>
      </c>
      <c r="G493">
        <v>189715</v>
      </c>
      <c r="H493" s="110"/>
      <c r="I493" s="110"/>
      <c r="L493" s="133">
        <v>42727</v>
      </c>
      <c r="M493" s="110">
        <v>54.410326879673299</v>
      </c>
      <c r="N493" s="110">
        <v>55.344075785724201</v>
      </c>
      <c r="O493" s="110">
        <v>54.137983448741799</v>
      </c>
      <c r="P493" s="110">
        <v>55.0328261503739</v>
      </c>
      <c r="Q493" s="110">
        <v>279.7</v>
      </c>
      <c r="R493">
        <v>2656154</v>
      </c>
    </row>
    <row r="494" spans="1:18" x14ac:dyDescent="0.25">
      <c r="A494" s="133">
        <v>42730</v>
      </c>
      <c r="B494" s="110">
        <v>54.567156614292998</v>
      </c>
      <c r="C494" s="110">
        <v>51.347597106390801</v>
      </c>
      <c r="D494" s="110">
        <v>51.114154725153199</v>
      </c>
      <c r="E494" s="110">
        <v>54.528249550753401</v>
      </c>
      <c r="F494" s="110">
        <v>263.95</v>
      </c>
      <c r="G494">
        <v>275564</v>
      </c>
      <c r="H494" s="110"/>
      <c r="I494" s="110"/>
      <c r="L494" s="133">
        <v>42730</v>
      </c>
      <c r="M494" s="110">
        <v>51.297830526170301</v>
      </c>
      <c r="N494" s="110">
        <v>54.060171039904198</v>
      </c>
      <c r="O494" s="110">
        <v>51.006033993029398</v>
      </c>
      <c r="P494" s="110">
        <v>54.060171039904198</v>
      </c>
      <c r="Q494" s="110">
        <v>263.7</v>
      </c>
      <c r="R494">
        <v>2594485</v>
      </c>
    </row>
    <row r="495" spans="1:18" x14ac:dyDescent="0.25">
      <c r="A495" s="133">
        <v>42731</v>
      </c>
      <c r="B495" s="110">
        <v>52.330000460765802</v>
      </c>
      <c r="C495" s="110">
        <v>52.067377781873503</v>
      </c>
      <c r="D495" s="110">
        <v>50.812624982721303</v>
      </c>
      <c r="E495" s="110">
        <v>51.337870340505901</v>
      </c>
      <c r="F495" s="110">
        <v>267.64999999999998</v>
      </c>
      <c r="G495">
        <v>201888</v>
      </c>
      <c r="H495" s="110"/>
      <c r="I495" s="110"/>
      <c r="L495" s="133">
        <v>42731</v>
      </c>
      <c r="M495" s="110">
        <v>52.046774961232003</v>
      </c>
      <c r="N495" s="110">
        <v>52.503922863152702</v>
      </c>
      <c r="O495" s="110">
        <v>50.8115029709355</v>
      </c>
      <c r="P495" s="110">
        <v>51.5312677526831</v>
      </c>
      <c r="Q495" s="110">
        <v>267.55</v>
      </c>
      <c r="R495">
        <v>2419979</v>
      </c>
    </row>
    <row r="496" spans="1:18" x14ac:dyDescent="0.25">
      <c r="A496" s="133">
        <v>42732</v>
      </c>
      <c r="B496" s="110">
        <v>52.709344330276899</v>
      </c>
      <c r="C496" s="110">
        <v>51.376777404045498</v>
      </c>
      <c r="D496" s="110">
        <v>51.1822420863475</v>
      </c>
      <c r="E496" s="110">
        <v>52.505082246694002</v>
      </c>
      <c r="F496" s="110">
        <v>264.10000000000002</v>
      </c>
      <c r="G496">
        <v>255535</v>
      </c>
      <c r="H496" s="110"/>
      <c r="I496" s="110"/>
      <c r="L496" s="133">
        <v>42732</v>
      </c>
      <c r="M496" s="110">
        <v>51.327010179484397</v>
      </c>
      <c r="N496" s="110">
        <v>52.717906987455997</v>
      </c>
      <c r="O496" s="110">
        <v>51.161658810704601</v>
      </c>
      <c r="P496" s="110">
        <v>52.046774961232003</v>
      </c>
      <c r="Q496" s="110">
        <v>263.85000000000002</v>
      </c>
      <c r="R496">
        <v>2804936</v>
      </c>
    </row>
    <row r="497" spans="1:18" x14ac:dyDescent="0.25">
      <c r="A497" s="133">
        <v>42733</v>
      </c>
      <c r="B497" s="110">
        <v>51.405957701700203</v>
      </c>
      <c r="C497" s="110">
        <v>50.890439109800496</v>
      </c>
      <c r="D497" s="110">
        <v>50.384647283785696</v>
      </c>
      <c r="E497" s="110">
        <v>51.376777404045498</v>
      </c>
      <c r="F497" s="110">
        <v>261.60000000000002</v>
      </c>
      <c r="G497">
        <v>225686</v>
      </c>
      <c r="H497" s="110"/>
      <c r="I497" s="110"/>
      <c r="L497" s="133">
        <v>42733</v>
      </c>
      <c r="M497" s="110">
        <v>50.694784357679097</v>
      </c>
      <c r="N497" s="110">
        <v>51.356189832798499</v>
      </c>
      <c r="O497" s="110">
        <v>50.325175415700699</v>
      </c>
      <c r="P497" s="110">
        <v>51.142205708495197</v>
      </c>
      <c r="Q497" s="110">
        <v>260.60000000000002</v>
      </c>
      <c r="R497">
        <v>3094055</v>
      </c>
    </row>
    <row r="498" spans="1:18" x14ac:dyDescent="0.25">
      <c r="A498" s="133">
        <v>42734</v>
      </c>
      <c r="B498" s="110">
        <v>52.047924250103698</v>
      </c>
      <c r="C498" s="110">
        <v>51.133608256922997</v>
      </c>
      <c r="D498" s="110">
        <v>50.579182601483701</v>
      </c>
      <c r="E498" s="110">
        <v>51.026613832189099</v>
      </c>
      <c r="F498" s="110">
        <v>262.85000000000002</v>
      </c>
      <c r="G498">
        <v>281920</v>
      </c>
      <c r="H498" s="110"/>
      <c r="I498" s="110"/>
      <c r="L498" s="133">
        <v>42734</v>
      </c>
      <c r="M498" s="110">
        <v>51.142205708495197</v>
      </c>
      <c r="N498" s="110">
        <v>52.017595307917901</v>
      </c>
      <c r="O498" s="110">
        <v>50.529432988899302</v>
      </c>
      <c r="P498" s="110">
        <v>50.9476746864012</v>
      </c>
      <c r="Q498" s="110">
        <v>262.89999999999998</v>
      </c>
      <c r="R498">
        <v>2478619</v>
      </c>
    </row>
    <row r="499" spans="1:18" x14ac:dyDescent="0.25">
      <c r="A499" s="133">
        <v>42737</v>
      </c>
      <c r="B499" s="110">
        <v>51.9409298253698</v>
      </c>
      <c r="C499" s="110">
        <v>51.055794129843797</v>
      </c>
      <c r="D499" s="110">
        <v>50.034483711929198</v>
      </c>
      <c r="E499" s="110">
        <v>51.9409298253698</v>
      </c>
      <c r="F499" s="110">
        <v>262.45</v>
      </c>
      <c r="G499">
        <v>425951</v>
      </c>
      <c r="H499" s="110"/>
      <c r="I499" s="110"/>
      <c r="L499" s="133">
        <v>42737</v>
      </c>
      <c r="M499" s="110">
        <v>51.054666748552897</v>
      </c>
      <c r="N499" s="110">
        <v>51.716072223672299</v>
      </c>
      <c r="O499" s="110">
        <v>50.033378882559802</v>
      </c>
      <c r="P499" s="110">
        <v>51.706345672567601</v>
      </c>
      <c r="Q499" s="110">
        <v>262.45</v>
      </c>
      <c r="R499">
        <v>3481735</v>
      </c>
    </row>
    <row r="500" spans="1:18" x14ac:dyDescent="0.25">
      <c r="A500" s="133">
        <v>42738</v>
      </c>
      <c r="B500" s="110">
        <v>51.872842464175498</v>
      </c>
      <c r="C500" s="110">
        <v>51.522678892319</v>
      </c>
      <c r="D500" s="110">
        <v>50.287379624936598</v>
      </c>
      <c r="E500" s="110">
        <v>51.162788554577702</v>
      </c>
      <c r="F500" s="110">
        <v>264.85000000000002</v>
      </c>
      <c r="G500">
        <v>304163</v>
      </c>
      <c r="H500" s="110"/>
      <c r="I500" s="110"/>
      <c r="L500" s="133">
        <v>42738</v>
      </c>
      <c r="M500" s="110">
        <v>51.511814650473703</v>
      </c>
      <c r="N500" s="110">
        <v>51.910603245766197</v>
      </c>
      <c r="O500" s="110">
        <v>50.266816109072501</v>
      </c>
      <c r="P500" s="110">
        <v>50.908768481982499</v>
      </c>
      <c r="Q500" s="110">
        <v>264.8</v>
      </c>
      <c r="R500">
        <v>3356890</v>
      </c>
    </row>
    <row r="501" spans="1:18" x14ac:dyDescent="0.25">
      <c r="A501" s="133">
        <v>42739</v>
      </c>
      <c r="B501" s="110">
        <v>52.135465143067798</v>
      </c>
      <c r="C501" s="110">
        <v>51.367050638160599</v>
      </c>
      <c r="D501" s="110">
        <v>51.114154725153199</v>
      </c>
      <c r="E501" s="110">
        <v>51.736667741786903</v>
      </c>
      <c r="F501" s="110">
        <v>264.05</v>
      </c>
      <c r="G501">
        <v>228090</v>
      </c>
      <c r="H501" s="110"/>
      <c r="I501" s="110"/>
      <c r="L501" s="133">
        <v>42739</v>
      </c>
      <c r="M501" s="110">
        <v>51.336736730589102</v>
      </c>
      <c r="N501" s="110">
        <v>52.095407716755503</v>
      </c>
      <c r="O501" s="110">
        <v>50.860135726458999</v>
      </c>
      <c r="P501" s="110">
        <v>51.686892570358197</v>
      </c>
      <c r="Q501" s="110">
        <v>263.89999999999998</v>
      </c>
      <c r="R501">
        <v>2358045</v>
      </c>
    </row>
    <row r="502" spans="1:18" x14ac:dyDescent="0.25">
      <c r="A502" s="133">
        <v>42740</v>
      </c>
      <c r="B502" s="110">
        <v>52.300820163111098</v>
      </c>
      <c r="C502" s="110">
        <v>51.795028337096298</v>
      </c>
      <c r="D502" s="110">
        <v>51.649126848822704</v>
      </c>
      <c r="E502" s="110">
        <v>51.902022761830203</v>
      </c>
      <c r="F502" s="110">
        <v>266.25</v>
      </c>
      <c r="G502">
        <v>254723</v>
      </c>
      <c r="H502" s="110"/>
      <c r="I502" s="110"/>
      <c r="L502" s="133">
        <v>42740</v>
      </c>
      <c r="M502" s="110">
        <v>51.813337734719298</v>
      </c>
      <c r="N502" s="110">
        <v>52.289938738849401</v>
      </c>
      <c r="O502" s="110">
        <v>51.647986365939403</v>
      </c>
      <c r="P502" s="110">
        <v>51.677166019253498</v>
      </c>
      <c r="Q502" s="110">
        <v>266.35000000000002</v>
      </c>
      <c r="R502">
        <v>2034127</v>
      </c>
    </row>
    <row r="503" spans="1:18" x14ac:dyDescent="0.25">
      <c r="A503" s="133">
        <v>42741</v>
      </c>
      <c r="B503" s="110">
        <v>53.3610376445653</v>
      </c>
      <c r="C503" s="110">
        <v>52.641256969082598</v>
      </c>
      <c r="D503" s="110">
        <v>52.009017186564101</v>
      </c>
      <c r="E503" s="110">
        <v>52.174372206607401</v>
      </c>
      <c r="F503" s="110">
        <v>270.60000000000002</v>
      </c>
      <c r="G503">
        <v>420941</v>
      </c>
      <c r="H503" s="110"/>
      <c r="I503" s="110"/>
      <c r="L503" s="133">
        <v>42741</v>
      </c>
      <c r="M503" s="110">
        <v>52.591461823095003</v>
      </c>
      <c r="N503" s="110">
        <v>53.301500053737797</v>
      </c>
      <c r="O503" s="110">
        <v>51.871697041347403</v>
      </c>
      <c r="P503" s="110">
        <v>51.871697041347403</v>
      </c>
      <c r="Q503" s="110">
        <v>270.35000000000002</v>
      </c>
      <c r="R503">
        <v>4113249</v>
      </c>
    </row>
    <row r="504" spans="1:18" x14ac:dyDescent="0.25">
      <c r="A504" s="133">
        <v>42744</v>
      </c>
      <c r="B504" s="110">
        <v>53.049781136248399</v>
      </c>
      <c r="C504" s="110">
        <v>52.456448417269499</v>
      </c>
      <c r="D504" s="110">
        <v>52.1938257383772</v>
      </c>
      <c r="E504" s="110">
        <v>52.894152882089998</v>
      </c>
      <c r="F504" s="110">
        <v>269.64999999999998</v>
      </c>
      <c r="G504">
        <v>178783</v>
      </c>
      <c r="H504" s="110"/>
      <c r="I504" s="110"/>
      <c r="L504" s="133">
        <v>42744</v>
      </c>
      <c r="M504" s="110">
        <v>52.523375965362099</v>
      </c>
      <c r="N504" s="110">
        <v>53.019430071701599</v>
      </c>
      <c r="O504" s="110">
        <v>52.212126330011799</v>
      </c>
      <c r="P504" s="110">
        <v>52.776266294084202</v>
      </c>
      <c r="Q504" s="110">
        <v>270</v>
      </c>
      <c r="R504">
        <v>1785354</v>
      </c>
    </row>
    <row r="505" spans="1:18" x14ac:dyDescent="0.25">
      <c r="A505" s="133">
        <v>42745</v>
      </c>
      <c r="B505" s="110">
        <v>52.9525134773994</v>
      </c>
      <c r="C505" s="110">
        <v>52.320273694880903</v>
      </c>
      <c r="D505" s="110">
        <v>51.979836888909396</v>
      </c>
      <c r="E505" s="110">
        <v>52.680164032622201</v>
      </c>
      <c r="F505" s="110">
        <v>268.95</v>
      </c>
      <c r="G505">
        <v>118176</v>
      </c>
      <c r="H505" s="110"/>
      <c r="I505" s="110"/>
      <c r="L505" s="133">
        <v>42745</v>
      </c>
      <c r="M505" s="110">
        <v>52.270485636639997</v>
      </c>
      <c r="N505" s="110">
        <v>52.970797316178199</v>
      </c>
      <c r="O505" s="110">
        <v>51.959236001289703</v>
      </c>
      <c r="P505" s="110">
        <v>52.6109149253044</v>
      </c>
      <c r="Q505" s="110">
        <v>268.7</v>
      </c>
      <c r="R505">
        <v>1761539</v>
      </c>
    </row>
    <row r="506" spans="1:18" x14ac:dyDescent="0.25">
      <c r="A506" s="133">
        <v>42746</v>
      </c>
      <c r="B506" s="110">
        <v>54.430981891904402</v>
      </c>
      <c r="C506" s="110">
        <v>53.759835045846202</v>
      </c>
      <c r="D506" s="110">
        <v>52.641256969082598</v>
      </c>
      <c r="E506" s="110">
        <v>52.641256969082598</v>
      </c>
      <c r="F506" s="110">
        <v>276.35000000000002</v>
      </c>
      <c r="G506">
        <v>360000</v>
      </c>
      <c r="H506" s="110"/>
      <c r="I506" s="110"/>
      <c r="L506" s="133">
        <v>42746</v>
      </c>
      <c r="M506" s="110">
        <v>53.748921404553897</v>
      </c>
      <c r="N506" s="110">
        <v>54.4492330840921</v>
      </c>
      <c r="O506" s="110">
        <v>52.601188374199701</v>
      </c>
      <c r="P506" s="110">
        <v>52.717906987455997</v>
      </c>
      <c r="Q506" s="110">
        <v>276.3</v>
      </c>
      <c r="R506">
        <v>4027101</v>
      </c>
    </row>
    <row r="507" spans="1:18" x14ac:dyDescent="0.25">
      <c r="A507" s="133">
        <v>42747</v>
      </c>
      <c r="B507" s="110">
        <v>54.275353637745901</v>
      </c>
      <c r="C507" s="110">
        <v>53.5361194304935</v>
      </c>
      <c r="D507" s="110">
        <v>53.166502326867302</v>
      </c>
      <c r="E507" s="110">
        <v>54.0419112565083</v>
      </c>
      <c r="F507" s="110">
        <v>275.2</v>
      </c>
      <c r="G507">
        <v>336423</v>
      </c>
      <c r="H507" s="110"/>
      <c r="I507" s="110"/>
      <c r="L507" s="133">
        <v>42747</v>
      </c>
      <c r="M507" s="110">
        <v>53.525210729145897</v>
      </c>
      <c r="N507" s="110">
        <v>54.2741551642075</v>
      </c>
      <c r="O507" s="110">
        <v>53.106969031643899</v>
      </c>
      <c r="P507" s="110">
        <v>53.885093120019597</v>
      </c>
      <c r="Q507" s="110">
        <v>275.14999999999998</v>
      </c>
      <c r="R507">
        <v>2489029</v>
      </c>
    </row>
    <row r="508" spans="1:18" x14ac:dyDescent="0.25">
      <c r="A508" s="133">
        <v>42748</v>
      </c>
      <c r="B508" s="110">
        <v>54.158632447127097</v>
      </c>
      <c r="C508" s="110">
        <v>53.827922407040496</v>
      </c>
      <c r="D508" s="110">
        <v>53.020600838593801</v>
      </c>
      <c r="E508" s="110">
        <v>53.740381514076397</v>
      </c>
      <c r="F508" s="110">
        <v>276.7</v>
      </c>
      <c r="G508">
        <v>279568</v>
      </c>
      <c r="H508" s="110"/>
      <c r="I508" s="110"/>
      <c r="L508" s="133">
        <v>42748</v>
      </c>
      <c r="M508" s="110">
        <v>53.710015200135103</v>
      </c>
      <c r="N508" s="110">
        <v>54.147709999846498</v>
      </c>
      <c r="O508" s="110">
        <v>53.029156622806298</v>
      </c>
      <c r="P508" s="110">
        <v>53.690562097925699</v>
      </c>
      <c r="Q508" s="110">
        <v>276.10000000000002</v>
      </c>
      <c r="R508">
        <v>2286153</v>
      </c>
    </row>
    <row r="509" spans="1:18" x14ac:dyDescent="0.25">
      <c r="A509" s="133">
        <v>42751</v>
      </c>
      <c r="B509" s="110">
        <v>54.411528360134497</v>
      </c>
      <c r="C509" s="110">
        <v>54.226719808321398</v>
      </c>
      <c r="D509" s="110">
        <v>53.545846196378399</v>
      </c>
      <c r="E509" s="110">
        <v>53.730654748191498</v>
      </c>
      <c r="F509" s="110">
        <v>278.75</v>
      </c>
      <c r="G509">
        <v>193797</v>
      </c>
      <c r="H509" s="110"/>
      <c r="I509" s="110"/>
      <c r="L509" s="133">
        <v>42751</v>
      </c>
      <c r="M509" s="110">
        <v>54.118530346532403</v>
      </c>
      <c r="N509" s="110">
        <v>54.468686186301497</v>
      </c>
      <c r="O509" s="110">
        <v>53.544663831355301</v>
      </c>
      <c r="P509" s="110">
        <v>53.885093120019597</v>
      </c>
      <c r="Q509" s="110">
        <v>278.2</v>
      </c>
      <c r="R509">
        <v>2385250</v>
      </c>
    </row>
    <row r="510" spans="1:18" x14ac:dyDescent="0.25">
      <c r="A510" s="133">
        <v>42752</v>
      </c>
      <c r="B510" s="110">
        <v>55.530106436898102</v>
      </c>
      <c r="C510" s="110">
        <v>55.306390821545399</v>
      </c>
      <c r="D510" s="110">
        <v>54.411528360134497</v>
      </c>
      <c r="E510" s="110">
        <v>54.411528360134497</v>
      </c>
      <c r="F510" s="110">
        <v>284.3</v>
      </c>
      <c r="G510">
        <v>347637</v>
      </c>
      <c r="H510" s="110"/>
      <c r="I510" s="110"/>
      <c r="L510" s="133">
        <v>42752</v>
      </c>
      <c r="M510" s="110">
        <v>55.295443030200701</v>
      </c>
      <c r="N510" s="110">
        <v>55.5288802567134</v>
      </c>
      <c r="O510" s="110">
        <v>54.351967573045101</v>
      </c>
      <c r="P510" s="110">
        <v>54.3616941241498</v>
      </c>
      <c r="Q510" s="110">
        <v>284.25</v>
      </c>
      <c r="R510">
        <v>3555769</v>
      </c>
    </row>
    <row r="511" spans="1:18" x14ac:dyDescent="0.25">
      <c r="A511" s="133">
        <v>42753</v>
      </c>
      <c r="B511" s="110">
        <v>56.415242132424098</v>
      </c>
      <c r="C511" s="110">
        <v>56.094258858222403</v>
      </c>
      <c r="D511" s="110">
        <v>55.1313090356172</v>
      </c>
      <c r="E511" s="110">
        <v>55.248030226235997</v>
      </c>
      <c r="F511" s="110">
        <v>288.35000000000002</v>
      </c>
      <c r="G511">
        <v>252695</v>
      </c>
      <c r="H511" s="110"/>
      <c r="I511" s="110"/>
      <c r="L511" s="133">
        <v>42753</v>
      </c>
      <c r="M511" s="110">
        <v>56.063840567471701</v>
      </c>
      <c r="N511" s="110">
        <v>56.375090202822001</v>
      </c>
      <c r="O511" s="110">
        <v>55.3051695813054</v>
      </c>
      <c r="P511" s="110">
        <v>55.538606807818098</v>
      </c>
      <c r="Q511" s="110">
        <v>288.2</v>
      </c>
      <c r="R511">
        <v>2893171</v>
      </c>
    </row>
    <row r="512" spans="1:18" x14ac:dyDescent="0.25">
      <c r="A512" s="133">
        <v>42754</v>
      </c>
      <c r="B512" s="110">
        <v>56.852946597244603</v>
      </c>
      <c r="C512" s="110">
        <v>55.821909413445098</v>
      </c>
      <c r="D512" s="110">
        <v>55.423112012164196</v>
      </c>
      <c r="E512" s="110">
        <v>56.094258858222403</v>
      </c>
      <c r="F512" s="110">
        <v>286.95</v>
      </c>
      <c r="G512">
        <v>225402</v>
      </c>
      <c r="H512" s="110"/>
      <c r="I512" s="110"/>
      <c r="L512" s="133">
        <v>42754</v>
      </c>
      <c r="M512" s="110">
        <v>55.791497136540201</v>
      </c>
      <c r="N512" s="110">
        <v>56.793331900323999</v>
      </c>
      <c r="O512" s="110">
        <v>55.334349234619502</v>
      </c>
      <c r="P512" s="110">
        <v>56.044387465262297</v>
      </c>
      <c r="Q512" s="110">
        <v>286.8</v>
      </c>
      <c r="R512">
        <v>2792351</v>
      </c>
    </row>
    <row r="513" spans="1:18" x14ac:dyDescent="0.25">
      <c r="A513" s="133">
        <v>42755</v>
      </c>
      <c r="B513" s="110">
        <v>56.317974473575099</v>
      </c>
      <c r="C513" s="110">
        <v>53.010874072708802</v>
      </c>
      <c r="D513" s="110">
        <v>52.719071096161798</v>
      </c>
      <c r="E513" s="110">
        <v>55.831636179330097</v>
      </c>
      <c r="F513" s="110">
        <v>272.5</v>
      </c>
      <c r="G513">
        <v>728289</v>
      </c>
      <c r="H513" s="110"/>
      <c r="I513" s="110"/>
      <c r="L513" s="133">
        <v>42755</v>
      </c>
      <c r="M513" s="110">
        <v>53.038883173911003</v>
      </c>
      <c r="N513" s="110">
        <v>56.287551242879701</v>
      </c>
      <c r="O513" s="110">
        <v>52.766539742979496</v>
      </c>
      <c r="P513" s="110">
        <v>55.606692665551002</v>
      </c>
      <c r="Q513" s="110">
        <v>272.64999999999998</v>
      </c>
      <c r="R513">
        <v>6681691</v>
      </c>
    </row>
    <row r="514" spans="1:18" x14ac:dyDescent="0.25">
      <c r="A514" s="133">
        <v>42758</v>
      </c>
      <c r="B514" s="110">
        <v>53.779288577616001</v>
      </c>
      <c r="C514" s="110">
        <v>53.477758835184098</v>
      </c>
      <c r="D514" s="110">
        <v>52.398087821960097</v>
      </c>
      <c r="E514" s="110">
        <v>53.1081417315579</v>
      </c>
      <c r="F514" s="110">
        <v>274.89999999999998</v>
      </c>
      <c r="G514">
        <v>229751</v>
      </c>
      <c r="H514" s="110"/>
      <c r="I514" s="110"/>
      <c r="L514" s="133">
        <v>42758</v>
      </c>
      <c r="M514" s="110">
        <v>53.427945218098898</v>
      </c>
      <c r="N514" s="110">
        <v>53.778101057868</v>
      </c>
      <c r="O514" s="110">
        <v>52.348298045477598</v>
      </c>
      <c r="P514" s="110">
        <v>53.038883173911003</v>
      </c>
      <c r="Q514" s="110">
        <v>274.64999999999998</v>
      </c>
      <c r="R514">
        <v>3187795</v>
      </c>
    </row>
    <row r="515" spans="1:18" x14ac:dyDescent="0.25">
      <c r="A515" s="133">
        <v>42759</v>
      </c>
      <c r="B515" s="110">
        <v>54.6255172096024</v>
      </c>
      <c r="C515" s="110">
        <v>53.934916831774402</v>
      </c>
      <c r="D515" s="110">
        <v>52.5245357784638</v>
      </c>
      <c r="E515" s="110">
        <v>53.837649172925403</v>
      </c>
      <c r="F515" s="110">
        <v>277.25</v>
      </c>
      <c r="G515">
        <v>200465</v>
      </c>
      <c r="H515" s="110"/>
      <c r="I515" s="110"/>
      <c r="L515" s="133">
        <v>42759</v>
      </c>
      <c r="M515" s="110">
        <v>54.040717937694801</v>
      </c>
      <c r="N515" s="110">
        <v>54.624311003976601</v>
      </c>
      <c r="O515" s="110">
        <v>53.5057576269365</v>
      </c>
      <c r="P515" s="110">
        <v>53.846186915600903</v>
      </c>
      <c r="Q515" s="110">
        <v>277.8</v>
      </c>
      <c r="R515">
        <v>3166924</v>
      </c>
    </row>
    <row r="516" spans="1:18" x14ac:dyDescent="0.25">
      <c r="A516" s="133">
        <v>42760</v>
      </c>
      <c r="B516" s="110">
        <v>54.858959590840001</v>
      </c>
      <c r="C516" s="110">
        <v>54.7033313366816</v>
      </c>
      <c r="D516" s="110">
        <v>53.730654748191498</v>
      </c>
      <c r="E516" s="110">
        <v>54.080818320047896</v>
      </c>
      <c r="F516" s="110">
        <v>281.2</v>
      </c>
      <c r="G516">
        <v>196931</v>
      </c>
      <c r="H516" s="110"/>
      <c r="I516" s="110"/>
      <c r="L516" s="133">
        <v>42760</v>
      </c>
      <c r="M516" s="110">
        <v>54.8091154749658</v>
      </c>
      <c r="N516" s="110">
        <v>54.916107537117497</v>
      </c>
      <c r="O516" s="110">
        <v>53.700288649030398</v>
      </c>
      <c r="P516" s="110">
        <v>54.2741551642075</v>
      </c>
      <c r="Q516" s="110">
        <v>281.75</v>
      </c>
      <c r="R516">
        <v>2697509</v>
      </c>
    </row>
    <row r="517" spans="1:18" x14ac:dyDescent="0.25">
      <c r="A517" s="133">
        <v>42762</v>
      </c>
      <c r="B517" s="110">
        <v>55.899723540524398</v>
      </c>
      <c r="C517" s="110">
        <v>55.432838778049103</v>
      </c>
      <c r="D517" s="110">
        <v>54.858959590840001</v>
      </c>
      <c r="E517" s="110">
        <v>54.858959590840001</v>
      </c>
      <c r="F517" s="110">
        <v>284.95</v>
      </c>
      <c r="G517">
        <v>319313</v>
      </c>
      <c r="H517" s="110"/>
      <c r="I517" s="110"/>
      <c r="L517" s="133">
        <v>42762</v>
      </c>
      <c r="M517" s="110">
        <v>55.246810274677202</v>
      </c>
      <c r="N517" s="110">
        <v>55.8887626475872</v>
      </c>
      <c r="O517" s="110">
        <v>54.770209270546999</v>
      </c>
      <c r="P517" s="110">
        <v>54.935560639326901</v>
      </c>
      <c r="Q517" s="110">
        <v>284</v>
      </c>
      <c r="R517">
        <v>2615910</v>
      </c>
    </row>
    <row r="518" spans="1:18" x14ac:dyDescent="0.25">
      <c r="A518" s="133">
        <v>42765</v>
      </c>
      <c r="B518" s="110">
        <v>57.037755149057702</v>
      </c>
      <c r="C518" s="110">
        <v>55.851089711099903</v>
      </c>
      <c r="D518" s="110">
        <v>54.956227249689</v>
      </c>
      <c r="E518" s="110">
        <v>55.442565543934002</v>
      </c>
      <c r="F518" s="110">
        <v>287.10000000000002</v>
      </c>
      <c r="G518">
        <v>318448</v>
      </c>
      <c r="H518" s="110"/>
      <c r="I518" s="110"/>
      <c r="L518" s="133">
        <v>42765</v>
      </c>
      <c r="M518" s="110">
        <v>55.995754709738797</v>
      </c>
      <c r="N518" s="110">
        <v>57.124034637883597</v>
      </c>
      <c r="O518" s="110">
        <v>54.916107537117497</v>
      </c>
      <c r="P518" s="110">
        <v>55.489974052294599</v>
      </c>
      <c r="Q518" s="110">
        <v>287.85000000000002</v>
      </c>
      <c r="R518">
        <v>4193097</v>
      </c>
    </row>
    <row r="519" spans="1:18" x14ac:dyDescent="0.25">
      <c r="A519" s="133">
        <v>42766</v>
      </c>
      <c r="B519" s="110">
        <v>56.415242132424098</v>
      </c>
      <c r="C519" s="110">
        <v>55.355024650969902</v>
      </c>
      <c r="D519" s="110">
        <v>55.111855503847401</v>
      </c>
      <c r="E519" s="110">
        <v>56.026171497028102</v>
      </c>
      <c r="F519" s="110">
        <v>284.55</v>
      </c>
      <c r="G519">
        <v>170024</v>
      </c>
      <c r="H519" s="110"/>
      <c r="I519" s="110"/>
      <c r="L519" s="133">
        <v>42766</v>
      </c>
      <c r="M519" s="110">
        <v>55.198177519153703</v>
      </c>
      <c r="N519" s="110">
        <v>56.394543305031398</v>
      </c>
      <c r="O519" s="110">
        <v>54.935560639326901</v>
      </c>
      <c r="P519" s="110">
        <v>56.0249343630529</v>
      </c>
      <c r="Q519" s="110">
        <v>283.75</v>
      </c>
      <c r="R519">
        <v>2027989</v>
      </c>
    </row>
    <row r="520" spans="1:18" x14ac:dyDescent="0.25">
      <c r="A520" s="133">
        <v>42767</v>
      </c>
      <c r="B520" s="110">
        <v>57.096115744367097</v>
      </c>
      <c r="C520" s="110">
        <v>56.921033958438898</v>
      </c>
      <c r="D520" s="110">
        <v>54.469888955443999</v>
      </c>
      <c r="E520" s="110">
        <v>55.627374095747101</v>
      </c>
      <c r="F520" s="110">
        <v>292.60000000000002</v>
      </c>
      <c r="G520">
        <v>368849</v>
      </c>
      <c r="H520" s="110"/>
      <c r="I520" s="110"/>
      <c r="L520" s="133">
        <v>42767</v>
      </c>
      <c r="M520" s="110">
        <v>56.871144309161501</v>
      </c>
      <c r="N520" s="110">
        <v>57.094854984569601</v>
      </c>
      <c r="O520" s="110">
        <v>54.429779981882703</v>
      </c>
      <c r="P520" s="110">
        <v>55.4413412967711</v>
      </c>
      <c r="Q520" s="110">
        <v>292.35000000000002</v>
      </c>
      <c r="R520">
        <v>3546592</v>
      </c>
    </row>
    <row r="521" spans="1:18" x14ac:dyDescent="0.25">
      <c r="A521" s="133">
        <v>42768</v>
      </c>
      <c r="B521" s="110">
        <v>58.749665944800299</v>
      </c>
      <c r="C521" s="110">
        <v>58.078519098742099</v>
      </c>
      <c r="D521" s="110">
        <v>56.415242132424098</v>
      </c>
      <c r="E521" s="110">
        <v>57.3879187209142</v>
      </c>
      <c r="F521" s="110">
        <v>298.55</v>
      </c>
      <c r="G521">
        <v>432393</v>
      </c>
      <c r="H521" s="110"/>
      <c r="I521" s="110"/>
      <c r="L521" s="133">
        <v>42768</v>
      </c>
      <c r="M521" s="110">
        <v>58.096689748353299</v>
      </c>
      <c r="N521" s="110">
        <v>58.835907632310303</v>
      </c>
      <c r="O521" s="110">
        <v>56.433449509450199</v>
      </c>
      <c r="P521" s="110">
        <v>57.1921204956165</v>
      </c>
      <c r="Q521" s="110">
        <v>298.64999999999998</v>
      </c>
      <c r="R521">
        <v>4822935</v>
      </c>
    </row>
    <row r="522" spans="1:18" x14ac:dyDescent="0.25">
      <c r="A522" s="133">
        <v>42769</v>
      </c>
      <c r="B522" s="110">
        <v>61.0840897571764</v>
      </c>
      <c r="C522" s="110">
        <v>60.422669677003199</v>
      </c>
      <c r="D522" s="110">
        <v>58.000704971662898</v>
      </c>
      <c r="E522" s="110">
        <v>58.555130627102301</v>
      </c>
      <c r="F522" s="110">
        <v>310.60000000000002</v>
      </c>
      <c r="G522">
        <v>458936</v>
      </c>
      <c r="H522" s="110"/>
      <c r="I522" s="110"/>
      <c r="L522" s="133">
        <v>42769</v>
      </c>
      <c r="M522" s="110">
        <v>60.499147871213403</v>
      </c>
      <c r="N522" s="110">
        <v>61.180006448542201</v>
      </c>
      <c r="O522" s="110">
        <v>57.989697686201701</v>
      </c>
      <c r="P522" s="110">
        <v>58.330126974865998</v>
      </c>
      <c r="Q522" s="110">
        <v>311</v>
      </c>
      <c r="R522">
        <v>4941295</v>
      </c>
    </row>
    <row r="523" spans="1:18" x14ac:dyDescent="0.25">
      <c r="A523" s="133">
        <v>42772</v>
      </c>
      <c r="B523" s="110">
        <v>61.910864857393001</v>
      </c>
      <c r="C523" s="110">
        <v>60.5004838040824</v>
      </c>
      <c r="D523" s="110">
        <v>60.228134359305201</v>
      </c>
      <c r="E523" s="110">
        <v>60.607478228816298</v>
      </c>
      <c r="F523" s="110">
        <v>311</v>
      </c>
      <c r="G523">
        <v>331371</v>
      </c>
      <c r="H523" s="110"/>
      <c r="I523" s="110"/>
      <c r="L523" s="133">
        <v>42772</v>
      </c>
      <c r="M523" s="110">
        <v>60.518600973422799</v>
      </c>
      <c r="N523" s="110">
        <v>61.899771230289701</v>
      </c>
      <c r="O523" s="110">
        <v>60.343523053538199</v>
      </c>
      <c r="P523" s="110">
        <v>61.073014386390497</v>
      </c>
      <c r="Q523" s="110">
        <v>311.10000000000002</v>
      </c>
      <c r="R523">
        <v>3504560</v>
      </c>
    </row>
    <row r="524" spans="1:18" x14ac:dyDescent="0.25">
      <c r="A524" s="133">
        <v>42773</v>
      </c>
      <c r="B524" s="110">
        <v>61.512067456112099</v>
      </c>
      <c r="C524" s="110">
        <v>60.607478228816298</v>
      </c>
      <c r="D524" s="110">
        <v>59.916877850988399</v>
      </c>
      <c r="E524" s="110">
        <v>60.831193844169</v>
      </c>
      <c r="F524" s="110">
        <v>311.55</v>
      </c>
      <c r="G524">
        <v>317990</v>
      </c>
      <c r="H524" s="110"/>
      <c r="I524" s="110"/>
      <c r="L524" s="133">
        <v>42773</v>
      </c>
      <c r="M524" s="110">
        <v>60.596413382260401</v>
      </c>
      <c r="N524" s="110">
        <v>61.530162288311203</v>
      </c>
      <c r="O524" s="110">
        <v>59.935007907140999</v>
      </c>
      <c r="P524" s="110">
        <v>60.576960280050997</v>
      </c>
      <c r="Q524" s="110">
        <v>311.5</v>
      </c>
      <c r="R524">
        <v>3535638</v>
      </c>
    </row>
    <row r="525" spans="1:18" x14ac:dyDescent="0.25">
      <c r="A525" s="133">
        <v>42774</v>
      </c>
      <c r="B525" s="110">
        <v>60.802013546514303</v>
      </c>
      <c r="C525" s="110">
        <v>60.237861125190101</v>
      </c>
      <c r="D525" s="110">
        <v>59.274911302584897</v>
      </c>
      <c r="E525" s="110">
        <v>60.802013546514303</v>
      </c>
      <c r="F525" s="110">
        <v>309.64999999999998</v>
      </c>
      <c r="G525">
        <v>197779</v>
      </c>
      <c r="H525" s="110"/>
      <c r="I525" s="110"/>
      <c r="L525" s="133">
        <v>42774</v>
      </c>
      <c r="M525" s="110">
        <v>60.294890298014799</v>
      </c>
      <c r="N525" s="110">
        <v>60.888209915401298</v>
      </c>
      <c r="O525" s="110">
        <v>59.263875880916899</v>
      </c>
      <c r="P525" s="110">
        <v>60.888209915401298</v>
      </c>
      <c r="Q525" s="110">
        <v>309.95</v>
      </c>
      <c r="R525">
        <v>2262010</v>
      </c>
    </row>
    <row r="526" spans="1:18" x14ac:dyDescent="0.25">
      <c r="A526" s="133">
        <v>42775</v>
      </c>
      <c r="B526" s="110">
        <v>61.278625074874398</v>
      </c>
      <c r="C526" s="110">
        <v>60.101686402801498</v>
      </c>
      <c r="D526" s="110">
        <v>58.827480071879499</v>
      </c>
      <c r="E526" s="110">
        <v>60.607478228816298</v>
      </c>
      <c r="F526" s="110">
        <v>308.95</v>
      </c>
      <c r="G526">
        <v>429700</v>
      </c>
      <c r="H526" s="110"/>
      <c r="I526" s="110"/>
      <c r="L526" s="133">
        <v>42775</v>
      </c>
      <c r="M526" s="110">
        <v>60.197624786967801</v>
      </c>
      <c r="N526" s="110">
        <v>60.849303710982497</v>
      </c>
      <c r="O526" s="110">
        <v>58.826181081205597</v>
      </c>
      <c r="P526" s="110">
        <v>60.6936788933073</v>
      </c>
      <c r="Q526" s="110">
        <v>309.45</v>
      </c>
      <c r="R526">
        <v>4160795</v>
      </c>
    </row>
    <row r="527" spans="1:18" x14ac:dyDescent="0.25">
      <c r="A527" s="133">
        <v>42776</v>
      </c>
      <c r="B527" s="110">
        <v>60.879827673593503</v>
      </c>
      <c r="C527" s="110">
        <v>60.442123208772998</v>
      </c>
      <c r="D527" s="110">
        <v>59.109556282541597</v>
      </c>
      <c r="E527" s="110">
        <v>60.490757038197501</v>
      </c>
      <c r="F527" s="110">
        <v>310.7</v>
      </c>
      <c r="G527">
        <v>228623</v>
      </c>
      <c r="H527" s="110"/>
      <c r="I527" s="110"/>
      <c r="L527" s="133">
        <v>42776</v>
      </c>
      <c r="M527" s="110">
        <v>60.508874422318101</v>
      </c>
      <c r="N527" s="110">
        <v>60.771491302144902</v>
      </c>
      <c r="O527" s="110">
        <v>59.098524512137097</v>
      </c>
      <c r="P527" s="110">
        <v>60.401882360166397</v>
      </c>
      <c r="Q527" s="110">
        <v>311.05</v>
      </c>
      <c r="R527">
        <v>3364330</v>
      </c>
    </row>
    <row r="528" spans="1:18" x14ac:dyDescent="0.25">
      <c r="A528" s="133">
        <v>42779</v>
      </c>
      <c r="B528" s="110">
        <v>60.792286780629397</v>
      </c>
      <c r="C528" s="110">
        <v>58.448136202368303</v>
      </c>
      <c r="D528" s="110">
        <v>58.020158503432697</v>
      </c>
      <c r="E528" s="110">
        <v>60.5004838040824</v>
      </c>
      <c r="F528" s="110">
        <v>300.45</v>
      </c>
      <c r="G528">
        <v>194221</v>
      </c>
      <c r="H528" s="110"/>
      <c r="I528" s="110"/>
      <c r="L528" s="133">
        <v>42779</v>
      </c>
      <c r="M528" s="110">
        <v>58.5343845480647</v>
      </c>
      <c r="N528" s="110">
        <v>60.888209915401298</v>
      </c>
      <c r="O528" s="110">
        <v>58.164775606086202</v>
      </c>
      <c r="P528" s="110">
        <v>60.401882360166397</v>
      </c>
      <c r="Q528" s="110">
        <v>300.89999999999998</v>
      </c>
      <c r="R528">
        <v>3043174</v>
      </c>
    </row>
    <row r="529" spans="1:18" x14ac:dyDescent="0.25">
      <c r="A529" s="133">
        <v>42780</v>
      </c>
      <c r="B529" s="110">
        <v>59.527807215592297</v>
      </c>
      <c r="C529" s="110">
        <v>59.022015389577497</v>
      </c>
      <c r="D529" s="110">
        <v>57.689448463346103</v>
      </c>
      <c r="E529" s="110">
        <v>58.876113901304002</v>
      </c>
      <c r="F529" s="110">
        <v>303.39999999999998</v>
      </c>
      <c r="G529">
        <v>194943</v>
      </c>
      <c r="H529" s="110"/>
      <c r="I529" s="110"/>
      <c r="L529" s="133">
        <v>42780</v>
      </c>
      <c r="M529" s="110">
        <v>58.981805898880701</v>
      </c>
      <c r="N529" s="110">
        <v>59.429227249696801</v>
      </c>
      <c r="O529" s="110">
        <v>57.678448050851401</v>
      </c>
      <c r="P529" s="110">
        <v>58.748368672368002</v>
      </c>
      <c r="Q529" s="110">
        <v>303.2</v>
      </c>
      <c r="R529">
        <v>2677237</v>
      </c>
    </row>
    <row r="530" spans="1:18" x14ac:dyDescent="0.25">
      <c r="A530" s="133">
        <v>42781</v>
      </c>
      <c r="B530" s="110">
        <v>59.167916877850999</v>
      </c>
      <c r="C530" s="110">
        <v>56.901580426669099</v>
      </c>
      <c r="D530" s="110">
        <v>56.424968898308997</v>
      </c>
      <c r="E530" s="110">
        <v>58.029885269317603</v>
      </c>
      <c r="F530" s="110">
        <v>292.5</v>
      </c>
      <c r="G530">
        <v>293057</v>
      </c>
      <c r="H530" s="110"/>
      <c r="I530" s="110"/>
      <c r="L530" s="133">
        <v>42781</v>
      </c>
      <c r="M530" s="110">
        <v>57.065675331255498</v>
      </c>
      <c r="N530" s="110">
        <v>59.186063472079297</v>
      </c>
      <c r="O530" s="110">
        <v>56.754425695905198</v>
      </c>
      <c r="P530" s="110">
        <v>58.923446592252503</v>
      </c>
      <c r="Q530" s="110">
        <v>293.35000000000002</v>
      </c>
      <c r="R530">
        <v>2762608</v>
      </c>
    </row>
    <row r="531" spans="1:18" x14ac:dyDescent="0.25">
      <c r="A531" s="133">
        <v>42782</v>
      </c>
      <c r="B531" s="110">
        <v>57.971524674008201</v>
      </c>
      <c r="C531" s="110">
        <v>57.572727272727299</v>
      </c>
      <c r="D531" s="110">
        <v>56.7264986407409</v>
      </c>
      <c r="E531" s="110">
        <v>57.329558125604798</v>
      </c>
      <c r="F531" s="110">
        <v>295.95</v>
      </c>
      <c r="G531">
        <v>209390</v>
      </c>
      <c r="H531" s="110"/>
      <c r="I531" s="110"/>
      <c r="L531" s="133">
        <v>42782</v>
      </c>
      <c r="M531" s="110">
        <v>57.590909090909101</v>
      </c>
      <c r="N531" s="110">
        <v>58.057783543934498</v>
      </c>
      <c r="O531" s="110">
        <v>56.696066389277</v>
      </c>
      <c r="P531" s="110">
        <v>57.581182539804402</v>
      </c>
      <c r="Q531" s="110">
        <v>296.05</v>
      </c>
      <c r="R531">
        <v>2620647</v>
      </c>
    </row>
    <row r="532" spans="1:18" x14ac:dyDescent="0.25">
      <c r="A532" s="133">
        <v>42783</v>
      </c>
      <c r="B532" s="110">
        <v>59.7</v>
      </c>
      <c r="C532" s="110">
        <v>58.31</v>
      </c>
      <c r="D532" s="110">
        <v>57.86</v>
      </c>
      <c r="E532" s="110">
        <v>59</v>
      </c>
      <c r="F532" s="110">
        <v>291.55</v>
      </c>
      <c r="G532">
        <v>205479</v>
      </c>
      <c r="H532" s="110"/>
      <c r="I532" s="110"/>
      <c r="L532" s="133">
        <v>42783</v>
      </c>
      <c r="M532" s="110">
        <v>58.38</v>
      </c>
      <c r="N532" s="110">
        <v>59.7</v>
      </c>
      <c r="O532" s="110">
        <v>58.04</v>
      </c>
      <c r="P532" s="110">
        <v>58.8</v>
      </c>
      <c r="Q532" s="110">
        <v>291.89999999999998</v>
      </c>
      <c r="R532">
        <v>2196649</v>
      </c>
    </row>
    <row r="533" spans="1:18" x14ac:dyDescent="0.25">
      <c r="A533" s="133">
        <v>42786</v>
      </c>
      <c r="B533" s="110">
        <v>58.5</v>
      </c>
      <c r="C533" s="110">
        <v>58.03</v>
      </c>
      <c r="D533" s="110">
        <v>57.67</v>
      </c>
      <c r="E533" s="110">
        <v>58.12</v>
      </c>
      <c r="F533" s="110">
        <v>290.14999999999998</v>
      </c>
      <c r="G533">
        <v>117693</v>
      </c>
      <c r="H533" s="110"/>
      <c r="I533" s="110"/>
      <c r="L533" s="133">
        <v>42786</v>
      </c>
      <c r="M533" s="110">
        <v>58.06</v>
      </c>
      <c r="N533" s="110">
        <v>58.5</v>
      </c>
      <c r="O533" s="110">
        <v>57.6</v>
      </c>
      <c r="P533" s="110">
        <v>58.28</v>
      </c>
      <c r="Q533" s="110">
        <v>290.3</v>
      </c>
      <c r="R533">
        <v>1821548</v>
      </c>
    </row>
    <row r="534" spans="1:18" x14ac:dyDescent="0.25">
      <c r="A534" s="133">
        <v>42787</v>
      </c>
      <c r="B534" s="110">
        <v>59.04</v>
      </c>
      <c r="C534" s="110">
        <v>58.75</v>
      </c>
      <c r="D534" s="110">
        <v>58.2</v>
      </c>
      <c r="E534" s="110">
        <v>58.2</v>
      </c>
      <c r="F534" s="110">
        <v>293.75</v>
      </c>
      <c r="G534">
        <v>144454</v>
      </c>
      <c r="H534" s="110"/>
      <c r="I534" s="110"/>
      <c r="L534" s="133">
        <v>42787</v>
      </c>
      <c r="M534" s="110">
        <v>58.76</v>
      </c>
      <c r="N534" s="110">
        <v>59.03</v>
      </c>
      <c r="O534" s="110">
        <v>58.13</v>
      </c>
      <c r="P534" s="110">
        <v>58.36</v>
      </c>
      <c r="Q534" s="110">
        <v>293.8</v>
      </c>
      <c r="R534">
        <v>2221851</v>
      </c>
    </row>
    <row r="535" spans="1:18" x14ac:dyDescent="0.25">
      <c r="A535" s="133">
        <v>42788</v>
      </c>
      <c r="B535" s="110">
        <v>59.24</v>
      </c>
      <c r="C535" s="110">
        <v>58.29</v>
      </c>
      <c r="D535" s="110">
        <v>57.82</v>
      </c>
      <c r="E535" s="110">
        <v>58.7</v>
      </c>
      <c r="F535" s="110">
        <v>291.45</v>
      </c>
      <c r="G535">
        <v>126785</v>
      </c>
      <c r="H535" s="110"/>
      <c r="I535" s="110"/>
      <c r="L535" s="133">
        <v>42788</v>
      </c>
      <c r="M535" s="110">
        <v>58.34</v>
      </c>
      <c r="N535" s="110">
        <v>59.26</v>
      </c>
      <c r="O535" s="110">
        <v>58.11</v>
      </c>
      <c r="P535" s="110">
        <v>58.78</v>
      </c>
      <c r="Q535" s="110">
        <v>291.7</v>
      </c>
      <c r="R535">
        <v>1788847</v>
      </c>
    </row>
    <row r="536" spans="1:18" x14ac:dyDescent="0.25">
      <c r="A536" s="133">
        <v>42789</v>
      </c>
      <c r="B536" s="110">
        <v>58.88</v>
      </c>
      <c r="C536" s="110">
        <v>58.26</v>
      </c>
      <c r="D536" s="110">
        <v>58</v>
      </c>
      <c r="E536" s="110">
        <v>58.11</v>
      </c>
      <c r="F536" s="110">
        <v>291.3</v>
      </c>
      <c r="G536">
        <v>80173</v>
      </c>
      <c r="H536" s="110"/>
      <c r="I536" s="110"/>
      <c r="L536" s="133">
        <v>42789</v>
      </c>
      <c r="M536" s="110">
        <v>58.3</v>
      </c>
      <c r="N536" s="110">
        <v>58.91</v>
      </c>
      <c r="O536" s="110">
        <v>58.01</v>
      </c>
      <c r="P536" s="110">
        <v>58.68</v>
      </c>
      <c r="Q536" s="110">
        <v>291.5</v>
      </c>
      <c r="R536">
        <v>1288883</v>
      </c>
    </row>
    <row r="537" spans="1:18" x14ac:dyDescent="0.25">
      <c r="A537" s="133">
        <v>42793</v>
      </c>
      <c r="B537" s="110">
        <v>59.06</v>
      </c>
      <c r="C537" s="110">
        <v>57.72</v>
      </c>
      <c r="D537" s="110">
        <v>57.53</v>
      </c>
      <c r="E537" s="110">
        <v>58</v>
      </c>
      <c r="F537" s="110">
        <v>288.60000000000002</v>
      </c>
      <c r="G537">
        <v>144033</v>
      </c>
      <c r="H537" s="110"/>
      <c r="I537" s="110"/>
      <c r="L537" s="133">
        <v>42793</v>
      </c>
      <c r="M537" s="110">
        <v>57.79</v>
      </c>
      <c r="N537" s="110">
        <v>59.1</v>
      </c>
      <c r="O537" s="110">
        <v>57.61</v>
      </c>
      <c r="P537" s="110">
        <v>58.6</v>
      </c>
      <c r="Q537" s="110">
        <v>288.95</v>
      </c>
      <c r="R537">
        <v>1984163</v>
      </c>
    </row>
    <row r="538" spans="1:18" x14ac:dyDescent="0.25">
      <c r="A538" s="133">
        <v>42794</v>
      </c>
      <c r="B538" s="110">
        <v>59.32</v>
      </c>
      <c r="C538" s="110">
        <v>59.05</v>
      </c>
      <c r="D538" s="110">
        <v>57.2</v>
      </c>
      <c r="E538" s="110">
        <v>57.2</v>
      </c>
      <c r="F538" s="110">
        <v>295.25</v>
      </c>
      <c r="G538">
        <v>205679</v>
      </c>
      <c r="H538" s="110"/>
      <c r="I538" s="110"/>
      <c r="L538" s="133">
        <v>42794</v>
      </c>
      <c r="M538" s="110">
        <v>59.11</v>
      </c>
      <c r="N538" s="110">
        <v>59.37</v>
      </c>
      <c r="O538" s="110">
        <v>57.18</v>
      </c>
      <c r="P538" s="110">
        <v>57.51</v>
      </c>
      <c r="Q538" s="110">
        <v>295.55</v>
      </c>
      <c r="R538">
        <v>2731142</v>
      </c>
    </row>
    <row r="539" spans="1:18" x14ac:dyDescent="0.25">
      <c r="A539" s="133">
        <v>42795</v>
      </c>
      <c r="B539" s="110">
        <v>60.46</v>
      </c>
      <c r="C539" s="110">
        <v>59.15</v>
      </c>
      <c r="D539" s="110">
        <v>58.7</v>
      </c>
      <c r="E539" s="110">
        <v>59</v>
      </c>
      <c r="F539" s="110">
        <v>295.75</v>
      </c>
      <c r="G539">
        <v>202850</v>
      </c>
      <c r="H539" s="110"/>
      <c r="I539" s="110"/>
      <c r="L539" s="133">
        <v>42795</v>
      </c>
      <c r="M539" s="110">
        <v>59.2</v>
      </c>
      <c r="N539" s="110">
        <v>60.46</v>
      </c>
      <c r="O539" s="110">
        <v>58.67</v>
      </c>
      <c r="P539" s="110">
        <v>59.22</v>
      </c>
      <c r="Q539" s="110">
        <v>296</v>
      </c>
      <c r="R539">
        <v>2307548</v>
      </c>
    </row>
    <row r="540" spans="1:18" x14ac:dyDescent="0.25">
      <c r="A540" s="133">
        <v>42796</v>
      </c>
      <c r="B540" s="110">
        <v>60.08</v>
      </c>
      <c r="C540" s="110">
        <v>58.11</v>
      </c>
      <c r="D540" s="110">
        <v>57.68</v>
      </c>
      <c r="E540" s="110">
        <v>59.26</v>
      </c>
      <c r="F540" s="110">
        <v>290.55</v>
      </c>
      <c r="G540">
        <v>160533</v>
      </c>
      <c r="H540" s="110"/>
      <c r="I540" s="110"/>
      <c r="L540" s="133">
        <v>42796</v>
      </c>
      <c r="M540" s="110">
        <v>58.2</v>
      </c>
      <c r="N540" s="110">
        <v>60.08</v>
      </c>
      <c r="O540" s="110">
        <v>58.06</v>
      </c>
      <c r="P540" s="110">
        <v>59.79</v>
      </c>
      <c r="Q540" s="110">
        <v>291</v>
      </c>
      <c r="R540">
        <v>1955031</v>
      </c>
    </row>
    <row r="541" spans="1:18" x14ac:dyDescent="0.25">
      <c r="A541" s="133">
        <v>42797</v>
      </c>
      <c r="B541" s="110">
        <v>58.38</v>
      </c>
      <c r="C541" s="110">
        <v>57.74</v>
      </c>
      <c r="D541" s="110">
        <v>57.5</v>
      </c>
      <c r="E541" s="110">
        <v>57.8</v>
      </c>
      <c r="F541" s="110">
        <v>288.7</v>
      </c>
      <c r="G541">
        <v>85163</v>
      </c>
      <c r="H541" s="110"/>
      <c r="I541" s="110"/>
      <c r="L541" s="133">
        <v>42797</v>
      </c>
      <c r="M541" s="110">
        <v>57.74</v>
      </c>
      <c r="N541" s="110">
        <v>58.38</v>
      </c>
      <c r="O541" s="110">
        <v>57.42</v>
      </c>
      <c r="P541" s="110">
        <v>58</v>
      </c>
      <c r="Q541" s="110">
        <v>288.7</v>
      </c>
      <c r="R541">
        <v>1066141</v>
      </c>
    </row>
    <row r="542" spans="1:18" x14ac:dyDescent="0.25">
      <c r="A542" s="133">
        <v>42800</v>
      </c>
      <c r="B542" s="110">
        <v>58.74</v>
      </c>
      <c r="C542" s="110">
        <v>58.21</v>
      </c>
      <c r="D542" s="110">
        <v>57.72</v>
      </c>
      <c r="E542" s="110">
        <v>57.73</v>
      </c>
      <c r="F542" s="110">
        <v>291.05</v>
      </c>
      <c r="G542">
        <v>110275</v>
      </c>
      <c r="H542" s="110"/>
      <c r="I542" s="110"/>
      <c r="L542" s="133">
        <v>42800</v>
      </c>
      <c r="M542" s="110">
        <v>58.18</v>
      </c>
      <c r="N542" s="110">
        <v>58.76</v>
      </c>
      <c r="O542" s="110">
        <v>57.7</v>
      </c>
      <c r="P542" s="110">
        <v>58.29</v>
      </c>
      <c r="Q542" s="110">
        <v>290.89999999999998</v>
      </c>
      <c r="R542">
        <v>1408926</v>
      </c>
    </row>
    <row r="543" spans="1:18" x14ac:dyDescent="0.25">
      <c r="A543" s="133">
        <v>42801</v>
      </c>
      <c r="B543" s="110">
        <v>58.5</v>
      </c>
      <c r="C543" s="110">
        <v>57.86</v>
      </c>
      <c r="D543" s="110">
        <v>57.56</v>
      </c>
      <c r="E543" s="110">
        <v>58.4</v>
      </c>
      <c r="F543" s="110">
        <v>289.3</v>
      </c>
      <c r="G543">
        <v>78236</v>
      </c>
      <c r="H543" s="110"/>
      <c r="I543" s="110"/>
      <c r="L543" s="133">
        <v>42801</v>
      </c>
      <c r="M543" s="110">
        <v>57.78</v>
      </c>
      <c r="N543" s="110">
        <v>58.5</v>
      </c>
      <c r="O543" s="110">
        <v>57.6</v>
      </c>
      <c r="P543" s="110">
        <v>58.2</v>
      </c>
      <c r="Q543" s="110">
        <v>288.89999999999998</v>
      </c>
      <c r="R543">
        <v>1054517</v>
      </c>
    </row>
    <row r="544" spans="1:18" x14ac:dyDescent="0.25">
      <c r="A544" s="133">
        <v>42802</v>
      </c>
      <c r="B544" s="110">
        <v>58.59</v>
      </c>
      <c r="C544" s="110">
        <v>57.38</v>
      </c>
      <c r="D544" s="110">
        <v>57.1</v>
      </c>
      <c r="E544" s="110">
        <v>57.22</v>
      </c>
      <c r="F544" s="110">
        <v>286.89999999999998</v>
      </c>
      <c r="G544">
        <v>204411</v>
      </c>
      <c r="H544" s="110"/>
      <c r="I544" s="110"/>
      <c r="L544" s="133">
        <v>42802</v>
      </c>
      <c r="M544" s="110">
        <v>57.55</v>
      </c>
      <c r="N544" s="110">
        <v>58.64</v>
      </c>
      <c r="O544" s="110">
        <v>57.2</v>
      </c>
      <c r="P544" s="110">
        <v>57.8</v>
      </c>
      <c r="Q544" s="110">
        <v>287.75</v>
      </c>
      <c r="R544">
        <v>2108426</v>
      </c>
    </row>
    <row r="545" spans="1:18" x14ac:dyDescent="0.25">
      <c r="A545" s="133">
        <v>42803</v>
      </c>
      <c r="B545" s="110">
        <v>57.78</v>
      </c>
      <c r="C545" s="110">
        <v>57.26</v>
      </c>
      <c r="D545" s="110">
        <v>56.9</v>
      </c>
      <c r="E545" s="110">
        <v>57.26</v>
      </c>
      <c r="F545" s="110">
        <v>286.3</v>
      </c>
      <c r="G545">
        <v>144476</v>
      </c>
      <c r="H545" s="110"/>
      <c r="I545" s="110"/>
      <c r="L545" s="133">
        <v>42803</v>
      </c>
      <c r="M545" s="110">
        <v>57.19</v>
      </c>
      <c r="N545" s="110">
        <v>57.78</v>
      </c>
      <c r="O545" s="110">
        <v>57.02</v>
      </c>
      <c r="P545" s="110">
        <v>57.3</v>
      </c>
      <c r="Q545" s="110">
        <v>285.95</v>
      </c>
      <c r="R545">
        <v>1262195</v>
      </c>
    </row>
    <row r="546" spans="1:18" x14ac:dyDescent="0.25">
      <c r="A546" s="133">
        <v>42804</v>
      </c>
      <c r="B546" s="110">
        <v>57.94</v>
      </c>
      <c r="C546" s="110">
        <v>56.84</v>
      </c>
      <c r="D546" s="110">
        <v>56.62</v>
      </c>
      <c r="E546" s="110">
        <v>57.2</v>
      </c>
      <c r="F546" s="110">
        <v>284.2</v>
      </c>
      <c r="G546">
        <v>137524</v>
      </c>
      <c r="H546" s="110"/>
      <c r="I546" s="110"/>
      <c r="L546" s="133">
        <v>42804</v>
      </c>
      <c r="M546" s="110">
        <v>56.8</v>
      </c>
      <c r="N546" s="110">
        <v>57.78</v>
      </c>
      <c r="O546" s="110">
        <v>56.6</v>
      </c>
      <c r="P546" s="110">
        <v>57.65</v>
      </c>
      <c r="Q546" s="110">
        <v>284</v>
      </c>
      <c r="R546">
        <v>1401645</v>
      </c>
    </row>
    <row r="547" spans="1:18" x14ac:dyDescent="0.25">
      <c r="A547" s="133">
        <v>42808</v>
      </c>
      <c r="B547" s="110">
        <v>58.28</v>
      </c>
      <c r="C547" s="110">
        <v>57.12</v>
      </c>
      <c r="D547" s="110">
        <v>56.95</v>
      </c>
      <c r="E547" s="110">
        <v>58.2</v>
      </c>
      <c r="F547" s="110">
        <v>285.60000000000002</v>
      </c>
      <c r="G547">
        <v>134265</v>
      </c>
      <c r="H547" s="110"/>
      <c r="I547" s="110"/>
      <c r="L547" s="133">
        <v>42808</v>
      </c>
      <c r="M547" s="110">
        <v>56.95</v>
      </c>
      <c r="N547" s="110">
        <v>58.2</v>
      </c>
      <c r="O547" s="110">
        <v>56.85</v>
      </c>
      <c r="P547" s="110">
        <v>58.2</v>
      </c>
      <c r="Q547" s="110">
        <v>284.75</v>
      </c>
      <c r="R547">
        <v>2332643</v>
      </c>
    </row>
    <row r="548" spans="1:18" x14ac:dyDescent="0.25">
      <c r="A548" s="133">
        <v>42809</v>
      </c>
      <c r="B548" s="110">
        <v>58.56</v>
      </c>
      <c r="C548" s="110">
        <v>57.99</v>
      </c>
      <c r="D548" s="110">
        <v>56.99</v>
      </c>
      <c r="E548" s="110">
        <v>57.13</v>
      </c>
      <c r="F548" s="110">
        <v>289.95</v>
      </c>
      <c r="G548">
        <v>233323</v>
      </c>
      <c r="H548" s="110"/>
      <c r="I548" s="110"/>
      <c r="L548" s="133">
        <v>42809</v>
      </c>
      <c r="M548" s="110">
        <v>57.91</v>
      </c>
      <c r="N548" s="110">
        <v>58.56</v>
      </c>
      <c r="O548" s="110">
        <v>56.95</v>
      </c>
      <c r="P548" s="110">
        <v>57.2</v>
      </c>
      <c r="Q548" s="110">
        <v>289.55</v>
      </c>
      <c r="R548">
        <v>2639170</v>
      </c>
    </row>
    <row r="549" spans="1:18" x14ac:dyDescent="0.25">
      <c r="A549" s="133">
        <v>42810</v>
      </c>
      <c r="B549" s="110">
        <v>59.37</v>
      </c>
      <c r="C549" s="110">
        <v>59.18</v>
      </c>
      <c r="D549" s="110">
        <v>57.99</v>
      </c>
      <c r="E549" s="110">
        <v>58.2</v>
      </c>
      <c r="F549" s="110">
        <v>295.89999999999998</v>
      </c>
      <c r="G549">
        <v>194983</v>
      </c>
      <c r="H549" s="110"/>
      <c r="I549" s="110"/>
      <c r="L549" s="133">
        <v>42810</v>
      </c>
      <c r="M549" s="110">
        <v>59.13</v>
      </c>
      <c r="N549" s="110">
        <v>59.36</v>
      </c>
      <c r="O549" s="110">
        <v>57.92</v>
      </c>
      <c r="P549" s="110">
        <v>58.49</v>
      </c>
      <c r="Q549" s="110">
        <v>295.64999999999998</v>
      </c>
      <c r="R549">
        <v>2557070</v>
      </c>
    </row>
    <row r="550" spans="1:18" x14ac:dyDescent="0.25">
      <c r="A550" s="133">
        <v>42811</v>
      </c>
      <c r="B550" s="110">
        <v>59.63</v>
      </c>
      <c r="C550" s="110">
        <v>58.49</v>
      </c>
      <c r="D550" s="110">
        <v>58.15</v>
      </c>
      <c r="E550" s="110">
        <v>59.57</v>
      </c>
      <c r="F550" s="110">
        <v>292.45</v>
      </c>
      <c r="G550">
        <v>150911</v>
      </c>
      <c r="H550" s="110"/>
      <c r="I550" s="110"/>
      <c r="L550" s="133">
        <v>42811</v>
      </c>
      <c r="M550" s="110">
        <v>58.57</v>
      </c>
      <c r="N550" s="110">
        <v>59.63</v>
      </c>
      <c r="O550" s="110">
        <v>58.09</v>
      </c>
      <c r="P550" s="110">
        <v>59.6</v>
      </c>
      <c r="Q550" s="110">
        <v>292.85000000000002</v>
      </c>
      <c r="R550">
        <v>1839806</v>
      </c>
    </row>
    <row r="551" spans="1:18" x14ac:dyDescent="0.25">
      <c r="A551" s="133">
        <v>42814</v>
      </c>
      <c r="B551" s="110">
        <v>59.13</v>
      </c>
      <c r="C551" s="110">
        <v>58.78</v>
      </c>
      <c r="D551" s="110">
        <v>58.32</v>
      </c>
      <c r="E551" s="110">
        <v>58.54</v>
      </c>
      <c r="F551" s="110">
        <v>293.89999999999998</v>
      </c>
      <c r="G551">
        <v>113004</v>
      </c>
      <c r="H551" s="110"/>
      <c r="I551" s="110"/>
      <c r="L551" s="133">
        <v>42814</v>
      </c>
      <c r="M551" s="110">
        <v>58.85</v>
      </c>
      <c r="N551" s="110">
        <v>59.18</v>
      </c>
      <c r="O551" s="110">
        <v>58.3</v>
      </c>
      <c r="P551" s="110">
        <v>58.42</v>
      </c>
      <c r="Q551" s="110">
        <v>294.25</v>
      </c>
      <c r="R551">
        <v>1516322</v>
      </c>
    </row>
    <row r="552" spans="1:18" x14ac:dyDescent="0.25">
      <c r="A552" s="133">
        <v>42815</v>
      </c>
      <c r="B552" s="110">
        <v>59.2</v>
      </c>
      <c r="C552" s="110">
        <v>57.7</v>
      </c>
      <c r="D552" s="110">
        <v>57.39</v>
      </c>
      <c r="E552" s="110">
        <v>59.12</v>
      </c>
      <c r="F552" s="110">
        <v>288.5</v>
      </c>
      <c r="G552">
        <v>161158</v>
      </c>
      <c r="H552" s="110"/>
      <c r="I552" s="110"/>
      <c r="L552" s="133">
        <v>42815</v>
      </c>
      <c r="M552" s="110">
        <v>57.69</v>
      </c>
      <c r="N552" s="110">
        <v>59.22</v>
      </c>
      <c r="O552" s="110">
        <v>57.3</v>
      </c>
      <c r="P552" s="110">
        <v>59.01</v>
      </c>
      <c r="Q552" s="110">
        <v>288.45</v>
      </c>
      <c r="R552">
        <v>2127943</v>
      </c>
    </row>
    <row r="553" spans="1:18" x14ac:dyDescent="0.25">
      <c r="A553" s="133">
        <v>42816</v>
      </c>
      <c r="B553" s="110">
        <v>57.4</v>
      </c>
      <c r="C553" s="110">
        <v>56.46</v>
      </c>
      <c r="D553" s="110">
        <v>56.1</v>
      </c>
      <c r="E553" s="110">
        <v>57.4</v>
      </c>
      <c r="F553" s="110">
        <v>282.3</v>
      </c>
      <c r="G553">
        <v>245008</v>
      </c>
      <c r="H553" s="110"/>
      <c r="I553" s="110"/>
      <c r="L553" s="133">
        <v>42816</v>
      </c>
      <c r="M553" s="110">
        <v>56.45</v>
      </c>
      <c r="N553" s="110">
        <v>57.15</v>
      </c>
      <c r="O553" s="110">
        <v>56.31</v>
      </c>
      <c r="P553" s="110">
        <v>57</v>
      </c>
      <c r="Q553" s="110">
        <v>282.25</v>
      </c>
      <c r="R553">
        <v>2147652</v>
      </c>
    </row>
    <row r="554" spans="1:18" x14ac:dyDescent="0.25">
      <c r="A554" s="133">
        <v>42817</v>
      </c>
      <c r="B554" s="110">
        <v>56.87</v>
      </c>
      <c r="C554" s="110">
        <v>56.48</v>
      </c>
      <c r="D554" s="110">
        <v>56.24</v>
      </c>
      <c r="E554" s="110">
        <v>56.8</v>
      </c>
      <c r="F554" s="110">
        <v>282.39999999999998</v>
      </c>
      <c r="G554">
        <v>172766</v>
      </c>
      <c r="H554" s="110"/>
      <c r="I554" s="110"/>
      <c r="L554" s="133">
        <v>42817</v>
      </c>
      <c r="M554" s="110">
        <v>56.61</v>
      </c>
      <c r="N554" s="110">
        <v>56.84</v>
      </c>
      <c r="O554" s="110">
        <v>56.22</v>
      </c>
      <c r="P554" s="110">
        <v>56.6</v>
      </c>
      <c r="Q554" s="110">
        <v>283.05</v>
      </c>
      <c r="R554">
        <v>1343200</v>
      </c>
    </row>
    <row r="555" spans="1:18" x14ac:dyDescent="0.25">
      <c r="A555" s="133">
        <v>42818</v>
      </c>
      <c r="B555" s="110">
        <v>59.61</v>
      </c>
      <c r="C555" s="110">
        <v>58.69</v>
      </c>
      <c r="D555" s="110">
        <v>56.77</v>
      </c>
      <c r="E555" s="110">
        <v>56.77</v>
      </c>
      <c r="F555" s="110">
        <v>293.45</v>
      </c>
      <c r="G555">
        <v>486986</v>
      </c>
      <c r="H555" s="110"/>
      <c r="I555" s="110"/>
      <c r="L555" s="133">
        <v>42818</v>
      </c>
      <c r="M555" s="110">
        <v>58.65</v>
      </c>
      <c r="N555" s="110">
        <v>59.68</v>
      </c>
      <c r="O555" s="110">
        <v>56.69</v>
      </c>
      <c r="P555" s="110">
        <v>56.69</v>
      </c>
      <c r="Q555" s="110">
        <v>293.25</v>
      </c>
      <c r="R555">
        <v>4902552</v>
      </c>
    </row>
    <row r="556" spans="1:18" x14ac:dyDescent="0.25">
      <c r="A556" s="133">
        <v>42821</v>
      </c>
      <c r="B556" s="110">
        <v>59.74</v>
      </c>
      <c r="C556" s="110">
        <v>59.36</v>
      </c>
      <c r="D556" s="110">
        <v>58.66</v>
      </c>
      <c r="E556" s="110">
        <v>58.98</v>
      </c>
      <c r="F556" s="110">
        <v>296.8</v>
      </c>
      <c r="G556">
        <v>320595</v>
      </c>
      <c r="H556" s="110"/>
      <c r="I556" s="110"/>
      <c r="L556" s="133">
        <v>42821</v>
      </c>
      <c r="M556" s="110">
        <v>59.35</v>
      </c>
      <c r="N556" s="110">
        <v>59.74</v>
      </c>
      <c r="O556" s="110">
        <v>58.6</v>
      </c>
      <c r="P556" s="110">
        <v>58.8</v>
      </c>
      <c r="Q556" s="110">
        <v>296.75</v>
      </c>
      <c r="R556">
        <v>2998651</v>
      </c>
    </row>
    <row r="557" spans="1:18" x14ac:dyDescent="0.25">
      <c r="A557" s="133">
        <v>42822</v>
      </c>
      <c r="B557" s="110">
        <v>59.9</v>
      </c>
      <c r="C557" s="110">
        <v>59.41</v>
      </c>
      <c r="D557" s="110">
        <v>58.98</v>
      </c>
      <c r="E557" s="110">
        <v>59.9</v>
      </c>
      <c r="F557" s="110">
        <v>297.05</v>
      </c>
      <c r="G557">
        <v>178981</v>
      </c>
      <c r="H557" s="110"/>
      <c r="I557" s="110"/>
      <c r="L557" s="133">
        <v>42822</v>
      </c>
      <c r="M557" s="110">
        <v>59.44</v>
      </c>
      <c r="N557" s="110">
        <v>59.78</v>
      </c>
      <c r="O557" s="110">
        <v>58.9</v>
      </c>
      <c r="P557" s="110">
        <v>59.78</v>
      </c>
      <c r="Q557" s="110">
        <v>297.2</v>
      </c>
      <c r="R557">
        <v>1975100</v>
      </c>
    </row>
    <row r="558" spans="1:18" x14ac:dyDescent="0.25">
      <c r="A558" s="133">
        <v>42823</v>
      </c>
      <c r="B558" s="110">
        <v>61.05</v>
      </c>
      <c r="C558" s="110">
        <v>60.41</v>
      </c>
      <c r="D558" s="110">
        <v>59.2</v>
      </c>
      <c r="E558" s="110">
        <v>59.75</v>
      </c>
      <c r="F558" s="110">
        <v>302.05</v>
      </c>
      <c r="G558">
        <v>317244</v>
      </c>
      <c r="H558" s="110"/>
      <c r="I558" s="110"/>
      <c r="L558" s="133">
        <v>42823</v>
      </c>
      <c r="M558" s="110">
        <v>60.42</v>
      </c>
      <c r="N558" s="110">
        <v>61.07</v>
      </c>
      <c r="O558" s="110">
        <v>59.13</v>
      </c>
      <c r="P558" s="110">
        <v>59.88</v>
      </c>
      <c r="Q558" s="110">
        <v>302.10000000000002</v>
      </c>
      <c r="R558">
        <v>4177267</v>
      </c>
    </row>
    <row r="559" spans="1:18" x14ac:dyDescent="0.25">
      <c r="A559" s="133">
        <v>42824</v>
      </c>
      <c r="B559" s="110">
        <v>61.55</v>
      </c>
      <c r="C559" s="110">
        <v>60.64</v>
      </c>
      <c r="D559" s="110">
        <v>60.44</v>
      </c>
      <c r="E559" s="110">
        <v>61</v>
      </c>
      <c r="F559" s="110">
        <v>303.2</v>
      </c>
      <c r="G559">
        <v>287655</v>
      </c>
      <c r="H559" s="110"/>
      <c r="I559" s="110"/>
      <c r="L559" s="133">
        <v>42824</v>
      </c>
      <c r="M559" s="110">
        <v>60.63</v>
      </c>
      <c r="N559" s="110">
        <v>61.55</v>
      </c>
      <c r="O559" s="110">
        <v>60.4</v>
      </c>
      <c r="P559" s="110">
        <v>60.8</v>
      </c>
      <c r="Q559" s="110">
        <v>303.14999999999998</v>
      </c>
      <c r="R559">
        <v>3487748</v>
      </c>
    </row>
    <row r="560" spans="1:18" x14ac:dyDescent="0.25">
      <c r="A560" s="133">
        <v>42825</v>
      </c>
      <c r="B560" s="110">
        <v>61.52</v>
      </c>
      <c r="C560" s="110">
        <v>60.6</v>
      </c>
      <c r="D560" s="110">
        <v>60.02</v>
      </c>
      <c r="E560" s="110">
        <v>60.66</v>
      </c>
      <c r="F560" s="110">
        <v>303</v>
      </c>
      <c r="G560">
        <v>263768</v>
      </c>
      <c r="H560" s="110"/>
      <c r="I560" s="110"/>
      <c r="L560" s="133">
        <v>42825</v>
      </c>
      <c r="M560" s="110">
        <v>60.55</v>
      </c>
      <c r="N560" s="110">
        <v>61.51</v>
      </c>
      <c r="O560" s="110">
        <v>59.97</v>
      </c>
      <c r="P560" s="110">
        <v>60.9</v>
      </c>
      <c r="Q560" s="110">
        <v>302.75</v>
      </c>
      <c r="R560">
        <v>3114534</v>
      </c>
    </row>
    <row r="561" spans="1:18" x14ac:dyDescent="0.25">
      <c r="A561" s="133">
        <v>42828</v>
      </c>
      <c r="B561" s="110">
        <v>61</v>
      </c>
      <c r="C561" s="110">
        <v>60.78</v>
      </c>
      <c r="D561" s="110">
        <v>60.41</v>
      </c>
      <c r="E561" s="110">
        <v>60.62</v>
      </c>
      <c r="F561" s="110">
        <v>303.89999999999998</v>
      </c>
      <c r="G561">
        <v>154472</v>
      </c>
      <c r="H561" s="110"/>
      <c r="I561" s="110"/>
      <c r="L561" s="133">
        <v>42828</v>
      </c>
      <c r="M561" s="110">
        <v>60.89</v>
      </c>
      <c r="N561" s="110">
        <v>61</v>
      </c>
      <c r="O561" s="110">
        <v>60.35</v>
      </c>
      <c r="P561" s="110">
        <v>60.6</v>
      </c>
      <c r="Q561" s="110">
        <v>304.45</v>
      </c>
      <c r="R561">
        <v>1297791</v>
      </c>
    </row>
    <row r="562" spans="1:18" x14ac:dyDescent="0.25">
      <c r="A562" s="133">
        <v>42830</v>
      </c>
      <c r="B562" s="110">
        <v>62.56</v>
      </c>
      <c r="C562" s="110">
        <v>62.12</v>
      </c>
      <c r="D562" s="110">
        <v>60.76</v>
      </c>
      <c r="E562" s="110">
        <v>61</v>
      </c>
      <c r="F562" s="110">
        <v>310.60000000000002</v>
      </c>
      <c r="G562">
        <v>276153</v>
      </c>
      <c r="H562" s="110"/>
      <c r="I562" s="110"/>
      <c r="L562" s="133">
        <v>42830</v>
      </c>
      <c r="M562" s="110">
        <v>62.1</v>
      </c>
      <c r="N562" s="110">
        <v>62.65</v>
      </c>
      <c r="O562" s="110">
        <v>60.75</v>
      </c>
      <c r="P562" s="110">
        <v>60.96</v>
      </c>
      <c r="Q562" s="110">
        <v>310.5</v>
      </c>
      <c r="R562">
        <v>4118364</v>
      </c>
    </row>
    <row r="563" spans="1:18" x14ac:dyDescent="0.25">
      <c r="A563" s="133">
        <v>42831</v>
      </c>
      <c r="B563" s="110">
        <v>62.85</v>
      </c>
      <c r="C563" s="110">
        <v>62</v>
      </c>
      <c r="D563" s="110">
        <v>61.5</v>
      </c>
      <c r="E563" s="110">
        <v>61.91</v>
      </c>
      <c r="F563" s="110">
        <v>310</v>
      </c>
      <c r="G563">
        <v>217850</v>
      </c>
      <c r="H563" s="110"/>
      <c r="I563" s="110"/>
      <c r="L563" s="133">
        <v>42831</v>
      </c>
      <c r="M563" s="110">
        <v>61.99</v>
      </c>
      <c r="N563" s="110">
        <v>62.9</v>
      </c>
      <c r="O563" s="110">
        <v>61.43</v>
      </c>
      <c r="P563" s="110">
        <v>61.99</v>
      </c>
      <c r="Q563" s="110">
        <v>309.95</v>
      </c>
      <c r="R563">
        <v>2857552</v>
      </c>
    </row>
    <row r="564" spans="1:18" x14ac:dyDescent="0.25">
      <c r="A564" s="133">
        <v>42832</v>
      </c>
      <c r="B564" s="110">
        <v>62.3</v>
      </c>
      <c r="C564" s="110">
        <v>60.91</v>
      </c>
      <c r="D564" s="110">
        <v>60.6</v>
      </c>
      <c r="E564" s="110">
        <v>61.75</v>
      </c>
      <c r="F564" s="110">
        <v>304.55</v>
      </c>
      <c r="G564">
        <v>178581</v>
      </c>
      <c r="H564" s="110"/>
      <c r="I564" s="110"/>
      <c r="L564" s="133">
        <v>42832</v>
      </c>
      <c r="M564" s="110">
        <v>60.96</v>
      </c>
      <c r="N564" s="110">
        <v>62.27</v>
      </c>
      <c r="O564" s="110">
        <v>60.64</v>
      </c>
      <c r="P564" s="110">
        <v>61.56</v>
      </c>
      <c r="Q564" s="110">
        <v>304.8</v>
      </c>
      <c r="R564">
        <v>1859517</v>
      </c>
    </row>
    <row r="565" spans="1:18" x14ac:dyDescent="0.25">
      <c r="A565" s="133">
        <v>42835</v>
      </c>
      <c r="B565" s="110">
        <v>61.98</v>
      </c>
      <c r="C565" s="110">
        <v>61.71</v>
      </c>
      <c r="D565" s="110">
        <v>60.6</v>
      </c>
      <c r="E565" s="110">
        <v>61.74</v>
      </c>
      <c r="F565" s="110">
        <v>308.55</v>
      </c>
      <c r="G565">
        <v>189914</v>
      </c>
      <c r="H565" s="110"/>
      <c r="I565" s="110"/>
      <c r="L565" s="133">
        <v>42835</v>
      </c>
      <c r="M565" s="110">
        <v>61.89</v>
      </c>
      <c r="N565" s="110">
        <v>62.06</v>
      </c>
      <c r="O565" s="110">
        <v>60.63</v>
      </c>
      <c r="P565" s="110">
        <v>61.01</v>
      </c>
      <c r="Q565" s="110">
        <v>309.45</v>
      </c>
      <c r="R565">
        <v>1880514</v>
      </c>
    </row>
    <row r="566" spans="1:18" x14ac:dyDescent="0.25">
      <c r="A566" s="133">
        <v>42836</v>
      </c>
      <c r="B566" s="110">
        <v>63.2</v>
      </c>
      <c r="C566" s="110">
        <v>63.01</v>
      </c>
      <c r="D566" s="110">
        <v>61.8</v>
      </c>
      <c r="E566" s="110">
        <v>61.8</v>
      </c>
      <c r="F566" s="110">
        <v>315.05</v>
      </c>
      <c r="G566">
        <v>261549</v>
      </c>
      <c r="H566" s="110"/>
      <c r="I566" s="110"/>
      <c r="L566" s="133">
        <v>42836</v>
      </c>
      <c r="M566" s="110">
        <v>63.2</v>
      </c>
      <c r="N566" s="110">
        <v>63.32</v>
      </c>
      <c r="O566" s="110">
        <v>61.84</v>
      </c>
      <c r="P566" s="110">
        <v>61.93</v>
      </c>
      <c r="Q566" s="110">
        <v>316</v>
      </c>
      <c r="R566">
        <v>3645716</v>
      </c>
    </row>
    <row r="567" spans="1:18" x14ac:dyDescent="0.25">
      <c r="A567" s="133">
        <v>42837</v>
      </c>
      <c r="B567" s="110">
        <v>63.91</v>
      </c>
      <c r="C567" s="110">
        <v>62.55</v>
      </c>
      <c r="D567" s="110">
        <v>62.26</v>
      </c>
      <c r="E567" s="110">
        <v>63.48</v>
      </c>
      <c r="F567" s="110">
        <v>312.75</v>
      </c>
      <c r="G567">
        <v>197277</v>
      </c>
      <c r="H567" s="110"/>
      <c r="I567" s="110"/>
      <c r="L567" s="133">
        <v>42837</v>
      </c>
      <c r="M567" s="110">
        <v>62.45</v>
      </c>
      <c r="N567" s="110">
        <v>63.98</v>
      </c>
      <c r="O567" s="110">
        <v>62.25</v>
      </c>
      <c r="P567" s="110">
        <v>63.4</v>
      </c>
      <c r="Q567" s="110">
        <v>312.25</v>
      </c>
      <c r="R567">
        <v>2749368</v>
      </c>
    </row>
    <row r="568" spans="1:18" x14ac:dyDescent="0.25">
      <c r="A568" s="133">
        <v>42838</v>
      </c>
      <c r="B568" s="110">
        <v>63.9</v>
      </c>
      <c r="C568" s="110">
        <v>62.85</v>
      </c>
      <c r="D568" s="110">
        <v>62.64</v>
      </c>
      <c r="E568" s="110">
        <v>63.08</v>
      </c>
      <c r="F568" s="110">
        <v>314.25</v>
      </c>
      <c r="G568">
        <v>211453</v>
      </c>
      <c r="H568" s="110"/>
      <c r="I568" s="110"/>
      <c r="L568" s="133">
        <v>42838</v>
      </c>
      <c r="M568" s="110">
        <v>62.89</v>
      </c>
      <c r="N568" s="110">
        <v>63.86</v>
      </c>
      <c r="O568" s="110">
        <v>62.61</v>
      </c>
      <c r="P568" s="110">
        <v>62.78</v>
      </c>
      <c r="Q568" s="110">
        <v>314.45</v>
      </c>
      <c r="R568">
        <v>2896236</v>
      </c>
    </row>
    <row r="569" spans="1:18" x14ac:dyDescent="0.25">
      <c r="A569" s="133">
        <v>42842</v>
      </c>
      <c r="B569" s="110">
        <v>63.1</v>
      </c>
      <c r="C569" s="110">
        <v>62.1</v>
      </c>
      <c r="D569" s="110">
        <v>61.5</v>
      </c>
      <c r="E569" s="110">
        <v>63</v>
      </c>
      <c r="F569" s="110">
        <v>310.5</v>
      </c>
      <c r="G569">
        <v>154881</v>
      </c>
      <c r="H569" s="110"/>
      <c r="I569" s="110"/>
      <c r="L569" s="133">
        <v>42842</v>
      </c>
      <c r="M569" s="110">
        <v>62.04</v>
      </c>
      <c r="N569" s="110">
        <v>63.16</v>
      </c>
      <c r="O569" s="110">
        <v>61.47</v>
      </c>
      <c r="P569" s="110">
        <v>62.94</v>
      </c>
      <c r="Q569" s="110">
        <v>310.2</v>
      </c>
      <c r="R569">
        <v>1420268</v>
      </c>
    </row>
    <row r="570" spans="1:18" x14ac:dyDescent="0.25">
      <c r="A570" s="133">
        <v>42843</v>
      </c>
      <c r="B570" s="110">
        <v>64.319999999999993</v>
      </c>
      <c r="C570" s="110">
        <v>62.44</v>
      </c>
      <c r="D570" s="110">
        <v>62.2</v>
      </c>
      <c r="E570" s="110">
        <v>62.2</v>
      </c>
      <c r="F570" s="110">
        <v>312.2</v>
      </c>
      <c r="G570">
        <v>360180</v>
      </c>
      <c r="H570" s="110"/>
      <c r="I570" s="110"/>
      <c r="L570" s="133">
        <v>42843</v>
      </c>
      <c r="M570" s="110">
        <v>62.55</v>
      </c>
      <c r="N570" s="110">
        <v>64.37</v>
      </c>
      <c r="O570" s="110">
        <v>62.2</v>
      </c>
      <c r="P570" s="110">
        <v>62.2</v>
      </c>
      <c r="Q570" s="110">
        <v>312.75</v>
      </c>
      <c r="R570">
        <v>4485822</v>
      </c>
    </row>
    <row r="571" spans="1:18" x14ac:dyDescent="0.25">
      <c r="A571" s="133">
        <v>42844</v>
      </c>
      <c r="B571" s="110">
        <v>63.57</v>
      </c>
      <c r="C571" s="110">
        <v>63.36</v>
      </c>
      <c r="D571" s="110">
        <v>61.83</v>
      </c>
      <c r="E571" s="110">
        <v>62.6</v>
      </c>
      <c r="F571" s="110">
        <v>316.8</v>
      </c>
      <c r="G571">
        <v>202589</v>
      </c>
      <c r="H571" s="110"/>
      <c r="I571" s="110"/>
      <c r="L571" s="133">
        <v>42844</v>
      </c>
      <c r="M571" s="110">
        <v>63.53</v>
      </c>
      <c r="N571" s="110">
        <v>63.8</v>
      </c>
      <c r="O571" s="110">
        <v>61.86</v>
      </c>
      <c r="P571" s="110">
        <v>62.51</v>
      </c>
      <c r="Q571" s="110">
        <v>317.64999999999998</v>
      </c>
      <c r="R571">
        <v>3790043</v>
      </c>
    </row>
    <row r="572" spans="1:18" x14ac:dyDescent="0.25">
      <c r="A572" s="133">
        <v>42845</v>
      </c>
      <c r="B572" s="110">
        <v>65.25</v>
      </c>
      <c r="C572" s="110">
        <v>64.84</v>
      </c>
      <c r="D572" s="110">
        <v>63.38</v>
      </c>
      <c r="E572" s="110">
        <v>64</v>
      </c>
      <c r="F572" s="110">
        <v>324.2</v>
      </c>
      <c r="G572">
        <v>408730</v>
      </c>
      <c r="H572" s="110"/>
      <c r="I572" s="110"/>
      <c r="L572" s="133">
        <v>42845</v>
      </c>
      <c r="M572" s="110">
        <v>65.03</v>
      </c>
      <c r="N572" s="110">
        <v>65.47</v>
      </c>
      <c r="O572" s="110">
        <v>63.34</v>
      </c>
      <c r="P572" s="110">
        <v>63.6</v>
      </c>
      <c r="Q572" s="110">
        <v>325.14999999999998</v>
      </c>
      <c r="R572">
        <v>4843801</v>
      </c>
    </row>
    <row r="573" spans="1:18" x14ac:dyDescent="0.25">
      <c r="A573" s="133">
        <v>42846</v>
      </c>
      <c r="B573" s="110">
        <v>65.39</v>
      </c>
      <c r="C573" s="110">
        <v>64.650000000000006</v>
      </c>
      <c r="D573" s="110">
        <v>64.05</v>
      </c>
      <c r="E573" s="110">
        <v>65.2</v>
      </c>
      <c r="F573" s="110">
        <v>323.25</v>
      </c>
      <c r="G573">
        <v>167093</v>
      </c>
      <c r="H573" s="110"/>
      <c r="I573" s="110"/>
      <c r="L573" s="133">
        <v>42846</v>
      </c>
      <c r="M573" s="110">
        <v>64.62</v>
      </c>
      <c r="N573" s="110">
        <v>65.42</v>
      </c>
      <c r="O573" s="110">
        <v>64.040000000000006</v>
      </c>
      <c r="P573" s="110">
        <v>65.3</v>
      </c>
      <c r="Q573" s="110">
        <v>323.10000000000002</v>
      </c>
      <c r="R573">
        <v>3264026</v>
      </c>
    </row>
    <row r="574" spans="1:18" x14ac:dyDescent="0.25">
      <c r="A574" s="133">
        <v>42849</v>
      </c>
      <c r="B574" s="110">
        <v>65.849999999999994</v>
      </c>
      <c r="C574" s="110">
        <v>65.62</v>
      </c>
      <c r="D574" s="110">
        <v>63.96</v>
      </c>
      <c r="E574" s="110">
        <v>64.44</v>
      </c>
      <c r="F574" s="110">
        <v>328.1</v>
      </c>
      <c r="G574">
        <v>261995</v>
      </c>
      <c r="H574" s="110"/>
      <c r="I574" s="110"/>
      <c r="L574" s="133">
        <v>42849</v>
      </c>
      <c r="M574" s="110">
        <v>65.760000000000005</v>
      </c>
      <c r="N574" s="110">
        <v>65.94</v>
      </c>
      <c r="O574" s="110">
        <v>63.93</v>
      </c>
      <c r="P574" s="110">
        <v>64.739999999999995</v>
      </c>
      <c r="Q574" s="110">
        <v>328.8</v>
      </c>
      <c r="R574">
        <v>2667399</v>
      </c>
    </row>
    <row r="575" spans="1:18" x14ac:dyDescent="0.25">
      <c r="A575" s="133">
        <v>42850</v>
      </c>
      <c r="B575" s="110">
        <v>67</v>
      </c>
      <c r="C575" s="110">
        <v>66.33</v>
      </c>
      <c r="D575" s="110">
        <v>65.430000000000007</v>
      </c>
      <c r="E575" s="110">
        <v>65.8</v>
      </c>
      <c r="F575" s="110">
        <v>331.65</v>
      </c>
      <c r="G575">
        <v>226631</v>
      </c>
      <c r="H575" s="110"/>
      <c r="I575" s="110"/>
      <c r="L575" s="133">
        <v>42850</v>
      </c>
      <c r="M575" s="110">
        <v>66.33</v>
      </c>
      <c r="N575" s="110">
        <v>67.069999999999993</v>
      </c>
      <c r="O575" s="110">
        <v>65.44</v>
      </c>
      <c r="P575" s="110">
        <v>66</v>
      </c>
      <c r="Q575" s="110">
        <v>331.65</v>
      </c>
      <c r="R575">
        <v>2758959</v>
      </c>
    </row>
    <row r="576" spans="1:18" x14ac:dyDescent="0.25">
      <c r="A576" s="133">
        <v>42851</v>
      </c>
      <c r="B576" s="110">
        <v>67.180000000000007</v>
      </c>
      <c r="C576" s="110">
        <v>65.989999999999995</v>
      </c>
      <c r="D576" s="110">
        <v>64.959999999999994</v>
      </c>
      <c r="E576" s="110">
        <v>66.41</v>
      </c>
      <c r="F576" s="110">
        <v>329.95</v>
      </c>
      <c r="G576">
        <v>189582</v>
      </c>
      <c r="H576" s="110"/>
      <c r="I576" s="110"/>
      <c r="L576" s="133">
        <v>42851</v>
      </c>
      <c r="M576" s="110">
        <v>66</v>
      </c>
      <c r="N576" s="110">
        <v>67.19</v>
      </c>
      <c r="O576" s="110">
        <v>64.89</v>
      </c>
      <c r="P576" s="110">
        <v>66.87</v>
      </c>
      <c r="Q576" s="110">
        <v>330</v>
      </c>
      <c r="R576">
        <v>2082487</v>
      </c>
    </row>
    <row r="577" spans="1:18" x14ac:dyDescent="0.25">
      <c r="A577" s="133">
        <v>42852</v>
      </c>
      <c r="B577" s="110">
        <v>66.66</v>
      </c>
      <c r="C577" s="110">
        <v>65.83</v>
      </c>
      <c r="D577" s="110">
        <v>65.31</v>
      </c>
      <c r="E577" s="110">
        <v>66.05</v>
      </c>
      <c r="F577" s="110">
        <v>329.15</v>
      </c>
      <c r="G577">
        <v>100824</v>
      </c>
      <c r="H577" s="110"/>
      <c r="I577" s="110"/>
      <c r="L577" s="133">
        <v>42852</v>
      </c>
      <c r="M577" s="110">
        <v>65.849999999999994</v>
      </c>
      <c r="N577" s="110">
        <v>66.56</v>
      </c>
      <c r="O577" s="110">
        <v>65.31</v>
      </c>
      <c r="P577" s="110">
        <v>66.260000000000005</v>
      </c>
      <c r="Q577" s="110">
        <v>329.25</v>
      </c>
      <c r="R577">
        <v>1855926</v>
      </c>
    </row>
    <row r="578" spans="1:18" x14ac:dyDescent="0.25">
      <c r="A578" s="133">
        <v>42853</v>
      </c>
      <c r="B578" s="110">
        <v>71.7</v>
      </c>
      <c r="C578" s="110">
        <v>70.95</v>
      </c>
      <c r="D578" s="110">
        <v>66.099999999999994</v>
      </c>
      <c r="E578" s="110">
        <v>66.099999999999994</v>
      </c>
      <c r="F578" s="110">
        <v>354.75</v>
      </c>
      <c r="G578">
        <v>1048986</v>
      </c>
      <c r="H578" s="110"/>
      <c r="I578" s="110"/>
      <c r="L578" s="133">
        <v>42853</v>
      </c>
      <c r="M578" s="110">
        <v>71.510000000000005</v>
      </c>
      <c r="N578" s="110">
        <v>72.34</v>
      </c>
      <c r="O578" s="110">
        <v>66.040000000000006</v>
      </c>
      <c r="P578" s="110">
        <v>66.040000000000006</v>
      </c>
      <c r="Q578" s="110">
        <v>357.55</v>
      </c>
      <c r="R578">
        <v>8725582</v>
      </c>
    </row>
    <row r="579" spans="1:18" x14ac:dyDescent="0.25">
      <c r="A579" s="133">
        <v>42857</v>
      </c>
      <c r="B579" s="110">
        <v>74.040000000000006</v>
      </c>
      <c r="C579" s="110">
        <v>73.319999999999993</v>
      </c>
      <c r="D579" s="110">
        <v>70.709999999999994</v>
      </c>
      <c r="E579" s="110">
        <v>70.8</v>
      </c>
      <c r="F579" s="110">
        <v>366.6</v>
      </c>
      <c r="G579">
        <v>499350</v>
      </c>
      <c r="H579" s="110"/>
      <c r="I579" s="110"/>
      <c r="L579" s="133">
        <v>42857</v>
      </c>
      <c r="M579" s="110">
        <v>73.53</v>
      </c>
      <c r="N579" s="110">
        <v>74.17</v>
      </c>
      <c r="O579" s="110">
        <v>70.7</v>
      </c>
      <c r="P579" s="110">
        <v>71.349999999999994</v>
      </c>
      <c r="Q579" s="110">
        <v>367.65</v>
      </c>
      <c r="R579">
        <v>6576692</v>
      </c>
    </row>
    <row r="580" spans="1:18" x14ac:dyDescent="0.25">
      <c r="A580" s="133">
        <v>42858</v>
      </c>
      <c r="B580" s="110">
        <v>74.930000000000007</v>
      </c>
      <c r="C580" s="110">
        <v>73.56</v>
      </c>
      <c r="D580" s="110">
        <v>72.44</v>
      </c>
      <c r="E580" s="110">
        <v>73.2</v>
      </c>
      <c r="F580" s="110">
        <v>367.8</v>
      </c>
      <c r="G580">
        <v>445900</v>
      </c>
      <c r="H580" s="110"/>
      <c r="I580" s="110"/>
      <c r="L580" s="133">
        <v>42858</v>
      </c>
      <c r="M580" s="110">
        <v>73.430000000000007</v>
      </c>
      <c r="N580" s="110">
        <v>74.989999999999995</v>
      </c>
      <c r="O580" s="110">
        <v>72.430000000000007</v>
      </c>
      <c r="P580" s="110">
        <v>73.400000000000006</v>
      </c>
      <c r="Q580" s="110">
        <v>367.15</v>
      </c>
      <c r="R580">
        <v>5348935</v>
      </c>
    </row>
    <row r="581" spans="1:18" x14ac:dyDescent="0.25">
      <c r="A581" s="133">
        <v>42859</v>
      </c>
      <c r="B581" s="110">
        <v>79</v>
      </c>
      <c r="C581" s="110">
        <v>77.81</v>
      </c>
      <c r="D581" s="110">
        <v>74</v>
      </c>
      <c r="E581" s="110">
        <v>74</v>
      </c>
      <c r="F581" s="110">
        <v>389.05</v>
      </c>
      <c r="G581">
        <v>548693</v>
      </c>
      <c r="H581" s="110"/>
      <c r="I581" s="110"/>
      <c r="L581" s="133">
        <v>42859</v>
      </c>
      <c r="M581" s="110">
        <v>77.63</v>
      </c>
      <c r="N581" s="110">
        <v>78.7</v>
      </c>
      <c r="O581" s="110">
        <v>74.11</v>
      </c>
      <c r="P581" s="110">
        <v>74.11</v>
      </c>
      <c r="Q581" s="110">
        <v>388.15</v>
      </c>
      <c r="R581">
        <v>5534198</v>
      </c>
    </row>
    <row r="582" spans="1:18" x14ac:dyDescent="0.25">
      <c r="A582" s="133">
        <v>42860</v>
      </c>
      <c r="B582" s="110">
        <v>82.98</v>
      </c>
      <c r="C582" s="110">
        <v>78.91</v>
      </c>
      <c r="D582" s="110">
        <v>77.040000000000006</v>
      </c>
      <c r="E582" s="110">
        <v>78.260000000000005</v>
      </c>
      <c r="F582" s="110">
        <v>394.55</v>
      </c>
      <c r="G582">
        <v>2249137</v>
      </c>
      <c r="H582" s="110"/>
      <c r="I582" s="110"/>
      <c r="L582" s="133">
        <v>42860</v>
      </c>
      <c r="M582" s="110">
        <v>78.91</v>
      </c>
      <c r="N582" s="110">
        <v>83.2</v>
      </c>
      <c r="O582" s="110">
        <v>76.849999999999994</v>
      </c>
      <c r="P582" s="110">
        <v>78.540000000000006</v>
      </c>
      <c r="Q582" s="110">
        <v>394.55</v>
      </c>
      <c r="R582">
        <v>23954999</v>
      </c>
    </row>
    <row r="583" spans="1:18" x14ac:dyDescent="0.25">
      <c r="A583" s="133">
        <v>42863</v>
      </c>
      <c r="B583" s="110">
        <v>80.72</v>
      </c>
      <c r="C583" s="110">
        <v>79.17</v>
      </c>
      <c r="D583" s="110">
        <v>78.209999999999994</v>
      </c>
      <c r="E583" s="110">
        <v>79.56</v>
      </c>
      <c r="F583" s="110">
        <v>395.85</v>
      </c>
      <c r="G583">
        <v>881759</v>
      </c>
      <c r="H583" s="110"/>
      <c r="I583" s="110"/>
      <c r="L583" s="133">
        <v>42863</v>
      </c>
      <c r="M583" s="110">
        <v>79</v>
      </c>
      <c r="N583" s="110">
        <v>80.8</v>
      </c>
      <c r="O583" s="110">
        <v>78.180000000000007</v>
      </c>
      <c r="P583" s="110">
        <v>79.39</v>
      </c>
      <c r="Q583" s="110">
        <v>395</v>
      </c>
      <c r="R583">
        <v>10103231</v>
      </c>
    </row>
    <row r="584" spans="1:18" x14ac:dyDescent="0.25">
      <c r="A584" s="133">
        <v>42864</v>
      </c>
      <c r="B584" s="110">
        <v>77.989999999999995</v>
      </c>
      <c r="C584" s="110">
        <v>74.89</v>
      </c>
      <c r="D584" s="110">
        <v>74.599999999999994</v>
      </c>
      <c r="E584" s="110">
        <v>77.989999999999995</v>
      </c>
      <c r="F584" s="110">
        <v>374.45</v>
      </c>
      <c r="G584">
        <v>759680</v>
      </c>
      <c r="H584" s="110"/>
      <c r="I584" s="110"/>
      <c r="L584" s="133">
        <v>42864</v>
      </c>
      <c r="M584" s="110">
        <v>74.72</v>
      </c>
      <c r="N584" s="110">
        <v>78</v>
      </c>
      <c r="O584" s="110">
        <v>74.48</v>
      </c>
      <c r="P584" s="110">
        <v>77.599999999999994</v>
      </c>
      <c r="Q584" s="110">
        <v>373.6</v>
      </c>
      <c r="R584">
        <v>8807613</v>
      </c>
    </row>
    <row r="585" spans="1:18" x14ac:dyDescent="0.25">
      <c r="A585" s="133">
        <v>42865</v>
      </c>
      <c r="B585" s="110">
        <v>75.400000000000006</v>
      </c>
      <c r="C585" s="110">
        <v>73.680000000000007</v>
      </c>
      <c r="D585" s="110">
        <v>72.819999999999993</v>
      </c>
      <c r="E585" s="110">
        <v>74.7</v>
      </c>
      <c r="F585" s="110">
        <v>368.4</v>
      </c>
      <c r="G585">
        <v>595267</v>
      </c>
      <c r="H585" s="110"/>
      <c r="I585" s="110"/>
      <c r="L585" s="133">
        <v>42865</v>
      </c>
      <c r="M585" s="110">
        <v>73.709999999999994</v>
      </c>
      <c r="N585" s="110">
        <v>75.38</v>
      </c>
      <c r="O585" s="110">
        <v>72.8</v>
      </c>
      <c r="P585" s="110">
        <v>74.8</v>
      </c>
      <c r="Q585" s="110">
        <v>368.55</v>
      </c>
      <c r="R585">
        <v>5228697</v>
      </c>
    </row>
    <row r="586" spans="1:18" x14ac:dyDescent="0.25">
      <c r="A586" s="133">
        <v>42866</v>
      </c>
      <c r="B586" s="110">
        <v>75.760000000000005</v>
      </c>
      <c r="C586" s="110">
        <v>74.22</v>
      </c>
      <c r="D586" s="110">
        <v>73.8</v>
      </c>
      <c r="E586" s="110">
        <v>74</v>
      </c>
      <c r="F586" s="110">
        <v>371.1</v>
      </c>
      <c r="G586">
        <v>586395</v>
      </c>
      <c r="H586" s="110"/>
      <c r="I586" s="110"/>
      <c r="L586" s="133">
        <v>42866</v>
      </c>
      <c r="M586" s="110">
        <v>74.22</v>
      </c>
      <c r="N586" s="110">
        <v>75.73</v>
      </c>
      <c r="O586" s="110">
        <v>73.75</v>
      </c>
      <c r="P586" s="110">
        <v>74.349999999999994</v>
      </c>
      <c r="Q586" s="110">
        <v>371.1</v>
      </c>
      <c r="R586">
        <v>6110527</v>
      </c>
    </row>
    <row r="587" spans="1:18" x14ac:dyDescent="0.25">
      <c r="A587" s="133">
        <v>42867</v>
      </c>
      <c r="B587" s="110">
        <v>74.94</v>
      </c>
      <c r="C587" s="110">
        <v>73.23</v>
      </c>
      <c r="D587" s="110">
        <v>72.7</v>
      </c>
      <c r="E587" s="110">
        <v>74.540000000000006</v>
      </c>
      <c r="F587" s="110">
        <v>366.15</v>
      </c>
      <c r="G587">
        <v>366242</v>
      </c>
      <c r="H587" s="110"/>
      <c r="I587" s="110"/>
      <c r="L587" s="133">
        <v>42867</v>
      </c>
      <c r="M587" s="110">
        <v>73.2</v>
      </c>
      <c r="N587" s="110">
        <v>74.97</v>
      </c>
      <c r="O587" s="110">
        <v>72.7</v>
      </c>
      <c r="P587" s="110">
        <v>74.400000000000006</v>
      </c>
      <c r="Q587" s="110">
        <v>366</v>
      </c>
      <c r="R587">
        <v>3585736</v>
      </c>
    </row>
    <row r="588" spans="1:18" x14ac:dyDescent="0.25">
      <c r="A588" s="133">
        <v>42870</v>
      </c>
      <c r="B588" s="110">
        <v>74.2</v>
      </c>
      <c r="C588" s="110">
        <v>72.8</v>
      </c>
      <c r="D588" s="110">
        <v>72.34</v>
      </c>
      <c r="E588" s="110">
        <v>73.2</v>
      </c>
      <c r="F588" s="110">
        <v>364</v>
      </c>
      <c r="G588">
        <v>250223</v>
      </c>
      <c r="H588" s="110"/>
      <c r="I588" s="110"/>
      <c r="L588" s="133">
        <v>42870</v>
      </c>
      <c r="M588" s="110">
        <v>72.86</v>
      </c>
      <c r="N588" s="110">
        <v>74.2</v>
      </c>
      <c r="O588" s="110">
        <v>72.290000000000006</v>
      </c>
      <c r="P588" s="110">
        <v>73.319999999999993</v>
      </c>
      <c r="Q588" s="110">
        <v>364.3</v>
      </c>
      <c r="R588">
        <v>2522230</v>
      </c>
    </row>
    <row r="589" spans="1:18" x14ac:dyDescent="0.25">
      <c r="A589" s="133">
        <v>42871</v>
      </c>
      <c r="B589" s="110">
        <v>75.78</v>
      </c>
      <c r="C589" s="110">
        <v>74.650000000000006</v>
      </c>
      <c r="D589" s="110">
        <v>71.900000000000006</v>
      </c>
      <c r="E589" s="110">
        <v>72.8</v>
      </c>
      <c r="F589" s="110">
        <v>373.25</v>
      </c>
      <c r="G589">
        <v>610665</v>
      </c>
      <c r="H589" s="110"/>
      <c r="I589" s="110"/>
      <c r="L589" s="133">
        <v>42871</v>
      </c>
      <c r="M589" s="110">
        <v>74.63</v>
      </c>
      <c r="N589" s="110">
        <v>75.77</v>
      </c>
      <c r="O589" s="110">
        <v>71.849999999999994</v>
      </c>
      <c r="P589" s="110">
        <v>72.97</v>
      </c>
      <c r="Q589" s="110">
        <v>373.15</v>
      </c>
      <c r="R589">
        <v>5608096</v>
      </c>
    </row>
    <row r="590" spans="1:18" x14ac:dyDescent="0.25">
      <c r="A590" s="133">
        <v>42872</v>
      </c>
      <c r="B590" s="110">
        <v>75.290000000000006</v>
      </c>
      <c r="C590" s="110">
        <v>74.72</v>
      </c>
      <c r="D590" s="110">
        <v>73.260000000000005</v>
      </c>
      <c r="E590" s="110">
        <v>74.88</v>
      </c>
      <c r="F590" s="110">
        <v>373.6</v>
      </c>
      <c r="G590">
        <v>356817</v>
      </c>
      <c r="H590" s="110"/>
      <c r="I590" s="110"/>
      <c r="L590" s="133">
        <v>42872</v>
      </c>
      <c r="M590" s="110">
        <v>74.790000000000006</v>
      </c>
      <c r="N590" s="110">
        <v>75.3</v>
      </c>
      <c r="O590" s="110">
        <v>73.260000000000005</v>
      </c>
      <c r="P590" s="110">
        <v>74.44</v>
      </c>
      <c r="Q590" s="110">
        <v>373.95</v>
      </c>
      <c r="R590">
        <v>3045762</v>
      </c>
    </row>
    <row r="591" spans="1:18" x14ac:dyDescent="0.25">
      <c r="A591" s="133">
        <v>42873</v>
      </c>
      <c r="B591" s="110">
        <v>75.099999999999994</v>
      </c>
      <c r="C591" s="110">
        <v>73.63</v>
      </c>
      <c r="D591" s="110">
        <v>73</v>
      </c>
      <c r="E591" s="110">
        <v>73.8</v>
      </c>
      <c r="F591" s="110">
        <v>368.15</v>
      </c>
      <c r="G591">
        <v>213204</v>
      </c>
      <c r="H591" s="110"/>
      <c r="I591" s="110"/>
      <c r="L591" s="133">
        <v>42873</v>
      </c>
      <c r="M591" s="110">
        <v>73.66</v>
      </c>
      <c r="N591" s="110">
        <v>75.16</v>
      </c>
      <c r="O591" s="110">
        <v>73</v>
      </c>
      <c r="P591" s="110">
        <v>73.98</v>
      </c>
      <c r="Q591" s="110">
        <v>368.3</v>
      </c>
      <c r="R591">
        <v>3071523</v>
      </c>
    </row>
    <row r="592" spans="1:18" x14ac:dyDescent="0.25">
      <c r="A592" s="133">
        <v>42874</v>
      </c>
      <c r="B592" s="110">
        <v>75.290000000000006</v>
      </c>
      <c r="C592" s="110">
        <v>73.47</v>
      </c>
      <c r="D592" s="110">
        <v>73.05</v>
      </c>
      <c r="E592" s="110">
        <v>74.400000000000006</v>
      </c>
      <c r="F592" s="110">
        <v>367.35</v>
      </c>
      <c r="G592">
        <v>309739</v>
      </c>
      <c r="H592" s="110"/>
      <c r="I592" s="110"/>
      <c r="L592" s="133">
        <v>42874</v>
      </c>
      <c r="M592" s="110">
        <v>73.52</v>
      </c>
      <c r="N592" s="110">
        <v>75.28</v>
      </c>
      <c r="O592" s="110">
        <v>73.02</v>
      </c>
      <c r="P592" s="110">
        <v>74.08</v>
      </c>
      <c r="Q592" s="110">
        <v>367.6</v>
      </c>
      <c r="R592">
        <v>3546626</v>
      </c>
    </row>
    <row r="593" spans="1:18" x14ac:dyDescent="0.25">
      <c r="A593" s="133">
        <v>42877</v>
      </c>
      <c r="B593" s="110">
        <v>74.430000000000007</v>
      </c>
      <c r="C593" s="110">
        <v>72.45</v>
      </c>
      <c r="D593" s="110">
        <v>71.62</v>
      </c>
      <c r="E593" s="110">
        <v>73.599999999999994</v>
      </c>
      <c r="F593" s="110">
        <v>362.25</v>
      </c>
      <c r="G593">
        <v>261509</v>
      </c>
      <c r="H593" s="110"/>
      <c r="I593" s="110"/>
      <c r="L593" s="133">
        <v>42877</v>
      </c>
      <c r="M593" s="110">
        <v>72.34</v>
      </c>
      <c r="N593" s="110">
        <v>74.53</v>
      </c>
      <c r="O593" s="110">
        <v>71.53</v>
      </c>
      <c r="P593" s="110">
        <v>74</v>
      </c>
      <c r="Q593" s="110">
        <v>361.7</v>
      </c>
      <c r="R593">
        <v>3582635</v>
      </c>
    </row>
    <row r="594" spans="1:18" x14ac:dyDescent="0.25">
      <c r="A594" s="133">
        <v>42878</v>
      </c>
      <c r="B594" s="110">
        <v>73.680000000000007</v>
      </c>
      <c r="C594" s="110">
        <v>71.540000000000006</v>
      </c>
      <c r="D594" s="110">
        <v>69.33</v>
      </c>
      <c r="E594" s="110">
        <v>73.680000000000007</v>
      </c>
      <c r="F594" s="110">
        <v>357.7</v>
      </c>
      <c r="G594">
        <v>412728</v>
      </c>
      <c r="H594" s="110"/>
      <c r="I594" s="110"/>
      <c r="L594" s="133">
        <v>42878</v>
      </c>
      <c r="M594" s="110">
        <v>71.47</v>
      </c>
      <c r="N594" s="110">
        <v>73.14</v>
      </c>
      <c r="O594" s="110">
        <v>69.349999999999994</v>
      </c>
      <c r="P594" s="110">
        <v>72.56</v>
      </c>
      <c r="Q594" s="110">
        <v>357.35</v>
      </c>
      <c r="R594">
        <v>5290342</v>
      </c>
    </row>
    <row r="595" spans="1:18" x14ac:dyDescent="0.25">
      <c r="A595" s="133">
        <v>42879</v>
      </c>
      <c r="B595" s="110">
        <v>72.010000000000005</v>
      </c>
      <c r="C595" s="110">
        <v>70.489999999999995</v>
      </c>
      <c r="D595" s="110">
        <v>70.02</v>
      </c>
      <c r="E595" s="110">
        <v>71.599999999999994</v>
      </c>
      <c r="F595" s="110">
        <v>352.45</v>
      </c>
      <c r="G595">
        <v>247070</v>
      </c>
      <c r="H595" s="110"/>
      <c r="I595" s="110"/>
      <c r="L595" s="133">
        <v>42879</v>
      </c>
      <c r="M595" s="110">
        <v>70.62</v>
      </c>
      <c r="N595" s="110">
        <v>72.05</v>
      </c>
      <c r="O595" s="110">
        <v>70.02</v>
      </c>
      <c r="P595" s="110">
        <v>71.599999999999994</v>
      </c>
      <c r="Q595" s="110">
        <v>353.1</v>
      </c>
      <c r="R595">
        <v>2813613</v>
      </c>
    </row>
    <row r="596" spans="1:18" x14ac:dyDescent="0.25">
      <c r="A596" s="133">
        <v>42880</v>
      </c>
      <c r="B596" s="110">
        <v>72</v>
      </c>
      <c r="C596" s="110">
        <v>71.69</v>
      </c>
      <c r="D596" s="110">
        <v>70.12</v>
      </c>
      <c r="E596" s="110">
        <v>71</v>
      </c>
      <c r="F596" s="110">
        <v>358.45</v>
      </c>
      <c r="G596">
        <v>245537</v>
      </c>
      <c r="H596" s="110"/>
      <c r="I596" s="110"/>
      <c r="L596" s="133">
        <v>42880</v>
      </c>
      <c r="M596" s="110">
        <v>71.73</v>
      </c>
      <c r="N596" s="110">
        <v>72.13</v>
      </c>
      <c r="O596" s="110">
        <v>70.11</v>
      </c>
      <c r="P596" s="110">
        <v>70.42</v>
      </c>
      <c r="Q596" s="110">
        <v>358.65</v>
      </c>
      <c r="R596">
        <v>3385920</v>
      </c>
    </row>
    <row r="597" spans="1:18" x14ac:dyDescent="0.25">
      <c r="A597" s="133">
        <v>42881</v>
      </c>
      <c r="B597" s="110">
        <v>72.73</v>
      </c>
      <c r="C597" s="110">
        <v>71.95</v>
      </c>
      <c r="D597" s="110">
        <v>71.180000000000007</v>
      </c>
      <c r="E597" s="110">
        <v>72</v>
      </c>
      <c r="F597" s="110">
        <v>359.75</v>
      </c>
      <c r="G597">
        <v>239562</v>
      </c>
      <c r="H597" s="110"/>
      <c r="I597" s="110"/>
      <c r="L597" s="133">
        <v>42881</v>
      </c>
      <c r="M597" s="110">
        <v>72</v>
      </c>
      <c r="N597" s="110">
        <v>72.78</v>
      </c>
      <c r="O597" s="110">
        <v>71.150000000000006</v>
      </c>
      <c r="P597" s="110">
        <v>71.8</v>
      </c>
      <c r="Q597" s="110">
        <v>360</v>
      </c>
      <c r="R597">
        <v>2207815</v>
      </c>
    </row>
    <row r="598" spans="1:18" x14ac:dyDescent="0.25">
      <c r="A598" s="133">
        <v>42884</v>
      </c>
      <c r="B598" s="110">
        <v>72.7</v>
      </c>
      <c r="C598" s="110">
        <v>70.19</v>
      </c>
      <c r="D598" s="110">
        <v>69.709999999999994</v>
      </c>
      <c r="E598" s="110">
        <v>72</v>
      </c>
      <c r="F598" s="110">
        <v>350.95</v>
      </c>
      <c r="G598">
        <v>197715</v>
      </c>
      <c r="H598" s="110"/>
      <c r="I598" s="110"/>
      <c r="L598" s="133">
        <v>42884</v>
      </c>
      <c r="M598" s="110">
        <v>70.12</v>
      </c>
      <c r="N598" s="110">
        <v>72.66</v>
      </c>
      <c r="O598" s="110">
        <v>69.84</v>
      </c>
      <c r="P598" s="110">
        <v>72.28</v>
      </c>
      <c r="Q598" s="110">
        <v>350.6</v>
      </c>
      <c r="R598">
        <v>2068729</v>
      </c>
    </row>
    <row r="599" spans="1:18" x14ac:dyDescent="0.25">
      <c r="A599" s="133">
        <v>42885</v>
      </c>
      <c r="B599" s="110">
        <v>71.599999999999994</v>
      </c>
      <c r="C599" s="110">
        <v>71.099999999999994</v>
      </c>
      <c r="D599" s="110">
        <v>68.8</v>
      </c>
      <c r="E599" s="110">
        <v>69.73</v>
      </c>
      <c r="F599" s="110">
        <v>355.5</v>
      </c>
      <c r="G599">
        <v>236862</v>
      </c>
      <c r="H599" s="110"/>
      <c r="I599" s="110"/>
      <c r="L599" s="133">
        <v>42885</v>
      </c>
      <c r="M599" s="110">
        <v>71.14</v>
      </c>
      <c r="N599" s="110">
        <v>71.400000000000006</v>
      </c>
      <c r="O599" s="110">
        <v>68.8</v>
      </c>
      <c r="P599" s="110">
        <v>70</v>
      </c>
      <c r="Q599" s="110">
        <v>355.7</v>
      </c>
      <c r="R599">
        <v>2374371</v>
      </c>
    </row>
    <row r="600" spans="1:18" x14ac:dyDescent="0.25">
      <c r="A600" s="133">
        <v>42886</v>
      </c>
      <c r="B600" s="110">
        <v>71.790000000000006</v>
      </c>
      <c r="C600" s="110">
        <v>70.150000000000006</v>
      </c>
      <c r="D600" s="110">
        <v>69.41</v>
      </c>
      <c r="E600" s="110">
        <v>71.36</v>
      </c>
      <c r="F600" s="110">
        <v>350.75</v>
      </c>
      <c r="G600">
        <v>191919</v>
      </c>
      <c r="H600" s="110"/>
      <c r="I600" s="110"/>
      <c r="L600" s="133">
        <v>42886</v>
      </c>
      <c r="M600" s="110">
        <v>70.180000000000007</v>
      </c>
      <c r="N600" s="110">
        <v>71.83</v>
      </c>
      <c r="O600" s="110">
        <v>69.37</v>
      </c>
      <c r="P600" s="110">
        <v>71.28</v>
      </c>
      <c r="Q600" s="110">
        <v>350.9</v>
      </c>
      <c r="R600">
        <v>2558721</v>
      </c>
    </row>
    <row r="601" spans="1:18" x14ac:dyDescent="0.25">
      <c r="A601" s="133">
        <v>42887</v>
      </c>
      <c r="B601" s="110">
        <v>71.17</v>
      </c>
      <c r="C601" s="110">
        <v>70.52</v>
      </c>
      <c r="D601" s="110">
        <v>69.239999999999995</v>
      </c>
      <c r="E601" s="110">
        <v>69.8</v>
      </c>
      <c r="F601" s="110">
        <v>352.6</v>
      </c>
      <c r="G601">
        <v>333746</v>
      </c>
      <c r="H601" s="110"/>
      <c r="I601" s="110"/>
      <c r="L601" s="133">
        <v>42887</v>
      </c>
      <c r="M601" s="110">
        <v>70.540000000000006</v>
      </c>
      <c r="N601" s="110">
        <v>71.2</v>
      </c>
      <c r="O601" s="110">
        <v>69.28</v>
      </c>
      <c r="P601" s="110">
        <v>70.180000000000007</v>
      </c>
      <c r="Q601" s="110">
        <v>352.7</v>
      </c>
      <c r="R601">
        <v>2564657</v>
      </c>
    </row>
    <row r="602" spans="1:18" x14ac:dyDescent="0.25">
      <c r="A602" s="133">
        <v>42888</v>
      </c>
      <c r="B602" s="110">
        <v>72.290000000000006</v>
      </c>
      <c r="C602" s="110">
        <v>71.959999999999994</v>
      </c>
      <c r="D602" s="110">
        <v>70.790000000000006</v>
      </c>
      <c r="E602" s="110">
        <v>70.8</v>
      </c>
      <c r="F602" s="110">
        <v>359.8</v>
      </c>
      <c r="G602">
        <v>347777</v>
      </c>
      <c r="H602" s="110"/>
      <c r="I602" s="110"/>
      <c r="L602" s="133">
        <v>42888</v>
      </c>
      <c r="M602" s="110">
        <v>72.010000000000005</v>
      </c>
      <c r="N602" s="110">
        <v>72.349999999999994</v>
      </c>
      <c r="O602" s="110">
        <v>70.760000000000005</v>
      </c>
      <c r="P602" s="110">
        <v>70.760000000000005</v>
      </c>
      <c r="Q602" s="110">
        <v>360.05</v>
      </c>
      <c r="R602">
        <v>3116832</v>
      </c>
    </row>
    <row r="603" spans="1:18" x14ac:dyDescent="0.25">
      <c r="A603" s="133">
        <v>42891</v>
      </c>
      <c r="B603" s="110">
        <v>73.14</v>
      </c>
      <c r="C603" s="110">
        <v>72.569999999999993</v>
      </c>
      <c r="D603" s="110">
        <v>72.2</v>
      </c>
      <c r="E603" s="110">
        <v>72.36</v>
      </c>
      <c r="F603" s="110">
        <v>362.85</v>
      </c>
      <c r="G603">
        <v>133784</v>
      </c>
      <c r="H603" s="110"/>
      <c r="I603" s="110"/>
      <c r="L603" s="133">
        <v>42891</v>
      </c>
      <c r="M603" s="110">
        <v>72.53</v>
      </c>
      <c r="N603" s="110">
        <v>73.14</v>
      </c>
      <c r="O603" s="110">
        <v>72.12</v>
      </c>
      <c r="P603" s="110">
        <v>72.2</v>
      </c>
      <c r="Q603" s="110">
        <v>362.65</v>
      </c>
      <c r="R603">
        <v>1908226</v>
      </c>
    </row>
    <row r="604" spans="1:18" x14ac:dyDescent="0.25">
      <c r="A604" s="133">
        <v>42892</v>
      </c>
      <c r="B604" s="110">
        <v>73.19</v>
      </c>
      <c r="C604" s="110">
        <v>71.61</v>
      </c>
      <c r="D604" s="110">
        <v>71.2</v>
      </c>
      <c r="E604" s="110">
        <v>73.19</v>
      </c>
      <c r="F604" s="110">
        <v>358.05</v>
      </c>
      <c r="G604">
        <v>159491</v>
      </c>
      <c r="H604" s="110"/>
      <c r="I604" s="110"/>
      <c r="L604" s="133">
        <v>42892</v>
      </c>
      <c r="M604" s="110">
        <v>71.7</v>
      </c>
      <c r="N604" s="110">
        <v>72.989999999999995</v>
      </c>
      <c r="O604" s="110">
        <v>71.13</v>
      </c>
      <c r="P604" s="110">
        <v>72.45</v>
      </c>
      <c r="Q604" s="110">
        <v>358.5</v>
      </c>
      <c r="R604">
        <v>1877198</v>
      </c>
    </row>
    <row r="605" spans="1:18" x14ac:dyDescent="0.25">
      <c r="A605" s="133">
        <v>42893</v>
      </c>
      <c r="B605" s="110">
        <v>72.900000000000006</v>
      </c>
      <c r="C605" s="110">
        <v>72.56</v>
      </c>
      <c r="D605" s="110">
        <v>71.48</v>
      </c>
      <c r="E605" s="110">
        <v>71.63</v>
      </c>
      <c r="F605" s="110">
        <v>362.8</v>
      </c>
      <c r="G605">
        <v>132953</v>
      </c>
      <c r="H605" s="110"/>
      <c r="I605" s="110"/>
      <c r="L605" s="133">
        <v>42893</v>
      </c>
      <c r="M605" s="110">
        <v>72.540000000000006</v>
      </c>
      <c r="N605" s="110">
        <v>72.930000000000007</v>
      </c>
      <c r="O605" s="110">
        <v>71.5</v>
      </c>
      <c r="P605" s="110">
        <v>71.78</v>
      </c>
      <c r="Q605" s="110">
        <v>362.7</v>
      </c>
      <c r="R605">
        <v>1547298</v>
      </c>
    </row>
    <row r="606" spans="1:18" x14ac:dyDescent="0.25">
      <c r="A606" s="133">
        <v>42894</v>
      </c>
      <c r="B606" s="110">
        <v>72.95</v>
      </c>
      <c r="C606" s="110">
        <v>71.84</v>
      </c>
      <c r="D606" s="110">
        <v>71.69</v>
      </c>
      <c r="E606" s="110">
        <v>72.58</v>
      </c>
      <c r="F606" s="110">
        <v>359.2</v>
      </c>
      <c r="G606">
        <v>113954</v>
      </c>
      <c r="H606" s="110"/>
      <c r="I606" s="110"/>
      <c r="L606" s="133">
        <v>42894</v>
      </c>
      <c r="M606" s="110">
        <v>71.87</v>
      </c>
      <c r="N606" s="110">
        <v>72.97</v>
      </c>
      <c r="O606" s="110">
        <v>71.72</v>
      </c>
      <c r="P606" s="110">
        <v>72.97</v>
      </c>
      <c r="Q606" s="110">
        <v>359.35</v>
      </c>
      <c r="R606">
        <v>1211577</v>
      </c>
    </row>
    <row r="607" spans="1:18" x14ac:dyDescent="0.25">
      <c r="A607" s="133">
        <v>42895</v>
      </c>
      <c r="B607" s="110">
        <v>72.34</v>
      </c>
      <c r="C607" s="110">
        <v>72.06</v>
      </c>
      <c r="D607" s="110">
        <v>71.319999999999993</v>
      </c>
      <c r="E607" s="110">
        <v>71.83</v>
      </c>
      <c r="F607" s="110">
        <v>360.3</v>
      </c>
      <c r="G607">
        <v>97555</v>
      </c>
      <c r="H607" s="110"/>
      <c r="I607" s="110"/>
      <c r="L607" s="133">
        <v>42895</v>
      </c>
      <c r="M607" s="110">
        <v>72.09</v>
      </c>
      <c r="N607" s="110">
        <v>72.349999999999994</v>
      </c>
      <c r="O607" s="110">
        <v>71.3</v>
      </c>
      <c r="P607" s="110">
        <v>71.84</v>
      </c>
      <c r="Q607" s="110">
        <v>360.45</v>
      </c>
      <c r="R607">
        <v>1172305</v>
      </c>
    </row>
    <row r="608" spans="1:18" x14ac:dyDescent="0.25">
      <c r="A608" s="133">
        <v>42898</v>
      </c>
      <c r="B608" s="110">
        <v>71.8</v>
      </c>
      <c r="C608" s="110">
        <v>69.19</v>
      </c>
      <c r="D608" s="110">
        <v>69</v>
      </c>
      <c r="E608" s="110">
        <v>71.8</v>
      </c>
      <c r="F608" s="110">
        <v>345.95</v>
      </c>
      <c r="G608">
        <v>251682</v>
      </c>
      <c r="H608" s="110"/>
      <c r="I608" s="110"/>
      <c r="L608" s="133">
        <v>42898</v>
      </c>
      <c r="M608" s="110">
        <v>69.2</v>
      </c>
      <c r="N608" s="110">
        <v>71.89</v>
      </c>
      <c r="O608" s="110">
        <v>69.02</v>
      </c>
      <c r="P608" s="110">
        <v>71.62</v>
      </c>
      <c r="Q608" s="110">
        <v>346</v>
      </c>
      <c r="R608">
        <v>2816322</v>
      </c>
    </row>
    <row r="609" spans="1:18" x14ac:dyDescent="0.25">
      <c r="A609" s="133">
        <v>42899</v>
      </c>
      <c r="B609" s="110">
        <v>70.31</v>
      </c>
      <c r="C609" s="110">
        <v>69.7</v>
      </c>
      <c r="D609" s="110">
        <v>69.47</v>
      </c>
      <c r="E609" s="110">
        <v>69.599999999999994</v>
      </c>
      <c r="F609" s="110">
        <v>348.5</v>
      </c>
      <c r="G609">
        <v>120164</v>
      </c>
      <c r="H609" s="110"/>
      <c r="I609" s="110"/>
      <c r="L609" s="133">
        <v>42899</v>
      </c>
      <c r="M609" s="110">
        <v>69.739999999999995</v>
      </c>
      <c r="N609" s="110">
        <v>70.319999999999993</v>
      </c>
      <c r="O609" s="110">
        <v>69.44</v>
      </c>
      <c r="P609" s="110">
        <v>69.599999999999994</v>
      </c>
      <c r="Q609" s="110">
        <v>348.7</v>
      </c>
      <c r="R609">
        <v>1303989</v>
      </c>
    </row>
    <row r="610" spans="1:18" x14ac:dyDescent="0.25">
      <c r="A610" s="133">
        <v>42900</v>
      </c>
      <c r="B610" s="110">
        <v>71.209999999999994</v>
      </c>
      <c r="C610" s="110">
        <v>71.099999999999994</v>
      </c>
      <c r="D610" s="110">
        <v>69.22</v>
      </c>
      <c r="E610" s="110">
        <v>70.3</v>
      </c>
      <c r="F610" s="110">
        <v>355.5</v>
      </c>
      <c r="G610">
        <v>212245</v>
      </c>
      <c r="H610" s="110"/>
      <c r="I610" s="110"/>
      <c r="L610" s="133">
        <v>42900</v>
      </c>
      <c r="M610" s="110">
        <v>71.069999999999993</v>
      </c>
      <c r="N610" s="110">
        <v>71.2</v>
      </c>
      <c r="O610" s="110">
        <v>69.22</v>
      </c>
      <c r="P610" s="110">
        <v>70.3</v>
      </c>
      <c r="Q610" s="110">
        <v>355.35</v>
      </c>
      <c r="R610">
        <v>2596713</v>
      </c>
    </row>
    <row r="611" spans="1:18" x14ac:dyDescent="0.25">
      <c r="A611" s="133">
        <v>42901</v>
      </c>
      <c r="B611" s="110">
        <v>71.08</v>
      </c>
      <c r="C611" s="110">
        <v>70.42</v>
      </c>
      <c r="D611" s="110">
        <v>70.06</v>
      </c>
      <c r="E611" s="110">
        <v>70.8</v>
      </c>
      <c r="F611" s="110">
        <v>352.1</v>
      </c>
      <c r="G611">
        <v>278850</v>
      </c>
      <c r="H611" s="110"/>
      <c r="I611" s="110"/>
      <c r="L611" s="133">
        <v>42901</v>
      </c>
      <c r="M611" s="110">
        <v>70.39</v>
      </c>
      <c r="N611" s="110">
        <v>71.08</v>
      </c>
      <c r="O611" s="110">
        <v>70.05</v>
      </c>
      <c r="P611" s="110">
        <v>70.599999999999994</v>
      </c>
      <c r="Q611" s="110">
        <v>351.95</v>
      </c>
      <c r="R611">
        <v>1672563</v>
      </c>
    </row>
    <row r="612" spans="1:18" x14ac:dyDescent="0.25">
      <c r="A612" s="133">
        <v>42902</v>
      </c>
      <c r="B612" s="110">
        <v>70.92</v>
      </c>
      <c r="C612" s="110">
        <v>70.41</v>
      </c>
      <c r="D612" s="110">
        <v>69.91</v>
      </c>
      <c r="E612" s="110">
        <v>69.91</v>
      </c>
      <c r="F612" s="110">
        <v>352.05</v>
      </c>
      <c r="G612">
        <v>131898</v>
      </c>
      <c r="H612" s="110"/>
      <c r="I612" s="110"/>
      <c r="L612" s="133">
        <v>42902</v>
      </c>
      <c r="M612" s="110">
        <v>70.41</v>
      </c>
      <c r="N612" s="110">
        <v>70.94</v>
      </c>
      <c r="O612" s="110">
        <v>70.13</v>
      </c>
      <c r="P612" s="110">
        <v>70.53</v>
      </c>
      <c r="Q612" s="110">
        <v>352.05</v>
      </c>
      <c r="R612">
        <v>1161377</v>
      </c>
    </row>
    <row r="613" spans="1:18" x14ac:dyDescent="0.25">
      <c r="A613" s="133">
        <v>42905</v>
      </c>
      <c r="B613" s="110">
        <v>71.78</v>
      </c>
      <c r="C613" s="110">
        <v>71.17</v>
      </c>
      <c r="D613" s="110">
        <v>70.14</v>
      </c>
      <c r="E613" s="110">
        <v>70.56</v>
      </c>
      <c r="F613" s="110">
        <v>355.85</v>
      </c>
      <c r="G613">
        <v>160184</v>
      </c>
      <c r="H613" s="110"/>
      <c r="I613" s="110"/>
      <c r="L613" s="133">
        <v>42905</v>
      </c>
      <c r="M613" s="110">
        <v>71.09</v>
      </c>
      <c r="N613" s="110">
        <v>71.78</v>
      </c>
      <c r="O613" s="110">
        <v>70.17</v>
      </c>
      <c r="P613" s="110">
        <v>70.75</v>
      </c>
      <c r="Q613" s="110">
        <v>355.45</v>
      </c>
      <c r="R613">
        <v>2087205</v>
      </c>
    </row>
    <row r="614" spans="1:18" x14ac:dyDescent="0.25">
      <c r="A614" s="133">
        <v>42906</v>
      </c>
      <c r="B614" s="110">
        <v>71.55</v>
      </c>
      <c r="C614" s="110">
        <v>70.510000000000005</v>
      </c>
      <c r="D614" s="110">
        <v>70.3</v>
      </c>
      <c r="E614" s="110">
        <v>71</v>
      </c>
      <c r="F614" s="110">
        <v>352.55</v>
      </c>
      <c r="G614">
        <v>116977</v>
      </c>
      <c r="H614" s="110"/>
      <c r="I614" s="110"/>
      <c r="L614" s="133">
        <v>42906</v>
      </c>
      <c r="M614" s="110">
        <v>70.489999999999995</v>
      </c>
      <c r="N614" s="110">
        <v>71.56</v>
      </c>
      <c r="O614" s="110">
        <v>70.349999999999994</v>
      </c>
      <c r="P614" s="110">
        <v>71.16</v>
      </c>
      <c r="Q614" s="110">
        <v>352.45</v>
      </c>
      <c r="R614">
        <v>1440642</v>
      </c>
    </row>
    <row r="615" spans="1:18" x14ac:dyDescent="0.25">
      <c r="A615" s="133">
        <v>42907</v>
      </c>
      <c r="B615" s="110">
        <v>71.69</v>
      </c>
      <c r="C615" s="110">
        <v>70.650000000000006</v>
      </c>
      <c r="D615" s="110">
        <v>70.42</v>
      </c>
      <c r="E615" s="110">
        <v>71.48</v>
      </c>
      <c r="F615" s="110">
        <v>353.25</v>
      </c>
      <c r="G615">
        <v>271707</v>
      </c>
      <c r="H615" s="110"/>
      <c r="I615" s="110"/>
      <c r="L615" s="133">
        <v>42907</v>
      </c>
      <c r="M615" s="110">
        <v>70.680000000000007</v>
      </c>
      <c r="N615" s="110">
        <v>71.760000000000005</v>
      </c>
      <c r="O615" s="110">
        <v>70.510000000000005</v>
      </c>
      <c r="P615" s="110">
        <v>70.88</v>
      </c>
      <c r="Q615" s="110">
        <v>353.4</v>
      </c>
      <c r="R615">
        <v>2271061</v>
      </c>
    </row>
    <row r="616" spans="1:18" x14ac:dyDescent="0.25">
      <c r="A616" s="133">
        <v>42908</v>
      </c>
      <c r="B616" s="110">
        <v>71.22</v>
      </c>
      <c r="C616" s="110">
        <v>70.14</v>
      </c>
      <c r="D616" s="110">
        <v>69.849999999999994</v>
      </c>
      <c r="E616" s="110">
        <v>71.010000000000005</v>
      </c>
      <c r="F616" s="110">
        <v>350.7</v>
      </c>
      <c r="G616">
        <v>124171</v>
      </c>
      <c r="H616" s="110"/>
      <c r="I616" s="110"/>
      <c r="L616" s="133">
        <v>42908</v>
      </c>
      <c r="M616" s="110">
        <v>70.09</v>
      </c>
      <c r="N616" s="110">
        <v>71.36</v>
      </c>
      <c r="O616" s="110">
        <v>69.89</v>
      </c>
      <c r="P616" s="110">
        <v>71.3</v>
      </c>
      <c r="Q616" s="110">
        <v>350.45</v>
      </c>
      <c r="R616">
        <v>1767478</v>
      </c>
    </row>
    <row r="617" spans="1:18" x14ac:dyDescent="0.25">
      <c r="A617" s="133">
        <v>42909</v>
      </c>
      <c r="B617" s="110">
        <v>71.400000000000006</v>
      </c>
      <c r="C617" s="110">
        <v>67.91</v>
      </c>
      <c r="D617" s="110">
        <v>67.53</v>
      </c>
      <c r="E617" s="110">
        <v>70.41</v>
      </c>
      <c r="F617" s="110">
        <v>339.55</v>
      </c>
      <c r="G617">
        <v>231193</v>
      </c>
      <c r="H617" s="110"/>
      <c r="I617" s="110"/>
      <c r="L617" s="133">
        <v>42909</v>
      </c>
      <c r="M617" s="110">
        <v>67.849999999999994</v>
      </c>
      <c r="N617" s="110">
        <v>70.41</v>
      </c>
      <c r="O617" s="110">
        <v>67.52</v>
      </c>
      <c r="P617" s="110">
        <v>70.22</v>
      </c>
      <c r="Q617" s="110">
        <v>339.25</v>
      </c>
      <c r="R617">
        <v>2312569</v>
      </c>
    </row>
    <row r="618" spans="1:18" x14ac:dyDescent="0.25">
      <c r="A618" s="133">
        <v>42913</v>
      </c>
      <c r="B618" s="110">
        <v>68.02</v>
      </c>
      <c r="C618" s="110">
        <v>64.84</v>
      </c>
      <c r="D618" s="110">
        <v>64.56</v>
      </c>
      <c r="E618" s="110">
        <v>67.91</v>
      </c>
      <c r="F618" s="110">
        <v>324.2</v>
      </c>
      <c r="G618">
        <v>290699</v>
      </c>
      <c r="H618" s="110"/>
      <c r="I618" s="110"/>
      <c r="L618" s="133">
        <v>42913</v>
      </c>
      <c r="M618" s="110">
        <v>64.760000000000005</v>
      </c>
      <c r="N618" s="110">
        <v>67.599999999999994</v>
      </c>
      <c r="O618" s="110">
        <v>64.459999999999994</v>
      </c>
      <c r="P618" s="110">
        <v>67.59</v>
      </c>
      <c r="Q618" s="110">
        <v>323.8</v>
      </c>
      <c r="R618">
        <v>3067227</v>
      </c>
    </row>
    <row r="619" spans="1:18" x14ac:dyDescent="0.25">
      <c r="A619" s="133">
        <v>42914</v>
      </c>
      <c r="B619" s="110">
        <v>65.36</v>
      </c>
      <c r="C619" s="110">
        <v>65.06</v>
      </c>
      <c r="D619" s="110">
        <v>63.37</v>
      </c>
      <c r="E619" s="110">
        <v>63.58</v>
      </c>
      <c r="F619" s="110">
        <v>325.3</v>
      </c>
      <c r="G619">
        <v>262947</v>
      </c>
      <c r="H619" s="110"/>
      <c r="I619" s="110"/>
      <c r="L619" s="133">
        <v>42914</v>
      </c>
      <c r="M619" s="110">
        <v>65.2</v>
      </c>
      <c r="N619" s="110">
        <v>65.599999999999994</v>
      </c>
      <c r="O619" s="110">
        <v>63.42</v>
      </c>
      <c r="P619" s="110">
        <v>63.68</v>
      </c>
      <c r="Q619" s="110">
        <v>326</v>
      </c>
      <c r="R619">
        <v>3746081</v>
      </c>
    </row>
    <row r="620" spans="1:18" x14ac:dyDescent="0.25">
      <c r="A620" s="133">
        <v>42915</v>
      </c>
      <c r="B620" s="110">
        <v>67.7</v>
      </c>
      <c r="C620" s="110">
        <v>66.38</v>
      </c>
      <c r="D620" s="110">
        <v>65.5</v>
      </c>
      <c r="E620" s="110">
        <v>65.52</v>
      </c>
      <c r="F620" s="110">
        <v>331.9</v>
      </c>
      <c r="G620">
        <v>321087</v>
      </c>
      <c r="H620" s="110"/>
      <c r="I620" s="110"/>
      <c r="L620" s="133">
        <v>42915</v>
      </c>
      <c r="M620" s="110">
        <v>66.53</v>
      </c>
      <c r="N620" s="110">
        <v>67.7</v>
      </c>
      <c r="O620" s="110">
        <v>65.459999999999994</v>
      </c>
      <c r="P620" s="110">
        <v>65.680000000000007</v>
      </c>
      <c r="Q620" s="110">
        <v>332.65</v>
      </c>
      <c r="R620">
        <v>4718642</v>
      </c>
    </row>
    <row r="621" spans="1:18" x14ac:dyDescent="0.25">
      <c r="A621" s="133">
        <v>42916</v>
      </c>
      <c r="B621" s="110">
        <v>65.989999999999995</v>
      </c>
      <c r="C621" s="110">
        <v>65.8</v>
      </c>
      <c r="D621" s="110">
        <v>64.900000000000006</v>
      </c>
      <c r="E621" s="110">
        <v>65.599999999999994</v>
      </c>
      <c r="F621" s="110">
        <v>329</v>
      </c>
      <c r="G621">
        <v>174907</v>
      </c>
      <c r="H621" s="110"/>
      <c r="I621" s="110"/>
      <c r="L621" s="133">
        <v>42916</v>
      </c>
      <c r="M621" s="110">
        <v>65.73</v>
      </c>
      <c r="N621" s="110">
        <v>66.099999999999994</v>
      </c>
      <c r="O621" s="110">
        <v>64.87</v>
      </c>
      <c r="P621" s="110">
        <v>66.099999999999994</v>
      </c>
      <c r="Q621" s="110">
        <v>328.65</v>
      </c>
      <c r="R621">
        <v>2348794</v>
      </c>
    </row>
    <row r="622" spans="1:18" x14ac:dyDescent="0.25">
      <c r="A622" s="133">
        <v>42919</v>
      </c>
      <c r="B622" s="110">
        <v>66.72</v>
      </c>
      <c r="C622" s="110">
        <v>66.25</v>
      </c>
      <c r="D622" s="110">
        <v>65.760000000000005</v>
      </c>
      <c r="E622" s="110">
        <v>65.8</v>
      </c>
      <c r="F622" s="110">
        <v>331.25</v>
      </c>
      <c r="G622">
        <v>175772</v>
      </c>
      <c r="H622" s="110"/>
      <c r="I622" s="110"/>
      <c r="L622" s="133">
        <v>42919</v>
      </c>
      <c r="M622" s="110">
        <v>66.33</v>
      </c>
      <c r="N622" s="110">
        <v>66.69</v>
      </c>
      <c r="O622" s="110">
        <v>65.73</v>
      </c>
      <c r="P622" s="110">
        <v>65.760000000000005</v>
      </c>
      <c r="Q622" s="110">
        <v>331.65</v>
      </c>
      <c r="R622">
        <v>1432415</v>
      </c>
    </row>
    <row r="623" spans="1:18" x14ac:dyDescent="0.25">
      <c r="A623" s="133">
        <v>42920</v>
      </c>
      <c r="B623" s="110">
        <v>66.959999999999994</v>
      </c>
      <c r="C623" s="110">
        <v>66.38</v>
      </c>
      <c r="D623" s="110">
        <v>65.95</v>
      </c>
      <c r="E623" s="110">
        <v>66.599999999999994</v>
      </c>
      <c r="F623" s="110">
        <v>331.9</v>
      </c>
      <c r="G623">
        <v>108778</v>
      </c>
      <c r="H623" s="110"/>
      <c r="I623" s="110"/>
      <c r="L623" s="133">
        <v>42920</v>
      </c>
      <c r="M623" s="110">
        <v>66.31</v>
      </c>
      <c r="N623" s="110">
        <v>66.989999999999995</v>
      </c>
      <c r="O623" s="110">
        <v>65.900000000000006</v>
      </c>
      <c r="P623" s="110">
        <v>66.2</v>
      </c>
      <c r="Q623" s="110">
        <v>331.55</v>
      </c>
      <c r="R623">
        <v>1423836</v>
      </c>
    </row>
    <row r="624" spans="1:18" x14ac:dyDescent="0.25">
      <c r="A624" s="133">
        <v>42921</v>
      </c>
      <c r="B624" s="110">
        <v>66.959999999999994</v>
      </c>
      <c r="C624" s="110">
        <v>66.52</v>
      </c>
      <c r="D624" s="110">
        <v>66</v>
      </c>
      <c r="E624" s="110">
        <v>66.260000000000005</v>
      </c>
      <c r="F624" s="110">
        <v>332.6</v>
      </c>
      <c r="G624">
        <v>78408</v>
      </c>
      <c r="H624" s="110"/>
      <c r="I624" s="110"/>
      <c r="L624" s="133">
        <v>42921</v>
      </c>
      <c r="M624" s="110">
        <v>66.48</v>
      </c>
      <c r="N624" s="110">
        <v>66.98</v>
      </c>
      <c r="O624" s="110">
        <v>66.010000000000005</v>
      </c>
      <c r="P624" s="110">
        <v>66.209999999999994</v>
      </c>
      <c r="Q624" s="110">
        <v>332.4</v>
      </c>
      <c r="R624">
        <v>1502416</v>
      </c>
    </row>
    <row r="625" spans="1:18" x14ac:dyDescent="0.25">
      <c r="A625" s="133">
        <v>42922</v>
      </c>
      <c r="B625" s="110">
        <v>68.94</v>
      </c>
      <c r="C625" s="110">
        <v>68.55</v>
      </c>
      <c r="D625" s="110">
        <v>66.83</v>
      </c>
      <c r="E625" s="110">
        <v>66.83</v>
      </c>
      <c r="F625" s="110">
        <v>342.75</v>
      </c>
      <c r="G625">
        <v>295429</v>
      </c>
      <c r="H625" s="110"/>
      <c r="I625" s="110"/>
      <c r="L625" s="133">
        <v>42922</v>
      </c>
      <c r="M625" s="110">
        <v>68.5</v>
      </c>
      <c r="N625" s="110">
        <v>68.930000000000007</v>
      </c>
      <c r="O625" s="110">
        <v>66.680000000000007</v>
      </c>
      <c r="P625" s="110">
        <v>66.680000000000007</v>
      </c>
      <c r="Q625" s="110">
        <v>342.5</v>
      </c>
      <c r="R625">
        <v>2904713</v>
      </c>
    </row>
    <row r="626" spans="1:18" x14ac:dyDescent="0.25">
      <c r="A626" s="133">
        <v>42923</v>
      </c>
      <c r="B626" s="110">
        <v>69.62</v>
      </c>
      <c r="C626" s="110">
        <v>69.11</v>
      </c>
      <c r="D626" s="110">
        <v>68.03</v>
      </c>
      <c r="E626" s="110">
        <v>68.48</v>
      </c>
      <c r="F626" s="110">
        <v>345.55</v>
      </c>
      <c r="G626">
        <v>193654</v>
      </c>
      <c r="H626" s="110"/>
      <c r="I626" s="110"/>
      <c r="L626" s="133">
        <v>42923</v>
      </c>
      <c r="M626" s="110">
        <v>69.2</v>
      </c>
      <c r="N626" s="110">
        <v>69.64</v>
      </c>
      <c r="O626" s="110">
        <v>67.989999999999995</v>
      </c>
      <c r="P626" s="110">
        <v>68.28</v>
      </c>
      <c r="Q626" s="110">
        <v>346</v>
      </c>
      <c r="R626">
        <v>2475363</v>
      </c>
    </row>
    <row r="627" spans="1:18" x14ac:dyDescent="0.25">
      <c r="A627" s="133">
        <v>42926</v>
      </c>
      <c r="B627" s="110">
        <v>72.48</v>
      </c>
      <c r="C627" s="110">
        <v>72.27</v>
      </c>
      <c r="D627" s="110">
        <v>69.099999999999994</v>
      </c>
      <c r="E627" s="110">
        <v>69.099999999999994</v>
      </c>
      <c r="F627" s="110">
        <v>361.35</v>
      </c>
      <c r="G627">
        <v>965458</v>
      </c>
      <c r="H627" s="110"/>
      <c r="I627" s="110"/>
      <c r="L627" s="133">
        <v>42926</v>
      </c>
      <c r="M627" s="110">
        <v>72.31</v>
      </c>
      <c r="N627" s="110">
        <v>72.52</v>
      </c>
      <c r="O627" s="110">
        <v>66.94</v>
      </c>
      <c r="P627" s="110">
        <v>66.94</v>
      </c>
      <c r="Q627" s="110">
        <v>361.55</v>
      </c>
      <c r="R627">
        <v>902687</v>
      </c>
    </row>
    <row r="628" spans="1:18" x14ac:dyDescent="0.25">
      <c r="A628" s="133">
        <v>42927</v>
      </c>
      <c r="B628" s="110">
        <v>73.510000000000005</v>
      </c>
      <c r="C628" s="110">
        <v>71.16</v>
      </c>
      <c r="D628" s="110">
        <v>70.83</v>
      </c>
      <c r="E628" s="110">
        <v>73</v>
      </c>
      <c r="F628" s="110">
        <v>355.8</v>
      </c>
      <c r="G628">
        <v>316066</v>
      </c>
      <c r="H628" s="110"/>
      <c r="I628" s="110"/>
      <c r="L628" s="133">
        <v>42927</v>
      </c>
      <c r="M628" s="110">
        <v>71.14</v>
      </c>
      <c r="N628" s="110">
        <v>73.540000000000006</v>
      </c>
      <c r="O628" s="110">
        <v>70.83</v>
      </c>
      <c r="P628" s="110">
        <v>73.19</v>
      </c>
      <c r="Q628" s="110">
        <v>355.7</v>
      </c>
      <c r="R628">
        <v>2264889</v>
      </c>
    </row>
    <row r="629" spans="1:18" x14ac:dyDescent="0.25">
      <c r="A629" s="133">
        <v>42928</v>
      </c>
      <c r="B629" s="110">
        <v>72.180000000000007</v>
      </c>
      <c r="C629" s="110">
        <v>71.989999999999995</v>
      </c>
      <c r="D629" s="110">
        <v>70.39</v>
      </c>
      <c r="E629" s="110">
        <v>71</v>
      </c>
      <c r="F629" s="110">
        <v>359.95</v>
      </c>
      <c r="G629">
        <v>230885</v>
      </c>
      <c r="H629" s="110"/>
      <c r="I629" s="110"/>
      <c r="L629" s="133">
        <v>42928</v>
      </c>
      <c r="M629" s="110">
        <v>71.900000000000006</v>
      </c>
      <c r="N629" s="110">
        <v>72.099999999999994</v>
      </c>
      <c r="O629" s="110">
        <v>70.34</v>
      </c>
      <c r="P629" s="110">
        <v>71.569999999999993</v>
      </c>
      <c r="Q629" s="110">
        <v>359.5</v>
      </c>
      <c r="R629">
        <v>1907009</v>
      </c>
    </row>
    <row r="630" spans="1:18" x14ac:dyDescent="0.25">
      <c r="A630" s="133">
        <v>42929</v>
      </c>
      <c r="B630" s="110">
        <v>72.89</v>
      </c>
      <c r="C630" s="110">
        <v>72.36</v>
      </c>
      <c r="D630" s="110">
        <v>71.86</v>
      </c>
      <c r="E630" s="110">
        <v>72.8</v>
      </c>
      <c r="F630" s="110">
        <v>361.8</v>
      </c>
      <c r="G630">
        <v>136076</v>
      </c>
      <c r="H630" s="110"/>
      <c r="I630" s="110"/>
      <c r="L630" s="133">
        <v>42929</v>
      </c>
      <c r="M630" s="110">
        <v>72.48</v>
      </c>
      <c r="N630" s="110">
        <v>72.94</v>
      </c>
      <c r="O630" s="110">
        <v>71.87</v>
      </c>
      <c r="P630" s="110">
        <v>72.78</v>
      </c>
      <c r="Q630" s="110">
        <v>362.4</v>
      </c>
      <c r="R630">
        <v>1669046</v>
      </c>
    </row>
    <row r="631" spans="1:18" x14ac:dyDescent="0.25">
      <c r="A631" s="133">
        <v>42930</v>
      </c>
      <c r="B631" s="110">
        <v>73.75</v>
      </c>
      <c r="C631" s="110">
        <v>73.52</v>
      </c>
      <c r="D631" s="110">
        <v>71.459999999999994</v>
      </c>
      <c r="E631" s="110">
        <v>72.400000000000006</v>
      </c>
      <c r="F631" s="110">
        <v>367.6</v>
      </c>
      <c r="G631">
        <v>273296</v>
      </c>
      <c r="H631" s="110"/>
      <c r="I631" s="110"/>
      <c r="L631" s="133">
        <v>42930</v>
      </c>
      <c r="M631" s="110">
        <v>73.53</v>
      </c>
      <c r="N631" s="110">
        <v>73.81</v>
      </c>
      <c r="O631" s="110">
        <v>71.400000000000006</v>
      </c>
      <c r="P631" s="110">
        <v>72.599999999999994</v>
      </c>
      <c r="Q631" s="110">
        <v>367.65</v>
      </c>
      <c r="R631">
        <v>2860733</v>
      </c>
    </row>
    <row r="632" spans="1:18" x14ac:dyDescent="0.25">
      <c r="A632" s="133">
        <v>42933</v>
      </c>
      <c r="B632" s="110">
        <v>74.28</v>
      </c>
      <c r="C632" s="110">
        <v>73.72</v>
      </c>
      <c r="D632" s="110">
        <v>73.08</v>
      </c>
      <c r="E632" s="110">
        <v>73.8</v>
      </c>
      <c r="F632" s="110">
        <v>368.6</v>
      </c>
      <c r="G632">
        <v>190294</v>
      </c>
      <c r="H632" s="110"/>
      <c r="I632" s="110"/>
      <c r="L632" s="133">
        <v>42933</v>
      </c>
      <c r="M632" s="110">
        <v>73.7</v>
      </c>
      <c r="N632" s="110">
        <v>74.36</v>
      </c>
      <c r="O632" s="110">
        <v>73.05</v>
      </c>
      <c r="P632" s="110">
        <v>73.819999999999993</v>
      </c>
      <c r="Q632" s="110">
        <v>368.5</v>
      </c>
      <c r="R632">
        <v>1827891</v>
      </c>
    </row>
    <row r="633" spans="1:18" x14ac:dyDescent="0.25">
      <c r="A633" s="133">
        <v>42934</v>
      </c>
      <c r="B633" s="110">
        <v>74.88</v>
      </c>
      <c r="C633" s="110">
        <v>73.77</v>
      </c>
      <c r="D633" s="110">
        <v>72.88</v>
      </c>
      <c r="E633" s="110">
        <v>73.72</v>
      </c>
      <c r="F633" s="110">
        <v>368.85</v>
      </c>
      <c r="G633">
        <v>227541</v>
      </c>
      <c r="H633" s="110"/>
      <c r="I633" s="110"/>
      <c r="L633" s="133">
        <v>42934</v>
      </c>
      <c r="M633" s="110">
        <v>73.709999999999994</v>
      </c>
      <c r="N633" s="110">
        <v>74.94</v>
      </c>
      <c r="O633" s="110">
        <v>72.849999999999994</v>
      </c>
      <c r="P633" s="110">
        <v>73.19</v>
      </c>
      <c r="Q633" s="110">
        <v>368.55</v>
      </c>
      <c r="R633">
        <v>2351324</v>
      </c>
    </row>
    <row r="634" spans="1:18" x14ac:dyDescent="0.25">
      <c r="A634" s="133">
        <v>42935</v>
      </c>
      <c r="B634" s="110">
        <v>74.650000000000006</v>
      </c>
      <c r="C634" s="110">
        <v>74.2</v>
      </c>
      <c r="D634" s="110">
        <v>73.81</v>
      </c>
      <c r="E634" s="110">
        <v>74.23</v>
      </c>
      <c r="F634" s="110">
        <v>371</v>
      </c>
      <c r="G634">
        <v>290105</v>
      </c>
      <c r="H634" s="110"/>
      <c r="I634" s="110"/>
      <c r="L634" s="133">
        <v>42935</v>
      </c>
      <c r="M634" s="110">
        <v>74.25</v>
      </c>
      <c r="N634" s="110">
        <v>74.7</v>
      </c>
      <c r="O634" s="110">
        <v>73.89</v>
      </c>
      <c r="P634" s="110">
        <v>74.34</v>
      </c>
      <c r="Q634" s="110">
        <v>371.25</v>
      </c>
      <c r="R634">
        <v>2786561</v>
      </c>
    </row>
    <row r="635" spans="1:18" x14ac:dyDescent="0.25">
      <c r="A635" s="133">
        <v>42936</v>
      </c>
      <c r="B635" s="110">
        <v>71.94</v>
      </c>
      <c r="C635" s="110">
        <v>70.42</v>
      </c>
      <c r="D635" s="110">
        <v>70</v>
      </c>
      <c r="E635" s="110">
        <v>70</v>
      </c>
      <c r="F635" s="110">
        <v>352.1</v>
      </c>
      <c r="G635">
        <v>593387</v>
      </c>
      <c r="H635" s="110"/>
      <c r="I635" s="110"/>
      <c r="L635" s="133">
        <v>42936</v>
      </c>
      <c r="M635" s="110">
        <v>70.38</v>
      </c>
      <c r="N635" s="110">
        <v>72</v>
      </c>
      <c r="O635" s="110">
        <v>69.790000000000006</v>
      </c>
      <c r="P635" s="110">
        <v>69.8</v>
      </c>
      <c r="Q635" s="110">
        <v>351.9</v>
      </c>
      <c r="R635">
        <v>7544266</v>
      </c>
    </row>
    <row r="636" spans="1:18" x14ac:dyDescent="0.25">
      <c r="A636" s="133">
        <v>42937</v>
      </c>
      <c r="B636" s="110">
        <v>71.02</v>
      </c>
      <c r="C636" s="110">
        <v>70.14</v>
      </c>
      <c r="D636" s="110">
        <v>69.290000000000006</v>
      </c>
      <c r="E636" s="110">
        <v>70.56</v>
      </c>
      <c r="F636" s="110">
        <v>350.7</v>
      </c>
      <c r="G636">
        <v>196064</v>
      </c>
      <c r="H636" s="110"/>
      <c r="I636" s="110"/>
      <c r="L636" s="133">
        <v>42937</v>
      </c>
      <c r="M636" s="110">
        <v>70.16</v>
      </c>
      <c r="N636" s="110">
        <v>70.97</v>
      </c>
      <c r="O636" s="110">
        <v>69.209999999999994</v>
      </c>
      <c r="P636" s="110">
        <v>70.52</v>
      </c>
      <c r="Q636" s="110">
        <v>350.8</v>
      </c>
      <c r="R636">
        <v>2916714</v>
      </c>
    </row>
    <row r="637" spans="1:18" x14ac:dyDescent="0.25">
      <c r="A637" s="133">
        <v>42940</v>
      </c>
      <c r="B637" s="110">
        <v>71.09</v>
      </c>
      <c r="C637" s="110">
        <v>70.63</v>
      </c>
      <c r="D637" s="110">
        <v>70.09</v>
      </c>
      <c r="E637" s="110">
        <v>70.2</v>
      </c>
      <c r="F637" s="110">
        <v>353.15</v>
      </c>
      <c r="G637">
        <v>175558</v>
      </c>
      <c r="H637" s="110"/>
      <c r="I637" s="110"/>
      <c r="L637" s="133">
        <v>42940</v>
      </c>
      <c r="M637" s="110">
        <v>70.599999999999994</v>
      </c>
      <c r="N637" s="110">
        <v>71.069999999999993</v>
      </c>
      <c r="O637" s="110">
        <v>70</v>
      </c>
      <c r="P637" s="110">
        <v>70.260000000000005</v>
      </c>
      <c r="Q637" s="110">
        <v>353</v>
      </c>
      <c r="R637">
        <v>3128742</v>
      </c>
    </row>
    <row r="638" spans="1:18" x14ac:dyDescent="0.25">
      <c r="A638" s="133">
        <v>42941</v>
      </c>
      <c r="B638" s="110">
        <v>71.53</v>
      </c>
      <c r="C638" s="110">
        <v>71.42</v>
      </c>
      <c r="D638" s="110">
        <v>70.69</v>
      </c>
      <c r="E638" s="110">
        <v>71</v>
      </c>
      <c r="F638" s="110">
        <v>357.1</v>
      </c>
      <c r="G638">
        <v>121708</v>
      </c>
      <c r="H638" s="110"/>
      <c r="I638" s="110"/>
      <c r="L638" s="133">
        <v>42941</v>
      </c>
      <c r="M638" s="110">
        <v>71.44</v>
      </c>
      <c r="N638" s="110">
        <v>71.599999999999994</v>
      </c>
      <c r="O638" s="110">
        <v>70.7</v>
      </c>
      <c r="P638" s="110">
        <v>70.97</v>
      </c>
      <c r="Q638" s="110">
        <v>357.2</v>
      </c>
      <c r="R638">
        <v>1729374</v>
      </c>
    </row>
    <row r="639" spans="1:18" x14ac:dyDescent="0.25">
      <c r="A639" s="133">
        <v>42942</v>
      </c>
      <c r="B639" s="110">
        <v>72.040000000000006</v>
      </c>
      <c r="C639" s="110">
        <v>71.44</v>
      </c>
      <c r="D639" s="110">
        <v>71.08</v>
      </c>
      <c r="E639" s="110">
        <v>71.400000000000006</v>
      </c>
      <c r="F639" s="110">
        <v>357.2</v>
      </c>
      <c r="G639">
        <v>122285</v>
      </c>
      <c r="H639" s="110"/>
      <c r="I639" s="110"/>
      <c r="L639" s="133">
        <v>42942</v>
      </c>
      <c r="M639" s="110">
        <v>71.430000000000007</v>
      </c>
      <c r="N639" s="110">
        <v>72.09</v>
      </c>
      <c r="O639" s="110">
        <v>71.06</v>
      </c>
      <c r="P639" s="110">
        <v>71.61</v>
      </c>
      <c r="Q639" s="110">
        <v>357.15</v>
      </c>
      <c r="R639">
        <v>1874122</v>
      </c>
    </row>
    <row r="640" spans="1:18" x14ac:dyDescent="0.25">
      <c r="A640" s="133">
        <v>42943</v>
      </c>
      <c r="B640" s="110">
        <v>71.92</v>
      </c>
      <c r="C640" s="110">
        <v>70.77</v>
      </c>
      <c r="D640" s="110">
        <v>70.069999999999993</v>
      </c>
      <c r="E640" s="110">
        <v>71.61</v>
      </c>
      <c r="F640" s="110">
        <v>353.85</v>
      </c>
      <c r="G640">
        <v>122927</v>
      </c>
      <c r="H640" s="110"/>
      <c r="I640" s="110"/>
      <c r="L640" s="133">
        <v>42943</v>
      </c>
      <c r="M640" s="110">
        <v>70.790000000000006</v>
      </c>
      <c r="N640" s="110">
        <v>71.98</v>
      </c>
      <c r="O640" s="110">
        <v>69.989999999999995</v>
      </c>
      <c r="P640" s="110">
        <v>71.599999999999994</v>
      </c>
      <c r="Q640" s="110">
        <v>353.95</v>
      </c>
      <c r="R640">
        <v>3095572</v>
      </c>
    </row>
    <row r="641" spans="1:18" x14ac:dyDescent="0.25">
      <c r="A641" s="133">
        <v>42944</v>
      </c>
      <c r="B641" s="110">
        <v>72.95</v>
      </c>
      <c r="C641" s="110">
        <v>72.790000000000006</v>
      </c>
      <c r="D641" s="110">
        <v>70.19</v>
      </c>
      <c r="E641" s="110">
        <v>70.8</v>
      </c>
      <c r="F641" s="110">
        <v>363.95</v>
      </c>
      <c r="G641">
        <v>241745</v>
      </c>
      <c r="H641" s="110"/>
      <c r="I641" s="110"/>
      <c r="L641" s="133">
        <v>42944</v>
      </c>
      <c r="M641" s="110">
        <v>72.8</v>
      </c>
      <c r="N641" s="110">
        <v>72.959999999999994</v>
      </c>
      <c r="O641" s="110">
        <v>70.11</v>
      </c>
      <c r="P641" s="110">
        <v>71</v>
      </c>
      <c r="Q641" s="110">
        <v>364</v>
      </c>
      <c r="R641">
        <v>2471191</v>
      </c>
    </row>
    <row r="642" spans="1:18" x14ac:dyDescent="0.25">
      <c r="A642" s="133">
        <v>42947</v>
      </c>
      <c r="B642" s="110">
        <v>73.959999999999994</v>
      </c>
      <c r="C642" s="110">
        <v>73.62</v>
      </c>
      <c r="D642" s="110">
        <v>72.19</v>
      </c>
      <c r="E642" s="110">
        <v>72.959999999999994</v>
      </c>
      <c r="F642" s="110">
        <v>368.1</v>
      </c>
      <c r="G642">
        <v>263298</v>
      </c>
      <c r="H642" s="110"/>
      <c r="I642" s="110"/>
      <c r="L642" s="133">
        <v>42947</v>
      </c>
      <c r="M642" s="110">
        <v>73.62</v>
      </c>
      <c r="N642" s="110">
        <v>73.989999999999995</v>
      </c>
      <c r="O642" s="110">
        <v>72.17</v>
      </c>
      <c r="P642" s="110">
        <v>72.400000000000006</v>
      </c>
      <c r="Q642" s="110">
        <v>368.1</v>
      </c>
      <c r="R642">
        <v>2322450</v>
      </c>
    </row>
    <row r="643" spans="1:18" x14ac:dyDescent="0.25">
      <c r="A643" s="133">
        <v>42948</v>
      </c>
      <c r="B643" s="110">
        <v>74</v>
      </c>
      <c r="C643" s="110">
        <v>72.599999999999994</v>
      </c>
      <c r="D643" s="110">
        <v>72.260000000000005</v>
      </c>
      <c r="E643" s="110">
        <v>74</v>
      </c>
      <c r="F643" s="110">
        <v>363</v>
      </c>
      <c r="G643">
        <v>120048</v>
      </c>
      <c r="H643" s="110"/>
      <c r="I643" s="110"/>
      <c r="L643" s="133">
        <v>42948</v>
      </c>
      <c r="M643" s="110">
        <v>72.540000000000006</v>
      </c>
      <c r="N643" s="110">
        <v>74.09</v>
      </c>
      <c r="O643" s="110">
        <v>72.209999999999994</v>
      </c>
      <c r="P643" s="110">
        <v>73.959999999999994</v>
      </c>
      <c r="Q643" s="110">
        <v>362.7</v>
      </c>
      <c r="R643">
        <v>2017458</v>
      </c>
    </row>
    <row r="644" spans="1:18" x14ac:dyDescent="0.25">
      <c r="A644" s="133">
        <v>42949</v>
      </c>
      <c r="B644" s="110">
        <v>72.959999999999994</v>
      </c>
      <c r="C644" s="110">
        <v>71.900000000000006</v>
      </c>
      <c r="D644" s="110">
        <v>71.06</v>
      </c>
      <c r="E644" s="110">
        <v>72.63</v>
      </c>
      <c r="F644" s="110">
        <v>359.5</v>
      </c>
      <c r="G644">
        <v>149513</v>
      </c>
      <c r="H644" s="110"/>
      <c r="I644" s="110"/>
      <c r="L644" s="133">
        <v>42949</v>
      </c>
      <c r="M644" s="110">
        <v>72.05</v>
      </c>
      <c r="N644" s="110">
        <v>73</v>
      </c>
      <c r="O644" s="110">
        <v>71.52</v>
      </c>
      <c r="P644" s="110">
        <v>72.739999999999995</v>
      </c>
      <c r="Q644" s="110">
        <v>360.25</v>
      </c>
      <c r="R644">
        <v>1597531</v>
      </c>
    </row>
    <row r="645" spans="1:18" x14ac:dyDescent="0.25">
      <c r="A645" s="133">
        <v>42950</v>
      </c>
      <c r="B645" s="110">
        <v>71.510000000000005</v>
      </c>
      <c r="C645" s="110">
        <v>69.55</v>
      </c>
      <c r="D645" s="110">
        <v>69</v>
      </c>
      <c r="E645" s="110">
        <v>71.48</v>
      </c>
      <c r="F645" s="110">
        <v>347.75</v>
      </c>
      <c r="G645">
        <v>216176</v>
      </c>
      <c r="H645" s="110"/>
      <c r="I645" s="110"/>
      <c r="L645" s="133">
        <v>42950</v>
      </c>
      <c r="M645" s="110">
        <v>69.52</v>
      </c>
      <c r="N645" s="110">
        <v>71.78</v>
      </c>
      <c r="O645" s="110">
        <v>68.89</v>
      </c>
      <c r="P645" s="110">
        <v>71.78</v>
      </c>
      <c r="Q645" s="110">
        <v>347.6</v>
      </c>
      <c r="R645">
        <v>2308310</v>
      </c>
    </row>
    <row r="646" spans="1:18" x14ac:dyDescent="0.25">
      <c r="A646" s="133">
        <v>42951</v>
      </c>
      <c r="B646" s="110">
        <v>70.7</v>
      </c>
      <c r="C646" s="110">
        <v>70.290000000000006</v>
      </c>
      <c r="D646" s="110">
        <v>69.14</v>
      </c>
      <c r="E646" s="110">
        <v>70.400000000000006</v>
      </c>
      <c r="F646" s="110">
        <v>351.45</v>
      </c>
      <c r="G646">
        <v>140330</v>
      </c>
      <c r="H646" s="110"/>
      <c r="I646" s="110"/>
      <c r="L646" s="133">
        <v>42951</v>
      </c>
      <c r="M646" s="110">
        <v>70.319999999999993</v>
      </c>
      <c r="N646" s="110">
        <v>70.7</v>
      </c>
      <c r="O646" s="110">
        <v>69</v>
      </c>
      <c r="P646" s="110">
        <v>69</v>
      </c>
      <c r="Q646" s="110">
        <v>351.6</v>
      </c>
      <c r="R646">
        <v>1822179</v>
      </c>
    </row>
    <row r="647" spans="1:18" x14ac:dyDescent="0.25">
      <c r="A647" s="133">
        <v>42954</v>
      </c>
      <c r="B647" s="110">
        <v>70.92</v>
      </c>
      <c r="C647" s="110">
        <v>70.44</v>
      </c>
      <c r="D647" s="110">
        <v>70.17</v>
      </c>
      <c r="E647" s="110">
        <v>70.599999999999994</v>
      </c>
      <c r="F647" s="110">
        <v>352.2</v>
      </c>
      <c r="G647">
        <v>72130</v>
      </c>
      <c r="H647" s="110"/>
      <c r="I647" s="110"/>
      <c r="L647" s="133">
        <v>42954</v>
      </c>
      <c r="M647" s="110">
        <v>70.510000000000005</v>
      </c>
      <c r="N647" s="110">
        <v>70.94</v>
      </c>
      <c r="O647" s="110">
        <v>70.08</v>
      </c>
      <c r="P647" s="110">
        <v>70.319999999999993</v>
      </c>
      <c r="Q647" s="110">
        <v>352.55</v>
      </c>
      <c r="R647">
        <v>850397</v>
      </c>
    </row>
    <row r="648" spans="1:18" x14ac:dyDescent="0.25">
      <c r="A648" s="133">
        <v>42955</v>
      </c>
      <c r="B648" s="110">
        <v>70.66</v>
      </c>
      <c r="C648" s="110">
        <v>69.290000000000006</v>
      </c>
      <c r="D648" s="110">
        <v>68.92</v>
      </c>
      <c r="E648" s="110">
        <v>70.44</v>
      </c>
      <c r="F648" s="110">
        <v>346.45</v>
      </c>
      <c r="G648">
        <v>105822</v>
      </c>
      <c r="H648" s="110"/>
      <c r="I648" s="110"/>
      <c r="L648" s="133">
        <v>42955</v>
      </c>
      <c r="M648" s="110">
        <v>69.33</v>
      </c>
      <c r="N648" s="110">
        <v>70.73</v>
      </c>
      <c r="O648" s="110">
        <v>68.819999999999993</v>
      </c>
      <c r="P648" s="110">
        <v>70.599999999999994</v>
      </c>
      <c r="Q648" s="110">
        <v>346.65</v>
      </c>
      <c r="R648">
        <v>1282187</v>
      </c>
    </row>
    <row r="649" spans="1:18" x14ac:dyDescent="0.25">
      <c r="A649" s="133">
        <v>42956</v>
      </c>
      <c r="B649" s="110">
        <v>69.8</v>
      </c>
      <c r="C649" s="110">
        <v>68.86</v>
      </c>
      <c r="D649" s="110">
        <v>68.41</v>
      </c>
      <c r="E649" s="110">
        <v>69.2</v>
      </c>
      <c r="F649" s="110">
        <v>344.3</v>
      </c>
      <c r="G649">
        <v>162643</v>
      </c>
      <c r="H649" s="110"/>
      <c r="I649" s="110"/>
      <c r="L649" s="133">
        <v>42956</v>
      </c>
      <c r="M649" s="110">
        <v>68.790000000000006</v>
      </c>
      <c r="N649" s="110">
        <v>69.89</v>
      </c>
      <c r="O649" s="110">
        <v>68.37</v>
      </c>
      <c r="P649" s="110">
        <v>69.150000000000006</v>
      </c>
      <c r="Q649" s="110">
        <v>343.95</v>
      </c>
      <c r="R649">
        <v>2123888</v>
      </c>
    </row>
    <row r="650" spans="1:18" x14ac:dyDescent="0.25">
      <c r="A650" s="133">
        <v>42957</v>
      </c>
      <c r="B650" s="110">
        <v>68.7</v>
      </c>
      <c r="C650" s="110">
        <v>65.989999999999995</v>
      </c>
      <c r="D650" s="110">
        <v>64.64</v>
      </c>
      <c r="E650" s="110">
        <v>68.7</v>
      </c>
      <c r="F650" s="110">
        <v>329.95</v>
      </c>
      <c r="G650">
        <v>165098</v>
      </c>
      <c r="H650" s="110"/>
      <c r="I650" s="110"/>
      <c r="L650" s="133">
        <v>42957</v>
      </c>
      <c r="M650" s="110">
        <v>66.14</v>
      </c>
      <c r="N650" s="110">
        <v>68.63</v>
      </c>
      <c r="O650" s="110">
        <v>64.55</v>
      </c>
      <c r="P650" s="110">
        <v>68.2</v>
      </c>
      <c r="Q650" s="110">
        <v>330.7</v>
      </c>
      <c r="R650">
        <v>2096026</v>
      </c>
    </row>
    <row r="651" spans="1:18" x14ac:dyDescent="0.25">
      <c r="A651" s="133">
        <v>42958</v>
      </c>
      <c r="B651" s="110">
        <v>66.510000000000005</v>
      </c>
      <c r="C651" s="110">
        <v>64.989999999999995</v>
      </c>
      <c r="D651" s="110">
        <v>64.05</v>
      </c>
      <c r="E651" s="110">
        <v>65.5</v>
      </c>
      <c r="F651" s="110">
        <v>324.95</v>
      </c>
      <c r="G651">
        <v>173786</v>
      </c>
      <c r="H651" s="110"/>
      <c r="I651" s="110"/>
      <c r="L651" s="133">
        <v>42958</v>
      </c>
      <c r="M651" s="110">
        <v>65.180000000000007</v>
      </c>
      <c r="N651" s="110">
        <v>66.59</v>
      </c>
      <c r="O651" s="110">
        <v>64.16</v>
      </c>
      <c r="P651" s="110">
        <v>65.599999999999994</v>
      </c>
      <c r="Q651" s="110">
        <v>325.89999999999998</v>
      </c>
      <c r="R651">
        <v>2225972</v>
      </c>
    </row>
    <row r="652" spans="1:18" x14ac:dyDescent="0.25">
      <c r="A652" s="133">
        <v>42961</v>
      </c>
      <c r="B652" s="110">
        <v>66.53</v>
      </c>
      <c r="C652" s="110">
        <v>66.14</v>
      </c>
      <c r="D652" s="110">
        <v>65.260000000000005</v>
      </c>
      <c r="E652" s="110">
        <v>66</v>
      </c>
      <c r="F652" s="110">
        <v>330.7</v>
      </c>
      <c r="G652">
        <v>100606</v>
      </c>
      <c r="H652" s="110"/>
      <c r="I652" s="110"/>
      <c r="L652" s="133">
        <v>42961</v>
      </c>
      <c r="M652" s="110">
        <v>66.06</v>
      </c>
      <c r="N652" s="110">
        <v>66.290000000000006</v>
      </c>
      <c r="O652" s="110">
        <v>65.260000000000005</v>
      </c>
      <c r="P652" s="110">
        <v>66.08</v>
      </c>
      <c r="Q652" s="110">
        <v>330.3</v>
      </c>
      <c r="R652">
        <v>1208731</v>
      </c>
    </row>
    <row r="653" spans="1:18" x14ac:dyDescent="0.25">
      <c r="A653" s="133">
        <v>42963</v>
      </c>
      <c r="B653" s="110">
        <v>67.58</v>
      </c>
      <c r="C653" s="110">
        <v>67.33</v>
      </c>
      <c r="D653" s="110">
        <v>64.5</v>
      </c>
      <c r="E653" s="110">
        <v>66</v>
      </c>
      <c r="F653" s="110">
        <v>336.65</v>
      </c>
      <c r="G653">
        <v>171343</v>
      </c>
      <c r="H653" s="110"/>
      <c r="I653" s="110"/>
      <c r="L653" s="133">
        <v>42963</v>
      </c>
      <c r="M653" s="110">
        <v>67.37</v>
      </c>
      <c r="N653" s="110">
        <v>67.680000000000007</v>
      </c>
      <c r="O653" s="110">
        <v>64.44</v>
      </c>
      <c r="P653" s="110">
        <v>66.28</v>
      </c>
      <c r="Q653" s="110">
        <v>336.85</v>
      </c>
      <c r="R653">
        <v>2236174</v>
      </c>
    </row>
    <row r="654" spans="1:18" x14ac:dyDescent="0.25">
      <c r="A654" s="133">
        <v>42964</v>
      </c>
      <c r="B654" s="110">
        <v>68.48</v>
      </c>
      <c r="C654" s="110">
        <v>67.2</v>
      </c>
      <c r="D654" s="110">
        <v>66.83</v>
      </c>
      <c r="E654" s="110">
        <v>67.599999999999994</v>
      </c>
      <c r="F654" s="110">
        <v>336</v>
      </c>
      <c r="G654">
        <v>142669</v>
      </c>
      <c r="H654" s="110"/>
      <c r="I654" s="110"/>
      <c r="L654" s="133">
        <v>42964</v>
      </c>
      <c r="M654" s="110">
        <v>67.02</v>
      </c>
      <c r="N654" s="110">
        <v>68.400000000000006</v>
      </c>
      <c r="O654" s="110">
        <v>66.7</v>
      </c>
      <c r="P654" s="110">
        <v>67.400000000000006</v>
      </c>
      <c r="Q654" s="110">
        <v>335.1</v>
      </c>
      <c r="R654">
        <v>1553747</v>
      </c>
    </row>
    <row r="655" spans="1:18" x14ac:dyDescent="0.25">
      <c r="A655" s="133">
        <v>42965</v>
      </c>
      <c r="B655" s="110">
        <v>66.95</v>
      </c>
      <c r="C655" s="110">
        <v>66.47</v>
      </c>
      <c r="D655" s="110">
        <v>65.86</v>
      </c>
      <c r="E655" s="110">
        <v>66.78</v>
      </c>
      <c r="F655" s="110">
        <v>332.35</v>
      </c>
      <c r="G655">
        <v>120556</v>
      </c>
      <c r="H655" s="110"/>
      <c r="I655" s="110"/>
      <c r="L655" s="133">
        <v>42965</v>
      </c>
      <c r="M655" s="110">
        <v>66.540000000000006</v>
      </c>
      <c r="N655" s="110">
        <v>66.92</v>
      </c>
      <c r="O655" s="110">
        <v>65.88</v>
      </c>
      <c r="P655" s="110">
        <v>66.56</v>
      </c>
      <c r="Q655" s="110">
        <v>332.7</v>
      </c>
      <c r="R655">
        <v>1622068</v>
      </c>
    </row>
    <row r="656" spans="1:18" x14ac:dyDescent="0.25">
      <c r="A656" s="133">
        <v>42968</v>
      </c>
      <c r="B656" s="110">
        <v>67.42</v>
      </c>
      <c r="C656" s="110">
        <v>65.39</v>
      </c>
      <c r="D656" s="110">
        <v>65</v>
      </c>
      <c r="E656" s="110">
        <v>66</v>
      </c>
      <c r="F656" s="110">
        <v>326.95</v>
      </c>
      <c r="G656">
        <v>113848</v>
      </c>
      <c r="H656" s="110"/>
      <c r="I656" s="110"/>
      <c r="L656" s="133">
        <v>42968</v>
      </c>
      <c r="M656" s="110">
        <v>65.349999999999994</v>
      </c>
      <c r="N656" s="110">
        <v>67.400000000000006</v>
      </c>
      <c r="O656" s="110">
        <v>65.02</v>
      </c>
      <c r="P656" s="110">
        <v>67</v>
      </c>
      <c r="Q656" s="110">
        <v>326.75</v>
      </c>
      <c r="R656">
        <v>1425228</v>
      </c>
    </row>
    <row r="657" spans="1:18" x14ac:dyDescent="0.25">
      <c r="A657" s="133">
        <v>42969</v>
      </c>
      <c r="B657" s="110">
        <v>65.98</v>
      </c>
      <c r="C657" s="110">
        <v>65.38</v>
      </c>
      <c r="D657" s="110">
        <v>64.599999999999994</v>
      </c>
      <c r="E657" s="110">
        <v>65.599999999999994</v>
      </c>
      <c r="F657" s="110">
        <v>326.89999999999998</v>
      </c>
      <c r="G657">
        <v>124277</v>
      </c>
      <c r="H657" s="110"/>
      <c r="I657" s="110"/>
      <c r="L657" s="133">
        <v>42969</v>
      </c>
      <c r="M657" s="110">
        <v>65.34</v>
      </c>
      <c r="N657" s="110">
        <v>65.959999999999994</v>
      </c>
      <c r="O657" s="110">
        <v>64.569999999999993</v>
      </c>
      <c r="P657" s="110">
        <v>65.78</v>
      </c>
      <c r="Q657" s="110">
        <v>326.7</v>
      </c>
      <c r="R657">
        <v>1547503</v>
      </c>
    </row>
    <row r="658" spans="1:18" x14ac:dyDescent="0.25">
      <c r="A658" s="133">
        <v>42970</v>
      </c>
      <c r="B658" s="110">
        <v>67.400000000000006</v>
      </c>
      <c r="C658" s="110">
        <v>67.22</v>
      </c>
      <c r="D658" s="110">
        <v>65.459999999999994</v>
      </c>
      <c r="E658" s="110">
        <v>65.900000000000006</v>
      </c>
      <c r="F658" s="110">
        <v>336.1</v>
      </c>
      <c r="G658">
        <v>227043</v>
      </c>
      <c r="H658" s="110"/>
      <c r="I658" s="110"/>
      <c r="L658" s="133">
        <v>42970</v>
      </c>
      <c r="M658" s="110">
        <v>67.23</v>
      </c>
      <c r="N658" s="110">
        <v>67.48</v>
      </c>
      <c r="O658" s="110">
        <v>65.45</v>
      </c>
      <c r="P658" s="110">
        <v>65.59</v>
      </c>
      <c r="Q658" s="110">
        <v>336.15</v>
      </c>
      <c r="R658">
        <v>2203164</v>
      </c>
    </row>
    <row r="659" spans="1:18" x14ac:dyDescent="0.25">
      <c r="A659" s="133">
        <v>42971</v>
      </c>
      <c r="B659" s="110">
        <v>68.91</v>
      </c>
      <c r="C659" s="110">
        <v>68.2</v>
      </c>
      <c r="D659" s="110">
        <v>66.569999999999993</v>
      </c>
      <c r="E659" s="110">
        <v>67.260000000000005</v>
      </c>
      <c r="F659" s="110">
        <v>341</v>
      </c>
      <c r="G659">
        <v>199606</v>
      </c>
      <c r="H659" s="110"/>
      <c r="I659" s="110"/>
      <c r="L659" s="133">
        <v>42971</v>
      </c>
      <c r="M659" s="110">
        <v>68.239999999999995</v>
      </c>
      <c r="N659" s="110">
        <v>68.959999999999994</v>
      </c>
      <c r="O659" s="110">
        <v>66.52</v>
      </c>
      <c r="P659" s="110">
        <v>67.38</v>
      </c>
      <c r="Q659" s="110">
        <v>341.2</v>
      </c>
      <c r="R659">
        <v>2153546</v>
      </c>
    </row>
    <row r="660" spans="1:18" x14ac:dyDescent="0.25">
      <c r="A660" s="133">
        <v>42975</v>
      </c>
      <c r="B660" s="110">
        <v>68.709999999999994</v>
      </c>
      <c r="C660" s="110">
        <v>67.75</v>
      </c>
      <c r="D660" s="110">
        <v>67.540000000000006</v>
      </c>
      <c r="E660" s="110">
        <v>68.19</v>
      </c>
      <c r="F660" s="110">
        <v>338.75</v>
      </c>
      <c r="G660">
        <v>83934</v>
      </c>
      <c r="H660" s="110"/>
      <c r="I660" s="110"/>
      <c r="L660" s="133">
        <v>42975</v>
      </c>
      <c r="M660" s="110">
        <v>67.81</v>
      </c>
      <c r="N660" s="110">
        <v>68.760000000000005</v>
      </c>
      <c r="O660" s="110">
        <v>67.52</v>
      </c>
      <c r="P660" s="110">
        <v>68.7</v>
      </c>
      <c r="Q660" s="110">
        <v>339.05</v>
      </c>
      <c r="R660">
        <v>1292097</v>
      </c>
    </row>
    <row r="661" spans="1:18" x14ac:dyDescent="0.25">
      <c r="A661" s="133">
        <v>42976</v>
      </c>
      <c r="B661" s="110">
        <v>68.489999999999995</v>
      </c>
      <c r="C661" s="110">
        <v>67.5</v>
      </c>
      <c r="D661" s="110">
        <v>67.2</v>
      </c>
      <c r="E661" s="110">
        <v>67.3</v>
      </c>
      <c r="F661" s="110">
        <v>337.5</v>
      </c>
      <c r="G661">
        <v>69554</v>
      </c>
      <c r="H661" s="110"/>
      <c r="I661" s="110"/>
      <c r="L661" s="133">
        <v>42976</v>
      </c>
      <c r="M661" s="110">
        <v>67.489999999999995</v>
      </c>
      <c r="N661" s="110">
        <v>68.52</v>
      </c>
      <c r="O661" s="110">
        <v>67.2</v>
      </c>
      <c r="P661" s="110">
        <v>67.5</v>
      </c>
      <c r="Q661" s="110">
        <v>337.45</v>
      </c>
      <c r="R661">
        <v>1280751</v>
      </c>
    </row>
    <row r="662" spans="1:18" x14ac:dyDescent="0.25">
      <c r="A662" s="133">
        <v>42977</v>
      </c>
      <c r="B662" s="110">
        <v>68.3</v>
      </c>
      <c r="C662" s="110">
        <v>67.77</v>
      </c>
      <c r="D662" s="110">
        <v>67.5</v>
      </c>
      <c r="E662" s="110">
        <v>68.290000000000006</v>
      </c>
      <c r="F662" s="110">
        <v>338.85</v>
      </c>
      <c r="G662">
        <v>57729</v>
      </c>
      <c r="H662" s="110"/>
      <c r="I662" s="110"/>
      <c r="L662" s="133">
        <v>42977</v>
      </c>
      <c r="M662" s="110">
        <v>67.86</v>
      </c>
      <c r="N662" s="110">
        <v>68.39</v>
      </c>
      <c r="O662" s="110">
        <v>67.42</v>
      </c>
      <c r="P662" s="110">
        <v>68</v>
      </c>
      <c r="Q662" s="110">
        <v>339.3</v>
      </c>
      <c r="R662">
        <v>921928</v>
      </c>
    </row>
    <row r="663" spans="1:18" x14ac:dyDescent="0.25">
      <c r="A663" s="133">
        <v>42978</v>
      </c>
      <c r="B663" s="110">
        <v>68.08</v>
      </c>
      <c r="C663" s="110">
        <v>67.84</v>
      </c>
      <c r="D663" s="110">
        <v>67.19</v>
      </c>
      <c r="E663" s="110">
        <v>68</v>
      </c>
      <c r="F663" s="110">
        <v>339.2</v>
      </c>
      <c r="G663">
        <v>103799</v>
      </c>
      <c r="H663" s="110"/>
      <c r="I663" s="110"/>
      <c r="L663" s="133">
        <v>42978</v>
      </c>
      <c r="M663" s="110">
        <v>67.95</v>
      </c>
      <c r="N663" s="110">
        <v>68.16</v>
      </c>
      <c r="O663" s="110">
        <v>67.2</v>
      </c>
      <c r="P663" s="110">
        <v>67.94</v>
      </c>
      <c r="Q663" s="110">
        <v>339.75</v>
      </c>
      <c r="R663">
        <v>1324750</v>
      </c>
    </row>
    <row r="664" spans="1:18" x14ac:dyDescent="0.25">
      <c r="A664" s="133">
        <v>42979</v>
      </c>
      <c r="B664" s="110">
        <v>69.180000000000007</v>
      </c>
      <c r="C664" s="110">
        <v>68.099999999999994</v>
      </c>
      <c r="D664" s="110">
        <v>67.86</v>
      </c>
      <c r="E664" s="110">
        <v>68</v>
      </c>
      <c r="F664" s="110">
        <v>340.5</v>
      </c>
      <c r="G664">
        <v>84117</v>
      </c>
      <c r="H664" s="110"/>
      <c r="I664" s="110"/>
      <c r="L664" s="133">
        <v>42979</v>
      </c>
      <c r="M664" s="110">
        <v>68.09</v>
      </c>
      <c r="N664" s="110">
        <v>69.260000000000005</v>
      </c>
      <c r="O664" s="110">
        <v>67.81</v>
      </c>
      <c r="P664" s="110">
        <v>68.599999999999994</v>
      </c>
      <c r="Q664" s="110">
        <v>340.45</v>
      </c>
      <c r="R664">
        <v>1355207</v>
      </c>
    </row>
    <row r="665" spans="1:18" x14ac:dyDescent="0.25">
      <c r="A665" s="133">
        <v>42982</v>
      </c>
      <c r="B665" s="110">
        <v>68.5</v>
      </c>
      <c r="C665" s="110">
        <v>67.099999999999994</v>
      </c>
      <c r="D665" s="110">
        <v>66.599999999999994</v>
      </c>
      <c r="E665" s="110">
        <v>68.040000000000006</v>
      </c>
      <c r="F665" s="110">
        <v>335.5</v>
      </c>
      <c r="G665">
        <v>65527</v>
      </c>
      <c r="H665" s="110"/>
      <c r="I665" s="110"/>
      <c r="L665" s="133">
        <v>42982</v>
      </c>
      <c r="M665" s="110">
        <v>67.08</v>
      </c>
      <c r="N665" s="110">
        <v>68.55</v>
      </c>
      <c r="O665" s="110">
        <v>66.569999999999993</v>
      </c>
      <c r="P665" s="110">
        <v>68.16</v>
      </c>
      <c r="Q665" s="110">
        <v>335.4</v>
      </c>
      <c r="R665">
        <v>956283</v>
      </c>
    </row>
    <row r="666" spans="1:18" x14ac:dyDescent="0.25">
      <c r="A666" s="133">
        <v>42983</v>
      </c>
      <c r="B666" s="110">
        <v>67.88</v>
      </c>
      <c r="C666" s="110">
        <v>67.52</v>
      </c>
      <c r="D666" s="110">
        <v>66.92</v>
      </c>
      <c r="E666" s="110">
        <v>66.92</v>
      </c>
      <c r="F666" s="110">
        <v>337.6</v>
      </c>
      <c r="G666">
        <v>47087</v>
      </c>
      <c r="H666" s="110"/>
      <c r="I666" s="110"/>
      <c r="L666" s="133">
        <v>42983</v>
      </c>
      <c r="M666" s="110">
        <v>67.63</v>
      </c>
      <c r="N666" s="110">
        <v>67.86</v>
      </c>
      <c r="O666" s="110">
        <v>67.08</v>
      </c>
      <c r="P666" s="110">
        <v>67.2</v>
      </c>
      <c r="Q666" s="110">
        <v>338.15</v>
      </c>
      <c r="R666">
        <v>1058731</v>
      </c>
    </row>
    <row r="667" spans="1:18" x14ac:dyDescent="0.25">
      <c r="A667" s="133">
        <v>42984</v>
      </c>
      <c r="B667" s="110">
        <v>67.44</v>
      </c>
      <c r="C667" s="110">
        <v>67.040000000000006</v>
      </c>
      <c r="D667" s="110">
        <v>66.78</v>
      </c>
      <c r="E667" s="110">
        <v>67.2</v>
      </c>
      <c r="F667" s="110">
        <v>335.2</v>
      </c>
      <c r="G667">
        <v>104375</v>
      </c>
      <c r="H667" s="110"/>
      <c r="I667" s="110"/>
      <c r="L667" s="133">
        <v>42984</v>
      </c>
      <c r="M667" s="110">
        <v>67.08</v>
      </c>
      <c r="N667" s="110">
        <v>67.48</v>
      </c>
      <c r="O667" s="110">
        <v>66.790000000000006</v>
      </c>
      <c r="P667" s="110">
        <v>67.48</v>
      </c>
      <c r="Q667" s="110">
        <v>335.4</v>
      </c>
      <c r="R667">
        <v>818201</v>
      </c>
    </row>
    <row r="668" spans="1:18" x14ac:dyDescent="0.25">
      <c r="A668" s="133">
        <v>42985</v>
      </c>
      <c r="B668" s="110">
        <v>68.069999999999993</v>
      </c>
      <c r="C668" s="110">
        <v>67.34</v>
      </c>
      <c r="D668" s="110">
        <v>66.62</v>
      </c>
      <c r="E668" s="110">
        <v>67.28</v>
      </c>
      <c r="F668" s="110">
        <v>336.7</v>
      </c>
      <c r="G668">
        <v>187242</v>
      </c>
      <c r="H668" s="110"/>
      <c r="I668" s="110"/>
      <c r="L668" s="133">
        <v>42985</v>
      </c>
      <c r="M668" s="110">
        <v>67.06</v>
      </c>
      <c r="N668" s="110">
        <v>68.08</v>
      </c>
      <c r="O668" s="110">
        <v>66.58</v>
      </c>
      <c r="P668" s="110">
        <v>67.099999999999994</v>
      </c>
      <c r="Q668" s="110">
        <v>335.3</v>
      </c>
      <c r="R668">
        <v>1190099</v>
      </c>
    </row>
    <row r="669" spans="1:18" x14ac:dyDescent="0.25">
      <c r="A669" s="133">
        <v>42986</v>
      </c>
      <c r="B669" s="110">
        <v>67.430000000000007</v>
      </c>
      <c r="C669" s="110">
        <v>66.349999999999994</v>
      </c>
      <c r="D669" s="110">
        <v>65.599999999999994</v>
      </c>
      <c r="E669" s="110">
        <v>67</v>
      </c>
      <c r="F669" s="110">
        <v>331.75</v>
      </c>
      <c r="G669">
        <v>90721</v>
      </c>
      <c r="H669" s="110"/>
      <c r="I669" s="110"/>
      <c r="L669" s="133">
        <v>42986</v>
      </c>
      <c r="M669" s="110">
        <v>66.34</v>
      </c>
      <c r="N669" s="110">
        <v>67.400000000000006</v>
      </c>
      <c r="O669" s="110">
        <v>65.63</v>
      </c>
      <c r="P669" s="110">
        <v>67.260000000000005</v>
      </c>
      <c r="Q669" s="110">
        <v>331.7</v>
      </c>
      <c r="R669">
        <v>1107288</v>
      </c>
    </row>
    <row r="670" spans="1:18" x14ac:dyDescent="0.25">
      <c r="A670" s="133">
        <v>42989</v>
      </c>
      <c r="B670" s="110">
        <v>67.150000000000006</v>
      </c>
      <c r="C670" s="110">
        <v>66.77</v>
      </c>
      <c r="D670" s="110">
        <v>66.400000000000006</v>
      </c>
      <c r="E670" s="110">
        <v>66.8</v>
      </c>
      <c r="F670" s="110">
        <v>333.85</v>
      </c>
      <c r="G670">
        <v>62360</v>
      </c>
      <c r="H670" s="110"/>
      <c r="I670" s="110"/>
      <c r="L670" s="133">
        <v>42989</v>
      </c>
      <c r="M670" s="110">
        <v>66.77</v>
      </c>
      <c r="N670" s="110">
        <v>67.19</v>
      </c>
      <c r="O670" s="110">
        <v>66.37</v>
      </c>
      <c r="P670" s="110">
        <v>66.8</v>
      </c>
      <c r="Q670" s="110">
        <v>333.85</v>
      </c>
      <c r="R670">
        <v>809744</v>
      </c>
    </row>
    <row r="671" spans="1:18" x14ac:dyDescent="0.25">
      <c r="A671" s="133">
        <v>42990</v>
      </c>
      <c r="B671" s="110">
        <v>68.45</v>
      </c>
      <c r="C671" s="110">
        <v>67.66</v>
      </c>
      <c r="D671" s="110">
        <v>66.8</v>
      </c>
      <c r="E671" s="110">
        <v>66.8</v>
      </c>
      <c r="F671" s="110">
        <v>338.3</v>
      </c>
      <c r="G671">
        <v>144635</v>
      </c>
      <c r="H671" s="110"/>
      <c r="I671" s="110"/>
      <c r="L671" s="133">
        <v>42990</v>
      </c>
      <c r="M671" s="110">
        <v>67.77</v>
      </c>
      <c r="N671" s="110">
        <v>68.45</v>
      </c>
      <c r="O671" s="110">
        <v>66.91</v>
      </c>
      <c r="P671" s="110">
        <v>67.2</v>
      </c>
      <c r="Q671" s="110">
        <v>338.85</v>
      </c>
      <c r="R671">
        <v>1786485</v>
      </c>
    </row>
    <row r="672" spans="1:18" x14ac:dyDescent="0.25">
      <c r="A672" s="133">
        <v>42991</v>
      </c>
      <c r="B672" s="110">
        <v>69.06</v>
      </c>
      <c r="C672" s="110">
        <v>68.05</v>
      </c>
      <c r="D672" s="110">
        <v>67.73</v>
      </c>
      <c r="E672" s="110">
        <v>68.05</v>
      </c>
      <c r="F672" s="110">
        <v>340.25</v>
      </c>
      <c r="G672">
        <v>122588</v>
      </c>
      <c r="H672" s="110"/>
      <c r="I672" s="110"/>
      <c r="L672" s="133">
        <v>42991</v>
      </c>
      <c r="M672" s="110">
        <v>67.98</v>
      </c>
      <c r="N672" s="110">
        <v>69.16</v>
      </c>
      <c r="O672" s="110">
        <v>67.739999999999995</v>
      </c>
      <c r="P672" s="110">
        <v>68</v>
      </c>
      <c r="Q672" s="110">
        <v>339.9</v>
      </c>
      <c r="R672">
        <v>1798284</v>
      </c>
    </row>
    <row r="673" spans="1:18" x14ac:dyDescent="0.25">
      <c r="A673" s="133">
        <v>42992</v>
      </c>
      <c r="B673" s="110">
        <v>69.790000000000006</v>
      </c>
      <c r="C673" s="110">
        <v>69.209999999999994</v>
      </c>
      <c r="D673" s="110">
        <v>68.010000000000005</v>
      </c>
      <c r="E673" s="110">
        <v>69.260000000000005</v>
      </c>
      <c r="F673" s="110">
        <v>346.05</v>
      </c>
      <c r="G673">
        <v>128884</v>
      </c>
      <c r="H673" s="110"/>
      <c r="I673" s="110"/>
      <c r="L673" s="133">
        <v>42992</v>
      </c>
      <c r="M673" s="110">
        <v>69.25</v>
      </c>
      <c r="N673" s="110">
        <v>69.87</v>
      </c>
      <c r="O673" s="110">
        <v>67.89</v>
      </c>
      <c r="P673" s="110">
        <v>68.099999999999994</v>
      </c>
      <c r="Q673" s="110">
        <v>346.25</v>
      </c>
      <c r="R673">
        <v>1673846</v>
      </c>
    </row>
    <row r="674" spans="1:18" x14ac:dyDescent="0.25">
      <c r="A674" s="133">
        <v>42993</v>
      </c>
      <c r="B674" s="110">
        <v>70</v>
      </c>
      <c r="C674" s="110">
        <v>69.47</v>
      </c>
      <c r="D674" s="110">
        <v>68.98</v>
      </c>
      <c r="E674" s="110">
        <v>69.09</v>
      </c>
      <c r="F674" s="110">
        <v>347.35</v>
      </c>
      <c r="G674">
        <v>127241</v>
      </c>
      <c r="H674" s="110"/>
      <c r="I674" s="110"/>
      <c r="L674" s="133">
        <v>42993</v>
      </c>
      <c r="M674" s="110">
        <v>69.56</v>
      </c>
      <c r="N674" s="110">
        <v>70</v>
      </c>
      <c r="O674" s="110">
        <v>69</v>
      </c>
      <c r="P674" s="110">
        <v>69.12</v>
      </c>
      <c r="Q674" s="110">
        <v>347.8</v>
      </c>
      <c r="R674">
        <v>2534797</v>
      </c>
    </row>
    <row r="675" spans="1:18" x14ac:dyDescent="0.25">
      <c r="A675" s="133">
        <v>42996</v>
      </c>
      <c r="B675" s="110">
        <v>70.349999999999994</v>
      </c>
      <c r="C675" s="110">
        <v>69.37</v>
      </c>
      <c r="D675" s="110">
        <v>69.06</v>
      </c>
      <c r="E675" s="110">
        <v>69.5</v>
      </c>
      <c r="F675" s="110">
        <v>346.85</v>
      </c>
      <c r="G675">
        <v>127953</v>
      </c>
      <c r="H675" s="110"/>
      <c r="I675" s="110"/>
      <c r="L675" s="133">
        <v>42996</v>
      </c>
      <c r="M675" s="110">
        <v>69.430000000000007</v>
      </c>
      <c r="N675" s="110">
        <v>70.38</v>
      </c>
      <c r="O675" s="110">
        <v>69.239999999999995</v>
      </c>
      <c r="P675" s="110">
        <v>69.81</v>
      </c>
      <c r="Q675" s="110">
        <v>347.15</v>
      </c>
      <c r="R675">
        <v>1011025</v>
      </c>
    </row>
    <row r="676" spans="1:18" x14ac:dyDescent="0.25">
      <c r="A676" s="133">
        <v>42997</v>
      </c>
      <c r="B676" s="110">
        <v>69.489999999999995</v>
      </c>
      <c r="C676" s="110">
        <v>68.540000000000006</v>
      </c>
      <c r="D676" s="110">
        <v>68.3</v>
      </c>
      <c r="E676" s="110">
        <v>69.400000000000006</v>
      </c>
      <c r="F676" s="110">
        <v>342.7</v>
      </c>
      <c r="G676">
        <v>73562</v>
      </c>
      <c r="H676" s="110"/>
      <c r="I676" s="110"/>
      <c r="L676" s="133">
        <v>42997</v>
      </c>
      <c r="M676" s="110">
        <v>68.53</v>
      </c>
      <c r="N676" s="110">
        <v>69.56</v>
      </c>
      <c r="O676" s="110">
        <v>68.2</v>
      </c>
      <c r="P676" s="110">
        <v>69.430000000000007</v>
      </c>
      <c r="Q676" s="110">
        <v>342.65</v>
      </c>
      <c r="R676">
        <v>1192831</v>
      </c>
    </row>
    <row r="677" spans="1:18" x14ac:dyDescent="0.25">
      <c r="A677" s="133">
        <v>42998</v>
      </c>
      <c r="B677" s="110">
        <v>69.56</v>
      </c>
      <c r="C677" s="110">
        <v>69.040000000000006</v>
      </c>
      <c r="D677" s="110">
        <v>68.02</v>
      </c>
      <c r="E677" s="110">
        <v>69.56</v>
      </c>
      <c r="F677" s="110">
        <v>345.2</v>
      </c>
      <c r="G677">
        <v>109770</v>
      </c>
      <c r="H677" s="110"/>
      <c r="I677" s="110"/>
      <c r="L677" s="133">
        <v>42998</v>
      </c>
      <c r="M677" s="110">
        <v>68.92</v>
      </c>
      <c r="N677" s="110">
        <v>69.459999999999994</v>
      </c>
      <c r="O677" s="110">
        <v>67.930000000000007</v>
      </c>
      <c r="P677" s="110">
        <v>68.599999999999994</v>
      </c>
      <c r="Q677" s="110">
        <v>344.6</v>
      </c>
      <c r="R677">
        <v>2058414</v>
      </c>
    </row>
    <row r="678" spans="1:18" x14ac:dyDescent="0.25">
      <c r="A678" s="133">
        <v>42999</v>
      </c>
      <c r="B678" s="110">
        <v>69.5</v>
      </c>
      <c r="C678" s="110">
        <v>68.03</v>
      </c>
      <c r="D678" s="110">
        <v>67.319999999999993</v>
      </c>
      <c r="E678" s="110">
        <v>69.45</v>
      </c>
      <c r="F678" s="110">
        <v>340.15</v>
      </c>
      <c r="G678">
        <v>93729</v>
      </c>
      <c r="H678" s="110"/>
      <c r="I678" s="110"/>
      <c r="L678" s="133">
        <v>42999</v>
      </c>
      <c r="M678" s="110">
        <v>68.010000000000005</v>
      </c>
      <c r="N678" s="110">
        <v>69.19</v>
      </c>
      <c r="O678" s="110">
        <v>67.28</v>
      </c>
      <c r="P678" s="110">
        <v>69</v>
      </c>
      <c r="Q678" s="110">
        <v>340.05</v>
      </c>
      <c r="R678">
        <v>1332225</v>
      </c>
    </row>
    <row r="679" spans="1:18" x14ac:dyDescent="0.25">
      <c r="A679" s="133">
        <v>43000</v>
      </c>
      <c r="B679" s="110">
        <v>67.98</v>
      </c>
      <c r="C679" s="110">
        <v>65.209999999999994</v>
      </c>
      <c r="D679" s="110">
        <v>65</v>
      </c>
      <c r="E679" s="110">
        <v>67.98</v>
      </c>
      <c r="F679" s="110">
        <v>326.05</v>
      </c>
      <c r="G679">
        <v>172810</v>
      </c>
      <c r="H679" s="110"/>
      <c r="I679" s="110"/>
      <c r="L679" s="133">
        <v>43000</v>
      </c>
      <c r="M679" s="110">
        <v>65.2</v>
      </c>
      <c r="N679" s="110">
        <v>67.5</v>
      </c>
      <c r="O679" s="110">
        <v>64.84</v>
      </c>
      <c r="P679" s="110">
        <v>67.39</v>
      </c>
      <c r="Q679" s="110">
        <v>326</v>
      </c>
      <c r="R679">
        <v>1714491</v>
      </c>
    </row>
    <row r="680" spans="1:18" x14ac:dyDescent="0.25">
      <c r="A680" s="133">
        <v>43003</v>
      </c>
      <c r="B680" s="110">
        <v>65.599999999999994</v>
      </c>
      <c r="C680" s="110">
        <v>65.06</v>
      </c>
      <c r="D680" s="110">
        <v>62.86</v>
      </c>
      <c r="E680" s="110">
        <v>64.599999999999994</v>
      </c>
      <c r="F680" s="110">
        <v>325.3</v>
      </c>
      <c r="G680">
        <v>217189</v>
      </c>
      <c r="H680" s="110"/>
      <c r="I680" s="110"/>
      <c r="L680" s="133">
        <v>43003</v>
      </c>
      <c r="M680" s="110">
        <v>65.17</v>
      </c>
      <c r="N680" s="110">
        <v>65.5</v>
      </c>
      <c r="O680" s="110">
        <v>62.85</v>
      </c>
      <c r="P680" s="110">
        <v>64.709999999999994</v>
      </c>
      <c r="Q680" s="110">
        <v>325.85000000000002</v>
      </c>
      <c r="R680">
        <v>2563254</v>
      </c>
    </row>
    <row r="681" spans="1:18" x14ac:dyDescent="0.25">
      <c r="A681" s="133">
        <v>43004</v>
      </c>
      <c r="B681" s="110">
        <v>66</v>
      </c>
      <c r="C681" s="110">
        <v>65.5</v>
      </c>
      <c r="D681" s="110">
        <v>64.709999999999994</v>
      </c>
      <c r="E681" s="110">
        <v>65.06</v>
      </c>
      <c r="F681" s="110">
        <v>327.5</v>
      </c>
      <c r="G681">
        <v>144989</v>
      </c>
      <c r="H681" s="110"/>
      <c r="I681" s="110"/>
      <c r="L681" s="133">
        <v>43004</v>
      </c>
      <c r="M681" s="110">
        <v>65.540000000000006</v>
      </c>
      <c r="N681" s="110">
        <v>66.05</v>
      </c>
      <c r="O681" s="110">
        <v>64.7</v>
      </c>
      <c r="P681" s="110">
        <v>65</v>
      </c>
      <c r="Q681" s="110">
        <v>327.7</v>
      </c>
      <c r="R681">
        <v>2334499</v>
      </c>
    </row>
    <row r="682" spans="1:18" x14ac:dyDescent="0.25">
      <c r="A682" s="133">
        <v>43005</v>
      </c>
      <c r="B682" s="110">
        <v>66.8</v>
      </c>
      <c r="C682" s="110">
        <v>63.08</v>
      </c>
      <c r="D682" s="110">
        <v>63.01</v>
      </c>
      <c r="E682" s="110">
        <v>66.8</v>
      </c>
      <c r="F682" s="110">
        <v>315.39999999999998</v>
      </c>
      <c r="G682">
        <v>683070</v>
      </c>
      <c r="H682" s="110"/>
      <c r="I682" s="110"/>
      <c r="L682" s="133">
        <v>43005</v>
      </c>
      <c r="M682" s="110">
        <v>63.58</v>
      </c>
      <c r="N682" s="110">
        <v>66.19</v>
      </c>
      <c r="O682" s="110">
        <v>63.03</v>
      </c>
      <c r="P682" s="110">
        <v>65.8</v>
      </c>
      <c r="Q682" s="110">
        <v>317.89999999999998</v>
      </c>
      <c r="R682">
        <v>2013733</v>
      </c>
    </row>
    <row r="683" spans="1:18" x14ac:dyDescent="0.25">
      <c r="A683" s="133">
        <v>43006</v>
      </c>
      <c r="B683" s="110">
        <v>64.05</v>
      </c>
      <c r="C683" s="110">
        <v>63.24</v>
      </c>
      <c r="D683" s="110">
        <v>62.7</v>
      </c>
      <c r="E683" s="110">
        <v>63.36</v>
      </c>
      <c r="F683" s="110">
        <v>316.2</v>
      </c>
      <c r="G683">
        <v>601772</v>
      </c>
      <c r="H683" s="110"/>
      <c r="I683" s="110"/>
      <c r="L683" s="133">
        <v>43006</v>
      </c>
      <c r="M683" s="110">
        <v>63.16</v>
      </c>
      <c r="N683" s="110">
        <v>64.08</v>
      </c>
      <c r="O683" s="110">
        <v>62.47</v>
      </c>
      <c r="P683" s="110">
        <v>63.4</v>
      </c>
      <c r="Q683" s="110">
        <v>315.8</v>
      </c>
      <c r="R683">
        <v>2077843</v>
      </c>
    </row>
    <row r="684" spans="1:18" x14ac:dyDescent="0.25">
      <c r="A684" s="133">
        <v>43007</v>
      </c>
      <c r="B684" s="110">
        <v>63.95</v>
      </c>
      <c r="C684" s="110">
        <v>61.61</v>
      </c>
      <c r="D684" s="110">
        <v>61.37</v>
      </c>
      <c r="E684" s="110">
        <v>63.58</v>
      </c>
      <c r="F684" s="110">
        <v>308.05</v>
      </c>
      <c r="G684">
        <v>174029</v>
      </c>
      <c r="H684" s="110"/>
      <c r="I684" s="110"/>
      <c r="L684" s="133">
        <v>43007</v>
      </c>
      <c r="M684" s="110">
        <v>61.6</v>
      </c>
      <c r="N684" s="110">
        <v>63.98</v>
      </c>
      <c r="O684" s="110">
        <v>61.32</v>
      </c>
      <c r="P684" s="110">
        <v>63.6</v>
      </c>
      <c r="Q684" s="110">
        <v>308</v>
      </c>
      <c r="R684">
        <v>3275459</v>
      </c>
    </row>
    <row r="685" spans="1:18" x14ac:dyDescent="0.25">
      <c r="A685" s="133">
        <v>43011</v>
      </c>
      <c r="B685" s="110">
        <v>63.2</v>
      </c>
      <c r="C685" s="110">
        <v>61.67</v>
      </c>
      <c r="D685" s="110">
        <v>61.15</v>
      </c>
      <c r="E685" s="110">
        <v>63.2</v>
      </c>
      <c r="F685" s="110">
        <v>308.35000000000002</v>
      </c>
      <c r="G685">
        <v>73498</v>
      </c>
      <c r="H685" s="110"/>
      <c r="I685" s="110"/>
      <c r="L685" s="133">
        <v>43011</v>
      </c>
      <c r="M685" s="110">
        <v>61.72</v>
      </c>
      <c r="N685" s="110">
        <v>62.35</v>
      </c>
      <c r="O685" s="110">
        <v>61.12</v>
      </c>
      <c r="P685" s="110">
        <v>62.12</v>
      </c>
      <c r="Q685" s="110">
        <v>308.60000000000002</v>
      </c>
      <c r="R685">
        <v>2007682</v>
      </c>
    </row>
    <row r="686" spans="1:18" x14ac:dyDescent="0.25">
      <c r="A686" s="133">
        <v>43012</v>
      </c>
      <c r="B686" s="110">
        <v>62.45</v>
      </c>
      <c r="C686" s="110">
        <v>61.39</v>
      </c>
      <c r="D686" s="110">
        <v>61.05</v>
      </c>
      <c r="E686" s="110">
        <v>61.61</v>
      </c>
      <c r="F686" s="110">
        <v>306.95</v>
      </c>
      <c r="G686">
        <v>166896</v>
      </c>
      <c r="H686" s="110"/>
      <c r="I686" s="110"/>
      <c r="L686" s="133">
        <v>43012</v>
      </c>
      <c r="M686" s="110">
        <v>61.45</v>
      </c>
      <c r="N686" s="110">
        <v>62.35</v>
      </c>
      <c r="O686" s="110">
        <v>61.12</v>
      </c>
      <c r="P686" s="110">
        <v>61.98</v>
      </c>
      <c r="Q686" s="110">
        <v>307.25</v>
      </c>
      <c r="R686">
        <v>2051156</v>
      </c>
    </row>
    <row r="687" spans="1:18" x14ac:dyDescent="0.25">
      <c r="A687" s="133">
        <v>43013</v>
      </c>
      <c r="B687" s="110">
        <v>62.24</v>
      </c>
      <c r="C687" s="110">
        <v>61.99</v>
      </c>
      <c r="D687" s="110">
        <v>61.4</v>
      </c>
      <c r="E687" s="110">
        <v>61.4</v>
      </c>
      <c r="F687" s="110">
        <v>309.95</v>
      </c>
      <c r="G687">
        <v>103278</v>
      </c>
      <c r="H687" s="110"/>
      <c r="I687" s="110"/>
      <c r="L687" s="133">
        <v>43013</v>
      </c>
      <c r="M687" s="110">
        <v>62</v>
      </c>
      <c r="N687" s="110">
        <v>62.27</v>
      </c>
      <c r="O687" s="110">
        <v>61.32</v>
      </c>
      <c r="P687" s="110">
        <v>61.64</v>
      </c>
      <c r="Q687" s="110">
        <v>310</v>
      </c>
      <c r="R687">
        <v>1205566</v>
      </c>
    </row>
    <row r="688" spans="1:18" x14ac:dyDescent="0.25">
      <c r="A688" s="133">
        <v>43014</v>
      </c>
      <c r="B688" s="110">
        <v>63.2</v>
      </c>
      <c r="C688" s="110">
        <v>63.05</v>
      </c>
      <c r="D688" s="110">
        <v>62.02</v>
      </c>
      <c r="E688" s="110">
        <v>62.02</v>
      </c>
      <c r="F688" s="110">
        <v>315.25</v>
      </c>
      <c r="G688">
        <v>136956</v>
      </c>
      <c r="H688" s="110"/>
      <c r="I688" s="110"/>
      <c r="L688" s="133">
        <v>43014</v>
      </c>
      <c r="M688" s="110">
        <v>63.03</v>
      </c>
      <c r="N688" s="110">
        <v>63.2</v>
      </c>
      <c r="O688" s="110">
        <v>62.3</v>
      </c>
      <c r="P688" s="110">
        <v>62.4</v>
      </c>
      <c r="Q688" s="110">
        <v>315.14999999999998</v>
      </c>
      <c r="R688">
        <v>2269176</v>
      </c>
    </row>
    <row r="689" spans="1:18" x14ac:dyDescent="0.25">
      <c r="A689" s="133">
        <v>43017</v>
      </c>
      <c r="B689" s="110">
        <v>63.46</v>
      </c>
      <c r="C689" s="110">
        <v>62.96</v>
      </c>
      <c r="D689" s="110">
        <v>62.45</v>
      </c>
      <c r="E689" s="110">
        <v>63</v>
      </c>
      <c r="F689" s="110">
        <v>314.8</v>
      </c>
      <c r="G689">
        <v>56334</v>
      </c>
      <c r="H689" s="110"/>
      <c r="I689" s="110"/>
      <c r="L689" s="133">
        <v>43017</v>
      </c>
      <c r="M689" s="110">
        <v>62.86</v>
      </c>
      <c r="N689" s="110">
        <v>63.45</v>
      </c>
      <c r="O689" s="110">
        <v>62.42</v>
      </c>
      <c r="P689" s="110">
        <v>63</v>
      </c>
      <c r="Q689" s="110">
        <v>314.3</v>
      </c>
      <c r="R689">
        <v>1303654</v>
      </c>
    </row>
    <row r="690" spans="1:18" x14ac:dyDescent="0.25">
      <c r="A690" s="133">
        <v>43018</v>
      </c>
      <c r="B690" s="110">
        <v>63.31</v>
      </c>
      <c r="C690" s="110">
        <v>62.94</v>
      </c>
      <c r="D690" s="110">
        <v>62.73</v>
      </c>
      <c r="E690" s="110">
        <v>63</v>
      </c>
      <c r="F690" s="110">
        <v>314.7</v>
      </c>
      <c r="G690">
        <v>69419</v>
      </c>
      <c r="H690" s="110"/>
      <c r="I690" s="110"/>
      <c r="L690" s="133">
        <v>43018</v>
      </c>
      <c r="M690" s="110">
        <v>62.81</v>
      </c>
      <c r="N690" s="110">
        <v>63.32</v>
      </c>
      <c r="O690" s="110">
        <v>62.6</v>
      </c>
      <c r="P690" s="110">
        <v>63.01</v>
      </c>
      <c r="Q690" s="110">
        <v>314.05</v>
      </c>
      <c r="R690">
        <v>831052</v>
      </c>
    </row>
    <row r="691" spans="1:18" x14ac:dyDescent="0.25">
      <c r="A691" s="133">
        <v>43019</v>
      </c>
      <c r="B691" s="110">
        <v>63.41</v>
      </c>
      <c r="C691" s="110">
        <v>61.02</v>
      </c>
      <c r="D691" s="110">
        <v>60.6</v>
      </c>
      <c r="E691" s="110">
        <v>62.4</v>
      </c>
      <c r="F691" s="110">
        <v>305.10000000000002</v>
      </c>
      <c r="G691">
        <v>115472</v>
      </c>
      <c r="H691" s="110"/>
      <c r="I691" s="110"/>
      <c r="L691" s="133">
        <v>43019</v>
      </c>
      <c r="M691" s="110">
        <v>61.05</v>
      </c>
      <c r="N691" s="110">
        <v>63.41</v>
      </c>
      <c r="O691" s="110">
        <v>60.44</v>
      </c>
      <c r="P691" s="110">
        <v>62.93</v>
      </c>
      <c r="Q691" s="110">
        <v>305.25</v>
      </c>
      <c r="R691">
        <v>1744382</v>
      </c>
    </row>
    <row r="692" spans="1:18" x14ac:dyDescent="0.25">
      <c r="A692" s="133">
        <v>43020</v>
      </c>
      <c r="B692" s="110">
        <v>61.17</v>
      </c>
      <c r="C692" s="110">
        <v>60.86</v>
      </c>
      <c r="D692" s="110">
        <v>59.7</v>
      </c>
      <c r="E692" s="110">
        <v>60.7</v>
      </c>
      <c r="F692" s="110">
        <v>304.3</v>
      </c>
      <c r="G692">
        <v>171984</v>
      </c>
      <c r="H692" s="110"/>
      <c r="I692" s="110"/>
      <c r="L692" s="133">
        <v>43020</v>
      </c>
      <c r="M692" s="110">
        <v>60.73</v>
      </c>
      <c r="N692" s="110">
        <v>60.94</v>
      </c>
      <c r="O692" s="110">
        <v>59.62</v>
      </c>
      <c r="P692" s="110">
        <v>60.6</v>
      </c>
      <c r="Q692" s="110">
        <v>303.64999999999998</v>
      </c>
      <c r="R692">
        <v>2497298</v>
      </c>
    </row>
    <row r="693" spans="1:18" x14ac:dyDescent="0.25">
      <c r="A693" s="133">
        <v>43021</v>
      </c>
      <c r="B693" s="110">
        <v>62.44</v>
      </c>
      <c r="C693" s="110">
        <v>61.64</v>
      </c>
      <c r="D693" s="110">
        <v>60.5</v>
      </c>
      <c r="E693" s="110">
        <v>60.5</v>
      </c>
      <c r="F693" s="110">
        <v>308.2</v>
      </c>
      <c r="G693">
        <v>134598</v>
      </c>
      <c r="H693" s="110"/>
      <c r="I693" s="110"/>
      <c r="L693" s="133">
        <v>43021</v>
      </c>
      <c r="M693" s="110">
        <v>61.7</v>
      </c>
      <c r="N693" s="110">
        <v>62.5</v>
      </c>
      <c r="O693" s="110">
        <v>60.48</v>
      </c>
      <c r="P693" s="110">
        <v>61.04</v>
      </c>
      <c r="Q693" s="110">
        <v>308.5</v>
      </c>
      <c r="R693">
        <v>2375079</v>
      </c>
    </row>
    <row r="694" spans="1:18" x14ac:dyDescent="0.25">
      <c r="A694" s="133">
        <v>43024</v>
      </c>
      <c r="B694" s="110">
        <v>62.2</v>
      </c>
      <c r="C694" s="110">
        <v>61.48</v>
      </c>
      <c r="D694" s="110">
        <v>61</v>
      </c>
      <c r="E694" s="110">
        <v>62</v>
      </c>
      <c r="F694" s="110">
        <v>307.39999999999998</v>
      </c>
      <c r="G694">
        <v>65705</v>
      </c>
      <c r="H694" s="110"/>
      <c r="I694" s="110"/>
      <c r="L694" s="133">
        <v>43024</v>
      </c>
      <c r="M694" s="110">
        <v>61.58</v>
      </c>
      <c r="N694" s="110">
        <v>62.2</v>
      </c>
      <c r="O694" s="110">
        <v>60.96</v>
      </c>
      <c r="P694" s="110">
        <v>61.72</v>
      </c>
      <c r="Q694" s="110">
        <v>307.89999999999998</v>
      </c>
      <c r="R694">
        <v>1300300</v>
      </c>
    </row>
    <row r="695" spans="1:18" x14ac:dyDescent="0.25">
      <c r="A695" s="133">
        <v>43025</v>
      </c>
      <c r="B695" s="110">
        <v>62.42</v>
      </c>
      <c r="C695" s="110">
        <v>61.75</v>
      </c>
      <c r="D695" s="110">
        <v>61.48</v>
      </c>
      <c r="E695" s="110">
        <v>61.48</v>
      </c>
      <c r="F695" s="110">
        <v>308.75</v>
      </c>
      <c r="G695">
        <v>55431</v>
      </c>
      <c r="H695" s="110"/>
      <c r="I695" s="110"/>
      <c r="L695" s="133">
        <v>43025</v>
      </c>
      <c r="M695" s="110">
        <v>61.76</v>
      </c>
      <c r="N695" s="110">
        <v>62.5</v>
      </c>
      <c r="O695" s="110">
        <v>61.52</v>
      </c>
      <c r="P695" s="110">
        <v>61.7</v>
      </c>
      <c r="Q695" s="110">
        <v>308.8</v>
      </c>
      <c r="R695">
        <v>1591236</v>
      </c>
    </row>
    <row r="696" spans="1:18" x14ac:dyDescent="0.25">
      <c r="A696" s="133">
        <v>43026</v>
      </c>
      <c r="B696" s="110">
        <v>61.54</v>
      </c>
      <c r="C696" s="110">
        <v>60.99</v>
      </c>
      <c r="D696" s="110">
        <v>60.73</v>
      </c>
      <c r="E696" s="110">
        <v>61.54</v>
      </c>
      <c r="F696" s="110">
        <v>304.95</v>
      </c>
      <c r="G696">
        <v>102295</v>
      </c>
      <c r="H696" s="110"/>
      <c r="I696" s="110"/>
      <c r="L696" s="133">
        <v>43026</v>
      </c>
      <c r="M696" s="110">
        <v>61.01</v>
      </c>
      <c r="N696" s="110">
        <v>61.48</v>
      </c>
      <c r="O696" s="110">
        <v>60.62</v>
      </c>
      <c r="P696" s="110">
        <v>61.37</v>
      </c>
      <c r="Q696" s="110">
        <v>305.05</v>
      </c>
      <c r="R696">
        <v>1437283</v>
      </c>
    </row>
    <row r="697" spans="1:18" x14ac:dyDescent="0.25">
      <c r="A697" s="133">
        <v>43027</v>
      </c>
      <c r="B697" s="110">
        <v>61.21</v>
      </c>
      <c r="C697" s="110">
        <v>60.36</v>
      </c>
      <c r="D697" s="110">
        <v>59.37</v>
      </c>
      <c r="E697" s="110">
        <v>61.2</v>
      </c>
      <c r="F697" s="110">
        <v>301.8</v>
      </c>
      <c r="G697">
        <v>13177</v>
      </c>
      <c r="H697" s="110"/>
      <c r="I697" s="110"/>
      <c r="L697" s="133">
        <v>43027</v>
      </c>
      <c r="M697" s="110">
        <v>60.52</v>
      </c>
      <c r="N697" s="110">
        <v>61.17</v>
      </c>
      <c r="O697" s="110">
        <v>60.01</v>
      </c>
      <c r="P697" s="110">
        <v>61</v>
      </c>
      <c r="Q697" s="110">
        <v>302.60000000000002</v>
      </c>
      <c r="R697">
        <v>217890</v>
      </c>
    </row>
    <row r="698" spans="1:18" x14ac:dyDescent="0.25">
      <c r="A698" s="133">
        <v>43031</v>
      </c>
      <c r="B698" s="110">
        <v>62.56</v>
      </c>
      <c r="C698" s="110">
        <v>61.16</v>
      </c>
      <c r="D698" s="110">
        <v>59.81</v>
      </c>
      <c r="E698" s="110">
        <v>60.36</v>
      </c>
      <c r="F698" s="110">
        <v>305.8</v>
      </c>
      <c r="G698">
        <v>126085</v>
      </c>
      <c r="H698" s="110"/>
      <c r="I698" s="110"/>
      <c r="L698" s="133">
        <v>43031</v>
      </c>
      <c r="M698" s="110">
        <v>61.07</v>
      </c>
      <c r="N698" s="110">
        <v>61.29</v>
      </c>
      <c r="O698" s="110">
        <v>59.64</v>
      </c>
      <c r="P698" s="110">
        <v>60.61</v>
      </c>
      <c r="Q698" s="110">
        <v>305.35000000000002</v>
      </c>
      <c r="R698">
        <v>1676803</v>
      </c>
    </row>
    <row r="699" spans="1:18" x14ac:dyDescent="0.25">
      <c r="A699" s="133">
        <v>43032</v>
      </c>
      <c r="B699" s="110">
        <v>63.87</v>
      </c>
      <c r="C699" s="110">
        <v>63.44</v>
      </c>
      <c r="D699" s="110">
        <v>60.85</v>
      </c>
      <c r="E699" s="110">
        <v>60.85</v>
      </c>
      <c r="F699" s="110">
        <v>317.2</v>
      </c>
      <c r="G699">
        <v>274200</v>
      </c>
      <c r="H699" s="110"/>
      <c r="I699" s="110"/>
      <c r="L699" s="133">
        <v>43032</v>
      </c>
      <c r="M699" s="110">
        <v>63.42</v>
      </c>
      <c r="N699" s="110">
        <v>63.93</v>
      </c>
      <c r="O699" s="110">
        <v>61.07</v>
      </c>
      <c r="P699" s="110">
        <v>61.07</v>
      </c>
      <c r="Q699" s="110">
        <v>317.10000000000002</v>
      </c>
      <c r="R699">
        <v>3345999</v>
      </c>
    </row>
    <row r="700" spans="1:18" x14ac:dyDescent="0.25">
      <c r="A700" s="133">
        <v>43033</v>
      </c>
      <c r="B700" s="110">
        <v>88.4</v>
      </c>
      <c r="C700" s="110">
        <v>87.58</v>
      </c>
      <c r="D700" s="110">
        <v>69.78</v>
      </c>
      <c r="E700" s="110">
        <v>69.78</v>
      </c>
      <c r="F700" s="110">
        <v>437.9</v>
      </c>
      <c r="G700">
        <v>2654966</v>
      </c>
      <c r="H700" s="110"/>
      <c r="I700" s="110"/>
      <c r="L700" s="133">
        <v>43033</v>
      </c>
      <c r="M700" s="110">
        <v>87.98</v>
      </c>
      <c r="N700" s="110">
        <v>88.82</v>
      </c>
      <c r="O700" s="110">
        <v>69.760000000000005</v>
      </c>
      <c r="P700" s="110">
        <v>69.760000000000005</v>
      </c>
      <c r="Q700" s="110">
        <v>439.9</v>
      </c>
      <c r="R700">
        <v>35410137</v>
      </c>
    </row>
    <row r="701" spans="1:18" x14ac:dyDescent="0.25">
      <c r="A701" s="133">
        <v>43034</v>
      </c>
      <c r="B701" s="110">
        <v>92.68</v>
      </c>
      <c r="C701" s="110">
        <v>84.68</v>
      </c>
      <c r="D701" s="110">
        <v>83.6</v>
      </c>
      <c r="E701" s="110">
        <v>88.4</v>
      </c>
      <c r="F701" s="110">
        <v>423.4</v>
      </c>
      <c r="G701">
        <v>1273281</v>
      </c>
      <c r="H701" s="110"/>
      <c r="I701" s="110"/>
      <c r="L701" s="133">
        <v>43034</v>
      </c>
      <c r="M701" s="110">
        <v>84.82</v>
      </c>
      <c r="N701" s="110">
        <v>92.74</v>
      </c>
      <c r="O701" s="110">
        <v>83.61</v>
      </c>
      <c r="P701" s="110">
        <v>88.48</v>
      </c>
      <c r="Q701" s="110">
        <v>424.1</v>
      </c>
      <c r="R701">
        <v>15730233</v>
      </c>
    </row>
    <row r="702" spans="1:18" x14ac:dyDescent="0.25">
      <c r="A702" s="133">
        <v>43035</v>
      </c>
      <c r="B702" s="110">
        <v>86.68</v>
      </c>
      <c r="C702" s="110">
        <v>80.75</v>
      </c>
      <c r="D702" s="110">
        <v>80.3</v>
      </c>
      <c r="E702" s="110">
        <v>84.7</v>
      </c>
      <c r="F702" s="110">
        <v>403.75</v>
      </c>
      <c r="G702">
        <v>610423</v>
      </c>
      <c r="H702" s="110"/>
      <c r="I702" s="110"/>
      <c r="L702" s="133">
        <v>43035</v>
      </c>
      <c r="M702" s="110">
        <v>80.83</v>
      </c>
      <c r="N702" s="110">
        <v>86.66</v>
      </c>
      <c r="O702" s="110">
        <v>80.28</v>
      </c>
      <c r="P702" s="110">
        <v>84.97</v>
      </c>
      <c r="Q702" s="110">
        <v>404.15</v>
      </c>
      <c r="R702">
        <v>5826730</v>
      </c>
    </row>
    <row r="703" spans="1:18" x14ac:dyDescent="0.25">
      <c r="A703" s="133">
        <v>43038</v>
      </c>
      <c r="B703" s="110">
        <v>85.67</v>
      </c>
      <c r="C703" s="110">
        <v>82.71</v>
      </c>
      <c r="D703" s="110">
        <v>79.53</v>
      </c>
      <c r="E703" s="110">
        <v>80.959999999999994</v>
      </c>
      <c r="F703" s="110">
        <v>413.55</v>
      </c>
      <c r="G703">
        <v>699008</v>
      </c>
      <c r="H703" s="110"/>
      <c r="I703" s="110"/>
      <c r="L703" s="133">
        <v>43038</v>
      </c>
      <c r="M703" s="110">
        <v>82.68</v>
      </c>
      <c r="N703" s="110">
        <v>85.8</v>
      </c>
      <c r="O703" s="110">
        <v>79.64</v>
      </c>
      <c r="P703" s="110">
        <v>79.7</v>
      </c>
      <c r="Q703" s="110">
        <v>413.4</v>
      </c>
      <c r="R703">
        <v>9644045</v>
      </c>
    </row>
    <row r="704" spans="1:18" x14ac:dyDescent="0.25">
      <c r="A704" s="133">
        <v>43039</v>
      </c>
      <c r="B704" s="110">
        <v>83.76</v>
      </c>
      <c r="C704" s="110">
        <v>80.95</v>
      </c>
      <c r="D704" s="110">
        <v>80.599999999999994</v>
      </c>
      <c r="E704" s="110">
        <v>82.6</v>
      </c>
      <c r="F704" s="110">
        <v>404.75</v>
      </c>
      <c r="G704">
        <v>586073</v>
      </c>
      <c r="H704" s="110"/>
      <c r="I704" s="110"/>
      <c r="L704" s="133">
        <v>43039</v>
      </c>
      <c r="M704" s="110">
        <v>81.12</v>
      </c>
      <c r="N704" s="110">
        <v>83.75</v>
      </c>
      <c r="O704" s="110">
        <v>80.73</v>
      </c>
      <c r="P704" s="110">
        <v>82.74</v>
      </c>
      <c r="Q704" s="110">
        <v>405.6</v>
      </c>
      <c r="R704">
        <v>4926951</v>
      </c>
    </row>
    <row r="705" spans="1:18" x14ac:dyDescent="0.25">
      <c r="A705" s="133">
        <v>43040</v>
      </c>
      <c r="B705" s="110">
        <v>83.96</v>
      </c>
      <c r="C705" s="110">
        <v>82.29</v>
      </c>
      <c r="D705" s="110">
        <v>81.14</v>
      </c>
      <c r="E705" s="110">
        <v>82</v>
      </c>
      <c r="F705" s="110">
        <v>411.45</v>
      </c>
      <c r="G705">
        <v>433251</v>
      </c>
      <c r="H705" s="110"/>
      <c r="I705" s="110"/>
      <c r="L705" s="133">
        <v>43040</v>
      </c>
      <c r="M705" s="110">
        <v>82.5</v>
      </c>
      <c r="N705" s="110">
        <v>84.06</v>
      </c>
      <c r="O705" s="110">
        <v>81.2</v>
      </c>
      <c r="P705" s="110">
        <v>82</v>
      </c>
      <c r="Q705" s="110">
        <v>412.5</v>
      </c>
      <c r="R705">
        <v>4308826</v>
      </c>
    </row>
    <row r="706" spans="1:18" x14ac:dyDescent="0.25">
      <c r="A706" s="133">
        <v>43041</v>
      </c>
      <c r="B706" s="110">
        <v>83.04</v>
      </c>
      <c r="C706" s="110">
        <v>80.53</v>
      </c>
      <c r="D706" s="110">
        <v>80.209999999999994</v>
      </c>
      <c r="E706" s="110">
        <v>83</v>
      </c>
      <c r="F706" s="110">
        <v>402.65</v>
      </c>
      <c r="G706">
        <v>419807</v>
      </c>
      <c r="H706" s="110"/>
      <c r="I706" s="110"/>
      <c r="L706" s="133">
        <v>43041</v>
      </c>
      <c r="M706" s="110">
        <v>80.540000000000006</v>
      </c>
      <c r="N706" s="110">
        <v>82.89</v>
      </c>
      <c r="O706" s="110">
        <v>80.239999999999995</v>
      </c>
      <c r="P706" s="110">
        <v>82.61</v>
      </c>
      <c r="Q706" s="110">
        <v>402.7</v>
      </c>
      <c r="R706">
        <v>4315603</v>
      </c>
    </row>
    <row r="707" spans="1:18" x14ac:dyDescent="0.25">
      <c r="A707" s="133">
        <v>43042</v>
      </c>
      <c r="B707" s="110">
        <v>81.739999999999995</v>
      </c>
      <c r="C707" s="110">
        <v>80.790000000000006</v>
      </c>
      <c r="D707" s="110">
        <v>80.02</v>
      </c>
      <c r="E707" s="110">
        <v>80.53</v>
      </c>
      <c r="F707" s="110">
        <v>403.95</v>
      </c>
      <c r="G707">
        <v>558190</v>
      </c>
      <c r="H707" s="110"/>
      <c r="I707" s="110"/>
      <c r="L707" s="133">
        <v>43042</v>
      </c>
      <c r="M707" s="110">
        <v>80.819999999999993</v>
      </c>
      <c r="N707" s="110">
        <v>81.8</v>
      </c>
      <c r="O707" s="110">
        <v>79.92</v>
      </c>
      <c r="P707" s="110">
        <v>81.39</v>
      </c>
      <c r="Q707" s="110">
        <v>404.1</v>
      </c>
      <c r="R707">
        <v>4196355</v>
      </c>
    </row>
    <row r="708" spans="1:18" x14ac:dyDescent="0.25">
      <c r="A708" s="133">
        <v>43045</v>
      </c>
      <c r="B708" s="110">
        <v>82.29</v>
      </c>
      <c r="C708" s="110">
        <v>81.22</v>
      </c>
      <c r="D708" s="110">
        <v>80.459999999999994</v>
      </c>
      <c r="E708" s="110">
        <v>80.790000000000006</v>
      </c>
      <c r="F708" s="110">
        <v>406.1</v>
      </c>
      <c r="G708">
        <v>467759</v>
      </c>
      <c r="H708" s="110"/>
      <c r="I708" s="110"/>
      <c r="L708" s="133">
        <v>43045</v>
      </c>
      <c r="M708" s="110">
        <v>81.260000000000005</v>
      </c>
      <c r="N708" s="110">
        <v>82.3</v>
      </c>
      <c r="O708" s="110">
        <v>80.459999999999994</v>
      </c>
      <c r="P708" s="110">
        <v>80.599999999999994</v>
      </c>
      <c r="Q708" s="110">
        <v>406.3</v>
      </c>
      <c r="R708">
        <v>2613021</v>
      </c>
    </row>
    <row r="709" spans="1:18" x14ac:dyDescent="0.25">
      <c r="A709" s="133">
        <v>43046</v>
      </c>
      <c r="B709" s="110">
        <v>82.08</v>
      </c>
      <c r="C709" s="110">
        <v>78.2</v>
      </c>
      <c r="D709" s="110">
        <v>77.66</v>
      </c>
      <c r="E709" s="110">
        <v>81.400000000000006</v>
      </c>
      <c r="F709" s="110">
        <v>391</v>
      </c>
      <c r="G709">
        <v>244962</v>
      </c>
      <c r="H709" s="110"/>
      <c r="I709" s="110"/>
      <c r="L709" s="133">
        <v>43046</v>
      </c>
      <c r="M709" s="110">
        <v>78.150000000000006</v>
      </c>
      <c r="N709" s="110">
        <v>82.15</v>
      </c>
      <c r="O709" s="110">
        <v>77.56</v>
      </c>
      <c r="P709" s="110">
        <v>81.8</v>
      </c>
      <c r="Q709" s="110">
        <v>390.75</v>
      </c>
      <c r="R709">
        <v>3316014</v>
      </c>
    </row>
    <row r="710" spans="1:18" x14ac:dyDescent="0.25">
      <c r="A710" s="133">
        <v>43047</v>
      </c>
      <c r="B710" s="110">
        <v>80.28</v>
      </c>
      <c r="C710" s="110">
        <v>77.930000000000007</v>
      </c>
      <c r="D710" s="110">
        <v>76.8</v>
      </c>
      <c r="E710" s="110">
        <v>78.599999999999994</v>
      </c>
      <c r="F710" s="110">
        <v>389.65</v>
      </c>
      <c r="G710">
        <v>663551</v>
      </c>
      <c r="H710" s="110"/>
      <c r="I710" s="110"/>
      <c r="L710" s="133">
        <v>43047</v>
      </c>
      <c r="M710" s="110">
        <v>77.87</v>
      </c>
      <c r="N710" s="110">
        <v>80.34</v>
      </c>
      <c r="O710" s="110">
        <v>76.77</v>
      </c>
      <c r="P710" s="110">
        <v>78.599999999999994</v>
      </c>
      <c r="Q710" s="110">
        <v>389.35</v>
      </c>
      <c r="R710">
        <v>3862580</v>
      </c>
    </row>
    <row r="711" spans="1:18" x14ac:dyDescent="0.25">
      <c r="A711" s="133">
        <v>43048</v>
      </c>
      <c r="B711" s="110">
        <v>79.33</v>
      </c>
      <c r="C711" s="110">
        <v>77.86</v>
      </c>
      <c r="D711" s="110">
        <v>77.319999999999993</v>
      </c>
      <c r="E711" s="110">
        <v>78.400000000000006</v>
      </c>
      <c r="F711" s="110">
        <v>389.3</v>
      </c>
      <c r="G711">
        <v>255480</v>
      </c>
      <c r="H711" s="110"/>
      <c r="I711" s="110"/>
      <c r="L711" s="133">
        <v>43048</v>
      </c>
      <c r="M711" s="110">
        <v>77.790000000000006</v>
      </c>
      <c r="N711" s="110">
        <v>79.34</v>
      </c>
      <c r="O711" s="110">
        <v>77.3</v>
      </c>
      <c r="P711" s="110">
        <v>78.75</v>
      </c>
      <c r="Q711" s="110">
        <v>388.95</v>
      </c>
      <c r="R711">
        <v>3184188</v>
      </c>
    </row>
    <row r="712" spans="1:18" x14ac:dyDescent="0.25">
      <c r="A712" s="133">
        <v>43049</v>
      </c>
      <c r="B712" s="110">
        <v>79.69</v>
      </c>
      <c r="C712" s="110">
        <v>77.790000000000006</v>
      </c>
      <c r="D712" s="110">
        <v>76.8</v>
      </c>
      <c r="E712" s="110">
        <v>76.8</v>
      </c>
      <c r="F712" s="110">
        <v>388.95</v>
      </c>
      <c r="G712">
        <v>985047</v>
      </c>
      <c r="H712" s="110"/>
      <c r="I712" s="110"/>
      <c r="L712" s="133">
        <v>43049</v>
      </c>
      <c r="M712" s="110">
        <v>77.790000000000006</v>
      </c>
      <c r="N712" s="110">
        <v>79.760000000000005</v>
      </c>
      <c r="O712" s="110">
        <v>77.08</v>
      </c>
      <c r="P712" s="110">
        <v>77.400000000000006</v>
      </c>
      <c r="Q712" s="110">
        <v>388.95</v>
      </c>
      <c r="R712">
        <v>4076220</v>
      </c>
    </row>
    <row r="713" spans="1:18" x14ac:dyDescent="0.25">
      <c r="A713" s="133">
        <v>43052</v>
      </c>
      <c r="B713" s="110">
        <v>78.78</v>
      </c>
      <c r="C713" s="110">
        <v>76.680000000000007</v>
      </c>
      <c r="D713" s="110">
        <v>76.22</v>
      </c>
      <c r="E713" s="110">
        <v>78.400000000000006</v>
      </c>
      <c r="F713" s="110">
        <v>383.4</v>
      </c>
      <c r="G713">
        <v>188814</v>
      </c>
      <c r="H713" s="110"/>
      <c r="I713" s="110"/>
      <c r="L713" s="133">
        <v>43052</v>
      </c>
      <c r="M713" s="110">
        <v>76.59</v>
      </c>
      <c r="N713" s="110">
        <v>78.790000000000006</v>
      </c>
      <c r="O713" s="110">
        <v>76.180000000000007</v>
      </c>
      <c r="P713" s="110">
        <v>78.36</v>
      </c>
      <c r="Q713" s="110">
        <v>382.95</v>
      </c>
      <c r="R713">
        <v>2313062</v>
      </c>
    </row>
    <row r="714" spans="1:18" x14ac:dyDescent="0.25">
      <c r="A714" s="133">
        <v>43053</v>
      </c>
      <c r="B714" s="110">
        <v>77.239999999999995</v>
      </c>
      <c r="C714" s="110">
        <v>75.400000000000006</v>
      </c>
      <c r="D714" s="110">
        <v>75.180000000000007</v>
      </c>
      <c r="E714" s="110">
        <v>76</v>
      </c>
      <c r="F714" s="110">
        <v>377</v>
      </c>
      <c r="G714">
        <v>330867</v>
      </c>
      <c r="H714" s="110"/>
      <c r="I714" s="110"/>
      <c r="L714" s="133">
        <v>43053</v>
      </c>
      <c r="M714" s="110">
        <v>75.489999999999995</v>
      </c>
      <c r="N714" s="110">
        <v>77.260000000000005</v>
      </c>
      <c r="O714" s="110">
        <v>75.239999999999995</v>
      </c>
      <c r="P714" s="110">
        <v>76.680000000000007</v>
      </c>
      <c r="Q714" s="110">
        <v>377.45</v>
      </c>
      <c r="R714">
        <v>1632485</v>
      </c>
    </row>
    <row r="715" spans="1:18" x14ac:dyDescent="0.25">
      <c r="A715" s="133">
        <v>43054</v>
      </c>
      <c r="B715" s="110">
        <v>76.34</v>
      </c>
      <c r="C715" s="110">
        <v>74</v>
      </c>
      <c r="D715" s="110">
        <v>73.489999999999995</v>
      </c>
      <c r="E715" s="110">
        <v>75</v>
      </c>
      <c r="F715" s="110">
        <v>370</v>
      </c>
      <c r="G715">
        <v>207141</v>
      </c>
      <c r="H715" s="110"/>
      <c r="I715" s="110"/>
      <c r="L715" s="133">
        <v>43054</v>
      </c>
      <c r="M715" s="110">
        <v>74.02</v>
      </c>
      <c r="N715" s="110">
        <v>76.36</v>
      </c>
      <c r="O715" s="110">
        <v>73.47</v>
      </c>
      <c r="P715" s="110">
        <v>75.959999999999994</v>
      </c>
      <c r="Q715" s="110">
        <v>370.1</v>
      </c>
      <c r="R715">
        <v>2083643</v>
      </c>
    </row>
    <row r="716" spans="1:18" x14ac:dyDescent="0.25">
      <c r="A716" s="133">
        <v>43055</v>
      </c>
      <c r="B716" s="110">
        <v>77.16</v>
      </c>
      <c r="C716" s="110">
        <v>76.88</v>
      </c>
      <c r="D716" s="110">
        <v>74</v>
      </c>
      <c r="E716" s="110">
        <v>74</v>
      </c>
      <c r="F716" s="110">
        <v>384.4</v>
      </c>
      <c r="G716">
        <v>785310</v>
      </c>
      <c r="H716" s="110"/>
      <c r="I716" s="110"/>
      <c r="L716" s="133">
        <v>43055</v>
      </c>
      <c r="M716" s="110">
        <v>76.91</v>
      </c>
      <c r="N716" s="110">
        <v>77.2</v>
      </c>
      <c r="O716" s="110">
        <v>74.03</v>
      </c>
      <c r="P716" s="110">
        <v>74.58</v>
      </c>
      <c r="Q716" s="110">
        <v>384.55</v>
      </c>
      <c r="R716">
        <v>3447188</v>
      </c>
    </row>
    <row r="717" spans="1:18" x14ac:dyDescent="0.25">
      <c r="A717" s="133">
        <v>43056</v>
      </c>
      <c r="B717" s="110">
        <v>79.73</v>
      </c>
      <c r="C717" s="110">
        <v>77.69</v>
      </c>
      <c r="D717" s="110">
        <v>77.31</v>
      </c>
      <c r="E717" s="110">
        <v>79</v>
      </c>
      <c r="F717" s="110">
        <v>388.45</v>
      </c>
      <c r="G717">
        <v>349095</v>
      </c>
      <c r="H717" s="110"/>
      <c r="I717" s="110"/>
      <c r="L717" s="133">
        <v>43056</v>
      </c>
      <c r="M717" s="110">
        <v>77.77</v>
      </c>
      <c r="N717" s="110">
        <v>79.790000000000006</v>
      </c>
      <c r="O717" s="110">
        <v>77.42</v>
      </c>
      <c r="P717" s="110">
        <v>79.290000000000006</v>
      </c>
      <c r="Q717" s="110">
        <v>388.85</v>
      </c>
      <c r="R717">
        <v>3538744</v>
      </c>
    </row>
    <row r="718" spans="1:18" x14ac:dyDescent="0.25">
      <c r="A718" s="133">
        <v>43059</v>
      </c>
      <c r="B718" s="110">
        <v>79.2</v>
      </c>
      <c r="C718" s="110">
        <v>78.599999999999994</v>
      </c>
      <c r="D718" s="110">
        <v>77.099999999999994</v>
      </c>
      <c r="E718" s="110">
        <v>77.599999999999994</v>
      </c>
      <c r="F718" s="110">
        <v>393</v>
      </c>
      <c r="G718">
        <v>266353</v>
      </c>
      <c r="H718" s="110"/>
      <c r="I718" s="110"/>
      <c r="L718" s="133">
        <v>43059</v>
      </c>
      <c r="M718" s="110">
        <v>78.63</v>
      </c>
      <c r="N718" s="110">
        <v>79.180000000000007</v>
      </c>
      <c r="O718" s="110">
        <v>77.12</v>
      </c>
      <c r="P718" s="110">
        <v>77.42</v>
      </c>
      <c r="Q718" s="110">
        <v>393.15</v>
      </c>
      <c r="R718">
        <v>2565111</v>
      </c>
    </row>
    <row r="719" spans="1:18" x14ac:dyDescent="0.25">
      <c r="A719" s="133">
        <v>43060</v>
      </c>
      <c r="B719" s="110">
        <v>80.28</v>
      </c>
      <c r="C719" s="110">
        <v>78.47</v>
      </c>
      <c r="D719" s="110">
        <v>77.84</v>
      </c>
      <c r="E719" s="110">
        <v>78.12</v>
      </c>
      <c r="F719" s="110">
        <v>392.35</v>
      </c>
      <c r="G719">
        <v>460199</v>
      </c>
      <c r="H719" s="110"/>
      <c r="I719" s="110"/>
      <c r="L719" s="133">
        <v>43060</v>
      </c>
      <c r="M719" s="110">
        <v>78.63</v>
      </c>
      <c r="N719" s="110">
        <v>80.34</v>
      </c>
      <c r="O719" s="110">
        <v>77.87</v>
      </c>
      <c r="P719" s="110">
        <v>79.22</v>
      </c>
      <c r="Q719" s="110">
        <v>393.15</v>
      </c>
      <c r="R719">
        <v>3591797</v>
      </c>
    </row>
    <row r="720" spans="1:18" x14ac:dyDescent="0.25">
      <c r="A720" s="133">
        <v>43061</v>
      </c>
      <c r="B720" s="110">
        <v>80.17</v>
      </c>
      <c r="C720" s="110">
        <v>79.75</v>
      </c>
      <c r="D720" s="110">
        <v>77.709999999999994</v>
      </c>
      <c r="E720" s="110">
        <v>79.2</v>
      </c>
      <c r="F720" s="110">
        <v>398.75</v>
      </c>
      <c r="G720">
        <v>337921</v>
      </c>
      <c r="H720" s="110"/>
      <c r="I720" s="110"/>
      <c r="L720" s="133">
        <v>43061</v>
      </c>
      <c r="M720" s="110">
        <v>79.790000000000006</v>
      </c>
      <c r="N720" s="110">
        <v>80.180000000000007</v>
      </c>
      <c r="O720" s="110">
        <v>77.650000000000006</v>
      </c>
      <c r="P720" s="110">
        <v>78.84</v>
      </c>
      <c r="Q720" s="110">
        <v>398.95</v>
      </c>
      <c r="R720">
        <v>4944778</v>
      </c>
    </row>
    <row r="721" spans="1:18" x14ac:dyDescent="0.25">
      <c r="A721" s="133">
        <v>43062</v>
      </c>
      <c r="B721" s="110">
        <v>80.12</v>
      </c>
      <c r="C721" s="110">
        <v>78.760000000000005</v>
      </c>
      <c r="D721" s="110">
        <v>77.87</v>
      </c>
      <c r="E721" s="110">
        <v>79.7</v>
      </c>
      <c r="F721" s="110">
        <v>393.8</v>
      </c>
      <c r="G721">
        <v>539755</v>
      </c>
      <c r="H721" s="110"/>
      <c r="I721" s="110"/>
      <c r="L721" s="133">
        <v>43062</v>
      </c>
      <c r="M721" s="110">
        <v>78.87</v>
      </c>
      <c r="N721" s="110">
        <v>80.06</v>
      </c>
      <c r="O721" s="110">
        <v>77.91</v>
      </c>
      <c r="P721" s="110">
        <v>79.94</v>
      </c>
      <c r="Q721" s="110">
        <v>394.35</v>
      </c>
      <c r="R721">
        <v>2677617</v>
      </c>
    </row>
    <row r="722" spans="1:18" x14ac:dyDescent="0.25">
      <c r="A722" s="133">
        <v>43063</v>
      </c>
      <c r="B722" s="110">
        <v>79.459999999999994</v>
      </c>
      <c r="C722" s="110">
        <v>78.02</v>
      </c>
      <c r="D722" s="110">
        <v>77.819999999999993</v>
      </c>
      <c r="E722" s="110">
        <v>78.8</v>
      </c>
      <c r="F722" s="110">
        <v>390.1</v>
      </c>
      <c r="G722">
        <v>104506</v>
      </c>
      <c r="H722" s="110"/>
      <c r="I722" s="110"/>
      <c r="L722" s="133">
        <v>43063</v>
      </c>
      <c r="M722" s="110">
        <v>78.12</v>
      </c>
      <c r="N722" s="110">
        <v>79.44</v>
      </c>
      <c r="O722" s="110">
        <v>77.88</v>
      </c>
      <c r="P722" s="110">
        <v>78.94</v>
      </c>
      <c r="Q722" s="110">
        <v>390.6</v>
      </c>
      <c r="R722">
        <v>2257603</v>
      </c>
    </row>
    <row r="723" spans="1:18" x14ac:dyDescent="0.25">
      <c r="A723" s="133">
        <v>43066</v>
      </c>
      <c r="B723" s="110">
        <v>78</v>
      </c>
      <c r="C723" s="110">
        <v>77.42</v>
      </c>
      <c r="D723" s="110">
        <v>76.92</v>
      </c>
      <c r="E723" s="110">
        <v>78</v>
      </c>
      <c r="F723" s="110">
        <v>387.1</v>
      </c>
      <c r="G723">
        <v>266094</v>
      </c>
      <c r="H723" s="110"/>
      <c r="I723" s="110"/>
      <c r="L723" s="133">
        <v>43066</v>
      </c>
      <c r="M723" s="110">
        <v>77.42</v>
      </c>
      <c r="N723" s="110">
        <v>77.849999999999994</v>
      </c>
      <c r="O723" s="110">
        <v>76.91</v>
      </c>
      <c r="P723" s="110">
        <v>77.319999999999993</v>
      </c>
      <c r="Q723" s="110">
        <v>387.1</v>
      </c>
      <c r="R723">
        <v>2131669</v>
      </c>
    </row>
    <row r="724" spans="1:18" x14ac:dyDescent="0.25">
      <c r="A724" s="133">
        <v>43067</v>
      </c>
      <c r="B724" s="110">
        <v>77.94</v>
      </c>
      <c r="C724" s="110">
        <v>77</v>
      </c>
      <c r="D724" s="110">
        <v>76.41</v>
      </c>
      <c r="E724" s="110">
        <v>76.900000000000006</v>
      </c>
      <c r="F724" s="110">
        <v>385</v>
      </c>
      <c r="G724">
        <v>122820</v>
      </c>
      <c r="H724" s="110"/>
      <c r="I724" s="110"/>
      <c r="L724" s="133">
        <v>43067</v>
      </c>
      <c r="M724" s="110">
        <v>77.02</v>
      </c>
      <c r="N724" s="110">
        <v>77.91</v>
      </c>
      <c r="O724" s="110">
        <v>76.319999999999993</v>
      </c>
      <c r="P724" s="110">
        <v>77.19</v>
      </c>
      <c r="Q724" s="110">
        <v>385.1</v>
      </c>
      <c r="R724">
        <v>2444473</v>
      </c>
    </row>
    <row r="725" spans="1:18" x14ac:dyDescent="0.25">
      <c r="A725" s="133">
        <v>43068</v>
      </c>
      <c r="B725" s="110">
        <v>77.92</v>
      </c>
      <c r="C725" s="110">
        <v>75.58</v>
      </c>
      <c r="D725" s="110">
        <v>75.2</v>
      </c>
      <c r="E725" s="110">
        <v>77.92</v>
      </c>
      <c r="F725" s="110">
        <v>377.9</v>
      </c>
      <c r="G725">
        <v>287302</v>
      </c>
      <c r="H725" s="110"/>
      <c r="I725" s="110"/>
      <c r="L725" s="133">
        <v>43068</v>
      </c>
      <c r="M725" s="110">
        <v>75.63</v>
      </c>
      <c r="N725" s="110">
        <v>77.319999999999993</v>
      </c>
      <c r="O725" s="110">
        <v>75.260000000000005</v>
      </c>
      <c r="P725" s="110">
        <v>76.959999999999994</v>
      </c>
      <c r="Q725" s="110">
        <v>378.15</v>
      </c>
      <c r="R725">
        <v>1927138</v>
      </c>
    </row>
    <row r="726" spans="1:18" x14ac:dyDescent="0.25">
      <c r="A726" s="133">
        <v>43069</v>
      </c>
      <c r="B726" s="110">
        <v>75.47</v>
      </c>
      <c r="C726" s="110">
        <v>74.680000000000007</v>
      </c>
      <c r="D726" s="110">
        <v>74.209999999999994</v>
      </c>
      <c r="E726" s="110">
        <v>75.03</v>
      </c>
      <c r="F726" s="110">
        <v>373.4</v>
      </c>
      <c r="G726">
        <v>193161</v>
      </c>
      <c r="H726" s="110"/>
      <c r="I726" s="110"/>
      <c r="L726" s="133">
        <v>43069</v>
      </c>
      <c r="M726" s="110">
        <v>74.569999999999993</v>
      </c>
      <c r="N726" s="110">
        <v>75.53</v>
      </c>
      <c r="O726" s="110">
        <v>74.14</v>
      </c>
      <c r="P726" s="110">
        <v>75.06</v>
      </c>
      <c r="Q726" s="110">
        <v>372.85</v>
      </c>
      <c r="R726">
        <v>3513341</v>
      </c>
    </row>
    <row r="727" spans="1:18" x14ac:dyDescent="0.25">
      <c r="A727" s="133">
        <v>43070</v>
      </c>
      <c r="B727" s="110">
        <v>75.55</v>
      </c>
      <c r="C727" s="110">
        <v>72.56</v>
      </c>
      <c r="D727" s="110">
        <v>72.099999999999994</v>
      </c>
      <c r="E727" s="110">
        <v>74.8</v>
      </c>
      <c r="F727" s="110">
        <v>362.8</v>
      </c>
      <c r="G727">
        <v>115640</v>
      </c>
      <c r="H727" s="110"/>
      <c r="I727" s="110"/>
      <c r="L727" s="133">
        <v>43070</v>
      </c>
      <c r="M727" s="110">
        <v>72.540000000000006</v>
      </c>
      <c r="N727" s="110">
        <v>75.510000000000005</v>
      </c>
      <c r="O727" s="110">
        <v>72.03</v>
      </c>
      <c r="P727" s="110">
        <v>74.900000000000006</v>
      </c>
      <c r="Q727" s="110">
        <v>362.7</v>
      </c>
      <c r="R727">
        <v>1812106</v>
      </c>
    </row>
    <row r="728" spans="1:18" x14ac:dyDescent="0.25">
      <c r="A728" s="133">
        <v>43073</v>
      </c>
      <c r="B728" s="110">
        <v>73.849999999999994</v>
      </c>
      <c r="C728" s="110">
        <v>73.400000000000006</v>
      </c>
      <c r="D728" s="110">
        <v>72.099999999999994</v>
      </c>
      <c r="E728" s="110">
        <v>72.099999999999994</v>
      </c>
      <c r="F728" s="110">
        <v>367</v>
      </c>
      <c r="G728">
        <v>138326</v>
      </c>
      <c r="H728" s="110"/>
      <c r="I728" s="110"/>
      <c r="L728" s="133">
        <v>43073</v>
      </c>
      <c r="M728" s="110">
        <v>73.45</v>
      </c>
      <c r="N728" s="110">
        <v>73.91</v>
      </c>
      <c r="O728" s="110">
        <v>72.13</v>
      </c>
      <c r="P728" s="110">
        <v>73</v>
      </c>
      <c r="Q728" s="110">
        <v>367.25</v>
      </c>
      <c r="R728">
        <v>2047500</v>
      </c>
    </row>
    <row r="729" spans="1:18" x14ac:dyDescent="0.25">
      <c r="A729" s="133">
        <v>43074</v>
      </c>
      <c r="B729" s="110">
        <v>75</v>
      </c>
      <c r="C729" s="110">
        <v>74.66</v>
      </c>
      <c r="D729" s="110">
        <v>72.599999999999994</v>
      </c>
      <c r="E729" s="110">
        <v>73.400000000000006</v>
      </c>
      <c r="F729" s="110">
        <v>373.3</v>
      </c>
      <c r="G729">
        <v>113980</v>
      </c>
      <c r="H729" s="110"/>
      <c r="I729" s="110"/>
      <c r="L729" s="133">
        <v>43074</v>
      </c>
      <c r="M729" s="110">
        <v>74.77</v>
      </c>
      <c r="N729" s="110">
        <v>75.17</v>
      </c>
      <c r="O729" s="110">
        <v>72.599999999999994</v>
      </c>
      <c r="P729" s="110">
        <v>73.45</v>
      </c>
      <c r="Q729" s="110">
        <v>373.85</v>
      </c>
      <c r="R729">
        <v>2561139</v>
      </c>
    </row>
    <row r="730" spans="1:18" x14ac:dyDescent="0.25">
      <c r="A730" s="133">
        <v>43075</v>
      </c>
      <c r="B730" s="110">
        <v>74.680000000000007</v>
      </c>
      <c r="C730" s="110">
        <v>72.599999999999994</v>
      </c>
      <c r="D730" s="110">
        <v>72.23</v>
      </c>
      <c r="E730" s="110">
        <v>74</v>
      </c>
      <c r="F730" s="110">
        <v>363</v>
      </c>
      <c r="G730">
        <v>151629</v>
      </c>
      <c r="H730" s="110"/>
      <c r="I730" s="110"/>
      <c r="L730" s="133">
        <v>43075</v>
      </c>
      <c r="M730" s="110">
        <v>72.81</v>
      </c>
      <c r="N730" s="110">
        <v>74.69</v>
      </c>
      <c r="O730" s="110">
        <v>72.37</v>
      </c>
      <c r="P730" s="110">
        <v>74.5</v>
      </c>
      <c r="Q730" s="110">
        <v>364.05</v>
      </c>
      <c r="R730">
        <v>1612738</v>
      </c>
    </row>
    <row r="731" spans="1:18" x14ac:dyDescent="0.25">
      <c r="A731" s="133">
        <v>43076</v>
      </c>
      <c r="B731" s="110">
        <v>73.599999999999994</v>
      </c>
      <c r="C731" s="110">
        <v>73.36</v>
      </c>
      <c r="D731" s="110">
        <v>72.349999999999994</v>
      </c>
      <c r="E731" s="110">
        <v>72.7</v>
      </c>
      <c r="F731" s="110">
        <v>366.8</v>
      </c>
      <c r="G731">
        <v>156258</v>
      </c>
      <c r="H731" s="110"/>
      <c r="I731" s="110"/>
      <c r="L731" s="133">
        <v>43076</v>
      </c>
      <c r="M731" s="110">
        <v>73.34</v>
      </c>
      <c r="N731" s="110">
        <v>73.59</v>
      </c>
      <c r="O731" s="110">
        <v>72.290000000000006</v>
      </c>
      <c r="P731" s="110">
        <v>72.599999999999994</v>
      </c>
      <c r="Q731" s="110">
        <v>366.7</v>
      </c>
      <c r="R731">
        <v>1631745</v>
      </c>
    </row>
    <row r="732" spans="1:18" x14ac:dyDescent="0.25">
      <c r="A732" s="133">
        <v>43077</v>
      </c>
      <c r="B732" s="110">
        <v>73.87</v>
      </c>
      <c r="C732" s="110">
        <v>73.3</v>
      </c>
      <c r="D732" s="110">
        <v>72.98</v>
      </c>
      <c r="E732" s="110">
        <v>73.64</v>
      </c>
      <c r="F732" s="110">
        <v>366.5</v>
      </c>
      <c r="G732">
        <v>58335</v>
      </c>
      <c r="H732" s="110"/>
      <c r="I732" s="110"/>
      <c r="L732" s="133">
        <v>43077</v>
      </c>
      <c r="M732" s="110">
        <v>73.260000000000005</v>
      </c>
      <c r="N732" s="110">
        <v>73.95</v>
      </c>
      <c r="O732" s="110">
        <v>72.849999999999994</v>
      </c>
      <c r="P732" s="110">
        <v>73.58</v>
      </c>
      <c r="Q732" s="110">
        <v>366.3</v>
      </c>
      <c r="R732">
        <v>999688</v>
      </c>
    </row>
    <row r="733" spans="1:18" x14ac:dyDescent="0.25">
      <c r="A733" s="133">
        <v>43080</v>
      </c>
      <c r="B733" s="110">
        <v>74</v>
      </c>
      <c r="C733" s="110">
        <v>73.39</v>
      </c>
      <c r="D733" s="110">
        <v>72.900000000000006</v>
      </c>
      <c r="E733" s="110">
        <v>73</v>
      </c>
      <c r="F733" s="110">
        <v>366.95</v>
      </c>
      <c r="G733">
        <v>39826</v>
      </c>
      <c r="H733" s="110"/>
      <c r="I733" s="110"/>
      <c r="L733" s="133">
        <v>43080</v>
      </c>
      <c r="M733" s="110">
        <v>73.36</v>
      </c>
      <c r="N733" s="110">
        <v>74.09</v>
      </c>
      <c r="O733" s="110">
        <v>72.88</v>
      </c>
      <c r="P733" s="110">
        <v>73.8</v>
      </c>
      <c r="Q733" s="110">
        <v>366.8</v>
      </c>
      <c r="R733">
        <v>926732</v>
      </c>
    </row>
    <row r="734" spans="1:18" x14ac:dyDescent="0.25">
      <c r="A734" s="133">
        <v>43081</v>
      </c>
      <c r="B734" s="110">
        <v>74.14</v>
      </c>
      <c r="C734" s="110">
        <v>73.38</v>
      </c>
      <c r="D734" s="110">
        <v>72.599999999999994</v>
      </c>
      <c r="E734" s="110">
        <v>72.86</v>
      </c>
      <c r="F734" s="110">
        <v>366.9</v>
      </c>
      <c r="G734">
        <v>87615</v>
      </c>
      <c r="H734" s="110"/>
      <c r="I734" s="110"/>
      <c r="L734" s="133">
        <v>43081</v>
      </c>
      <c r="M734" s="110">
        <v>73.459999999999994</v>
      </c>
      <c r="N734" s="110">
        <v>74.39</v>
      </c>
      <c r="O734" s="110">
        <v>72.42</v>
      </c>
      <c r="P734" s="110">
        <v>73.260000000000005</v>
      </c>
      <c r="Q734" s="110">
        <v>367.3</v>
      </c>
      <c r="R734">
        <v>2119387</v>
      </c>
    </row>
    <row r="735" spans="1:18" x14ac:dyDescent="0.25">
      <c r="A735" s="133">
        <v>43082</v>
      </c>
      <c r="B735" s="110">
        <v>73.39</v>
      </c>
      <c r="C735" s="110">
        <v>70.98</v>
      </c>
      <c r="D735" s="110">
        <v>70.400000000000006</v>
      </c>
      <c r="E735" s="110">
        <v>73</v>
      </c>
      <c r="F735" s="110">
        <v>354.9</v>
      </c>
      <c r="G735">
        <v>168205</v>
      </c>
      <c r="H735" s="110"/>
      <c r="I735" s="110"/>
      <c r="L735" s="133">
        <v>43082</v>
      </c>
      <c r="M735" s="110">
        <v>70.97</v>
      </c>
      <c r="N735" s="110">
        <v>73.44</v>
      </c>
      <c r="O735" s="110">
        <v>70.260000000000005</v>
      </c>
      <c r="P735" s="110">
        <v>72.83</v>
      </c>
      <c r="Q735" s="110">
        <v>354.85</v>
      </c>
      <c r="R735">
        <v>2094652</v>
      </c>
    </row>
    <row r="736" spans="1:18" x14ac:dyDescent="0.25">
      <c r="A736" s="133">
        <v>43083</v>
      </c>
      <c r="B736" s="110">
        <v>72.099999999999994</v>
      </c>
      <c r="C736" s="110">
        <v>71.430000000000007</v>
      </c>
      <c r="D736" s="110">
        <v>70.599999999999994</v>
      </c>
      <c r="E736" s="110">
        <v>70.62</v>
      </c>
      <c r="F736" s="110">
        <v>357.15</v>
      </c>
      <c r="G736">
        <v>99802</v>
      </c>
      <c r="H736" s="110"/>
      <c r="I736" s="110"/>
      <c r="L736" s="133">
        <v>43083</v>
      </c>
      <c r="M736" s="110">
        <v>71.44</v>
      </c>
      <c r="N736" s="110">
        <v>72.12</v>
      </c>
      <c r="O736" s="110">
        <v>70.55</v>
      </c>
      <c r="P736" s="110">
        <v>71</v>
      </c>
      <c r="Q736" s="110">
        <v>357.2</v>
      </c>
      <c r="R736">
        <v>2564953</v>
      </c>
    </row>
    <row r="737" spans="1:18" x14ac:dyDescent="0.25">
      <c r="A737" s="133">
        <v>43084</v>
      </c>
      <c r="B737" s="110">
        <v>72.8</v>
      </c>
      <c r="C737" s="110">
        <v>71.14</v>
      </c>
      <c r="D737" s="110">
        <v>70.930000000000007</v>
      </c>
      <c r="E737" s="110">
        <v>72.8</v>
      </c>
      <c r="F737" s="110">
        <v>355.7</v>
      </c>
      <c r="G737">
        <v>111272</v>
      </c>
      <c r="H737" s="110"/>
      <c r="I737" s="110"/>
      <c r="L737" s="133">
        <v>43084</v>
      </c>
      <c r="M737" s="110">
        <v>71.08</v>
      </c>
      <c r="N737" s="110">
        <v>72.75</v>
      </c>
      <c r="O737" s="110">
        <v>70.81</v>
      </c>
      <c r="P737" s="110">
        <v>72.3</v>
      </c>
      <c r="Q737" s="110">
        <v>355.4</v>
      </c>
      <c r="R737">
        <v>1886415</v>
      </c>
    </row>
    <row r="738" spans="1:18" x14ac:dyDescent="0.25">
      <c r="A738" s="133">
        <v>43087</v>
      </c>
      <c r="B738" s="110">
        <v>73.599999999999994</v>
      </c>
      <c r="C738" s="110">
        <v>73.02</v>
      </c>
      <c r="D738" s="110">
        <v>68.12</v>
      </c>
      <c r="E738" s="110">
        <v>71.75</v>
      </c>
      <c r="F738" s="110">
        <v>365.1</v>
      </c>
      <c r="G738">
        <v>217452</v>
      </c>
      <c r="H738" s="110"/>
      <c r="I738" s="110"/>
      <c r="L738" s="133">
        <v>43087</v>
      </c>
      <c r="M738" s="110">
        <v>73.05</v>
      </c>
      <c r="N738" s="110">
        <v>73.72</v>
      </c>
      <c r="O738" s="110">
        <v>68.2</v>
      </c>
      <c r="P738" s="110">
        <v>70.959999999999994</v>
      </c>
      <c r="Q738" s="110">
        <v>365.25</v>
      </c>
      <c r="R738">
        <v>3423834</v>
      </c>
    </row>
    <row r="739" spans="1:18" x14ac:dyDescent="0.25">
      <c r="A739" s="133">
        <v>43088</v>
      </c>
      <c r="B739" s="110">
        <v>74.38</v>
      </c>
      <c r="C739" s="110">
        <v>74.150000000000006</v>
      </c>
      <c r="D739" s="110">
        <v>72.900000000000006</v>
      </c>
      <c r="E739" s="110">
        <v>73.430000000000007</v>
      </c>
      <c r="F739" s="110">
        <v>370.75</v>
      </c>
      <c r="G739">
        <v>138080</v>
      </c>
      <c r="H739" s="110"/>
      <c r="I739" s="110"/>
      <c r="L739" s="133">
        <v>43088</v>
      </c>
      <c r="M739" s="110">
        <v>74.25</v>
      </c>
      <c r="N739" s="110">
        <v>74.510000000000005</v>
      </c>
      <c r="O739" s="110">
        <v>72.94</v>
      </c>
      <c r="P739" s="110">
        <v>73.38</v>
      </c>
      <c r="Q739" s="110">
        <v>371.25</v>
      </c>
      <c r="R739">
        <v>3047446</v>
      </c>
    </row>
    <row r="740" spans="1:18" x14ac:dyDescent="0.25">
      <c r="A740" s="133">
        <v>43089</v>
      </c>
      <c r="B740" s="110">
        <v>74</v>
      </c>
      <c r="C740" s="110">
        <v>73.08</v>
      </c>
      <c r="D740" s="110">
        <v>72.75</v>
      </c>
      <c r="E740" s="110">
        <v>73.400000000000006</v>
      </c>
      <c r="F740" s="110">
        <v>365.4</v>
      </c>
      <c r="G740">
        <v>161511</v>
      </c>
      <c r="H740" s="110"/>
      <c r="I740" s="110"/>
      <c r="L740" s="133">
        <v>43089</v>
      </c>
      <c r="M740" s="110">
        <v>73.099999999999994</v>
      </c>
      <c r="N740" s="110">
        <v>74.39</v>
      </c>
      <c r="O740" s="110">
        <v>72.72</v>
      </c>
      <c r="P740" s="110">
        <v>74.39</v>
      </c>
      <c r="Q740" s="110">
        <v>365.5</v>
      </c>
      <c r="R740">
        <v>1304091</v>
      </c>
    </row>
    <row r="741" spans="1:18" x14ac:dyDescent="0.25">
      <c r="A741" s="133">
        <v>43090</v>
      </c>
      <c r="B741" s="110">
        <v>74.2</v>
      </c>
      <c r="C741" s="110">
        <v>73.67</v>
      </c>
      <c r="D741" s="110">
        <v>72.930000000000007</v>
      </c>
      <c r="E741" s="110">
        <v>74</v>
      </c>
      <c r="F741" s="110">
        <v>368.35</v>
      </c>
      <c r="G741">
        <v>133197</v>
      </c>
      <c r="H741" s="110"/>
      <c r="I741" s="110"/>
      <c r="L741" s="133">
        <v>43090</v>
      </c>
      <c r="M741" s="110">
        <v>73.66</v>
      </c>
      <c r="N741" s="110">
        <v>74.25</v>
      </c>
      <c r="O741" s="110">
        <v>72.900000000000006</v>
      </c>
      <c r="P741" s="110">
        <v>73</v>
      </c>
      <c r="Q741" s="110">
        <v>368.3</v>
      </c>
      <c r="R741">
        <v>1097922</v>
      </c>
    </row>
    <row r="742" spans="1:18" x14ac:dyDescent="0.25">
      <c r="A742" s="133">
        <v>43091</v>
      </c>
      <c r="B742" s="110">
        <v>75.45</v>
      </c>
      <c r="C742" s="110">
        <v>73.989999999999995</v>
      </c>
      <c r="D742" s="110">
        <v>73.55</v>
      </c>
      <c r="E742" s="110">
        <v>74.099999999999994</v>
      </c>
      <c r="F742" s="110">
        <v>369.95</v>
      </c>
      <c r="G742">
        <v>262385</v>
      </c>
      <c r="H742" s="110"/>
      <c r="I742" s="110"/>
      <c r="L742" s="133">
        <v>43091</v>
      </c>
      <c r="M742" s="110">
        <v>74.05</v>
      </c>
      <c r="N742" s="110">
        <v>75.489999999999995</v>
      </c>
      <c r="O742" s="110">
        <v>73.56</v>
      </c>
      <c r="P742" s="110">
        <v>73.930000000000007</v>
      </c>
      <c r="Q742" s="110">
        <v>370.25</v>
      </c>
      <c r="R742">
        <v>3582236</v>
      </c>
    </row>
    <row r="743" spans="1:18" x14ac:dyDescent="0.25">
      <c r="A743" s="133">
        <v>43095</v>
      </c>
      <c r="B743" s="110">
        <v>75.069999999999993</v>
      </c>
      <c r="C743" s="110">
        <v>74.92</v>
      </c>
      <c r="D743" s="110">
        <v>73.400000000000006</v>
      </c>
      <c r="E743" s="110">
        <v>74</v>
      </c>
      <c r="F743" s="110">
        <v>374.6</v>
      </c>
      <c r="G743">
        <v>98800</v>
      </c>
      <c r="H743" s="110"/>
      <c r="I743" s="110"/>
      <c r="L743" s="133">
        <v>43095</v>
      </c>
      <c r="M743" s="110">
        <v>75.040000000000006</v>
      </c>
      <c r="N743" s="110">
        <v>75.239999999999995</v>
      </c>
      <c r="O743" s="110">
        <v>73.33</v>
      </c>
      <c r="P743" s="110">
        <v>74.040000000000006</v>
      </c>
      <c r="Q743" s="110">
        <v>375.2</v>
      </c>
      <c r="R743">
        <v>2200597</v>
      </c>
    </row>
    <row r="744" spans="1:18" x14ac:dyDescent="0.25">
      <c r="A744" s="133">
        <v>43096</v>
      </c>
      <c r="B744" s="110">
        <v>76.8</v>
      </c>
      <c r="C744" s="110">
        <v>73.63</v>
      </c>
      <c r="D744" s="110">
        <v>73.319999999999993</v>
      </c>
      <c r="E744" s="110">
        <v>75.98</v>
      </c>
      <c r="F744" s="110">
        <v>368.15</v>
      </c>
      <c r="G744">
        <v>181922</v>
      </c>
      <c r="H744" s="110"/>
      <c r="I744" s="110"/>
      <c r="L744" s="133">
        <v>43096</v>
      </c>
      <c r="M744" s="110">
        <v>73.64</v>
      </c>
      <c r="N744" s="110">
        <v>75.94</v>
      </c>
      <c r="O744" s="110">
        <v>73.36</v>
      </c>
      <c r="P744" s="110">
        <v>75.2</v>
      </c>
      <c r="Q744" s="110">
        <v>368.2</v>
      </c>
      <c r="R744">
        <v>2955669</v>
      </c>
    </row>
    <row r="745" spans="1:18" x14ac:dyDescent="0.25">
      <c r="A745" s="133">
        <v>43097</v>
      </c>
      <c r="B745" s="110">
        <v>74.040000000000006</v>
      </c>
      <c r="C745" s="110">
        <v>72.19</v>
      </c>
      <c r="D745" s="110">
        <v>71.63</v>
      </c>
      <c r="E745" s="110">
        <v>73.08</v>
      </c>
      <c r="F745" s="110">
        <v>360.95</v>
      </c>
      <c r="G745">
        <v>118054</v>
      </c>
      <c r="H745" s="110"/>
      <c r="I745" s="110"/>
      <c r="L745" s="133">
        <v>43097</v>
      </c>
      <c r="M745" s="110">
        <v>72.14</v>
      </c>
      <c r="N745" s="110">
        <v>74.069999999999993</v>
      </c>
      <c r="O745" s="110">
        <v>71.72</v>
      </c>
      <c r="P745" s="110">
        <v>73.5</v>
      </c>
      <c r="Q745" s="110">
        <v>360.7</v>
      </c>
      <c r="R745">
        <v>2182419</v>
      </c>
    </row>
    <row r="746" spans="1:18" x14ac:dyDescent="0.25">
      <c r="A746" s="133">
        <v>43098</v>
      </c>
      <c r="B746" s="110">
        <v>73.099999999999994</v>
      </c>
      <c r="C746" s="110">
        <v>72.180000000000007</v>
      </c>
      <c r="D746" s="110">
        <v>71.98</v>
      </c>
      <c r="E746" s="110">
        <v>72.47</v>
      </c>
      <c r="F746" s="110">
        <v>360.9</v>
      </c>
      <c r="G746">
        <v>79212</v>
      </c>
      <c r="H746" s="110"/>
      <c r="I746" s="110"/>
      <c r="L746" s="133">
        <v>43098</v>
      </c>
      <c r="M746" s="110">
        <v>72.08</v>
      </c>
      <c r="N746" s="110">
        <v>73.14</v>
      </c>
      <c r="O746" s="110">
        <v>71.900000000000006</v>
      </c>
      <c r="P746" s="110">
        <v>72.38</v>
      </c>
      <c r="Q746" s="110">
        <v>360.4</v>
      </c>
      <c r="R746">
        <v>1213218</v>
      </c>
    </row>
    <row r="747" spans="1:18" x14ac:dyDescent="0.25">
      <c r="A747" s="133">
        <v>43101</v>
      </c>
      <c r="B747" s="110">
        <v>73.209999999999994</v>
      </c>
      <c r="C747" s="110">
        <v>72.3</v>
      </c>
      <c r="D747" s="110">
        <v>71.97</v>
      </c>
      <c r="E747" s="110">
        <v>72.459999999999994</v>
      </c>
      <c r="F747" s="110">
        <v>361.5</v>
      </c>
      <c r="G747">
        <v>60768</v>
      </c>
      <c r="H747" s="110"/>
      <c r="I747" s="110"/>
      <c r="L747" s="133">
        <v>43101</v>
      </c>
      <c r="M747" s="110">
        <v>72.14</v>
      </c>
      <c r="N747" s="110">
        <v>73.2</v>
      </c>
      <c r="O747" s="110">
        <v>71.81</v>
      </c>
      <c r="P747" s="110">
        <v>72.34</v>
      </c>
      <c r="Q747" s="110">
        <v>360.7</v>
      </c>
      <c r="R747">
        <v>876655</v>
      </c>
    </row>
    <row r="748" spans="1:18" x14ac:dyDescent="0.25">
      <c r="A748" s="133">
        <v>43102</v>
      </c>
      <c r="B748" s="110">
        <v>72.7</v>
      </c>
      <c r="C748" s="110">
        <v>70.430000000000007</v>
      </c>
      <c r="D748" s="110">
        <v>70</v>
      </c>
      <c r="E748" s="110">
        <v>71.599999999999994</v>
      </c>
      <c r="F748" s="110">
        <v>352.15</v>
      </c>
      <c r="G748">
        <v>112492</v>
      </c>
      <c r="H748" s="110"/>
      <c r="I748" s="110"/>
      <c r="L748" s="133">
        <v>43102</v>
      </c>
      <c r="M748" s="110">
        <v>70.41</v>
      </c>
      <c r="N748" s="110">
        <v>72.73</v>
      </c>
      <c r="O748" s="110">
        <v>69.900000000000006</v>
      </c>
      <c r="P748" s="110">
        <v>72.44</v>
      </c>
      <c r="Q748" s="110">
        <v>352.05</v>
      </c>
      <c r="R748">
        <v>1444548</v>
      </c>
    </row>
    <row r="749" spans="1:18" x14ac:dyDescent="0.25">
      <c r="A749" s="133">
        <v>43103</v>
      </c>
      <c r="B749" s="110">
        <v>71.28</v>
      </c>
      <c r="C749" s="110">
        <v>70.63</v>
      </c>
      <c r="D749" s="110">
        <v>70.2</v>
      </c>
      <c r="E749" s="110">
        <v>70.599999999999994</v>
      </c>
      <c r="F749" s="110">
        <v>353.15</v>
      </c>
      <c r="G749">
        <v>67859</v>
      </c>
      <c r="H749" s="110"/>
      <c r="I749" s="110"/>
      <c r="L749" s="133">
        <v>43103</v>
      </c>
      <c r="M749" s="110">
        <v>70.56</v>
      </c>
      <c r="N749" s="110">
        <v>71.27</v>
      </c>
      <c r="O749" s="110">
        <v>70.23</v>
      </c>
      <c r="P749" s="110">
        <v>70.42</v>
      </c>
      <c r="Q749" s="110">
        <v>352.8</v>
      </c>
      <c r="R749">
        <v>1386224</v>
      </c>
    </row>
    <row r="750" spans="1:18" x14ac:dyDescent="0.25">
      <c r="A750" s="133">
        <v>43104</v>
      </c>
      <c r="B750" s="110">
        <v>73.02</v>
      </c>
      <c r="C750" s="110">
        <v>72.53</v>
      </c>
      <c r="D750" s="110">
        <v>70.52</v>
      </c>
      <c r="E750" s="110">
        <v>70.72</v>
      </c>
      <c r="F750" s="110">
        <v>362.65</v>
      </c>
      <c r="G750">
        <v>215645</v>
      </c>
      <c r="H750" s="110"/>
      <c r="I750" s="110"/>
      <c r="L750" s="133">
        <v>43104</v>
      </c>
      <c r="M750" s="110">
        <v>72.510000000000005</v>
      </c>
      <c r="N750" s="110">
        <v>73.12</v>
      </c>
      <c r="O750" s="110">
        <v>70.400000000000006</v>
      </c>
      <c r="P750" s="110">
        <v>70.98</v>
      </c>
      <c r="Q750" s="110">
        <v>362.55</v>
      </c>
      <c r="R750">
        <v>2758616</v>
      </c>
    </row>
    <row r="751" spans="1:18" x14ac:dyDescent="0.25">
      <c r="A751" s="133">
        <v>43105</v>
      </c>
      <c r="B751" s="110">
        <v>74</v>
      </c>
      <c r="C751" s="110">
        <v>72.81</v>
      </c>
      <c r="D751" s="110">
        <v>71.83</v>
      </c>
      <c r="E751" s="110">
        <v>73.8</v>
      </c>
      <c r="F751" s="110">
        <v>364.05</v>
      </c>
      <c r="G751">
        <v>154285</v>
      </c>
      <c r="H751" s="110"/>
      <c r="I751" s="110"/>
      <c r="L751" s="133">
        <v>43105</v>
      </c>
      <c r="M751" s="110">
        <v>72.97</v>
      </c>
      <c r="N751" s="110">
        <v>73.48</v>
      </c>
      <c r="O751" s="110">
        <v>71.849999999999994</v>
      </c>
      <c r="P751" s="110">
        <v>73.16</v>
      </c>
      <c r="Q751" s="110">
        <v>364.85</v>
      </c>
      <c r="R751">
        <v>1993083</v>
      </c>
    </row>
    <row r="752" spans="1:18" x14ac:dyDescent="0.25">
      <c r="A752" s="133">
        <v>43108</v>
      </c>
      <c r="B752" s="110">
        <v>73.8</v>
      </c>
      <c r="C752" s="110">
        <v>72.88</v>
      </c>
      <c r="D752" s="110">
        <v>72.010000000000005</v>
      </c>
      <c r="E752" s="110">
        <v>72.010000000000005</v>
      </c>
      <c r="F752" s="110">
        <v>364.4</v>
      </c>
      <c r="G752">
        <v>79509</v>
      </c>
      <c r="H752" s="110"/>
      <c r="I752" s="110"/>
      <c r="L752" s="133">
        <v>43108</v>
      </c>
      <c r="M752" s="110">
        <v>72.95</v>
      </c>
      <c r="N752" s="110">
        <v>73.89</v>
      </c>
      <c r="O752" s="110">
        <v>72.62</v>
      </c>
      <c r="P752" s="110">
        <v>73</v>
      </c>
      <c r="Q752" s="110">
        <v>364.75</v>
      </c>
      <c r="R752">
        <v>1215250</v>
      </c>
    </row>
    <row r="753" spans="1:18" x14ac:dyDescent="0.25">
      <c r="A753" s="133">
        <v>43109</v>
      </c>
      <c r="B753" s="110">
        <v>73.760000000000005</v>
      </c>
      <c r="C753" s="110">
        <v>72.72</v>
      </c>
      <c r="D753" s="110">
        <v>72.25</v>
      </c>
      <c r="E753" s="110">
        <v>72.81</v>
      </c>
      <c r="F753" s="110">
        <v>363.6</v>
      </c>
      <c r="G753">
        <v>94111</v>
      </c>
      <c r="H753" s="110"/>
      <c r="I753" s="110"/>
      <c r="L753" s="133">
        <v>43109</v>
      </c>
      <c r="M753" s="110">
        <v>72.94</v>
      </c>
      <c r="N753" s="110">
        <v>73.73</v>
      </c>
      <c r="O753" s="110">
        <v>72.209999999999994</v>
      </c>
      <c r="P753" s="110">
        <v>73.02</v>
      </c>
      <c r="Q753" s="110">
        <v>364.7</v>
      </c>
      <c r="R753">
        <v>1901894</v>
      </c>
    </row>
    <row r="754" spans="1:18" x14ac:dyDescent="0.25">
      <c r="A754" s="133">
        <v>43110</v>
      </c>
      <c r="B754" s="110">
        <v>73.08</v>
      </c>
      <c r="C754" s="110">
        <v>70.989999999999995</v>
      </c>
      <c r="D754" s="110">
        <v>70.62</v>
      </c>
      <c r="E754" s="110">
        <v>72.12</v>
      </c>
      <c r="F754" s="110">
        <v>354.95</v>
      </c>
      <c r="G754">
        <v>142951</v>
      </c>
      <c r="H754" s="110"/>
      <c r="I754" s="110"/>
      <c r="L754" s="133">
        <v>43110</v>
      </c>
      <c r="M754" s="110">
        <v>70.930000000000007</v>
      </c>
      <c r="N754" s="110">
        <v>73.069999999999993</v>
      </c>
      <c r="O754" s="110">
        <v>70.59</v>
      </c>
      <c r="P754" s="110">
        <v>72.8</v>
      </c>
      <c r="Q754" s="110">
        <v>354.65</v>
      </c>
      <c r="R754">
        <v>1917110</v>
      </c>
    </row>
    <row r="755" spans="1:18" x14ac:dyDescent="0.25">
      <c r="A755" s="133">
        <v>43111</v>
      </c>
      <c r="B755" s="110">
        <v>71.69</v>
      </c>
      <c r="C755" s="110">
        <v>71.150000000000006</v>
      </c>
      <c r="D755" s="110">
        <v>70.63</v>
      </c>
      <c r="E755" s="110">
        <v>71.599999999999994</v>
      </c>
      <c r="F755" s="110">
        <v>355.75</v>
      </c>
      <c r="G755">
        <v>94650</v>
      </c>
      <c r="H755" s="110"/>
      <c r="I755" s="110"/>
      <c r="L755" s="133">
        <v>43111</v>
      </c>
      <c r="M755" s="110">
        <v>71.099999999999994</v>
      </c>
      <c r="N755" s="110">
        <v>71.66</v>
      </c>
      <c r="O755" s="110">
        <v>70.61</v>
      </c>
      <c r="P755" s="110">
        <v>70.92</v>
      </c>
      <c r="Q755" s="110">
        <v>355.5</v>
      </c>
      <c r="R755">
        <v>1152985</v>
      </c>
    </row>
    <row r="756" spans="1:18" x14ac:dyDescent="0.25">
      <c r="A756" s="133">
        <v>43112</v>
      </c>
      <c r="B756" s="110">
        <v>71.64</v>
      </c>
      <c r="C756" s="110">
        <v>70.8</v>
      </c>
      <c r="D756" s="110">
        <v>70.09</v>
      </c>
      <c r="E756" s="110">
        <v>71.2</v>
      </c>
      <c r="F756" s="110">
        <v>354</v>
      </c>
      <c r="G756">
        <v>178346</v>
      </c>
      <c r="H756" s="110"/>
      <c r="I756" s="110"/>
      <c r="L756" s="133">
        <v>43112</v>
      </c>
      <c r="M756" s="110">
        <v>70.790000000000006</v>
      </c>
      <c r="N756" s="110">
        <v>71.75</v>
      </c>
      <c r="O756" s="110">
        <v>70.069999999999993</v>
      </c>
      <c r="P756" s="110">
        <v>71.27</v>
      </c>
      <c r="Q756" s="110">
        <v>353.95</v>
      </c>
      <c r="R756">
        <v>1393553</v>
      </c>
    </row>
    <row r="757" spans="1:18" x14ac:dyDescent="0.25">
      <c r="A757" s="133">
        <v>43115</v>
      </c>
      <c r="B757" s="110">
        <v>71.64</v>
      </c>
      <c r="C757" s="110">
        <v>70.989999999999995</v>
      </c>
      <c r="D757" s="110">
        <v>70.400000000000006</v>
      </c>
      <c r="E757" s="110">
        <v>70.599999999999994</v>
      </c>
      <c r="F757" s="110">
        <v>354.95</v>
      </c>
      <c r="G757">
        <v>102653</v>
      </c>
      <c r="H757" s="110"/>
      <c r="I757" s="110"/>
      <c r="L757" s="133">
        <v>43115</v>
      </c>
      <c r="M757" s="110">
        <v>70.87</v>
      </c>
      <c r="N757" s="110">
        <v>71.739999999999995</v>
      </c>
      <c r="O757" s="110">
        <v>70.5</v>
      </c>
      <c r="P757" s="110">
        <v>70.8</v>
      </c>
      <c r="Q757" s="110">
        <v>354.35</v>
      </c>
      <c r="R757">
        <v>1562701</v>
      </c>
    </row>
    <row r="758" spans="1:18" x14ac:dyDescent="0.25">
      <c r="A758" s="133">
        <v>43116</v>
      </c>
      <c r="B758" s="110">
        <v>71.06</v>
      </c>
      <c r="C758" s="110">
        <v>67.87</v>
      </c>
      <c r="D758" s="110">
        <v>67.650000000000006</v>
      </c>
      <c r="E758" s="110">
        <v>70.400000000000006</v>
      </c>
      <c r="F758" s="110">
        <v>339.35</v>
      </c>
      <c r="G758">
        <v>188605</v>
      </c>
      <c r="H758" s="110"/>
      <c r="I758" s="110"/>
      <c r="L758" s="133">
        <v>43116</v>
      </c>
      <c r="M758" s="110">
        <v>67.900000000000006</v>
      </c>
      <c r="N758" s="110">
        <v>71.260000000000005</v>
      </c>
      <c r="O758" s="110">
        <v>67.63</v>
      </c>
      <c r="P758" s="110">
        <v>71</v>
      </c>
      <c r="Q758" s="110">
        <v>339.5</v>
      </c>
      <c r="R758">
        <v>1900129</v>
      </c>
    </row>
    <row r="759" spans="1:18" x14ac:dyDescent="0.25">
      <c r="A759" s="133">
        <v>43117</v>
      </c>
      <c r="B759" s="110">
        <v>71.2</v>
      </c>
      <c r="C759" s="110">
        <v>70.83</v>
      </c>
      <c r="D759" s="110">
        <v>67.040000000000006</v>
      </c>
      <c r="E759" s="110">
        <v>68.599999999999994</v>
      </c>
      <c r="F759" s="110">
        <v>354.15</v>
      </c>
      <c r="G759">
        <v>308683</v>
      </c>
      <c r="H759" s="110"/>
      <c r="I759" s="110"/>
      <c r="L759" s="133">
        <v>43117</v>
      </c>
      <c r="M759" s="110">
        <v>70.95</v>
      </c>
      <c r="N759" s="110">
        <v>71.599999999999994</v>
      </c>
      <c r="O759" s="110">
        <v>67</v>
      </c>
      <c r="P759" s="110">
        <v>67.709999999999994</v>
      </c>
      <c r="Q759" s="110">
        <v>354.75</v>
      </c>
      <c r="R759">
        <v>3628272</v>
      </c>
    </row>
    <row r="760" spans="1:18" x14ac:dyDescent="0.25">
      <c r="A760" s="133">
        <v>43118</v>
      </c>
      <c r="B760" s="110">
        <v>73</v>
      </c>
      <c r="C760" s="110">
        <v>69.69</v>
      </c>
      <c r="D760" s="110">
        <v>67.75</v>
      </c>
      <c r="E760" s="110">
        <v>73</v>
      </c>
      <c r="F760" s="110">
        <v>348.45</v>
      </c>
      <c r="G760">
        <v>265000</v>
      </c>
      <c r="H760" s="110"/>
      <c r="I760" s="110"/>
      <c r="L760" s="133">
        <v>43118</v>
      </c>
      <c r="M760" s="110">
        <v>69.86</v>
      </c>
      <c r="N760" s="110">
        <v>72.44</v>
      </c>
      <c r="O760" s="110">
        <v>67.739999999999995</v>
      </c>
      <c r="P760" s="110">
        <v>72.39</v>
      </c>
      <c r="Q760" s="110">
        <v>349.3</v>
      </c>
      <c r="R760">
        <v>3573883</v>
      </c>
    </row>
    <row r="761" spans="1:18" x14ac:dyDescent="0.25">
      <c r="A761" s="133">
        <v>43119</v>
      </c>
      <c r="B761" s="110">
        <v>72.8</v>
      </c>
      <c r="C761" s="110">
        <v>72.349999999999994</v>
      </c>
      <c r="D761" s="110">
        <v>69.39</v>
      </c>
      <c r="E761" s="110">
        <v>70</v>
      </c>
      <c r="F761" s="110">
        <v>361.75</v>
      </c>
      <c r="G761">
        <v>240508</v>
      </c>
      <c r="H761" s="110"/>
      <c r="I761" s="110"/>
      <c r="L761" s="133">
        <v>43119</v>
      </c>
      <c r="M761" s="110">
        <v>72.540000000000006</v>
      </c>
      <c r="N761" s="110">
        <v>73.23</v>
      </c>
      <c r="O761" s="110">
        <v>69.36</v>
      </c>
      <c r="P761" s="110">
        <v>69.900000000000006</v>
      </c>
      <c r="Q761" s="110">
        <v>362.7</v>
      </c>
      <c r="R761">
        <v>3213833</v>
      </c>
    </row>
    <row r="762" spans="1:18" x14ac:dyDescent="0.25">
      <c r="A762" s="133">
        <v>43122</v>
      </c>
      <c r="B762" s="110">
        <v>73.12</v>
      </c>
      <c r="C762" s="110">
        <v>72.61</v>
      </c>
      <c r="D762" s="110">
        <v>71.2</v>
      </c>
      <c r="E762" s="110">
        <v>71.34</v>
      </c>
      <c r="F762" s="110">
        <v>363.05</v>
      </c>
      <c r="G762">
        <v>160488</v>
      </c>
      <c r="H762" s="110"/>
      <c r="I762" s="110"/>
      <c r="L762" s="133">
        <v>43122</v>
      </c>
      <c r="M762" s="110">
        <v>72.59</v>
      </c>
      <c r="N762" s="110">
        <v>73.2</v>
      </c>
      <c r="O762" s="110">
        <v>71.16</v>
      </c>
      <c r="P762" s="110">
        <v>72</v>
      </c>
      <c r="Q762" s="110">
        <v>362.95</v>
      </c>
      <c r="R762">
        <v>1798119</v>
      </c>
    </row>
    <row r="763" spans="1:18" x14ac:dyDescent="0.25">
      <c r="A763" s="133">
        <v>43123</v>
      </c>
      <c r="B763" s="110">
        <v>75.69</v>
      </c>
      <c r="C763" s="110">
        <v>74.91</v>
      </c>
      <c r="D763" s="110">
        <v>71.8</v>
      </c>
      <c r="E763" s="110">
        <v>71.8</v>
      </c>
      <c r="F763" s="110">
        <v>374.55</v>
      </c>
      <c r="G763">
        <v>374606</v>
      </c>
      <c r="H763" s="110"/>
      <c r="I763" s="110"/>
      <c r="L763" s="133">
        <v>43123</v>
      </c>
      <c r="M763" s="110">
        <v>74.900000000000006</v>
      </c>
      <c r="N763" s="110">
        <v>75.739999999999995</v>
      </c>
      <c r="O763" s="110">
        <v>71.92</v>
      </c>
      <c r="P763" s="110">
        <v>73</v>
      </c>
      <c r="Q763" s="110">
        <v>374.5</v>
      </c>
      <c r="R763">
        <v>4198832</v>
      </c>
    </row>
    <row r="764" spans="1:18" x14ac:dyDescent="0.25">
      <c r="A764" s="133">
        <v>43124</v>
      </c>
      <c r="B764" s="110">
        <v>76.47</v>
      </c>
      <c r="C764" s="110">
        <v>75.92</v>
      </c>
      <c r="D764" s="110">
        <v>73.650000000000006</v>
      </c>
      <c r="E764" s="110">
        <v>74.91</v>
      </c>
      <c r="F764" s="110">
        <v>379.6</v>
      </c>
      <c r="G764">
        <v>416540</v>
      </c>
      <c r="H764" s="110"/>
      <c r="I764" s="110"/>
      <c r="L764" s="133">
        <v>43124</v>
      </c>
      <c r="M764" s="110">
        <v>75.849999999999994</v>
      </c>
      <c r="N764" s="110">
        <v>76.41</v>
      </c>
      <c r="O764" s="110">
        <v>73.61</v>
      </c>
      <c r="P764" s="110">
        <v>74.760000000000005</v>
      </c>
      <c r="Q764" s="110">
        <v>379.25</v>
      </c>
      <c r="R764">
        <v>5130284</v>
      </c>
    </row>
    <row r="765" spans="1:18" x14ac:dyDescent="0.25">
      <c r="A765" s="133">
        <v>43125</v>
      </c>
      <c r="B765" s="110">
        <v>76.989999999999995</v>
      </c>
      <c r="C765" s="110">
        <v>72.28</v>
      </c>
      <c r="D765" s="110">
        <v>71.63</v>
      </c>
      <c r="E765" s="110">
        <v>76.599999999999994</v>
      </c>
      <c r="F765" s="110">
        <v>361.4</v>
      </c>
      <c r="G765">
        <v>419772</v>
      </c>
      <c r="H765" s="110"/>
      <c r="I765" s="110"/>
      <c r="L765" s="133">
        <v>43125</v>
      </c>
      <c r="M765" s="110">
        <v>72.27</v>
      </c>
      <c r="N765" s="110">
        <v>76.98</v>
      </c>
      <c r="O765" s="110">
        <v>71.66</v>
      </c>
      <c r="P765" s="110">
        <v>76.94</v>
      </c>
      <c r="Q765" s="110">
        <v>361.35</v>
      </c>
      <c r="R765">
        <v>5974678</v>
      </c>
    </row>
    <row r="766" spans="1:18" x14ac:dyDescent="0.25">
      <c r="A766" s="133">
        <v>43129</v>
      </c>
      <c r="B766" s="110">
        <v>72.900000000000006</v>
      </c>
      <c r="C766" s="110">
        <v>68.819999999999993</v>
      </c>
      <c r="D766" s="110">
        <v>68.209999999999994</v>
      </c>
      <c r="E766" s="110">
        <v>72.900000000000006</v>
      </c>
      <c r="F766" s="110">
        <v>344.1</v>
      </c>
      <c r="G766">
        <v>288461</v>
      </c>
      <c r="H766" s="110"/>
      <c r="I766" s="110"/>
      <c r="L766" s="133">
        <v>43129</v>
      </c>
      <c r="M766" s="110">
        <v>69.11</v>
      </c>
      <c r="N766" s="110">
        <v>72.709999999999994</v>
      </c>
      <c r="O766" s="110">
        <v>68.38</v>
      </c>
      <c r="P766" s="110">
        <v>71.88</v>
      </c>
      <c r="Q766" s="110">
        <v>345.55</v>
      </c>
      <c r="R766">
        <v>3948000</v>
      </c>
    </row>
    <row r="767" spans="1:18" x14ac:dyDescent="0.25">
      <c r="A767" s="133">
        <v>43130</v>
      </c>
      <c r="B767" s="110">
        <v>70.67</v>
      </c>
      <c r="C767" s="110">
        <v>69.69</v>
      </c>
      <c r="D767" s="110">
        <v>68.040000000000006</v>
      </c>
      <c r="E767" s="110">
        <v>68.040000000000006</v>
      </c>
      <c r="F767" s="110">
        <v>348.45</v>
      </c>
      <c r="G767">
        <v>191045</v>
      </c>
      <c r="H767" s="110"/>
      <c r="I767" s="110"/>
      <c r="L767" s="133">
        <v>43130</v>
      </c>
      <c r="M767" s="110">
        <v>69.88</v>
      </c>
      <c r="N767" s="110">
        <v>70.790000000000006</v>
      </c>
      <c r="O767" s="110">
        <v>68</v>
      </c>
      <c r="P767" s="110">
        <v>69</v>
      </c>
      <c r="Q767" s="110">
        <v>349.4</v>
      </c>
      <c r="R767">
        <v>3491571</v>
      </c>
    </row>
    <row r="768" spans="1:18" x14ac:dyDescent="0.25">
      <c r="A768" s="133">
        <v>43131</v>
      </c>
      <c r="B768" s="110">
        <v>70.37</v>
      </c>
      <c r="C768" s="110">
        <v>68.25</v>
      </c>
      <c r="D768" s="110">
        <v>67.78</v>
      </c>
      <c r="E768" s="110">
        <v>69.7</v>
      </c>
      <c r="F768" s="110">
        <v>341.25</v>
      </c>
      <c r="G768">
        <v>222265</v>
      </c>
      <c r="H768" s="110"/>
      <c r="I768" s="110"/>
      <c r="L768" s="133">
        <v>43131</v>
      </c>
      <c r="M768" s="110">
        <v>68.27</v>
      </c>
      <c r="N768" s="110">
        <v>70.400000000000006</v>
      </c>
      <c r="O768" s="110">
        <v>67.77</v>
      </c>
      <c r="P768" s="110">
        <v>69.02</v>
      </c>
      <c r="Q768" s="110">
        <v>341.35</v>
      </c>
      <c r="R768">
        <v>2526706</v>
      </c>
    </row>
    <row r="769" spans="1:18" x14ac:dyDescent="0.25">
      <c r="A769" s="133">
        <v>43132</v>
      </c>
      <c r="B769" s="110">
        <v>72</v>
      </c>
      <c r="C769" s="110">
        <v>66.040000000000006</v>
      </c>
      <c r="D769" s="110">
        <v>65.87</v>
      </c>
      <c r="E769" s="110">
        <v>68.599999999999994</v>
      </c>
      <c r="F769" s="110">
        <v>330.2</v>
      </c>
      <c r="G769">
        <v>323084</v>
      </c>
      <c r="H769" s="110"/>
      <c r="I769" s="110"/>
      <c r="L769" s="133">
        <v>43132</v>
      </c>
      <c r="M769" s="110">
        <v>65.98</v>
      </c>
      <c r="N769" s="110">
        <v>68.8</v>
      </c>
      <c r="O769" s="110">
        <v>65.739999999999995</v>
      </c>
      <c r="P769" s="110">
        <v>68.400000000000006</v>
      </c>
      <c r="Q769" s="110">
        <v>329.9</v>
      </c>
      <c r="R769">
        <v>3211448</v>
      </c>
    </row>
    <row r="770" spans="1:18" x14ac:dyDescent="0.25">
      <c r="A770" s="133">
        <v>43133</v>
      </c>
      <c r="B770" s="110">
        <v>65.400000000000006</v>
      </c>
      <c r="C770" s="110">
        <v>62.24</v>
      </c>
      <c r="D770" s="110">
        <v>61.76</v>
      </c>
      <c r="E770" s="110">
        <v>65</v>
      </c>
      <c r="F770" s="110">
        <v>311.2</v>
      </c>
      <c r="G770">
        <v>700045</v>
      </c>
      <c r="H770" s="110"/>
      <c r="I770" s="110"/>
      <c r="L770" s="133">
        <v>43133</v>
      </c>
      <c r="M770" s="110">
        <v>62.26</v>
      </c>
      <c r="N770" s="110">
        <v>65</v>
      </c>
      <c r="O770" s="110">
        <v>61.64</v>
      </c>
      <c r="P770" s="110">
        <v>65</v>
      </c>
      <c r="Q770" s="110">
        <v>311.3</v>
      </c>
      <c r="R770">
        <v>8751176</v>
      </c>
    </row>
    <row r="771" spans="1:18" x14ac:dyDescent="0.25">
      <c r="A771" s="133">
        <v>43136</v>
      </c>
      <c r="B771" s="110">
        <v>63.9</v>
      </c>
      <c r="C771" s="110">
        <v>63.47</v>
      </c>
      <c r="D771" s="110">
        <v>59.66</v>
      </c>
      <c r="E771" s="110">
        <v>61.79</v>
      </c>
      <c r="F771" s="110">
        <v>317.35000000000002</v>
      </c>
      <c r="G771">
        <v>265274</v>
      </c>
      <c r="H771" s="110"/>
      <c r="I771" s="110"/>
      <c r="L771" s="133">
        <v>43136</v>
      </c>
      <c r="M771" s="110">
        <v>63.53</v>
      </c>
      <c r="N771" s="110">
        <v>63.96</v>
      </c>
      <c r="O771" s="110">
        <v>59.57</v>
      </c>
      <c r="P771" s="110">
        <v>60.8</v>
      </c>
      <c r="Q771" s="110">
        <v>317.64999999999998</v>
      </c>
      <c r="R771">
        <v>4525833</v>
      </c>
    </row>
    <row r="772" spans="1:18" x14ac:dyDescent="0.25">
      <c r="A772" s="133">
        <v>43137</v>
      </c>
      <c r="B772" s="110">
        <v>64.400000000000006</v>
      </c>
      <c r="C772" s="110">
        <v>63.62</v>
      </c>
      <c r="D772" s="110">
        <v>59.28</v>
      </c>
      <c r="E772" s="110">
        <v>60.4</v>
      </c>
      <c r="F772" s="110">
        <v>318.10000000000002</v>
      </c>
      <c r="G772">
        <v>340219</v>
      </c>
      <c r="H772" s="110"/>
      <c r="I772" s="110"/>
      <c r="L772" s="133">
        <v>43137</v>
      </c>
      <c r="M772" s="110">
        <v>63.79</v>
      </c>
      <c r="N772" s="110">
        <v>64.599999999999994</v>
      </c>
      <c r="O772" s="110">
        <v>59.16</v>
      </c>
      <c r="P772" s="110">
        <v>60.01</v>
      </c>
      <c r="Q772" s="110">
        <v>318.95</v>
      </c>
      <c r="R772">
        <v>5199121</v>
      </c>
    </row>
    <row r="773" spans="1:18" x14ac:dyDescent="0.25">
      <c r="A773" s="133">
        <v>43138</v>
      </c>
      <c r="B773" s="110">
        <v>65.599999999999994</v>
      </c>
      <c r="C773" s="110">
        <v>62.74</v>
      </c>
      <c r="D773" s="110">
        <v>62.14</v>
      </c>
      <c r="E773" s="110">
        <v>64.2</v>
      </c>
      <c r="F773" s="110">
        <v>313.7</v>
      </c>
      <c r="G773">
        <v>288127</v>
      </c>
      <c r="H773" s="110"/>
      <c r="I773" s="110"/>
      <c r="L773" s="133">
        <v>43138</v>
      </c>
      <c r="M773" s="110">
        <v>62.87</v>
      </c>
      <c r="N773" s="110">
        <v>65.69</v>
      </c>
      <c r="O773" s="110">
        <v>62.41</v>
      </c>
      <c r="P773" s="110">
        <v>64.64</v>
      </c>
      <c r="Q773" s="110">
        <v>314.35000000000002</v>
      </c>
      <c r="R773">
        <v>3652462</v>
      </c>
    </row>
    <row r="774" spans="1:18" x14ac:dyDescent="0.25">
      <c r="A774" s="133">
        <v>43139</v>
      </c>
      <c r="B774" s="110">
        <v>65.569999999999993</v>
      </c>
      <c r="C774" s="110">
        <v>64.599999999999994</v>
      </c>
      <c r="D774" s="110">
        <v>62.2</v>
      </c>
      <c r="E774" s="110">
        <v>63.24</v>
      </c>
      <c r="F774" s="110">
        <v>323</v>
      </c>
      <c r="G774">
        <v>307939</v>
      </c>
      <c r="H774" s="110"/>
      <c r="I774" s="110"/>
      <c r="L774" s="133">
        <v>43139</v>
      </c>
      <c r="M774" s="110">
        <v>64.63</v>
      </c>
      <c r="N774" s="110">
        <v>65.599999999999994</v>
      </c>
      <c r="O774" s="110">
        <v>62.52</v>
      </c>
      <c r="P774" s="110">
        <v>62.8</v>
      </c>
      <c r="Q774" s="110">
        <v>323.14999999999998</v>
      </c>
      <c r="R774">
        <v>3660958</v>
      </c>
    </row>
    <row r="775" spans="1:18" x14ac:dyDescent="0.25">
      <c r="A775" s="133">
        <v>43140</v>
      </c>
      <c r="B775" s="110">
        <v>64.73</v>
      </c>
      <c r="C775" s="110">
        <v>64.27</v>
      </c>
      <c r="D775" s="110">
        <v>62.82</v>
      </c>
      <c r="E775" s="110">
        <v>63.58</v>
      </c>
      <c r="F775" s="110">
        <v>321.35000000000002</v>
      </c>
      <c r="G775">
        <v>146408</v>
      </c>
      <c r="H775" s="110"/>
      <c r="I775" s="110"/>
      <c r="L775" s="133">
        <v>43140</v>
      </c>
      <c r="M775" s="110">
        <v>64.23</v>
      </c>
      <c r="N775" s="110">
        <v>64.78</v>
      </c>
      <c r="O775" s="110">
        <v>62.29</v>
      </c>
      <c r="P775" s="110">
        <v>63.08</v>
      </c>
      <c r="Q775" s="110">
        <v>321.14999999999998</v>
      </c>
      <c r="R775">
        <v>2570155</v>
      </c>
    </row>
    <row r="776" spans="1:18" x14ac:dyDescent="0.25">
      <c r="A776" s="133">
        <v>43143</v>
      </c>
      <c r="B776" s="110">
        <v>66.680000000000007</v>
      </c>
      <c r="C776" s="110">
        <v>65.59</v>
      </c>
      <c r="D776" s="110">
        <v>63.6</v>
      </c>
      <c r="E776" s="110">
        <v>63.6</v>
      </c>
      <c r="F776" s="110">
        <v>327.95</v>
      </c>
      <c r="G776">
        <v>191287</v>
      </c>
      <c r="H776" s="110"/>
      <c r="I776" s="110"/>
      <c r="L776" s="133">
        <v>43143</v>
      </c>
      <c r="M776" s="110">
        <v>65.56</v>
      </c>
      <c r="N776" s="110">
        <v>66.73</v>
      </c>
      <c r="O776" s="110">
        <v>63.83</v>
      </c>
      <c r="P776" s="110">
        <v>64</v>
      </c>
      <c r="Q776" s="110">
        <v>327.8</v>
      </c>
      <c r="R776">
        <v>3225049</v>
      </c>
    </row>
    <row r="777" spans="1:18" x14ac:dyDescent="0.25">
      <c r="A777" s="133">
        <v>43145</v>
      </c>
      <c r="B777" s="110">
        <v>65.599999999999994</v>
      </c>
      <c r="C777" s="110">
        <v>61.77</v>
      </c>
      <c r="D777" s="110">
        <v>61.44</v>
      </c>
      <c r="E777" s="110">
        <v>65.599999999999994</v>
      </c>
      <c r="F777" s="110">
        <v>308.85000000000002</v>
      </c>
      <c r="G777">
        <v>1268731</v>
      </c>
      <c r="H777" s="110"/>
      <c r="I777" s="110"/>
      <c r="L777" s="133">
        <v>43145</v>
      </c>
      <c r="M777" s="110">
        <v>61.76</v>
      </c>
      <c r="N777" s="110">
        <v>65.599999999999994</v>
      </c>
      <c r="O777" s="110">
        <v>61.45</v>
      </c>
      <c r="P777" s="110">
        <v>65.599999999999994</v>
      </c>
      <c r="Q777" s="110">
        <v>308.8</v>
      </c>
      <c r="R777">
        <v>4816239</v>
      </c>
    </row>
    <row r="778" spans="1:18" x14ac:dyDescent="0.25">
      <c r="A778" s="133">
        <v>43146</v>
      </c>
      <c r="B778" s="110">
        <v>63.28</v>
      </c>
      <c r="C778" s="110">
        <v>62.13</v>
      </c>
      <c r="D778" s="110">
        <v>60.6</v>
      </c>
      <c r="E778" s="110">
        <v>61.77</v>
      </c>
      <c r="F778" s="110">
        <v>310.64999999999998</v>
      </c>
      <c r="G778">
        <v>383251</v>
      </c>
      <c r="H778" s="110"/>
      <c r="I778" s="110"/>
      <c r="L778" s="133">
        <v>43146</v>
      </c>
      <c r="M778" s="110">
        <v>62.07</v>
      </c>
      <c r="N778" s="110">
        <v>63.4</v>
      </c>
      <c r="O778" s="110">
        <v>60.54</v>
      </c>
      <c r="P778" s="110">
        <v>61.6</v>
      </c>
      <c r="Q778" s="110">
        <v>310.35000000000002</v>
      </c>
      <c r="R778">
        <v>5180532</v>
      </c>
    </row>
    <row r="779" spans="1:18" x14ac:dyDescent="0.25">
      <c r="A779" s="133">
        <v>43147</v>
      </c>
      <c r="B779" s="110">
        <v>62.74</v>
      </c>
      <c r="C779" s="110">
        <v>61.57</v>
      </c>
      <c r="D779" s="110">
        <v>60.68</v>
      </c>
      <c r="E779" s="110">
        <v>62.22</v>
      </c>
      <c r="F779" s="110">
        <v>307.85000000000002</v>
      </c>
      <c r="G779">
        <v>176786</v>
      </c>
      <c r="H779" s="110"/>
      <c r="I779" s="110"/>
      <c r="L779" s="133">
        <v>43147</v>
      </c>
      <c r="M779" s="110">
        <v>61.49</v>
      </c>
      <c r="N779" s="110">
        <v>62.8</v>
      </c>
      <c r="O779" s="110">
        <v>60.62</v>
      </c>
      <c r="P779" s="110">
        <v>62.54</v>
      </c>
      <c r="Q779" s="110">
        <v>307.45</v>
      </c>
      <c r="R779">
        <v>3199483</v>
      </c>
    </row>
    <row r="780" spans="1:18" x14ac:dyDescent="0.25">
      <c r="A780" s="133">
        <v>43150</v>
      </c>
      <c r="B780" s="110">
        <v>62</v>
      </c>
      <c r="C780" s="110">
        <v>60.77</v>
      </c>
      <c r="D780" s="110">
        <v>57.25</v>
      </c>
      <c r="E780" s="110">
        <v>61.6</v>
      </c>
      <c r="F780" s="110">
        <v>303.85000000000002</v>
      </c>
      <c r="G780">
        <v>630803</v>
      </c>
      <c r="H780" s="110"/>
      <c r="I780" s="110"/>
      <c r="L780" s="133">
        <v>43150</v>
      </c>
      <c r="M780" s="110">
        <v>60.84</v>
      </c>
      <c r="N780" s="110">
        <v>61.78</v>
      </c>
      <c r="O780" s="110">
        <v>57.23</v>
      </c>
      <c r="P780" s="110">
        <v>61.6</v>
      </c>
      <c r="Q780" s="110">
        <v>304.2</v>
      </c>
      <c r="R780">
        <v>7593376</v>
      </c>
    </row>
    <row r="781" spans="1:18" x14ac:dyDescent="0.25">
      <c r="A781" s="133">
        <v>43151</v>
      </c>
      <c r="B781" s="110">
        <v>63.09</v>
      </c>
      <c r="C781" s="110">
        <v>62.2</v>
      </c>
      <c r="D781" s="110">
        <v>59.92</v>
      </c>
      <c r="E781" s="110">
        <v>60.61</v>
      </c>
      <c r="F781" s="110">
        <v>311</v>
      </c>
      <c r="G781">
        <v>661332</v>
      </c>
      <c r="H781" s="110"/>
      <c r="I781" s="110"/>
      <c r="L781" s="133">
        <v>43151</v>
      </c>
      <c r="M781" s="110">
        <v>62.25</v>
      </c>
      <c r="N781" s="110">
        <v>63.2</v>
      </c>
      <c r="O781" s="110">
        <v>59.83</v>
      </c>
      <c r="P781" s="110">
        <v>61.07</v>
      </c>
      <c r="Q781" s="110">
        <v>311.25</v>
      </c>
      <c r="R781">
        <v>6224941</v>
      </c>
    </row>
    <row r="782" spans="1:18" x14ac:dyDescent="0.25">
      <c r="A782" s="133">
        <v>43152</v>
      </c>
      <c r="B782" s="110">
        <v>63</v>
      </c>
      <c r="C782" s="110">
        <v>62.26</v>
      </c>
      <c r="D782" s="110">
        <v>60.84</v>
      </c>
      <c r="E782" s="110">
        <v>62.72</v>
      </c>
      <c r="F782" s="110">
        <v>311.3</v>
      </c>
      <c r="G782">
        <v>259459</v>
      </c>
      <c r="H782" s="110"/>
      <c r="I782" s="110"/>
      <c r="L782" s="133">
        <v>43152</v>
      </c>
      <c r="M782" s="110">
        <v>62.34</v>
      </c>
      <c r="N782" s="110">
        <v>63</v>
      </c>
      <c r="O782" s="110">
        <v>60.8</v>
      </c>
      <c r="P782" s="110">
        <v>62.94</v>
      </c>
      <c r="Q782" s="110">
        <v>311.7</v>
      </c>
      <c r="R782">
        <v>3381221</v>
      </c>
    </row>
    <row r="783" spans="1:18" x14ac:dyDescent="0.25">
      <c r="A783" s="133">
        <v>43153</v>
      </c>
      <c r="B783" s="110">
        <v>62.4</v>
      </c>
      <c r="C783" s="110">
        <v>61.88</v>
      </c>
      <c r="D783" s="110">
        <v>61.11</v>
      </c>
      <c r="E783" s="110">
        <v>61.4</v>
      </c>
      <c r="F783" s="110">
        <v>309.39999999999998</v>
      </c>
      <c r="G783">
        <v>236347</v>
      </c>
      <c r="H783" s="110"/>
      <c r="I783" s="110"/>
      <c r="L783" s="133">
        <v>43153</v>
      </c>
      <c r="M783" s="110">
        <v>61.84</v>
      </c>
      <c r="N783" s="110">
        <v>62.4</v>
      </c>
      <c r="O783" s="110">
        <v>61.4</v>
      </c>
      <c r="P783" s="110">
        <v>61.74</v>
      </c>
      <c r="Q783" s="110">
        <v>309.2</v>
      </c>
      <c r="R783">
        <v>3082093</v>
      </c>
    </row>
    <row r="784" spans="1:18" x14ac:dyDescent="0.25">
      <c r="A784" s="133">
        <v>43154</v>
      </c>
      <c r="B784" s="110">
        <v>63.26</v>
      </c>
      <c r="C784" s="110">
        <v>62.76</v>
      </c>
      <c r="D784" s="110">
        <v>61.89</v>
      </c>
      <c r="E784" s="110">
        <v>61.89</v>
      </c>
      <c r="F784" s="110">
        <v>313.8</v>
      </c>
      <c r="G784">
        <v>197622</v>
      </c>
      <c r="H784" s="110"/>
      <c r="I784" s="110"/>
      <c r="L784" s="133">
        <v>43154</v>
      </c>
      <c r="M784" s="110">
        <v>62.77</v>
      </c>
      <c r="N784" s="110">
        <v>63.32</v>
      </c>
      <c r="O784" s="110">
        <v>62</v>
      </c>
      <c r="P784" s="110">
        <v>62.37</v>
      </c>
      <c r="Q784" s="110">
        <v>313.85000000000002</v>
      </c>
      <c r="R784">
        <v>2566173</v>
      </c>
    </row>
    <row r="785" spans="1:18" x14ac:dyDescent="0.25">
      <c r="A785" s="133">
        <v>43157</v>
      </c>
      <c r="B785" s="110">
        <v>63.08</v>
      </c>
      <c r="C785" s="110">
        <v>62.01</v>
      </c>
      <c r="D785" s="110">
        <v>61.67</v>
      </c>
      <c r="E785" s="110">
        <v>63</v>
      </c>
      <c r="F785" s="110">
        <v>310.05</v>
      </c>
      <c r="G785">
        <v>166139</v>
      </c>
      <c r="H785" s="110"/>
      <c r="I785" s="110"/>
      <c r="L785" s="133">
        <v>43157</v>
      </c>
      <c r="M785" s="110">
        <v>61.98</v>
      </c>
      <c r="N785" s="110">
        <v>63.27</v>
      </c>
      <c r="O785" s="110">
        <v>61.63</v>
      </c>
      <c r="P785" s="110">
        <v>63.14</v>
      </c>
      <c r="Q785" s="110">
        <v>309.89999999999998</v>
      </c>
      <c r="R785">
        <v>2551261</v>
      </c>
    </row>
    <row r="786" spans="1:18" x14ac:dyDescent="0.25">
      <c r="A786" s="133">
        <v>43158</v>
      </c>
      <c r="B786" s="110">
        <v>61.71</v>
      </c>
      <c r="C786" s="110">
        <v>59.13</v>
      </c>
      <c r="D786" s="110">
        <v>58.71</v>
      </c>
      <c r="E786" s="110">
        <v>61.58</v>
      </c>
      <c r="F786" s="110">
        <v>295.64999999999998</v>
      </c>
      <c r="G786">
        <v>490899</v>
      </c>
      <c r="H786" s="110"/>
      <c r="I786" s="110"/>
      <c r="L786" s="133">
        <v>43158</v>
      </c>
      <c r="M786" s="110">
        <v>59.12</v>
      </c>
      <c r="N786" s="110">
        <v>61.7</v>
      </c>
      <c r="O786" s="110">
        <v>58.66</v>
      </c>
      <c r="P786" s="110">
        <v>61.6</v>
      </c>
      <c r="Q786" s="110">
        <v>295.60000000000002</v>
      </c>
      <c r="R786">
        <v>6569916</v>
      </c>
    </row>
    <row r="787" spans="1:18" x14ac:dyDescent="0.25">
      <c r="A787" s="133">
        <v>43159</v>
      </c>
      <c r="B787" s="110">
        <v>60.61</v>
      </c>
      <c r="C787" s="110">
        <v>59.86</v>
      </c>
      <c r="D787" s="110">
        <v>57.13</v>
      </c>
      <c r="E787" s="110">
        <v>57.7</v>
      </c>
      <c r="F787" s="110">
        <v>299.3</v>
      </c>
      <c r="G787">
        <v>531997</v>
      </c>
      <c r="H787" s="110"/>
      <c r="I787" s="110"/>
      <c r="L787" s="133">
        <v>43159</v>
      </c>
      <c r="M787" s="110">
        <v>59.85</v>
      </c>
      <c r="N787" s="110">
        <v>60.6</v>
      </c>
      <c r="O787" s="110">
        <v>57.09</v>
      </c>
      <c r="P787" s="110">
        <v>57.4</v>
      </c>
      <c r="Q787" s="110">
        <v>299.25</v>
      </c>
      <c r="R787">
        <v>8276314</v>
      </c>
    </row>
    <row r="788" spans="1:18" x14ac:dyDescent="0.25">
      <c r="A788" s="133">
        <v>43160</v>
      </c>
      <c r="B788" s="110">
        <v>59.9</v>
      </c>
      <c r="C788" s="110">
        <v>58.11</v>
      </c>
      <c r="D788" s="110">
        <v>57.8</v>
      </c>
      <c r="E788" s="110">
        <v>58.7</v>
      </c>
      <c r="F788" s="110">
        <v>290.55</v>
      </c>
      <c r="G788">
        <v>487756</v>
      </c>
      <c r="H788" s="110"/>
      <c r="I788" s="110"/>
      <c r="L788" s="133">
        <v>43160</v>
      </c>
      <c r="M788" s="110">
        <v>58.06</v>
      </c>
      <c r="N788" s="110">
        <v>59.94</v>
      </c>
      <c r="O788" s="110">
        <v>57.77</v>
      </c>
      <c r="P788" s="110">
        <v>58.01</v>
      </c>
      <c r="Q788" s="110">
        <v>290.3</v>
      </c>
      <c r="R788">
        <v>8339200</v>
      </c>
    </row>
    <row r="789" spans="1:18" x14ac:dyDescent="0.25">
      <c r="A789" s="133">
        <v>43164</v>
      </c>
      <c r="B789" s="110">
        <v>57.85</v>
      </c>
      <c r="C789" s="110">
        <v>56.17</v>
      </c>
      <c r="D789" s="110">
        <v>55.83</v>
      </c>
      <c r="E789" s="110">
        <v>57.6</v>
      </c>
      <c r="F789" s="110">
        <v>280.85000000000002</v>
      </c>
      <c r="G789">
        <v>339232</v>
      </c>
      <c r="H789" s="110"/>
      <c r="I789" s="110"/>
      <c r="L789" s="133">
        <v>43164</v>
      </c>
      <c r="M789" s="110">
        <v>56.05</v>
      </c>
      <c r="N789" s="110">
        <v>57.8</v>
      </c>
      <c r="O789" s="110">
        <v>55.7</v>
      </c>
      <c r="P789" s="110">
        <v>57.4</v>
      </c>
      <c r="Q789" s="110">
        <v>280.25</v>
      </c>
      <c r="R789">
        <v>5628361</v>
      </c>
    </row>
    <row r="790" spans="1:18" x14ac:dyDescent="0.25">
      <c r="A790" s="133">
        <v>43165</v>
      </c>
      <c r="B790" s="110">
        <v>57.1</v>
      </c>
      <c r="C790" s="110">
        <v>53.7</v>
      </c>
      <c r="D790" s="110">
        <v>52.85</v>
      </c>
      <c r="E790" s="110">
        <v>57.1</v>
      </c>
      <c r="F790" s="110">
        <v>268.5</v>
      </c>
      <c r="G790">
        <v>409599</v>
      </c>
      <c r="H790" s="110"/>
      <c r="I790" s="110"/>
      <c r="L790" s="133">
        <v>43165</v>
      </c>
      <c r="M790" s="110">
        <v>53.59</v>
      </c>
      <c r="N790" s="110">
        <v>56.98</v>
      </c>
      <c r="O790" s="110">
        <v>52.8</v>
      </c>
      <c r="P790" s="110">
        <v>56.68</v>
      </c>
      <c r="Q790" s="110">
        <v>267.95</v>
      </c>
      <c r="R790">
        <v>5189913</v>
      </c>
    </row>
    <row r="791" spans="1:18" x14ac:dyDescent="0.25">
      <c r="A791" s="133">
        <v>43166</v>
      </c>
      <c r="B791" s="110">
        <v>53.6</v>
      </c>
      <c r="C791" s="110">
        <v>50.01</v>
      </c>
      <c r="D791" s="110">
        <v>48.57</v>
      </c>
      <c r="E791" s="110">
        <v>53.6</v>
      </c>
      <c r="F791" s="110">
        <v>250.05</v>
      </c>
      <c r="G791">
        <v>929869</v>
      </c>
      <c r="H791" s="110"/>
      <c r="I791" s="110"/>
      <c r="L791" s="133">
        <v>43166</v>
      </c>
      <c r="M791" s="110">
        <v>49.89</v>
      </c>
      <c r="N791" s="110">
        <v>53.4</v>
      </c>
      <c r="O791" s="110">
        <v>48.45</v>
      </c>
      <c r="P791" s="110">
        <v>53.1</v>
      </c>
      <c r="Q791" s="110">
        <v>249.45</v>
      </c>
      <c r="R791">
        <v>14091714</v>
      </c>
    </row>
    <row r="792" spans="1:18" x14ac:dyDescent="0.25">
      <c r="A792" s="133">
        <v>43167</v>
      </c>
      <c r="B792" s="110">
        <v>50.68</v>
      </c>
      <c r="C792" s="110">
        <v>50.09</v>
      </c>
      <c r="D792" s="110">
        <v>48.01</v>
      </c>
      <c r="E792" s="110">
        <v>50.01</v>
      </c>
      <c r="F792" s="110">
        <v>250.45</v>
      </c>
      <c r="G792">
        <v>671796</v>
      </c>
      <c r="H792" s="110"/>
      <c r="I792" s="110"/>
      <c r="L792" s="133">
        <v>43167</v>
      </c>
      <c r="M792" s="110">
        <v>50.23</v>
      </c>
      <c r="N792" s="110">
        <v>51</v>
      </c>
      <c r="O792" s="110">
        <v>48</v>
      </c>
      <c r="P792" s="110">
        <v>50.29</v>
      </c>
      <c r="Q792" s="110">
        <v>251.15</v>
      </c>
      <c r="R792">
        <v>12317557</v>
      </c>
    </row>
    <row r="793" spans="1:18" x14ac:dyDescent="0.25">
      <c r="A793" s="133">
        <v>43168</v>
      </c>
      <c r="B793" s="110">
        <v>50.2</v>
      </c>
      <c r="C793" s="110">
        <v>47.04</v>
      </c>
      <c r="D793" s="110">
        <v>46.37</v>
      </c>
      <c r="E793" s="110">
        <v>50.06</v>
      </c>
      <c r="F793" s="110">
        <v>235.2</v>
      </c>
      <c r="G793">
        <v>659073</v>
      </c>
      <c r="H793" s="110"/>
      <c r="I793" s="110"/>
      <c r="L793" s="133">
        <v>43168</v>
      </c>
      <c r="M793" s="110">
        <v>47.09</v>
      </c>
      <c r="N793" s="110">
        <v>50.24</v>
      </c>
      <c r="O793" s="110">
        <v>46.83</v>
      </c>
      <c r="P793" s="110">
        <v>50.2</v>
      </c>
      <c r="Q793" s="110">
        <v>235.45</v>
      </c>
      <c r="R793">
        <v>10847515</v>
      </c>
    </row>
    <row r="794" spans="1:18" x14ac:dyDescent="0.25">
      <c r="A794" s="133">
        <v>43171</v>
      </c>
      <c r="B794" s="110">
        <v>48.39</v>
      </c>
      <c r="C794" s="110">
        <v>47.71</v>
      </c>
      <c r="D794" s="110">
        <v>45.07</v>
      </c>
      <c r="E794" s="110">
        <v>47</v>
      </c>
      <c r="F794" s="110">
        <v>238.55</v>
      </c>
      <c r="G794">
        <v>820548</v>
      </c>
      <c r="H794" s="110"/>
      <c r="I794" s="110"/>
      <c r="L794" s="133">
        <v>43171</v>
      </c>
      <c r="M794" s="110">
        <v>47.72</v>
      </c>
      <c r="N794" s="110">
        <v>48.42</v>
      </c>
      <c r="O794" s="110">
        <v>45.04</v>
      </c>
      <c r="P794" s="110">
        <v>47.02</v>
      </c>
      <c r="Q794" s="110">
        <v>238.6</v>
      </c>
      <c r="R794">
        <v>15383581</v>
      </c>
    </row>
    <row r="795" spans="1:18" x14ac:dyDescent="0.25">
      <c r="A795" s="133">
        <v>43172</v>
      </c>
      <c r="B795" s="110">
        <v>52.3</v>
      </c>
      <c r="C795" s="110">
        <v>50.43</v>
      </c>
      <c r="D795" s="110">
        <v>46.53</v>
      </c>
      <c r="E795" s="110">
        <v>47.7</v>
      </c>
      <c r="F795" s="110">
        <v>252.15</v>
      </c>
      <c r="G795">
        <v>1331960</v>
      </c>
      <c r="H795" s="110"/>
      <c r="I795" s="110"/>
      <c r="L795" s="133">
        <v>43172</v>
      </c>
      <c r="M795" s="110">
        <v>50.4</v>
      </c>
      <c r="N795" s="110">
        <v>52.35</v>
      </c>
      <c r="O795" s="110">
        <v>46.57</v>
      </c>
      <c r="P795" s="110">
        <v>46.8</v>
      </c>
      <c r="Q795" s="110">
        <v>252</v>
      </c>
      <c r="R795">
        <v>23787685</v>
      </c>
    </row>
    <row r="796" spans="1:18" x14ac:dyDescent="0.25">
      <c r="A796" s="133">
        <v>43173</v>
      </c>
      <c r="B796" s="110">
        <v>52.18</v>
      </c>
      <c r="C796" s="110">
        <v>51.9</v>
      </c>
      <c r="D796" s="110">
        <v>48.24</v>
      </c>
      <c r="E796" s="110">
        <v>49.42</v>
      </c>
      <c r="F796" s="110">
        <v>259.5</v>
      </c>
      <c r="G796">
        <v>1075388</v>
      </c>
      <c r="H796" s="110"/>
      <c r="I796" s="110"/>
      <c r="L796" s="133">
        <v>43173</v>
      </c>
      <c r="M796" s="110">
        <v>51.92</v>
      </c>
      <c r="N796" s="110">
        <v>52.2</v>
      </c>
      <c r="O796" s="110">
        <v>48.27</v>
      </c>
      <c r="P796" s="110">
        <v>49.58</v>
      </c>
      <c r="Q796" s="110">
        <v>259.60000000000002</v>
      </c>
      <c r="R796">
        <v>19632773</v>
      </c>
    </row>
    <row r="797" spans="1:18" x14ac:dyDescent="0.25">
      <c r="A797" s="133">
        <v>43174</v>
      </c>
      <c r="B797" s="110">
        <v>53.26</v>
      </c>
      <c r="C797" s="110">
        <v>52.87</v>
      </c>
      <c r="D797" s="110">
        <v>51.56</v>
      </c>
      <c r="E797" s="110">
        <v>52.31</v>
      </c>
      <c r="F797" s="110">
        <v>264.35000000000002</v>
      </c>
      <c r="G797">
        <v>800297</v>
      </c>
      <c r="H797" s="110"/>
      <c r="I797" s="110"/>
      <c r="L797" s="133">
        <v>43174</v>
      </c>
      <c r="M797" s="110">
        <v>52.89</v>
      </c>
      <c r="N797" s="110">
        <v>53.36</v>
      </c>
      <c r="O797" s="110">
        <v>51.5</v>
      </c>
      <c r="P797" s="110">
        <v>52.2</v>
      </c>
      <c r="Q797" s="110">
        <v>264.45</v>
      </c>
      <c r="R797">
        <v>12724448</v>
      </c>
    </row>
    <row r="798" spans="1:18" x14ac:dyDescent="0.25">
      <c r="A798" s="133">
        <v>43175</v>
      </c>
      <c r="B798" s="110">
        <v>54.48</v>
      </c>
      <c r="C798" s="110">
        <v>53.64</v>
      </c>
      <c r="D798" s="110">
        <v>52.08</v>
      </c>
      <c r="E798" s="110">
        <v>52.72</v>
      </c>
      <c r="F798" s="110">
        <v>268.2</v>
      </c>
      <c r="G798">
        <v>855984</v>
      </c>
      <c r="H798" s="110"/>
      <c r="I798" s="110"/>
      <c r="L798" s="133">
        <v>43175</v>
      </c>
      <c r="M798" s="110">
        <v>53.67</v>
      </c>
      <c r="N798" s="110">
        <v>54.53</v>
      </c>
      <c r="O798" s="110">
        <v>52.09</v>
      </c>
      <c r="P798" s="110">
        <v>52.52</v>
      </c>
      <c r="Q798" s="110">
        <v>268.35000000000002</v>
      </c>
      <c r="R798">
        <v>13337818</v>
      </c>
    </row>
    <row r="799" spans="1:18" x14ac:dyDescent="0.25">
      <c r="A799" s="133">
        <v>43178</v>
      </c>
      <c r="B799" s="110">
        <v>54.56</v>
      </c>
      <c r="C799" s="110">
        <v>52.86</v>
      </c>
      <c r="D799" s="110">
        <v>51.54</v>
      </c>
      <c r="E799" s="110">
        <v>54.56</v>
      </c>
      <c r="F799" s="110">
        <v>264.3</v>
      </c>
      <c r="G799">
        <v>738883</v>
      </c>
      <c r="H799" s="110"/>
      <c r="I799" s="110"/>
      <c r="L799" s="133">
        <v>43178</v>
      </c>
      <c r="M799" s="110">
        <v>52.84</v>
      </c>
      <c r="N799" s="110">
        <v>54.28</v>
      </c>
      <c r="O799" s="110">
        <v>51.53</v>
      </c>
      <c r="P799" s="110">
        <v>54.2</v>
      </c>
      <c r="Q799" s="110">
        <v>264.2</v>
      </c>
      <c r="R799">
        <v>10968040</v>
      </c>
    </row>
    <row r="800" spans="1:18" x14ac:dyDescent="0.25">
      <c r="A800" s="133">
        <v>43179</v>
      </c>
      <c r="B800" s="110">
        <v>51.75</v>
      </c>
      <c r="C800" s="110">
        <v>50.83</v>
      </c>
      <c r="D800" s="110">
        <v>50</v>
      </c>
      <c r="E800" s="110">
        <v>50.79</v>
      </c>
      <c r="F800" s="110">
        <v>254.15</v>
      </c>
      <c r="G800">
        <v>832391</v>
      </c>
      <c r="H800" s="110"/>
      <c r="I800" s="110"/>
      <c r="L800" s="133">
        <v>43179</v>
      </c>
      <c r="M800" s="110">
        <v>50.84</v>
      </c>
      <c r="N800" s="110">
        <v>51.78</v>
      </c>
      <c r="O800" s="110">
        <v>50</v>
      </c>
      <c r="P800" s="110">
        <v>50</v>
      </c>
      <c r="Q800" s="110">
        <v>254.2</v>
      </c>
      <c r="R800">
        <v>14253284</v>
      </c>
    </row>
    <row r="801" spans="1:18" x14ac:dyDescent="0.25">
      <c r="A801" s="133">
        <v>43180</v>
      </c>
      <c r="B801" s="110">
        <v>52.63</v>
      </c>
      <c r="C801" s="110">
        <v>51.5</v>
      </c>
      <c r="D801" s="110">
        <v>51.15</v>
      </c>
      <c r="E801" s="110">
        <v>51.2</v>
      </c>
      <c r="F801" s="110">
        <v>257.5</v>
      </c>
      <c r="G801">
        <v>414460</v>
      </c>
      <c r="H801" s="110"/>
      <c r="I801" s="110"/>
      <c r="L801" s="133">
        <v>43180</v>
      </c>
      <c r="M801" s="110">
        <v>51.54</v>
      </c>
      <c r="N801" s="110">
        <v>52.6</v>
      </c>
      <c r="O801" s="110">
        <v>51.14</v>
      </c>
      <c r="P801" s="110">
        <v>51.6</v>
      </c>
      <c r="Q801" s="110">
        <v>257.7</v>
      </c>
      <c r="R801">
        <v>9154211</v>
      </c>
    </row>
    <row r="802" spans="1:18" x14ac:dyDescent="0.25">
      <c r="A802" s="133">
        <v>43181</v>
      </c>
      <c r="B802" s="110">
        <v>51.8</v>
      </c>
      <c r="C802" s="110">
        <v>50.92</v>
      </c>
      <c r="D802" s="110">
        <v>50.66</v>
      </c>
      <c r="E802" s="110">
        <v>51.6</v>
      </c>
      <c r="F802" s="110">
        <v>254.6</v>
      </c>
      <c r="G802">
        <v>234456</v>
      </c>
      <c r="H802" s="110"/>
      <c r="I802" s="110"/>
      <c r="L802" s="133">
        <v>43181</v>
      </c>
      <c r="M802" s="110">
        <v>50.93</v>
      </c>
      <c r="N802" s="110">
        <v>51.8</v>
      </c>
      <c r="O802" s="110">
        <v>50.7</v>
      </c>
      <c r="P802" s="110">
        <v>51.8</v>
      </c>
      <c r="Q802" s="110">
        <v>254.65</v>
      </c>
      <c r="R802">
        <v>5505051</v>
      </c>
    </row>
    <row r="803" spans="1:18" x14ac:dyDescent="0.25">
      <c r="A803" s="133">
        <v>43182</v>
      </c>
      <c r="B803" s="110">
        <v>49.91</v>
      </c>
      <c r="C803" s="110">
        <v>48.96</v>
      </c>
      <c r="D803" s="110">
        <v>48.48</v>
      </c>
      <c r="E803" s="110">
        <v>49.23</v>
      </c>
      <c r="F803" s="110">
        <v>244.8</v>
      </c>
      <c r="G803">
        <v>325010</v>
      </c>
      <c r="H803" s="110"/>
      <c r="I803" s="110"/>
      <c r="L803" s="133">
        <v>43182</v>
      </c>
      <c r="M803" s="110">
        <v>48.95</v>
      </c>
      <c r="N803" s="110">
        <v>49.98</v>
      </c>
      <c r="O803" s="110">
        <v>48.47</v>
      </c>
      <c r="P803" s="110">
        <v>49.4</v>
      </c>
      <c r="Q803" s="110">
        <v>244.75</v>
      </c>
      <c r="R803">
        <v>6282424</v>
      </c>
    </row>
    <row r="804" spans="1:18" x14ac:dyDescent="0.25">
      <c r="A804" s="133">
        <v>43185</v>
      </c>
      <c r="B804" s="110">
        <v>54.84</v>
      </c>
      <c r="C804" s="110">
        <v>53.97</v>
      </c>
      <c r="D804" s="110">
        <v>48.25</v>
      </c>
      <c r="E804" s="110">
        <v>48.7</v>
      </c>
      <c r="F804" s="110">
        <v>269.85000000000002</v>
      </c>
      <c r="G804">
        <v>1173413</v>
      </c>
      <c r="H804" s="110"/>
      <c r="I804" s="110"/>
      <c r="L804" s="133">
        <v>43185</v>
      </c>
      <c r="M804" s="110">
        <v>54.1</v>
      </c>
      <c r="N804" s="110">
        <v>54.97</v>
      </c>
      <c r="O804" s="110">
        <v>48.44</v>
      </c>
      <c r="P804" s="110">
        <v>49.08</v>
      </c>
      <c r="Q804" s="110">
        <v>270.5</v>
      </c>
      <c r="R804">
        <v>16726722</v>
      </c>
    </row>
    <row r="805" spans="1:18" x14ac:dyDescent="0.25">
      <c r="A805" s="133">
        <v>43186</v>
      </c>
      <c r="B805" s="110">
        <v>55.4</v>
      </c>
      <c r="C805" s="110">
        <v>53.71</v>
      </c>
      <c r="D805" s="110">
        <v>53.02</v>
      </c>
      <c r="E805" s="110">
        <v>55.2</v>
      </c>
      <c r="F805" s="110">
        <v>268.55</v>
      </c>
      <c r="G805">
        <v>905133</v>
      </c>
      <c r="H805" s="110"/>
      <c r="I805" s="110"/>
      <c r="L805" s="133">
        <v>43186</v>
      </c>
      <c r="M805" s="110">
        <v>53.76</v>
      </c>
      <c r="N805" s="110">
        <v>55.43</v>
      </c>
      <c r="O805" s="110">
        <v>53</v>
      </c>
      <c r="P805" s="110">
        <v>55.2</v>
      </c>
      <c r="Q805" s="110">
        <v>268.8</v>
      </c>
      <c r="R805">
        <v>17577471</v>
      </c>
    </row>
    <row r="806" spans="1:18" x14ac:dyDescent="0.25">
      <c r="A806" s="133">
        <v>43187</v>
      </c>
      <c r="B806" s="110">
        <v>54.57</v>
      </c>
      <c r="C806" s="110">
        <v>52.85</v>
      </c>
      <c r="D806" s="110">
        <v>52.4</v>
      </c>
      <c r="E806" s="110">
        <v>53.12</v>
      </c>
      <c r="F806" s="110">
        <v>264.25</v>
      </c>
      <c r="G806">
        <v>760134</v>
      </c>
      <c r="H806" s="110"/>
      <c r="I806" s="110"/>
      <c r="L806" s="133">
        <v>43187</v>
      </c>
      <c r="M806" s="110">
        <v>52.78</v>
      </c>
      <c r="N806" s="110">
        <v>54.63</v>
      </c>
      <c r="O806" s="110">
        <v>52.49</v>
      </c>
      <c r="P806" s="110">
        <v>52.96</v>
      </c>
      <c r="Q806" s="110">
        <v>263.89999999999998</v>
      </c>
      <c r="R806">
        <v>12329139</v>
      </c>
    </row>
    <row r="807" spans="1:18" x14ac:dyDescent="0.25">
      <c r="A807" s="133">
        <v>43192</v>
      </c>
      <c r="B807" s="110">
        <v>53.12</v>
      </c>
      <c r="C807" s="110">
        <v>52.84</v>
      </c>
      <c r="D807" s="110">
        <v>51.32</v>
      </c>
      <c r="E807" s="110">
        <v>52.6</v>
      </c>
      <c r="F807" s="110">
        <v>264.2</v>
      </c>
      <c r="G807">
        <v>371287</v>
      </c>
      <c r="H807" s="110"/>
      <c r="I807" s="110"/>
      <c r="L807" s="133">
        <v>43192</v>
      </c>
      <c r="M807" s="110">
        <v>52.86</v>
      </c>
      <c r="N807" s="110">
        <v>53.11</v>
      </c>
      <c r="O807" s="110">
        <v>51.22</v>
      </c>
      <c r="P807" s="110">
        <v>52.6</v>
      </c>
      <c r="Q807" s="110">
        <v>264.3</v>
      </c>
      <c r="R807">
        <v>6191930</v>
      </c>
    </row>
    <row r="808" spans="1:18" x14ac:dyDescent="0.25">
      <c r="A808" s="133">
        <v>43193</v>
      </c>
      <c r="B808" s="110">
        <v>54.54</v>
      </c>
      <c r="C808" s="110">
        <v>53.79</v>
      </c>
      <c r="D808" s="110">
        <v>52.9</v>
      </c>
      <c r="E808" s="110">
        <v>53.04</v>
      </c>
      <c r="F808" s="110">
        <v>268.95</v>
      </c>
      <c r="G808">
        <v>646028</v>
      </c>
      <c r="H808" s="110"/>
      <c r="I808" s="110"/>
      <c r="L808" s="133">
        <v>43193</v>
      </c>
      <c r="M808" s="110">
        <v>53.77</v>
      </c>
      <c r="N808" s="110">
        <v>54.58</v>
      </c>
      <c r="O808" s="110">
        <v>52.83</v>
      </c>
      <c r="P808" s="110">
        <v>53.21</v>
      </c>
      <c r="Q808" s="110">
        <v>268.85000000000002</v>
      </c>
      <c r="R808">
        <v>8054378</v>
      </c>
    </row>
    <row r="809" spans="1:18" x14ac:dyDescent="0.25">
      <c r="A809" s="133">
        <v>43194</v>
      </c>
      <c r="B809" s="110">
        <v>54.69</v>
      </c>
      <c r="C809" s="110">
        <v>52.42</v>
      </c>
      <c r="D809" s="110">
        <v>52</v>
      </c>
      <c r="E809" s="110">
        <v>54.6</v>
      </c>
      <c r="F809" s="110">
        <v>262.10000000000002</v>
      </c>
      <c r="G809">
        <v>388642</v>
      </c>
      <c r="H809" s="110"/>
      <c r="I809" s="110"/>
      <c r="L809" s="133">
        <v>43194</v>
      </c>
      <c r="M809" s="110">
        <v>52.5</v>
      </c>
      <c r="N809" s="110">
        <v>54.7</v>
      </c>
      <c r="O809" s="110">
        <v>52.22</v>
      </c>
      <c r="P809" s="110">
        <v>54</v>
      </c>
      <c r="Q809" s="110">
        <v>262.5</v>
      </c>
      <c r="R809">
        <v>7220247</v>
      </c>
    </row>
    <row r="810" spans="1:18" x14ac:dyDescent="0.25">
      <c r="A810" s="133">
        <v>43195</v>
      </c>
      <c r="B810" s="110">
        <v>59.18</v>
      </c>
      <c r="C810" s="110">
        <v>56.75</v>
      </c>
      <c r="D810" s="110">
        <v>53.22</v>
      </c>
      <c r="E810" s="110">
        <v>53.74</v>
      </c>
      <c r="F810" s="110">
        <v>283.75</v>
      </c>
      <c r="G810">
        <v>679340</v>
      </c>
      <c r="H810" s="110"/>
      <c r="I810" s="110"/>
      <c r="L810" s="133">
        <v>43195</v>
      </c>
      <c r="M810" s="110">
        <v>56.62</v>
      </c>
      <c r="N810" s="110">
        <v>58.09</v>
      </c>
      <c r="O810" s="110">
        <v>53.2</v>
      </c>
      <c r="P810" s="110">
        <v>53.4</v>
      </c>
      <c r="Q810" s="110">
        <v>283.10000000000002</v>
      </c>
      <c r="R810">
        <v>9903456</v>
      </c>
    </row>
    <row r="811" spans="1:18" x14ac:dyDescent="0.25">
      <c r="A811" s="133">
        <v>43196</v>
      </c>
      <c r="B811" s="110">
        <v>57.81</v>
      </c>
      <c r="C811" s="110">
        <v>57.17</v>
      </c>
      <c r="D811" s="110">
        <v>55.46</v>
      </c>
      <c r="E811" s="110">
        <v>57</v>
      </c>
      <c r="F811" s="110">
        <v>285.85000000000002</v>
      </c>
      <c r="G811">
        <v>1227275</v>
      </c>
      <c r="H811" s="110"/>
      <c r="I811" s="110"/>
      <c r="L811" s="133">
        <v>43196</v>
      </c>
      <c r="M811" s="110">
        <v>57.18</v>
      </c>
      <c r="N811" s="110">
        <v>57.89</v>
      </c>
      <c r="O811" s="110">
        <v>55.46</v>
      </c>
      <c r="P811" s="110">
        <v>56.92</v>
      </c>
      <c r="Q811" s="110">
        <v>285.89999999999998</v>
      </c>
      <c r="R811">
        <v>17147441</v>
      </c>
    </row>
    <row r="812" spans="1:18" x14ac:dyDescent="0.25">
      <c r="A812" s="133">
        <v>43199</v>
      </c>
      <c r="B812" s="110">
        <v>58.35</v>
      </c>
      <c r="C812" s="110">
        <v>57.04</v>
      </c>
      <c r="D812" s="110">
        <v>55.33</v>
      </c>
      <c r="E812" s="110">
        <v>57.36</v>
      </c>
      <c r="F812" s="110">
        <v>285.2</v>
      </c>
      <c r="G812">
        <v>893892</v>
      </c>
      <c r="H812" s="110"/>
      <c r="I812" s="110"/>
      <c r="L812" s="133">
        <v>43199</v>
      </c>
      <c r="M812" s="110">
        <v>57.17</v>
      </c>
      <c r="N812" s="110">
        <v>58.4</v>
      </c>
      <c r="O812" s="110">
        <v>56.13</v>
      </c>
      <c r="P812" s="110">
        <v>57.17</v>
      </c>
      <c r="Q812" s="110">
        <v>285.85000000000002</v>
      </c>
      <c r="R812">
        <v>11519569</v>
      </c>
    </row>
    <row r="813" spans="1:18" x14ac:dyDescent="0.25">
      <c r="A813" s="133">
        <v>43200</v>
      </c>
      <c r="B813" s="110">
        <v>58</v>
      </c>
      <c r="C813" s="110">
        <v>57.34</v>
      </c>
      <c r="D813" s="110">
        <v>56.88</v>
      </c>
      <c r="E813" s="110">
        <v>57</v>
      </c>
      <c r="F813" s="110">
        <v>286.7</v>
      </c>
      <c r="G813">
        <v>575925</v>
      </c>
      <c r="H813" s="110"/>
      <c r="I813" s="110"/>
      <c r="L813" s="133">
        <v>43200</v>
      </c>
      <c r="M813" s="110">
        <v>57.47</v>
      </c>
      <c r="N813" s="110">
        <v>58</v>
      </c>
      <c r="O813" s="110">
        <v>56.8</v>
      </c>
      <c r="P813" s="110">
        <v>57.38</v>
      </c>
      <c r="Q813" s="110">
        <v>287.35000000000002</v>
      </c>
      <c r="R813">
        <v>8732532</v>
      </c>
    </row>
    <row r="814" spans="1:18" x14ac:dyDescent="0.25">
      <c r="A814" s="133">
        <v>43201</v>
      </c>
      <c r="B814" s="110">
        <v>57.2</v>
      </c>
      <c r="C814" s="110">
        <v>56.13</v>
      </c>
      <c r="D814" s="110">
        <v>55</v>
      </c>
      <c r="E814" s="110">
        <v>56.86</v>
      </c>
      <c r="F814" s="110">
        <v>280.64999999999998</v>
      </c>
      <c r="G814">
        <v>477775</v>
      </c>
      <c r="H814" s="110"/>
      <c r="I814" s="110"/>
      <c r="L814" s="133">
        <v>43201</v>
      </c>
      <c r="M814" s="110">
        <v>56.12</v>
      </c>
      <c r="N814" s="110">
        <v>57.2</v>
      </c>
      <c r="O814" s="110">
        <v>55.68</v>
      </c>
      <c r="P814" s="110">
        <v>57</v>
      </c>
      <c r="Q814" s="110">
        <v>280.60000000000002</v>
      </c>
      <c r="R814">
        <v>7014758</v>
      </c>
    </row>
    <row r="815" spans="1:18" x14ac:dyDescent="0.25">
      <c r="A815" s="133">
        <v>43202</v>
      </c>
      <c r="B815" s="110">
        <v>56.92</v>
      </c>
      <c r="C815" s="110">
        <v>55.57</v>
      </c>
      <c r="D815" s="110">
        <v>55.27</v>
      </c>
      <c r="E815" s="110">
        <v>55.86</v>
      </c>
      <c r="F815" s="110">
        <v>277.85000000000002</v>
      </c>
      <c r="G815">
        <v>382491</v>
      </c>
      <c r="H815" s="110"/>
      <c r="I815" s="110"/>
      <c r="L815" s="133">
        <v>43202</v>
      </c>
      <c r="M815" s="110">
        <v>55.6</v>
      </c>
      <c r="N815" s="110">
        <v>56.97</v>
      </c>
      <c r="O815" s="110">
        <v>55.31</v>
      </c>
      <c r="P815" s="110">
        <v>55.96</v>
      </c>
      <c r="Q815" s="110">
        <v>278</v>
      </c>
      <c r="R815">
        <v>6776149</v>
      </c>
    </row>
    <row r="816" spans="1:18" x14ac:dyDescent="0.25">
      <c r="A816" s="133">
        <v>43203</v>
      </c>
      <c r="B816" s="110">
        <v>57.42</v>
      </c>
      <c r="C816" s="110">
        <v>56.67</v>
      </c>
      <c r="D816" s="110">
        <v>55.81</v>
      </c>
      <c r="E816" s="110">
        <v>56.39</v>
      </c>
      <c r="F816" s="110">
        <v>283.35000000000002</v>
      </c>
      <c r="G816">
        <v>545863</v>
      </c>
      <c r="H816" s="110"/>
      <c r="I816" s="110"/>
      <c r="L816" s="133">
        <v>43203</v>
      </c>
      <c r="M816" s="110">
        <v>56.79</v>
      </c>
      <c r="N816" s="110">
        <v>57.4</v>
      </c>
      <c r="O816" s="110">
        <v>55.66</v>
      </c>
      <c r="P816" s="110">
        <v>56</v>
      </c>
      <c r="Q816" s="110">
        <v>283.95</v>
      </c>
      <c r="R816">
        <v>8037856</v>
      </c>
    </row>
    <row r="817" spans="1:18" x14ac:dyDescent="0.25">
      <c r="A817" s="133">
        <v>43206</v>
      </c>
      <c r="B817" s="110">
        <v>57.3</v>
      </c>
      <c r="C817" s="110">
        <v>56.35</v>
      </c>
      <c r="D817" s="110">
        <v>55.8</v>
      </c>
      <c r="E817" s="110">
        <v>57.3</v>
      </c>
      <c r="F817" s="110">
        <v>281.75</v>
      </c>
      <c r="G817">
        <v>338345</v>
      </c>
      <c r="H817" s="110"/>
      <c r="I817" s="110"/>
      <c r="L817" s="133">
        <v>43206</v>
      </c>
      <c r="M817" s="110">
        <v>56.42</v>
      </c>
      <c r="N817" s="110">
        <v>57.08</v>
      </c>
      <c r="O817" s="110">
        <v>56.06</v>
      </c>
      <c r="P817" s="110">
        <v>56.71</v>
      </c>
      <c r="Q817" s="110">
        <v>282.10000000000002</v>
      </c>
      <c r="R817">
        <v>6110453</v>
      </c>
    </row>
    <row r="818" spans="1:18" x14ac:dyDescent="0.25">
      <c r="A818" s="133">
        <v>43207</v>
      </c>
      <c r="B818" s="110">
        <v>57.54</v>
      </c>
      <c r="C818" s="110">
        <v>54.97</v>
      </c>
      <c r="D818" s="110">
        <v>54.26</v>
      </c>
      <c r="E818" s="110">
        <v>57.54</v>
      </c>
      <c r="F818" s="110">
        <v>274.85000000000002</v>
      </c>
      <c r="G818">
        <v>494822</v>
      </c>
      <c r="H818" s="110"/>
      <c r="I818" s="110"/>
      <c r="L818" s="133">
        <v>43207</v>
      </c>
      <c r="M818" s="110">
        <v>54.94</v>
      </c>
      <c r="N818" s="110">
        <v>57.14</v>
      </c>
      <c r="O818" s="110">
        <v>54.48</v>
      </c>
      <c r="P818" s="110">
        <v>57</v>
      </c>
      <c r="Q818" s="110">
        <v>274.7</v>
      </c>
      <c r="R818">
        <v>7060863</v>
      </c>
    </row>
    <row r="819" spans="1:18" x14ac:dyDescent="0.25">
      <c r="A819" s="133">
        <v>43208</v>
      </c>
      <c r="B819" s="110">
        <v>56.49</v>
      </c>
      <c r="C819" s="110">
        <v>55.36</v>
      </c>
      <c r="D819" s="110">
        <v>54.9</v>
      </c>
      <c r="E819" s="110">
        <v>55.24</v>
      </c>
      <c r="F819" s="110">
        <v>276.8</v>
      </c>
      <c r="G819">
        <v>551294</v>
      </c>
      <c r="H819" s="110"/>
      <c r="I819" s="110"/>
      <c r="L819" s="133">
        <v>43208</v>
      </c>
      <c r="M819" s="110">
        <v>55.46</v>
      </c>
      <c r="N819" s="110">
        <v>56.49</v>
      </c>
      <c r="O819" s="110">
        <v>54.86</v>
      </c>
      <c r="P819" s="110">
        <v>55.48</v>
      </c>
      <c r="Q819" s="110">
        <v>277.3</v>
      </c>
      <c r="R819">
        <v>8812949</v>
      </c>
    </row>
    <row r="820" spans="1:18" x14ac:dyDescent="0.25">
      <c r="A820" s="133">
        <v>43209</v>
      </c>
      <c r="B820" s="110">
        <v>55.97</v>
      </c>
      <c r="C820" s="110">
        <v>55.64</v>
      </c>
      <c r="D820" s="110">
        <v>55.3</v>
      </c>
      <c r="E820" s="110">
        <v>55.46</v>
      </c>
      <c r="F820" s="110">
        <v>278.2</v>
      </c>
      <c r="G820">
        <v>251445</v>
      </c>
      <c r="H820" s="110"/>
      <c r="I820" s="110"/>
      <c r="L820" s="133">
        <v>43209</v>
      </c>
      <c r="M820" s="110">
        <v>55.66</v>
      </c>
      <c r="N820" s="110">
        <v>55.98</v>
      </c>
      <c r="O820" s="110">
        <v>55.24</v>
      </c>
      <c r="P820" s="110">
        <v>55.61</v>
      </c>
      <c r="Q820" s="110">
        <v>278.3</v>
      </c>
      <c r="R820">
        <v>3754586</v>
      </c>
    </row>
    <row r="821" spans="1:18" x14ac:dyDescent="0.25">
      <c r="A821" s="133">
        <v>43210</v>
      </c>
      <c r="B821" s="110">
        <v>55.34</v>
      </c>
      <c r="C821" s="110">
        <v>51.7</v>
      </c>
      <c r="D821" s="110">
        <v>51.12</v>
      </c>
      <c r="E821" s="110">
        <v>55</v>
      </c>
      <c r="F821" s="110">
        <v>258.5</v>
      </c>
      <c r="G821">
        <v>983333</v>
      </c>
      <c r="H821" s="110"/>
      <c r="I821" s="110"/>
      <c r="L821" s="133">
        <v>43210</v>
      </c>
      <c r="M821" s="110">
        <v>51.74</v>
      </c>
      <c r="N821" s="110">
        <v>55.45</v>
      </c>
      <c r="O821" s="110">
        <v>51.08</v>
      </c>
      <c r="P821" s="110">
        <v>55.4</v>
      </c>
      <c r="Q821" s="110">
        <v>258.7</v>
      </c>
      <c r="R821">
        <v>11834609</v>
      </c>
    </row>
    <row r="822" spans="1:18" x14ac:dyDescent="0.25">
      <c r="A822" s="133">
        <v>43213</v>
      </c>
      <c r="B822" s="110">
        <v>52.97</v>
      </c>
      <c r="C822" s="110">
        <v>52.49</v>
      </c>
      <c r="D822" s="110">
        <v>50.26</v>
      </c>
      <c r="E822" s="110">
        <v>51.2</v>
      </c>
      <c r="F822" s="110">
        <v>262.45</v>
      </c>
      <c r="G822">
        <v>1118434</v>
      </c>
      <c r="H822" s="110"/>
      <c r="I822" s="110"/>
      <c r="L822" s="133">
        <v>43213</v>
      </c>
      <c r="M822" s="110">
        <v>52.63</v>
      </c>
      <c r="N822" s="110">
        <v>53</v>
      </c>
      <c r="O822" s="110">
        <v>50.21</v>
      </c>
      <c r="P822" s="110">
        <v>51.06</v>
      </c>
      <c r="Q822" s="110">
        <v>263.14999999999998</v>
      </c>
      <c r="R822">
        <v>14182770</v>
      </c>
    </row>
    <row r="823" spans="1:18" x14ac:dyDescent="0.25">
      <c r="A823" s="133">
        <v>43214</v>
      </c>
      <c r="B823" s="110">
        <v>52.98</v>
      </c>
      <c r="C823" s="110">
        <v>51.54</v>
      </c>
      <c r="D823" s="110">
        <v>50.22</v>
      </c>
      <c r="E823" s="110">
        <v>52.4</v>
      </c>
      <c r="F823" s="110">
        <v>257.7</v>
      </c>
      <c r="G823">
        <v>562454</v>
      </c>
      <c r="H823" s="110"/>
      <c r="I823" s="110"/>
      <c r="L823" s="133">
        <v>43214</v>
      </c>
      <c r="M823" s="110">
        <v>51.74</v>
      </c>
      <c r="N823" s="110">
        <v>52.97</v>
      </c>
      <c r="O823" s="110">
        <v>51.55</v>
      </c>
      <c r="P823" s="110">
        <v>52.6</v>
      </c>
      <c r="Q823" s="110">
        <v>258.7</v>
      </c>
      <c r="R823">
        <v>6380799</v>
      </c>
    </row>
    <row r="824" spans="1:18" x14ac:dyDescent="0.25">
      <c r="A824" s="133">
        <v>43215</v>
      </c>
      <c r="B824" s="110">
        <v>51.96</v>
      </c>
      <c r="C824" s="110">
        <v>50.81</v>
      </c>
      <c r="D824" s="110">
        <v>50.27</v>
      </c>
      <c r="E824" s="110">
        <v>51.59</v>
      </c>
      <c r="F824" s="110">
        <v>254.05</v>
      </c>
      <c r="G824">
        <v>536330</v>
      </c>
      <c r="H824" s="110"/>
      <c r="I824" s="110"/>
      <c r="L824" s="133">
        <v>43215</v>
      </c>
      <c r="M824" s="110">
        <v>50.87</v>
      </c>
      <c r="N824" s="110">
        <v>52.05</v>
      </c>
      <c r="O824" s="110">
        <v>50.42</v>
      </c>
      <c r="P824" s="110">
        <v>51</v>
      </c>
      <c r="Q824" s="110">
        <v>254.35</v>
      </c>
      <c r="R824">
        <v>6814214</v>
      </c>
    </row>
    <row r="825" spans="1:18" x14ac:dyDescent="0.25">
      <c r="A825" s="133">
        <v>43216</v>
      </c>
      <c r="B825" s="110">
        <v>51.14</v>
      </c>
      <c r="C825" s="110">
        <v>50.77</v>
      </c>
      <c r="D825" s="110">
        <v>50.09</v>
      </c>
      <c r="E825" s="110">
        <v>50.41</v>
      </c>
      <c r="F825" s="110">
        <v>253.85</v>
      </c>
      <c r="G825">
        <v>313607</v>
      </c>
      <c r="H825" s="110"/>
      <c r="I825" s="110"/>
      <c r="L825" s="133">
        <v>43216</v>
      </c>
      <c r="M825" s="110">
        <v>50.73</v>
      </c>
      <c r="N825" s="110">
        <v>51.14</v>
      </c>
      <c r="O825" s="110">
        <v>50.08</v>
      </c>
      <c r="P825" s="110">
        <v>50.84</v>
      </c>
      <c r="Q825" s="110">
        <v>253.65</v>
      </c>
      <c r="R825">
        <v>5202986</v>
      </c>
    </row>
    <row r="826" spans="1:18" x14ac:dyDescent="0.25">
      <c r="A826" s="133">
        <v>43217</v>
      </c>
      <c r="B826" s="110">
        <v>53.9</v>
      </c>
      <c r="C826" s="110">
        <v>52.14</v>
      </c>
      <c r="D826" s="110">
        <v>50.72</v>
      </c>
      <c r="E826" s="110">
        <v>50.72</v>
      </c>
      <c r="F826" s="110">
        <v>260.7</v>
      </c>
      <c r="G826">
        <v>686417</v>
      </c>
      <c r="H826" s="110"/>
      <c r="I826" s="110"/>
      <c r="L826" s="133">
        <v>43217</v>
      </c>
      <c r="M826" s="110">
        <v>52.21</v>
      </c>
      <c r="N826" s="110">
        <v>53.9</v>
      </c>
      <c r="O826" s="110">
        <v>50.9</v>
      </c>
      <c r="P826" s="110">
        <v>50.9</v>
      </c>
      <c r="Q826" s="110">
        <v>261.05</v>
      </c>
      <c r="R826">
        <v>9621546</v>
      </c>
    </row>
    <row r="827" spans="1:18" x14ac:dyDescent="0.25">
      <c r="A827" s="133">
        <v>43220</v>
      </c>
      <c r="B827" s="110">
        <v>53.5</v>
      </c>
      <c r="C827" s="110">
        <v>53.16</v>
      </c>
      <c r="D827" s="110">
        <v>51.73</v>
      </c>
      <c r="E827" s="110">
        <v>52.43</v>
      </c>
      <c r="F827" s="110">
        <v>265.8</v>
      </c>
      <c r="G827">
        <v>422586</v>
      </c>
      <c r="H827" s="110"/>
      <c r="I827" s="110"/>
      <c r="L827" s="133">
        <v>43220</v>
      </c>
      <c r="M827" s="110">
        <v>53.19</v>
      </c>
      <c r="N827" s="110">
        <v>53.55</v>
      </c>
      <c r="O827" s="110">
        <v>51.67</v>
      </c>
      <c r="P827" s="110">
        <v>52.4</v>
      </c>
      <c r="Q827" s="110">
        <v>265.95</v>
      </c>
      <c r="R827">
        <v>5303769</v>
      </c>
    </row>
    <row r="828" spans="1:18" x14ac:dyDescent="0.25">
      <c r="A828" s="133">
        <v>43222</v>
      </c>
      <c r="B828" s="110">
        <v>53.54</v>
      </c>
      <c r="C828" s="110">
        <v>51.32</v>
      </c>
      <c r="D828" s="110">
        <v>50.76</v>
      </c>
      <c r="E828" s="110">
        <v>53</v>
      </c>
      <c r="F828" s="110">
        <v>256.60000000000002</v>
      </c>
      <c r="G828">
        <v>383074</v>
      </c>
      <c r="H828" s="110"/>
      <c r="I828" s="110"/>
      <c r="L828" s="133">
        <v>43222</v>
      </c>
      <c r="M828" s="110">
        <v>51.27</v>
      </c>
      <c r="N828" s="110">
        <v>53.58</v>
      </c>
      <c r="O828" s="110">
        <v>50.73</v>
      </c>
      <c r="P828" s="110">
        <v>53.2</v>
      </c>
      <c r="Q828" s="110">
        <v>256.35000000000002</v>
      </c>
      <c r="R828">
        <v>5125762</v>
      </c>
    </row>
    <row r="829" spans="1:18" x14ac:dyDescent="0.25">
      <c r="A829" s="133">
        <v>43223</v>
      </c>
      <c r="B829" s="110">
        <v>52.28</v>
      </c>
      <c r="C829" s="110">
        <v>51.41</v>
      </c>
      <c r="D829" s="110">
        <v>50.54</v>
      </c>
      <c r="E829" s="110">
        <v>51.6</v>
      </c>
      <c r="F829" s="110">
        <v>257.05</v>
      </c>
      <c r="G829">
        <v>417646</v>
      </c>
      <c r="H829" s="110"/>
      <c r="I829" s="110"/>
      <c r="L829" s="133">
        <v>43223</v>
      </c>
      <c r="M829" s="110">
        <v>51.48</v>
      </c>
      <c r="N829" s="110">
        <v>52.3</v>
      </c>
      <c r="O829" s="110">
        <v>50.58</v>
      </c>
      <c r="P829" s="110">
        <v>51.18</v>
      </c>
      <c r="Q829" s="110">
        <v>257.39999999999998</v>
      </c>
      <c r="R829">
        <v>6074628</v>
      </c>
    </row>
    <row r="830" spans="1:18" x14ac:dyDescent="0.25">
      <c r="A830" s="133">
        <v>43224</v>
      </c>
      <c r="B830" s="110">
        <v>52.23</v>
      </c>
      <c r="C830" s="110">
        <v>51.11</v>
      </c>
      <c r="D830" s="110">
        <v>50.64</v>
      </c>
      <c r="E830" s="110">
        <v>51.56</v>
      </c>
      <c r="F830" s="110">
        <v>255.55</v>
      </c>
      <c r="G830">
        <v>290384</v>
      </c>
      <c r="H830" s="110"/>
      <c r="I830" s="110"/>
      <c r="L830" s="133">
        <v>43224</v>
      </c>
      <c r="M830" s="110">
        <v>51.12</v>
      </c>
      <c r="N830" s="110">
        <v>52.26</v>
      </c>
      <c r="O830" s="110">
        <v>50.64</v>
      </c>
      <c r="P830" s="110">
        <v>51.4</v>
      </c>
      <c r="Q830" s="110">
        <v>255.6</v>
      </c>
      <c r="R830">
        <v>5209704</v>
      </c>
    </row>
    <row r="831" spans="1:18" x14ac:dyDescent="0.25">
      <c r="A831" s="133">
        <v>43227</v>
      </c>
      <c r="B831" s="110">
        <v>52.72</v>
      </c>
      <c r="C831" s="110">
        <v>52.51</v>
      </c>
      <c r="D831" s="110">
        <v>51.35</v>
      </c>
      <c r="E831" s="110">
        <v>51.63</v>
      </c>
      <c r="F831" s="110">
        <v>262.55</v>
      </c>
      <c r="G831">
        <v>242882</v>
      </c>
      <c r="H831" s="110"/>
      <c r="I831" s="110"/>
      <c r="L831" s="133">
        <v>43227</v>
      </c>
      <c r="M831" s="110">
        <v>52.55</v>
      </c>
      <c r="N831" s="110">
        <v>52.72</v>
      </c>
      <c r="O831" s="110">
        <v>51.35</v>
      </c>
      <c r="P831" s="110">
        <v>51.58</v>
      </c>
      <c r="Q831" s="110">
        <v>262.75</v>
      </c>
      <c r="R831">
        <v>4112161</v>
      </c>
    </row>
    <row r="832" spans="1:18" x14ac:dyDescent="0.25">
      <c r="A832" s="133">
        <v>43228</v>
      </c>
      <c r="B832" s="110">
        <v>54.45</v>
      </c>
      <c r="C832" s="110">
        <v>52.33</v>
      </c>
      <c r="D832" s="110">
        <v>51.21</v>
      </c>
      <c r="E832" s="110">
        <v>53.17</v>
      </c>
      <c r="F832" s="110">
        <v>261.64999999999998</v>
      </c>
      <c r="G832">
        <v>679984</v>
      </c>
      <c r="H832" s="110"/>
      <c r="I832" s="110"/>
      <c r="L832" s="133">
        <v>43228</v>
      </c>
      <c r="M832" s="110">
        <v>52.42</v>
      </c>
      <c r="N832" s="110">
        <v>54.4</v>
      </c>
      <c r="O832" s="110">
        <v>51.19</v>
      </c>
      <c r="P832" s="110">
        <v>52.72</v>
      </c>
      <c r="Q832" s="110">
        <v>262.10000000000002</v>
      </c>
      <c r="R832">
        <v>9011403</v>
      </c>
    </row>
    <row r="833" spans="1:18" x14ac:dyDescent="0.25">
      <c r="A833" s="133">
        <v>43229</v>
      </c>
      <c r="B833" s="110">
        <v>52.59</v>
      </c>
      <c r="C833" s="110">
        <v>51.61</v>
      </c>
      <c r="D833" s="110">
        <v>51.11</v>
      </c>
      <c r="E833" s="110">
        <v>52.56</v>
      </c>
      <c r="F833" s="110">
        <v>258.05</v>
      </c>
      <c r="G833">
        <v>309800</v>
      </c>
      <c r="H833" s="110"/>
      <c r="I833" s="110"/>
      <c r="L833" s="133">
        <v>43229</v>
      </c>
      <c r="M833" s="110">
        <v>51.59</v>
      </c>
      <c r="N833" s="110">
        <v>52.63</v>
      </c>
      <c r="O833" s="110">
        <v>51.4</v>
      </c>
      <c r="P833" s="110">
        <v>52.29</v>
      </c>
      <c r="Q833" s="110">
        <v>257.95</v>
      </c>
      <c r="R833">
        <v>5572575</v>
      </c>
    </row>
    <row r="834" spans="1:18" x14ac:dyDescent="0.25">
      <c r="A834" s="133">
        <v>43230</v>
      </c>
      <c r="B834" s="110">
        <v>52.29</v>
      </c>
      <c r="C834" s="110">
        <v>49.73</v>
      </c>
      <c r="D834" s="110">
        <v>49.32</v>
      </c>
      <c r="E834" s="110">
        <v>51.63</v>
      </c>
      <c r="F834" s="110">
        <v>248.65</v>
      </c>
      <c r="G834">
        <v>467725</v>
      </c>
      <c r="H834" s="110"/>
      <c r="I834" s="110"/>
      <c r="L834" s="133">
        <v>43230</v>
      </c>
      <c r="M834" s="110">
        <v>49.72</v>
      </c>
      <c r="N834" s="110">
        <v>52.3</v>
      </c>
      <c r="O834" s="110">
        <v>49.37</v>
      </c>
      <c r="P834" s="110">
        <v>51.92</v>
      </c>
      <c r="Q834" s="110">
        <v>248.6</v>
      </c>
      <c r="R834">
        <v>6228640</v>
      </c>
    </row>
    <row r="835" spans="1:18" x14ac:dyDescent="0.25">
      <c r="A835" s="133">
        <v>43231</v>
      </c>
      <c r="B835" s="110">
        <v>49.93</v>
      </c>
      <c r="C835" s="110">
        <v>49.27</v>
      </c>
      <c r="D835" s="110">
        <v>48.55</v>
      </c>
      <c r="E835" s="110">
        <v>48.99</v>
      </c>
      <c r="F835" s="110">
        <v>246.35</v>
      </c>
      <c r="G835">
        <v>594833</v>
      </c>
      <c r="H835" s="110"/>
      <c r="I835" s="110"/>
      <c r="L835" s="133">
        <v>43231</v>
      </c>
      <c r="M835" s="110">
        <v>49.34</v>
      </c>
      <c r="N835" s="110">
        <v>50.04</v>
      </c>
      <c r="O835" s="110">
        <v>48.25</v>
      </c>
      <c r="P835" s="110">
        <v>48.25</v>
      </c>
      <c r="Q835" s="110">
        <v>246.7</v>
      </c>
      <c r="R835">
        <v>9401394</v>
      </c>
    </row>
    <row r="836" spans="1:18" x14ac:dyDescent="0.25">
      <c r="A836" s="133">
        <v>43234</v>
      </c>
      <c r="B836" s="110">
        <v>51.64</v>
      </c>
      <c r="C836" s="110">
        <v>49.96</v>
      </c>
      <c r="D836" s="110">
        <v>47.23</v>
      </c>
      <c r="E836" s="110">
        <v>47.23</v>
      </c>
      <c r="F836" s="110">
        <v>249.8</v>
      </c>
      <c r="G836">
        <v>1650045</v>
      </c>
      <c r="H836" s="110"/>
      <c r="I836" s="110"/>
      <c r="L836" s="133">
        <v>43234</v>
      </c>
      <c r="M836" s="110">
        <v>49.87</v>
      </c>
      <c r="N836" s="110">
        <v>51.7</v>
      </c>
      <c r="O836" s="110">
        <v>47.59</v>
      </c>
      <c r="P836" s="110">
        <v>47.61</v>
      </c>
      <c r="Q836" s="110">
        <v>249.35</v>
      </c>
      <c r="R836">
        <v>22632896</v>
      </c>
    </row>
    <row r="837" spans="1:18" x14ac:dyDescent="0.25">
      <c r="A837" s="133">
        <v>43235</v>
      </c>
      <c r="B837" s="110">
        <v>50.58</v>
      </c>
      <c r="C837" s="110">
        <v>48.4</v>
      </c>
      <c r="D837" s="110">
        <v>48.11</v>
      </c>
      <c r="E837" s="110">
        <v>49.8</v>
      </c>
      <c r="F837" s="110">
        <v>242</v>
      </c>
      <c r="G837">
        <v>965561</v>
      </c>
      <c r="H837" s="110"/>
      <c r="I837" s="110"/>
      <c r="L837" s="133">
        <v>43235</v>
      </c>
      <c r="M837" s="110">
        <v>48.4</v>
      </c>
      <c r="N837" s="110">
        <v>50.62</v>
      </c>
      <c r="O837" s="110">
        <v>48.06</v>
      </c>
      <c r="P837" s="110">
        <v>49.61</v>
      </c>
      <c r="Q837" s="110">
        <v>242</v>
      </c>
      <c r="R837">
        <v>10874932</v>
      </c>
    </row>
    <row r="838" spans="1:18" x14ac:dyDescent="0.25">
      <c r="A838" s="133">
        <v>43236</v>
      </c>
      <c r="B838" s="110">
        <v>49.25</v>
      </c>
      <c r="C838" s="110">
        <v>48.17</v>
      </c>
      <c r="D838" s="110">
        <v>47.02</v>
      </c>
      <c r="E838" s="110">
        <v>48.38</v>
      </c>
      <c r="F838" s="110">
        <v>240.85</v>
      </c>
      <c r="G838">
        <v>724653</v>
      </c>
      <c r="H838" s="110"/>
      <c r="I838" s="110"/>
      <c r="L838" s="133">
        <v>43236</v>
      </c>
      <c r="M838" s="110">
        <v>48.2</v>
      </c>
      <c r="N838" s="110">
        <v>49.28</v>
      </c>
      <c r="O838" s="110">
        <v>47.02</v>
      </c>
      <c r="P838" s="110">
        <v>48.15</v>
      </c>
      <c r="Q838" s="110">
        <v>241</v>
      </c>
      <c r="R838">
        <v>10658573</v>
      </c>
    </row>
    <row r="839" spans="1:18" x14ac:dyDescent="0.25">
      <c r="A839" s="133">
        <v>43237</v>
      </c>
      <c r="B839" s="110">
        <v>48.8</v>
      </c>
      <c r="C839" s="110">
        <v>47.95</v>
      </c>
      <c r="D839" s="110">
        <v>47.54</v>
      </c>
      <c r="E839" s="110">
        <v>48.4</v>
      </c>
      <c r="F839" s="110">
        <v>239.75</v>
      </c>
      <c r="G839">
        <v>392372</v>
      </c>
      <c r="H839" s="110"/>
      <c r="I839" s="110"/>
      <c r="L839" s="133">
        <v>43237</v>
      </c>
      <c r="M839" s="110">
        <v>47.98</v>
      </c>
      <c r="N839" s="110">
        <v>48.87</v>
      </c>
      <c r="O839" s="110">
        <v>47.67</v>
      </c>
      <c r="P839" s="110">
        <v>48.76</v>
      </c>
      <c r="Q839" s="110">
        <v>239.9</v>
      </c>
      <c r="R839">
        <v>6310503</v>
      </c>
    </row>
    <row r="840" spans="1:18" x14ac:dyDescent="0.25">
      <c r="A840" s="133">
        <v>43238</v>
      </c>
      <c r="B840" s="110">
        <v>49.1</v>
      </c>
      <c r="C840" s="110">
        <v>47.1</v>
      </c>
      <c r="D840" s="110">
        <v>46.8</v>
      </c>
      <c r="E840" s="110">
        <v>49.1</v>
      </c>
      <c r="F840" s="110">
        <v>235.5</v>
      </c>
      <c r="G840">
        <v>354695</v>
      </c>
      <c r="H840" s="110"/>
      <c r="I840" s="110"/>
      <c r="L840" s="133">
        <v>43238</v>
      </c>
      <c r="M840" s="110">
        <v>47.14</v>
      </c>
      <c r="N840" s="110">
        <v>48.16</v>
      </c>
      <c r="O840" s="110">
        <v>46.9</v>
      </c>
      <c r="P840" s="110">
        <v>48</v>
      </c>
      <c r="Q840" s="110">
        <v>235.7</v>
      </c>
      <c r="R840">
        <v>5497916</v>
      </c>
    </row>
    <row r="841" spans="1:18" x14ac:dyDescent="0.25">
      <c r="A841" s="133">
        <v>43241</v>
      </c>
      <c r="B841" s="110">
        <v>49.92</v>
      </c>
      <c r="C841" s="110">
        <v>49.17</v>
      </c>
      <c r="D841" s="110">
        <v>47.07</v>
      </c>
      <c r="E841" s="110">
        <v>47.5</v>
      </c>
      <c r="F841" s="110">
        <v>245.85</v>
      </c>
      <c r="G841">
        <v>622887</v>
      </c>
      <c r="H841" s="110"/>
      <c r="I841" s="110"/>
      <c r="L841" s="133">
        <v>43241</v>
      </c>
      <c r="M841" s="110">
        <v>49.13</v>
      </c>
      <c r="N841" s="110">
        <v>49.96</v>
      </c>
      <c r="O841" s="110">
        <v>47.03</v>
      </c>
      <c r="P841" s="110">
        <v>48.14</v>
      </c>
      <c r="Q841" s="110">
        <v>245.65</v>
      </c>
      <c r="R841">
        <v>9145305</v>
      </c>
    </row>
    <row r="842" spans="1:18" x14ac:dyDescent="0.25">
      <c r="A842" s="133">
        <v>43242</v>
      </c>
      <c r="B842" s="110">
        <v>50.51</v>
      </c>
      <c r="C842" s="110">
        <v>49.13</v>
      </c>
      <c r="D842" s="110">
        <v>48.12</v>
      </c>
      <c r="E842" s="110">
        <v>48.7</v>
      </c>
      <c r="F842" s="110">
        <v>245.65</v>
      </c>
      <c r="G842">
        <v>601780</v>
      </c>
      <c r="H842" s="110"/>
      <c r="I842" s="110"/>
      <c r="L842" s="133">
        <v>43242</v>
      </c>
      <c r="M842" s="110">
        <v>49.14</v>
      </c>
      <c r="N842" s="110">
        <v>50.59</v>
      </c>
      <c r="O842" s="110">
        <v>48.07</v>
      </c>
      <c r="P842" s="110">
        <v>49</v>
      </c>
      <c r="Q842" s="110">
        <v>245.7</v>
      </c>
      <c r="R842">
        <v>9437272</v>
      </c>
    </row>
    <row r="843" spans="1:18" x14ac:dyDescent="0.25">
      <c r="A843" s="133">
        <v>43243</v>
      </c>
      <c r="B843" s="110">
        <v>51.24</v>
      </c>
      <c r="C843" s="110">
        <v>48.52</v>
      </c>
      <c r="D843" s="110">
        <v>47.83</v>
      </c>
      <c r="E843" s="110">
        <v>48.8</v>
      </c>
      <c r="F843" s="110">
        <v>242.6</v>
      </c>
      <c r="G843">
        <v>733983</v>
      </c>
      <c r="H843" s="110"/>
      <c r="I843" s="110"/>
      <c r="L843" s="133">
        <v>43243</v>
      </c>
      <c r="M843" s="110">
        <v>48.54</v>
      </c>
      <c r="N843" s="110">
        <v>51.28</v>
      </c>
      <c r="O843" s="110">
        <v>47.79</v>
      </c>
      <c r="P843" s="110">
        <v>48.73</v>
      </c>
      <c r="Q843" s="110">
        <v>242.7</v>
      </c>
      <c r="R843">
        <v>11760578</v>
      </c>
    </row>
    <row r="844" spans="1:18" x14ac:dyDescent="0.25">
      <c r="A844" s="133">
        <v>43244</v>
      </c>
      <c r="B844" s="110">
        <v>49.65</v>
      </c>
      <c r="C844" s="110">
        <v>49.02</v>
      </c>
      <c r="D844" s="110">
        <v>48.1</v>
      </c>
      <c r="E844" s="110">
        <v>48.6</v>
      </c>
      <c r="F844" s="110">
        <v>245.1</v>
      </c>
      <c r="G844">
        <v>527453</v>
      </c>
      <c r="H844" s="110"/>
      <c r="I844" s="110"/>
      <c r="L844" s="133">
        <v>43244</v>
      </c>
      <c r="M844" s="110">
        <v>49.02</v>
      </c>
      <c r="N844" s="110">
        <v>49.68</v>
      </c>
      <c r="O844" s="110">
        <v>48.09</v>
      </c>
      <c r="P844" s="110">
        <v>48.8</v>
      </c>
      <c r="Q844" s="110">
        <v>245.1</v>
      </c>
      <c r="R844">
        <v>7672279</v>
      </c>
    </row>
    <row r="845" spans="1:18" x14ac:dyDescent="0.25">
      <c r="A845" s="133">
        <v>43245</v>
      </c>
      <c r="B845" s="110">
        <v>51.08</v>
      </c>
      <c r="C845" s="110">
        <v>50.65</v>
      </c>
      <c r="D845" s="110">
        <v>48.88</v>
      </c>
      <c r="E845" s="110">
        <v>49.49</v>
      </c>
      <c r="F845" s="110">
        <v>253.25</v>
      </c>
      <c r="G845">
        <v>387592</v>
      </c>
      <c r="H845" s="110"/>
      <c r="I845" s="110"/>
      <c r="L845" s="133">
        <v>43245</v>
      </c>
      <c r="M845" s="110">
        <v>50.64</v>
      </c>
      <c r="N845" s="110">
        <v>51.2</v>
      </c>
      <c r="O845" s="110">
        <v>48.84</v>
      </c>
      <c r="P845" s="110">
        <v>49.06</v>
      </c>
      <c r="Q845" s="110">
        <v>253.2</v>
      </c>
      <c r="R845">
        <v>6004845</v>
      </c>
    </row>
    <row r="846" spans="1:18" x14ac:dyDescent="0.25">
      <c r="A846" s="133">
        <v>43248</v>
      </c>
      <c r="B846" s="110">
        <v>53.67</v>
      </c>
      <c r="C846" s="110">
        <v>52.92</v>
      </c>
      <c r="D846" s="110">
        <v>50.85</v>
      </c>
      <c r="E846" s="110">
        <v>51</v>
      </c>
      <c r="F846" s="110">
        <v>264.60000000000002</v>
      </c>
      <c r="G846">
        <v>597216</v>
      </c>
      <c r="H846" s="110"/>
      <c r="I846" s="110"/>
      <c r="L846" s="133">
        <v>43248</v>
      </c>
      <c r="M846" s="110">
        <v>52.89</v>
      </c>
      <c r="N846" s="110">
        <v>53.69</v>
      </c>
      <c r="O846" s="110">
        <v>50.8</v>
      </c>
      <c r="P846" s="110">
        <v>51.05</v>
      </c>
      <c r="Q846" s="110">
        <v>264.45</v>
      </c>
      <c r="R846">
        <v>10188035</v>
      </c>
    </row>
    <row r="847" spans="1:18" x14ac:dyDescent="0.25">
      <c r="A847" s="133">
        <v>43249</v>
      </c>
      <c r="B847" s="110">
        <v>53.2</v>
      </c>
      <c r="C847" s="110">
        <v>51.33</v>
      </c>
      <c r="D847" s="110">
        <v>51.03</v>
      </c>
      <c r="E847" s="110">
        <v>53.2</v>
      </c>
      <c r="F847" s="110">
        <v>256.64999999999998</v>
      </c>
      <c r="G847">
        <v>357957</v>
      </c>
      <c r="H847" s="110"/>
      <c r="I847" s="110"/>
      <c r="L847" s="133">
        <v>43249</v>
      </c>
      <c r="M847" s="110">
        <v>51.37</v>
      </c>
      <c r="N847" s="110">
        <v>52.78</v>
      </c>
      <c r="O847" s="110">
        <v>51.04</v>
      </c>
      <c r="P847" s="110">
        <v>52.72</v>
      </c>
      <c r="Q847" s="110">
        <v>256.85000000000002</v>
      </c>
      <c r="R847">
        <v>7382033</v>
      </c>
    </row>
    <row r="848" spans="1:18" x14ac:dyDescent="0.25">
      <c r="A848" s="133">
        <v>43250</v>
      </c>
      <c r="B848" s="110">
        <v>51.68</v>
      </c>
      <c r="C848" s="110">
        <v>51.19</v>
      </c>
      <c r="D848" s="110">
        <v>50.14</v>
      </c>
      <c r="E848" s="110">
        <v>50.35</v>
      </c>
      <c r="F848" s="110">
        <v>255.95</v>
      </c>
      <c r="G848">
        <v>501355</v>
      </c>
      <c r="H848" s="110"/>
      <c r="I848" s="110"/>
      <c r="L848" s="133">
        <v>43250</v>
      </c>
      <c r="M848" s="110">
        <v>51.23</v>
      </c>
      <c r="N848" s="110">
        <v>51.7</v>
      </c>
      <c r="O848" s="110">
        <v>50.09</v>
      </c>
      <c r="P848" s="110">
        <v>50.21</v>
      </c>
      <c r="Q848" s="110">
        <v>256.14999999999998</v>
      </c>
      <c r="R848">
        <v>8751798</v>
      </c>
    </row>
    <row r="849" spans="1:18" x14ac:dyDescent="0.25">
      <c r="A849" s="133">
        <v>43251</v>
      </c>
      <c r="B849" s="110">
        <v>51.86</v>
      </c>
      <c r="C849" s="110">
        <v>51.44</v>
      </c>
      <c r="D849" s="110">
        <v>50.54</v>
      </c>
      <c r="E849" s="110">
        <v>51.4</v>
      </c>
      <c r="F849" s="110">
        <v>257.2</v>
      </c>
      <c r="G849">
        <v>260079</v>
      </c>
      <c r="H849" s="110"/>
      <c r="I849" s="110"/>
      <c r="L849" s="133">
        <v>43251</v>
      </c>
      <c r="M849" s="110">
        <v>51.43</v>
      </c>
      <c r="N849" s="110">
        <v>51.9</v>
      </c>
      <c r="O849" s="110">
        <v>50.46</v>
      </c>
      <c r="P849" s="110">
        <v>51.4</v>
      </c>
      <c r="Q849" s="110">
        <v>257.14999999999998</v>
      </c>
      <c r="R849">
        <v>6413844</v>
      </c>
    </row>
    <row r="850" spans="1:18" x14ac:dyDescent="0.25">
      <c r="A850" s="133">
        <v>43252</v>
      </c>
      <c r="B850" s="110">
        <v>52.46</v>
      </c>
      <c r="C850" s="110">
        <v>51.13</v>
      </c>
      <c r="D850" s="110">
        <v>50.58</v>
      </c>
      <c r="E850" s="110">
        <v>51.6</v>
      </c>
      <c r="F850" s="110">
        <v>255.65</v>
      </c>
      <c r="G850">
        <v>409575</v>
      </c>
      <c r="H850" s="110"/>
      <c r="I850" s="110"/>
      <c r="L850" s="133">
        <v>43252</v>
      </c>
      <c r="M850" s="110">
        <v>51.19</v>
      </c>
      <c r="N850" s="110">
        <v>52.5</v>
      </c>
      <c r="O850" s="110">
        <v>50.52</v>
      </c>
      <c r="P850" s="110">
        <v>51.98</v>
      </c>
      <c r="Q850" s="110">
        <v>255.95</v>
      </c>
      <c r="R850">
        <v>7596170</v>
      </c>
    </row>
    <row r="851" spans="1:18" x14ac:dyDescent="0.25">
      <c r="A851" s="133">
        <v>43255</v>
      </c>
      <c r="B851" s="110">
        <v>51.89</v>
      </c>
      <c r="C851" s="110">
        <v>50.67</v>
      </c>
      <c r="D851" s="110">
        <v>50.44</v>
      </c>
      <c r="E851" s="110">
        <v>51</v>
      </c>
      <c r="F851" s="110">
        <v>253.35</v>
      </c>
      <c r="G851">
        <v>294119</v>
      </c>
      <c r="H851" s="110"/>
      <c r="I851" s="110"/>
      <c r="L851" s="133">
        <v>43255</v>
      </c>
      <c r="M851" s="110">
        <v>50.63</v>
      </c>
      <c r="N851" s="110">
        <v>51.94</v>
      </c>
      <c r="O851" s="110">
        <v>50.44</v>
      </c>
      <c r="P851" s="110">
        <v>51.4</v>
      </c>
      <c r="Q851" s="110">
        <v>253.15</v>
      </c>
      <c r="R851">
        <v>5716251</v>
      </c>
    </row>
    <row r="852" spans="1:18" x14ac:dyDescent="0.25">
      <c r="A852" s="133">
        <v>43256</v>
      </c>
      <c r="B852" s="110">
        <v>51.15</v>
      </c>
      <c r="C852" s="110">
        <v>50.66</v>
      </c>
      <c r="D852" s="110">
        <v>49.67</v>
      </c>
      <c r="E852" s="110">
        <v>50.8</v>
      </c>
      <c r="F852" s="110">
        <v>253.3</v>
      </c>
      <c r="G852">
        <v>312753</v>
      </c>
      <c r="H852" s="110"/>
      <c r="I852" s="110"/>
      <c r="L852" s="133">
        <v>43256</v>
      </c>
      <c r="M852" s="110">
        <v>50.72</v>
      </c>
      <c r="N852" s="110">
        <v>51.1</v>
      </c>
      <c r="O852" s="110">
        <v>49.62</v>
      </c>
      <c r="P852" s="110">
        <v>50.95</v>
      </c>
      <c r="Q852" s="110">
        <v>253.6</v>
      </c>
      <c r="R852">
        <v>5981740</v>
      </c>
    </row>
    <row r="853" spans="1:18" x14ac:dyDescent="0.25">
      <c r="A853" s="133">
        <v>43257</v>
      </c>
      <c r="B853" s="110">
        <v>52.4</v>
      </c>
      <c r="C853" s="110">
        <v>52.06</v>
      </c>
      <c r="D853" s="110">
        <v>50.4</v>
      </c>
      <c r="E853" s="110">
        <v>50.8</v>
      </c>
      <c r="F853" s="110">
        <v>260.3</v>
      </c>
      <c r="G853">
        <v>331605</v>
      </c>
      <c r="H853" s="110"/>
      <c r="I853" s="110"/>
      <c r="L853" s="133">
        <v>43257</v>
      </c>
      <c r="M853" s="110">
        <v>52.12</v>
      </c>
      <c r="N853" s="110">
        <v>52.45</v>
      </c>
      <c r="O853" s="110">
        <v>50.32</v>
      </c>
      <c r="P853" s="110">
        <v>50.93</v>
      </c>
      <c r="Q853" s="110">
        <v>260.60000000000002</v>
      </c>
      <c r="R853">
        <v>7625517</v>
      </c>
    </row>
    <row r="854" spans="1:18" x14ac:dyDescent="0.25">
      <c r="A854" s="133">
        <v>43258</v>
      </c>
      <c r="B854" s="110">
        <v>54.84</v>
      </c>
      <c r="C854" s="110">
        <v>54.35</v>
      </c>
      <c r="D854" s="110">
        <v>51.52</v>
      </c>
      <c r="E854" s="110">
        <v>51.62</v>
      </c>
      <c r="F854" s="110">
        <v>271.75</v>
      </c>
      <c r="G854">
        <v>590752</v>
      </c>
      <c r="H854" s="110"/>
      <c r="I854" s="110"/>
      <c r="L854" s="133">
        <v>43258</v>
      </c>
      <c r="M854" s="110">
        <v>54.46</v>
      </c>
      <c r="N854" s="110">
        <v>54.9</v>
      </c>
      <c r="O854" s="110">
        <v>51.51</v>
      </c>
      <c r="P854" s="110">
        <v>51.66</v>
      </c>
      <c r="Q854" s="110">
        <v>272.3</v>
      </c>
      <c r="R854">
        <v>13619646</v>
      </c>
    </row>
    <row r="855" spans="1:18" x14ac:dyDescent="0.25">
      <c r="A855" s="133">
        <v>43259</v>
      </c>
      <c r="B855" s="110">
        <v>55.5</v>
      </c>
      <c r="C855" s="110">
        <v>55.19</v>
      </c>
      <c r="D855" s="110">
        <v>53.62</v>
      </c>
      <c r="E855" s="110">
        <v>53.62</v>
      </c>
      <c r="F855" s="110">
        <v>275.95</v>
      </c>
      <c r="G855">
        <v>449729</v>
      </c>
      <c r="H855" s="110"/>
      <c r="I855" s="110"/>
      <c r="L855" s="133">
        <v>43259</v>
      </c>
      <c r="M855" s="110">
        <v>55.25</v>
      </c>
      <c r="N855" s="110">
        <v>55.56</v>
      </c>
      <c r="O855" s="110">
        <v>53.62</v>
      </c>
      <c r="P855" s="110">
        <v>53.98</v>
      </c>
      <c r="Q855" s="110">
        <v>276.25</v>
      </c>
      <c r="R855">
        <v>10440851</v>
      </c>
    </row>
    <row r="856" spans="1:18" x14ac:dyDescent="0.25">
      <c r="A856" s="133">
        <v>43262</v>
      </c>
      <c r="B856" s="110">
        <v>56.52</v>
      </c>
      <c r="C856" s="110">
        <v>55.02</v>
      </c>
      <c r="D856" s="110">
        <v>54.6</v>
      </c>
      <c r="E856" s="110">
        <v>55.56</v>
      </c>
      <c r="F856" s="110">
        <v>275.10000000000002</v>
      </c>
      <c r="G856">
        <v>315261</v>
      </c>
      <c r="H856" s="110"/>
      <c r="I856" s="110"/>
      <c r="L856" s="133">
        <v>43262</v>
      </c>
      <c r="M856" s="110">
        <v>54.99</v>
      </c>
      <c r="N856" s="110">
        <v>56.52</v>
      </c>
      <c r="O856" s="110">
        <v>54.51</v>
      </c>
      <c r="P856" s="110">
        <v>55.25</v>
      </c>
      <c r="Q856" s="110">
        <v>274.95</v>
      </c>
      <c r="R856">
        <v>7242102</v>
      </c>
    </row>
    <row r="857" spans="1:18" x14ac:dyDescent="0.25">
      <c r="A857" s="133">
        <v>43263</v>
      </c>
      <c r="B857" s="110">
        <v>56.4</v>
      </c>
      <c r="C857" s="110">
        <v>55.99</v>
      </c>
      <c r="D857" s="110">
        <v>54.67</v>
      </c>
      <c r="E857" s="110">
        <v>55.04</v>
      </c>
      <c r="F857" s="110">
        <v>279.95</v>
      </c>
      <c r="G857">
        <v>289162</v>
      </c>
      <c r="H857" s="110"/>
      <c r="I857" s="110"/>
      <c r="L857" s="133">
        <v>43263</v>
      </c>
      <c r="M857" s="110">
        <v>55.9</v>
      </c>
      <c r="N857" s="110">
        <v>56.2</v>
      </c>
      <c r="O857" s="110">
        <v>54.64</v>
      </c>
      <c r="P857" s="110">
        <v>54.64</v>
      </c>
      <c r="Q857" s="110">
        <v>279.5</v>
      </c>
      <c r="R857">
        <v>6664742</v>
      </c>
    </row>
    <row r="858" spans="1:18" x14ac:dyDescent="0.25">
      <c r="A858" s="133">
        <v>43264</v>
      </c>
      <c r="B858" s="110">
        <v>56.8</v>
      </c>
      <c r="C858" s="110">
        <v>56.04</v>
      </c>
      <c r="D858" s="110">
        <v>55.64</v>
      </c>
      <c r="E858" s="110">
        <v>56</v>
      </c>
      <c r="F858" s="110">
        <v>280.2</v>
      </c>
      <c r="G858">
        <v>284532</v>
      </c>
      <c r="H858" s="110"/>
      <c r="I858" s="110"/>
      <c r="L858" s="133">
        <v>43264</v>
      </c>
      <c r="M858" s="110">
        <v>56.07</v>
      </c>
      <c r="N858" s="110">
        <v>56.82</v>
      </c>
      <c r="O858" s="110">
        <v>55.64</v>
      </c>
      <c r="P858" s="110">
        <v>56.1</v>
      </c>
      <c r="Q858" s="110">
        <v>280.35000000000002</v>
      </c>
      <c r="R858">
        <v>5983072</v>
      </c>
    </row>
    <row r="859" spans="1:18" x14ac:dyDescent="0.25">
      <c r="A859" s="133">
        <v>43265</v>
      </c>
      <c r="B859" s="110">
        <v>55.9</v>
      </c>
      <c r="C859" s="110">
        <v>55.58</v>
      </c>
      <c r="D859" s="110">
        <v>54.62</v>
      </c>
      <c r="E859" s="110">
        <v>55.8</v>
      </c>
      <c r="F859" s="110">
        <v>277.89999999999998</v>
      </c>
      <c r="G859">
        <v>279598</v>
      </c>
      <c r="H859" s="110"/>
      <c r="I859" s="110"/>
      <c r="L859" s="133">
        <v>43265</v>
      </c>
      <c r="M859" s="110">
        <v>55.5</v>
      </c>
      <c r="N859" s="110">
        <v>55.95</v>
      </c>
      <c r="O859" s="110">
        <v>54.53</v>
      </c>
      <c r="P859" s="110">
        <v>55.95</v>
      </c>
      <c r="Q859" s="110">
        <v>277.5</v>
      </c>
      <c r="R859">
        <v>5940162</v>
      </c>
    </row>
    <row r="860" spans="1:18" x14ac:dyDescent="0.25">
      <c r="A860" s="133">
        <v>43266</v>
      </c>
      <c r="B860" s="110">
        <v>55.73</v>
      </c>
      <c r="C860" s="110">
        <v>53.97</v>
      </c>
      <c r="D860" s="110">
        <v>53.64</v>
      </c>
      <c r="E860" s="110">
        <v>55.62</v>
      </c>
      <c r="F860" s="110">
        <v>269.85000000000002</v>
      </c>
      <c r="G860">
        <v>235654</v>
      </c>
      <c r="H860" s="110"/>
      <c r="I860" s="110"/>
      <c r="L860" s="133">
        <v>43266</v>
      </c>
      <c r="M860" s="110">
        <v>53.93</v>
      </c>
      <c r="N860" s="110">
        <v>55.75</v>
      </c>
      <c r="O860" s="110">
        <v>53.57</v>
      </c>
      <c r="P860" s="110">
        <v>55.54</v>
      </c>
      <c r="Q860" s="110">
        <v>269.64999999999998</v>
      </c>
      <c r="R860">
        <v>6576395</v>
      </c>
    </row>
    <row r="861" spans="1:18" x14ac:dyDescent="0.25">
      <c r="A861" s="133">
        <v>43269</v>
      </c>
      <c r="B861" s="110">
        <v>54.34</v>
      </c>
      <c r="C861" s="110">
        <v>53.49</v>
      </c>
      <c r="D861" s="110">
        <v>53.25</v>
      </c>
      <c r="E861" s="110">
        <v>53.8</v>
      </c>
      <c r="F861" s="110">
        <v>267.45</v>
      </c>
      <c r="G861">
        <v>213481</v>
      </c>
      <c r="H861" s="110"/>
      <c r="I861" s="110"/>
      <c r="L861" s="133">
        <v>43269</v>
      </c>
      <c r="M861" s="110">
        <v>53.54</v>
      </c>
      <c r="N861" s="110">
        <v>54.33</v>
      </c>
      <c r="O861" s="110">
        <v>53.27</v>
      </c>
      <c r="P861" s="110">
        <v>53.7</v>
      </c>
      <c r="Q861" s="110">
        <v>267.7</v>
      </c>
      <c r="R861">
        <v>3539301</v>
      </c>
    </row>
    <row r="862" spans="1:18" x14ac:dyDescent="0.25">
      <c r="A862" s="133">
        <v>43270</v>
      </c>
      <c r="B862" s="110">
        <v>54</v>
      </c>
      <c r="C862" s="110">
        <v>52.41</v>
      </c>
      <c r="D862" s="110">
        <v>51.8</v>
      </c>
      <c r="E862" s="110">
        <v>53.4</v>
      </c>
      <c r="F862" s="110">
        <v>262.05</v>
      </c>
      <c r="G862">
        <v>246688</v>
      </c>
      <c r="H862" s="110"/>
      <c r="I862" s="110"/>
      <c r="L862" s="133">
        <v>43270</v>
      </c>
      <c r="M862" s="110">
        <v>52.43</v>
      </c>
      <c r="N862" s="110">
        <v>53.96</v>
      </c>
      <c r="O862" s="110">
        <v>51.75</v>
      </c>
      <c r="P862" s="110">
        <v>53.32</v>
      </c>
      <c r="Q862" s="110">
        <v>262.14999999999998</v>
      </c>
      <c r="R862">
        <v>5509207</v>
      </c>
    </row>
    <row r="863" spans="1:18" x14ac:dyDescent="0.25">
      <c r="A863" s="133">
        <v>43271</v>
      </c>
      <c r="B863" s="110">
        <v>52.97</v>
      </c>
      <c r="C863" s="110">
        <v>52.31</v>
      </c>
      <c r="D863" s="110">
        <v>51.93</v>
      </c>
      <c r="E863" s="110">
        <v>52.4</v>
      </c>
      <c r="F863" s="110">
        <v>261.55</v>
      </c>
      <c r="G863">
        <v>196296</v>
      </c>
      <c r="H863" s="110"/>
      <c r="I863" s="110"/>
      <c r="L863" s="133">
        <v>43271</v>
      </c>
      <c r="M863" s="110">
        <v>52.32</v>
      </c>
      <c r="N863" s="110">
        <v>52.99</v>
      </c>
      <c r="O863" s="110">
        <v>51.99</v>
      </c>
      <c r="P863" s="110">
        <v>52.53</v>
      </c>
      <c r="Q863" s="110">
        <v>261.60000000000002</v>
      </c>
      <c r="R863">
        <v>4117636</v>
      </c>
    </row>
    <row r="864" spans="1:18" x14ac:dyDescent="0.25">
      <c r="A864" s="133">
        <v>43272</v>
      </c>
      <c r="B864" s="110">
        <v>52.74</v>
      </c>
      <c r="C864" s="110">
        <v>51.01</v>
      </c>
      <c r="D864" s="110">
        <v>50.9</v>
      </c>
      <c r="E864" s="110">
        <v>52.58</v>
      </c>
      <c r="F864" s="110">
        <v>255.05</v>
      </c>
      <c r="G864">
        <v>191084</v>
      </c>
      <c r="H864" s="110"/>
      <c r="I864" s="110"/>
      <c r="L864" s="133">
        <v>43272</v>
      </c>
      <c r="M864" s="110">
        <v>51.02</v>
      </c>
      <c r="N864" s="110">
        <v>52.72</v>
      </c>
      <c r="O864" s="110">
        <v>50.9</v>
      </c>
      <c r="P864" s="110">
        <v>52.42</v>
      </c>
      <c r="Q864" s="110">
        <v>255.1</v>
      </c>
      <c r="R864">
        <v>4284562</v>
      </c>
    </row>
    <row r="865" spans="1:18" x14ac:dyDescent="0.25">
      <c r="A865" s="133">
        <v>43273</v>
      </c>
      <c r="B865" s="110">
        <v>52.34</v>
      </c>
      <c r="C865" s="110">
        <v>51.83</v>
      </c>
      <c r="D865" s="110">
        <v>50.66</v>
      </c>
      <c r="E865" s="110">
        <v>51.12</v>
      </c>
      <c r="F865" s="110">
        <v>259.14999999999998</v>
      </c>
      <c r="G865">
        <v>205632</v>
      </c>
      <c r="H865" s="110"/>
      <c r="I865" s="110"/>
      <c r="L865" s="133">
        <v>43273</v>
      </c>
      <c r="M865" s="110">
        <v>51.88</v>
      </c>
      <c r="N865" s="110">
        <v>52.38</v>
      </c>
      <c r="O865" s="110">
        <v>50.6</v>
      </c>
      <c r="P865" s="110">
        <v>51.14</v>
      </c>
      <c r="Q865" s="110">
        <v>259.39999999999998</v>
      </c>
      <c r="R865">
        <v>5024833</v>
      </c>
    </row>
    <row r="866" spans="1:18" x14ac:dyDescent="0.25">
      <c r="A866" s="133">
        <v>43276</v>
      </c>
      <c r="B866" s="110">
        <v>52.03</v>
      </c>
      <c r="C866" s="110">
        <v>49.97</v>
      </c>
      <c r="D866" s="110">
        <v>49.6</v>
      </c>
      <c r="E866" s="110">
        <v>51.83</v>
      </c>
      <c r="F866" s="110">
        <v>249.85</v>
      </c>
      <c r="G866">
        <v>198125</v>
      </c>
      <c r="H866" s="110"/>
      <c r="I866" s="110"/>
      <c r="L866" s="133">
        <v>43276</v>
      </c>
      <c r="M866" s="110">
        <v>49.99</v>
      </c>
      <c r="N866" s="110">
        <v>52.08</v>
      </c>
      <c r="O866" s="110">
        <v>49.64</v>
      </c>
      <c r="P866" s="110">
        <v>51.79</v>
      </c>
      <c r="Q866" s="110">
        <v>249.95</v>
      </c>
      <c r="R866">
        <v>4222643</v>
      </c>
    </row>
    <row r="867" spans="1:18" x14ac:dyDescent="0.25">
      <c r="A867" s="133">
        <v>43277</v>
      </c>
      <c r="B867" s="110">
        <v>51</v>
      </c>
      <c r="C867" s="110">
        <v>50.58</v>
      </c>
      <c r="D867" s="110">
        <v>49.53</v>
      </c>
      <c r="E867" s="110">
        <v>50</v>
      </c>
      <c r="F867" s="110">
        <v>252.9</v>
      </c>
      <c r="G867">
        <v>290071</v>
      </c>
      <c r="H867" s="110"/>
      <c r="I867" s="110"/>
      <c r="L867" s="133">
        <v>43277</v>
      </c>
      <c r="M867" s="110">
        <v>50.61</v>
      </c>
      <c r="N867" s="110">
        <v>51.08</v>
      </c>
      <c r="O867" s="110">
        <v>49.5</v>
      </c>
      <c r="P867" s="110">
        <v>49.79</v>
      </c>
      <c r="Q867" s="110">
        <v>253.05</v>
      </c>
      <c r="R867">
        <v>5327666</v>
      </c>
    </row>
    <row r="868" spans="1:18" x14ac:dyDescent="0.25">
      <c r="A868" s="133">
        <v>43278</v>
      </c>
      <c r="B868" s="110">
        <v>50.58</v>
      </c>
      <c r="C868" s="110">
        <v>49.5</v>
      </c>
      <c r="D868" s="110">
        <v>48.22</v>
      </c>
      <c r="E868" s="110">
        <v>50.58</v>
      </c>
      <c r="F868" s="110">
        <v>247.5</v>
      </c>
      <c r="G868">
        <v>364345</v>
      </c>
      <c r="H868" s="110"/>
      <c r="I868" s="110"/>
      <c r="L868" s="133">
        <v>43278</v>
      </c>
      <c r="M868" s="110">
        <v>49.5</v>
      </c>
      <c r="N868" s="110">
        <v>50.6</v>
      </c>
      <c r="O868" s="110">
        <v>48.24</v>
      </c>
      <c r="P868" s="110">
        <v>50.44</v>
      </c>
      <c r="Q868" s="110">
        <v>247.5</v>
      </c>
      <c r="R868">
        <v>5985674</v>
      </c>
    </row>
    <row r="869" spans="1:18" x14ac:dyDescent="0.25">
      <c r="A869" s="133">
        <v>43279</v>
      </c>
      <c r="B869" s="110">
        <v>50.4</v>
      </c>
      <c r="C869" s="110">
        <v>49.64</v>
      </c>
      <c r="D869" s="110">
        <v>48.9</v>
      </c>
      <c r="E869" s="110">
        <v>49.5</v>
      </c>
      <c r="F869" s="110">
        <v>248.2</v>
      </c>
      <c r="G869">
        <v>256197</v>
      </c>
      <c r="H869" s="110"/>
      <c r="I869" s="110"/>
      <c r="L869" s="133">
        <v>43279</v>
      </c>
      <c r="M869" s="110">
        <v>49.76</v>
      </c>
      <c r="N869" s="110">
        <v>50.46</v>
      </c>
      <c r="O869" s="110">
        <v>48.88</v>
      </c>
      <c r="P869" s="110">
        <v>49.8</v>
      </c>
      <c r="Q869" s="110">
        <v>248.8</v>
      </c>
      <c r="R869">
        <v>6242363</v>
      </c>
    </row>
    <row r="870" spans="1:18" x14ac:dyDescent="0.25">
      <c r="A870" s="133">
        <v>43280</v>
      </c>
      <c r="B870" s="110">
        <v>51.14</v>
      </c>
      <c r="C870" s="110">
        <v>50.32</v>
      </c>
      <c r="D870" s="110">
        <v>49.76</v>
      </c>
      <c r="E870" s="110">
        <v>50</v>
      </c>
      <c r="F870" s="110">
        <v>251.6</v>
      </c>
      <c r="G870">
        <v>296823</v>
      </c>
      <c r="H870" s="110"/>
      <c r="I870" s="110"/>
      <c r="L870" s="133">
        <v>43280</v>
      </c>
      <c r="M870" s="110">
        <v>50.31</v>
      </c>
      <c r="N870" s="110">
        <v>51.16</v>
      </c>
      <c r="O870" s="110">
        <v>49.81</v>
      </c>
      <c r="P870" s="110">
        <v>50.28</v>
      </c>
      <c r="Q870" s="110">
        <v>251.55</v>
      </c>
      <c r="R870">
        <v>5269689</v>
      </c>
    </row>
    <row r="871" spans="1:18" x14ac:dyDescent="0.25">
      <c r="A871" s="133">
        <v>43283</v>
      </c>
      <c r="B871" s="110">
        <v>50.72</v>
      </c>
      <c r="C871" s="110">
        <v>49.73</v>
      </c>
      <c r="D871" s="110">
        <v>48.22</v>
      </c>
      <c r="E871" s="110">
        <v>50.35</v>
      </c>
      <c r="F871" s="110">
        <v>248.65</v>
      </c>
      <c r="G871">
        <v>448956</v>
      </c>
      <c r="H871" s="110"/>
      <c r="I871" s="110"/>
      <c r="L871" s="133">
        <v>43283</v>
      </c>
      <c r="M871" s="110">
        <v>49.78</v>
      </c>
      <c r="N871" s="110">
        <v>50.7</v>
      </c>
      <c r="O871" s="110">
        <v>48.15</v>
      </c>
      <c r="P871" s="110">
        <v>50.18</v>
      </c>
      <c r="Q871" s="110">
        <v>248.9</v>
      </c>
      <c r="R871">
        <v>7269255</v>
      </c>
    </row>
    <row r="872" spans="1:18" x14ac:dyDescent="0.25">
      <c r="A872" s="133">
        <v>43284</v>
      </c>
      <c r="B872" s="110">
        <v>50.37</v>
      </c>
      <c r="C872" s="110">
        <v>48.94</v>
      </c>
      <c r="D872" s="110">
        <v>48.8</v>
      </c>
      <c r="E872" s="110">
        <v>49.2</v>
      </c>
      <c r="F872" s="110">
        <v>244.7</v>
      </c>
      <c r="G872">
        <v>357857</v>
      </c>
      <c r="H872" s="110"/>
      <c r="I872" s="110"/>
      <c r="L872" s="133">
        <v>43284</v>
      </c>
      <c r="M872" s="110">
        <v>48.95</v>
      </c>
      <c r="N872" s="110">
        <v>50.38</v>
      </c>
      <c r="O872" s="110">
        <v>48.77</v>
      </c>
      <c r="P872" s="110">
        <v>49.43</v>
      </c>
      <c r="Q872" s="110">
        <v>244.75</v>
      </c>
      <c r="R872">
        <v>6643456</v>
      </c>
    </row>
    <row r="873" spans="1:18" x14ac:dyDescent="0.25">
      <c r="A873" s="133">
        <v>43285</v>
      </c>
      <c r="B873" s="110">
        <v>49.28</v>
      </c>
      <c r="C873" s="110">
        <v>48.95</v>
      </c>
      <c r="D873" s="110">
        <v>48.42</v>
      </c>
      <c r="E873" s="110">
        <v>49</v>
      </c>
      <c r="F873" s="110">
        <v>244.75</v>
      </c>
      <c r="G873">
        <v>291189</v>
      </c>
      <c r="H873" s="110"/>
      <c r="I873" s="110"/>
      <c r="L873" s="133">
        <v>43285</v>
      </c>
      <c r="M873" s="110">
        <v>48.93</v>
      </c>
      <c r="N873" s="110">
        <v>49.33</v>
      </c>
      <c r="O873" s="110">
        <v>48.4</v>
      </c>
      <c r="P873" s="110">
        <v>48.96</v>
      </c>
      <c r="Q873" s="110">
        <v>244.65</v>
      </c>
      <c r="R873">
        <v>5853570</v>
      </c>
    </row>
    <row r="874" spans="1:18" x14ac:dyDescent="0.25">
      <c r="A874" s="133">
        <v>43286</v>
      </c>
      <c r="B874" s="110">
        <v>49.65</v>
      </c>
      <c r="C874" s="110">
        <v>48.75</v>
      </c>
      <c r="D874" s="110">
        <v>48.61</v>
      </c>
      <c r="E874" s="110">
        <v>49.15</v>
      </c>
      <c r="F874" s="110">
        <v>243.75</v>
      </c>
      <c r="G874">
        <v>266719</v>
      </c>
      <c r="H874" s="110"/>
      <c r="I874" s="110"/>
      <c r="L874" s="133">
        <v>43286</v>
      </c>
      <c r="M874" s="110">
        <v>48.76</v>
      </c>
      <c r="N874" s="110">
        <v>49.66</v>
      </c>
      <c r="O874" s="110">
        <v>48.56</v>
      </c>
      <c r="P874" s="110">
        <v>49.2</v>
      </c>
      <c r="Q874" s="110">
        <v>243.8</v>
      </c>
      <c r="R874">
        <v>4688910</v>
      </c>
    </row>
    <row r="875" spans="1:18" x14ac:dyDescent="0.25">
      <c r="A875" s="133">
        <v>43287</v>
      </c>
      <c r="B875" s="110">
        <v>50.17</v>
      </c>
      <c r="C875" s="110">
        <v>49.56</v>
      </c>
      <c r="D875" s="110">
        <v>48.8</v>
      </c>
      <c r="E875" s="110">
        <v>48.8</v>
      </c>
      <c r="F875" s="110">
        <v>247.8</v>
      </c>
      <c r="G875">
        <v>327180</v>
      </c>
      <c r="H875" s="110"/>
      <c r="I875" s="110"/>
      <c r="L875" s="133">
        <v>43287</v>
      </c>
      <c r="M875" s="110">
        <v>49.53</v>
      </c>
      <c r="N875" s="110">
        <v>50.2</v>
      </c>
      <c r="O875" s="110">
        <v>48.76</v>
      </c>
      <c r="P875" s="110">
        <v>49.12</v>
      </c>
      <c r="Q875" s="110">
        <v>247.65</v>
      </c>
      <c r="R875">
        <v>6004299</v>
      </c>
    </row>
    <row r="876" spans="1:18" x14ac:dyDescent="0.25">
      <c r="A876" s="133">
        <v>43290</v>
      </c>
      <c r="B876" s="110">
        <v>50.52</v>
      </c>
      <c r="C876" s="110">
        <v>49.91</v>
      </c>
      <c r="D876" s="110">
        <v>49.03</v>
      </c>
      <c r="E876" s="110">
        <v>49.83</v>
      </c>
      <c r="F876" s="110">
        <v>249.55</v>
      </c>
      <c r="G876">
        <v>319848</v>
      </c>
      <c r="H876" s="110"/>
      <c r="I876" s="110"/>
      <c r="L876" s="133">
        <v>43290</v>
      </c>
      <c r="M876" s="110">
        <v>49.92</v>
      </c>
      <c r="N876" s="110">
        <v>50.58</v>
      </c>
      <c r="O876" s="110">
        <v>49.02</v>
      </c>
      <c r="P876" s="110">
        <v>50.31</v>
      </c>
      <c r="Q876" s="110">
        <v>249.6</v>
      </c>
      <c r="R876">
        <v>6214174</v>
      </c>
    </row>
    <row r="877" spans="1:18" x14ac:dyDescent="0.25">
      <c r="A877" s="133">
        <v>43291</v>
      </c>
      <c r="B877" s="110">
        <v>50.88</v>
      </c>
      <c r="C877" s="110">
        <v>50.15</v>
      </c>
      <c r="D877" s="110">
        <v>49.85</v>
      </c>
      <c r="E877" s="110">
        <v>50.48</v>
      </c>
      <c r="F877" s="110">
        <v>250.75</v>
      </c>
      <c r="G877">
        <v>292984</v>
      </c>
      <c r="H877" s="110"/>
      <c r="I877" s="110"/>
      <c r="L877" s="133">
        <v>43291</v>
      </c>
      <c r="M877" s="110">
        <v>50.13</v>
      </c>
      <c r="N877" s="110">
        <v>50.94</v>
      </c>
      <c r="O877" s="110">
        <v>49.9</v>
      </c>
      <c r="P877" s="110">
        <v>49.98</v>
      </c>
      <c r="Q877" s="110">
        <v>250.65</v>
      </c>
      <c r="R877">
        <v>4391511</v>
      </c>
    </row>
    <row r="878" spans="1:18" x14ac:dyDescent="0.25">
      <c r="A878" s="133">
        <v>43292</v>
      </c>
      <c r="B878" s="110">
        <v>50.2</v>
      </c>
      <c r="C878" s="110">
        <v>48.83</v>
      </c>
      <c r="D878" s="110">
        <v>48.11</v>
      </c>
      <c r="E878" s="110">
        <v>50.03</v>
      </c>
      <c r="F878" s="110">
        <v>244.15</v>
      </c>
      <c r="G878">
        <v>310232</v>
      </c>
      <c r="H878" s="110"/>
      <c r="I878" s="110"/>
      <c r="L878" s="133">
        <v>43292</v>
      </c>
      <c r="M878" s="110">
        <v>49.05</v>
      </c>
      <c r="N878" s="110">
        <v>50.24</v>
      </c>
      <c r="O878" s="110">
        <v>48.76</v>
      </c>
      <c r="P878" s="110">
        <v>50.15</v>
      </c>
      <c r="Q878" s="110">
        <v>245.25</v>
      </c>
      <c r="R878">
        <v>4181683</v>
      </c>
    </row>
    <row r="879" spans="1:18" x14ac:dyDescent="0.25">
      <c r="A879" s="133">
        <v>43293</v>
      </c>
      <c r="B879" s="110">
        <v>50.06</v>
      </c>
      <c r="C879" s="110">
        <v>48.28</v>
      </c>
      <c r="D879" s="110">
        <v>47.6</v>
      </c>
      <c r="E879" s="110">
        <v>49.68</v>
      </c>
      <c r="F879" s="110">
        <v>241.4</v>
      </c>
      <c r="G879">
        <v>279104</v>
      </c>
      <c r="H879" s="110"/>
      <c r="I879" s="110"/>
      <c r="L879" s="133">
        <v>43293</v>
      </c>
      <c r="M879" s="110">
        <v>48.39</v>
      </c>
      <c r="N879" s="110">
        <v>50.02</v>
      </c>
      <c r="O879" s="110">
        <v>47.53</v>
      </c>
      <c r="P879" s="110">
        <v>49.38</v>
      </c>
      <c r="Q879" s="110">
        <v>241.95</v>
      </c>
      <c r="R879">
        <v>5063336</v>
      </c>
    </row>
    <row r="880" spans="1:18" x14ac:dyDescent="0.25">
      <c r="A880" s="133">
        <v>43294</v>
      </c>
      <c r="B880" s="110">
        <v>48.32</v>
      </c>
      <c r="C880" s="110">
        <v>46.39</v>
      </c>
      <c r="D880" s="110">
        <v>46.11</v>
      </c>
      <c r="E880" s="110">
        <v>48.32</v>
      </c>
      <c r="F880" s="110">
        <v>231.95</v>
      </c>
      <c r="G880">
        <v>339550</v>
      </c>
      <c r="H880" s="110"/>
      <c r="I880" s="110"/>
      <c r="L880" s="133">
        <v>43294</v>
      </c>
      <c r="M880" s="110">
        <v>46.35</v>
      </c>
      <c r="N880" s="110">
        <v>48.39</v>
      </c>
      <c r="O880" s="110">
        <v>46.05</v>
      </c>
      <c r="P880" s="110">
        <v>48.39</v>
      </c>
      <c r="Q880" s="110">
        <v>231.75</v>
      </c>
      <c r="R880">
        <v>7410386</v>
      </c>
    </row>
    <row r="881" spans="1:18" x14ac:dyDescent="0.25">
      <c r="A881" s="133">
        <v>43297</v>
      </c>
      <c r="B881" s="110">
        <v>46.39</v>
      </c>
      <c r="C881" s="110">
        <v>44.46</v>
      </c>
      <c r="D881" s="110">
        <v>44</v>
      </c>
      <c r="E881" s="110">
        <v>46.39</v>
      </c>
      <c r="F881" s="110">
        <v>222.3</v>
      </c>
      <c r="G881">
        <v>313350</v>
      </c>
      <c r="H881" s="110"/>
      <c r="I881" s="110"/>
      <c r="L881" s="133">
        <v>43297</v>
      </c>
      <c r="M881" s="110">
        <v>44.47</v>
      </c>
      <c r="N881" s="110">
        <v>46.2</v>
      </c>
      <c r="O881" s="110">
        <v>43.31</v>
      </c>
      <c r="P881" s="110">
        <v>46.2</v>
      </c>
      <c r="Q881" s="110">
        <v>222.35</v>
      </c>
      <c r="R881">
        <v>5429186</v>
      </c>
    </row>
    <row r="882" spans="1:18" x14ac:dyDescent="0.25">
      <c r="A882" s="133">
        <v>43298</v>
      </c>
      <c r="B882" s="110">
        <v>47.21</v>
      </c>
      <c r="C882" s="110">
        <v>47</v>
      </c>
      <c r="D882" s="110">
        <v>44.18</v>
      </c>
      <c r="E882" s="110">
        <v>44.8</v>
      </c>
      <c r="F882" s="110">
        <v>235</v>
      </c>
      <c r="G882">
        <v>424248</v>
      </c>
      <c r="H882" s="110"/>
      <c r="I882" s="110"/>
      <c r="L882" s="133">
        <v>43298</v>
      </c>
      <c r="M882" s="110">
        <v>46.95</v>
      </c>
      <c r="N882" s="110">
        <v>47.2</v>
      </c>
      <c r="O882" s="110">
        <v>44.17</v>
      </c>
      <c r="P882" s="110">
        <v>44.36</v>
      </c>
      <c r="Q882" s="110">
        <v>234.75</v>
      </c>
      <c r="R882">
        <v>7974391</v>
      </c>
    </row>
    <row r="883" spans="1:18" x14ac:dyDescent="0.25">
      <c r="A883" s="133">
        <v>43299</v>
      </c>
      <c r="B883" s="110">
        <v>47.65</v>
      </c>
      <c r="C883" s="110">
        <v>45.54</v>
      </c>
      <c r="D883" s="110">
        <v>44.8</v>
      </c>
      <c r="E883" s="110">
        <v>47.39</v>
      </c>
      <c r="F883" s="110">
        <v>227.7</v>
      </c>
      <c r="G883">
        <v>386205</v>
      </c>
      <c r="H883" s="110"/>
      <c r="I883" s="110"/>
      <c r="L883" s="133">
        <v>43299</v>
      </c>
      <c r="M883" s="110">
        <v>45.56</v>
      </c>
      <c r="N883" s="110">
        <v>47.62</v>
      </c>
      <c r="O883" s="110">
        <v>44.78</v>
      </c>
      <c r="P883" s="110">
        <v>47.2</v>
      </c>
      <c r="Q883" s="110">
        <v>227.8</v>
      </c>
      <c r="R883">
        <v>6461798</v>
      </c>
    </row>
    <row r="884" spans="1:18" x14ac:dyDescent="0.25">
      <c r="A884" s="133">
        <v>43300</v>
      </c>
      <c r="B884" s="110">
        <v>47.67</v>
      </c>
      <c r="C884" s="110">
        <v>46.64</v>
      </c>
      <c r="D884" s="110">
        <v>45</v>
      </c>
      <c r="E884" s="110">
        <v>45.71</v>
      </c>
      <c r="F884" s="110">
        <v>233.2</v>
      </c>
      <c r="G884">
        <v>399149</v>
      </c>
      <c r="H884" s="110"/>
      <c r="I884" s="110"/>
      <c r="L884" s="133">
        <v>43300</v>
      </c>
      <c r="M884" s="110">
        <v>46.53</v>
      </c>
      <c r="N884" s="110">
        <v>47.68</v>
      </c>
      <c r="O884" s="110">
        <v>45.02</v>
      </c>
      <c r="P884" s="110">
        <v>45.7</v>
      </c>
      <c r="Q884" s="110">
        <v>232.65</v>
      </c>
      <c r="R884">
        <v>8065318</v>
      </c>
    </row>
    <row r="885" spans="1:18" x14ac:dyDescent="0.25">
      <c r="A885" s="133">
        <v>43301</v>
      </c>
      <c r="B885" s="110">
        <v>47.6</v>
      </c>
      <c r="C885" s="110">
        <v>47.33</v>
      </c>
      <c r="D885" s="110">
        <v>46</v>
      </c>
      <c r="E885" s="110">
        <v>46.6</v>
      </c>
      <c r="F885" s="110">
        <v>236.65</v>
      </c>
      <c r="G885">
        <v>305295</v>
      </c>
      <c r="H885" s="110"/>
      <c r="I885" s="110"/>
      <c r="L885" s="133">
        <v>43301</v>
      </c>
      <c r="M885" s="110">
        <v>47.36</v>
      </c>
      <c r="N885" s="110">
        <v>47.68</v>
      </c>
      <c r="O885" s="110">
        <v>45.96</v>
      </c>
      <c r="P885" s="110">
        <v>46.37</v>
      </c>
      <c r="Q885" s="110">
        <v>236.8</v>
      </c>
      <c r="R885">
        <v>5572972</v>
      </c>
    </row>
    <row r="886" spans="1:18" x14ac:dyDescent="0.25">
      <c r="A886" s="133">
        <v>43304</v>
      </c>
      <c r="B886" s="110">
        <v>49.8</v>
      </c>
      <c r="C886" s="110">
        <v>49.4</v>
      </c>
      <c r="D886" s="110">
        <v>46.64</v>
      </c>
      <c r="E886" s="110">
        <v>47.88</v>
      </c>
      <c r="F886" s="110">
        <v>247</v>
      </c>
      <c r="G886">
        <v>427107</v>
      </c>
      <c r="H886" s="110"/>
      <c r="I886" s="110"/>
      <c r="L886" s="133">
        <v>43304</v>
      </c>
      <c r="M886" s="110">
        <v>49.39</v>
      </c>
      <c r="N886" s="110">
        <v>49.64</v>
      </c>
      <c r="O886" s="110">
        <v>46.62</v>
      </c>
      <c r="P886" s="110">
        <v>47.36</v>
      </c>
      <c r="Q886" s="110">
        <v>246.95</v>
      </c>
      <c r="R886">
        <v>6208244</v>
      </c>
    </row>
    <row r="887" spans="1:18" x14ac:dyDescent="0.25">
      <c r="A887" s="133">
        <v>43305</v>
      </c>
      <c r="B887" s="110">
        <v>51.14</v>
      </c>
      <c r="C887" s="110">
        <v>50.62</v>
      </c>
      <c r="D887" s="110">
        <v>49.04</v>
      </c>
      <c r="E887" s="110">
        <v>49.2</v>
      </c>
      <c r="F887" s="110">
        <v>253.1</v>
      </c>
      <c r="G887">
        <v>454672</v>
      </c>
      <c r="H887" s="110"/>
      <c r="I887" s="110"/>
      <c r="L887" s="133">
        <v>43305</v>
      </c>
      <c r="M887" s="110">
        <v>50.56</v>
      </c>
      <c r="N887" s="110">
        <v>50.85</v>
      </c>
      <c r="O887" s="110">
        <v>49.04</v>
      </c>
      <c r="P887" s="110">
        <v>49.36</v>
      </c>
      <c r="Q887" s="110">
        <v>252.8</v>
      </c>
      <c r="R887">
        <v>6247679</v>
      </c>
    </row>
    <row r="888" spans="1:18" x14ac:dyDescent="0.25">
      <c r="A888" s="133">
        <v>43306</v>
      </c>
      <c r="B888" s="110">
        <v>52.74</v>
      </c>
      <c r="C888" s="110">
        <v>51.78</v>
      </c>
      <c r="D888" s="110">
        <v>49.6</v>
      </c>
      <c r="E888" s="110">
        <v>50.68</v>
      </c>
      <c r="F888" s="110">
        <v>258.89999999999998</v>
      </c>
      <c r="G888">
        <v>776379</v>
      </c>
      <c r="H888" s="110"/>
      <c r="I888" s="110"/>
      <c r="L888" s="133">
        <v>43306</v>
      </c>
      <c r="M888" s="110">
        <v>51.79</v>
      </c>
      <c r="N888" s="110">
        <v>52.75</v>
      </c>
      <c r="O888" s="110">
        <v>49.5</v>
      </c>
      <c r="P888" s="110">
        <v>50.78</v>
      </c>
      <c r="Q888" s="110">
        <v>258.95</v>
      </c>
      <c r="R888">
        <v>8345979</v>
      </c>
    </row>
    <row r="889" spans="1:18" x14ac:dyDescent="0.25">
      <c r="A889" s="133">
        <v>43307</v>
      </c>
      <c r="B889" s="110">
        <v>56.4</v>
      </c>
      <c r="C889" s="110">
        <v>55.79</v>
      </c>
      <c r="D889" s="110">
        <v>52.69</v>
      </c>
      <c r="E889" s="110">
        <v>53.47</v>
      </c>
      <c r="F889" s="110">
        <v>278.95</v>
      </c>
      <c r="G889">
        <v>1177434</v>
      </c>
      <c r="H889" s="110"/>
      <c r="I889" s="110"/>
      <c r="L889" s="133">
        <v>43307</v>
      </c>
      <c r="M889" s="110">
        <v>55.78</v>
      </c>
      <c r="N889" s="110">
        <v>56.26</v>
      </c>
      <c r="O889" s="110">
        <v>52.54</v>
      </c>
      <c r="P889" s="110">
        <v>53.6</v>
      </c>
      <c r="Q889" s="110">
        <v>278.89999999999998</v>
      </c>
      <c r="R889">
        <v>24218706</v>
      </c>
    </row>
    <row r="890" spans="1:18" x14ac:dyDescent="0.25">
      <c r="A890" s="133">
        <v>43308</v>
      </c>
      <c r="B890" s="110">
        <v>56.48</v>
      </c>
      <c r="C890" s="110">
        <v>55.84</v>
      </c>
      <c r="D890" s="110">
        <v>54.72</v>
      </c>
      <c r="E890" s="110">
        <v>55.74</v>
      </c>
      <c r="F890" s="110">
        <v>279.2</v>
      </c>
      <c r="G890">
        <v>520052</v>
      </c>
      <c r="H890" s="110"/>
      <c r="I890" s="110"/>
      <c r="L890" s="133">
        <v>43308</v>
      </c>
      <c r="M890" s="110">
        <v>55.85</v>
      </c>
      <c r="N890" s="110">
        <v>56.5</v>
      </c>
      <c r="O890" s="110">
        <v>54.74</v>
      </c>
      <c r="P890" s="110">
        <v>55.65</v>
      </c>
      <c r="Q890" s="110">
        <v>279.25</v>
      </c>
      <c r="R890">
        <v>8504426</v>
      </c>
    </row>
    <row r="891" spans="1:18" x14ac:dyDescent="0.25">
      <c r="A891" s="133">
        <v>43311</v>
      </c>
      <c r="B891" s="110">
        <v>58.47</v>
      </c>
      <c r="C891" s="110">
        <v>57.91</v>
      </c>
      <c r="D891" s="110">
        <v>56.24</v>
      </c>
      <c r="E891" s="110">
        <v>56.24</v>
      </c>
      <c r="F891" s="110">
        <v>289.55</v>
      </c>
      <c r="G891">
        <v>525360</v>
      </c>
      <c r="H891" s="110"/>
      <c r="I891" s="110"/>
      <c r="L891" s="133">
        <v>43311</v>
      </c>
      <c r="M891" s="110">
        <v>57.87</v>
      </c>
      <c r="N891" s="110">
        <v>58.52</v>
      </c>
      <c r="O891" s="110">
        <v>56</v>
      </c>
      <c r="P891" s="110">
        <v>56</v>
      </c>
      <c r="Q891" s="110">
        <v>289.35000000000002</v>
      </c>
      <c r="R891">
        <v>8368514</v>
      </c>
    </row>
    <row r="892" spans="1:18" x14ac:dyDescent="0.25">
      <c r="A892" s="133">
        <v>43312</v>
      </c>
      <c r="B892" s="110">
        <v>57.97</v>
      </c>
      <c r="C892" s="110">
        <v>56.89</v>
      </c>
      <c r="D892" s="110">
        <v>56.28</v>
      </c>
      <c r="E892" s="110">
        <v>57.91</v>
      </c>
      <c r="F892" s="110">
        <v>284.45</v>
      </c>
      <c r="G892">
        <v>391886</v>
      </c>
      <c r="H892" s="110"/>
      <c r="I892" s="110"/>
      <c r="L892" s="133">
        <v>43312</v>
      </c>
      <c r="M892" s="110">
        <v>56.9</v>
      </c>
      <c r="N892" s="110">
        <v>57.98</v>
      </c>
      <c r="O892" s="110">
        <v>56.22</v>
      </c>
      <c r="P892" s="110">
        <v>57.4</v>
      </c>
      <c r="Q892" s="110">
        <v>284.5</v>
      </c>
      <c r="R892">
        <v>6611240</v>
      </c>
    </row>
    <row r="893" spans="1:18" x14ac:dyDescent="0.25">
      <c r="A893" s="133">
        <v>43313</v>
      </c>
      <c r="B893" s="110">
        <v>57.74</v>
      </c>
      <c r="C893" s="110">
        <v>56.89</v>
      </c>
      <c r="D893" s="110">
        <v>56.05</v>
      </c>
      <c r="E893" s="110">
        <v>57.3</v>
      </c>
      <c r="F893" s="110">
        <v>284.45</v>
      </c>
      <c r="G893">
        <v>422353</v>
      </c>
      <c r="H893" s="110"/>
      <c r="I893" s="110"/>
      <c r="L893" s="133">
        <v>43313</v>
      </c>
      <c r="M893" s="110">
        <v>56.99</v>
      </c>
      <c r="N893" s="110">
        <v>57.78</v>
      </c>
      <c r="O893" s="110">
        <v>56.07</v>
      </c>
      <c r="P893" s="110">
        <v>57</v>
      </c>
      <c r="Q893" s="110">
        <v>284.95</v>
      </c>
      <c r="R893">
        <v>6263199</v>
      </c>
    </row>
    <row r="894" spans="1:18" x14ac:dyDescent="0.25">
      <c r="A894" s="133">
        <v>43314</v>
      </c>
      <c r="B894" s="110">
        <v>56.85</v>
      </c>
      <c r="C894" s="110">
        <v>55.98</v>
      </c>
      <c r="D894" s="110">
        <v>55.54</v>
      </c>
      <c r="E894" s="110">
        <v>56</v>
      </c>
      <c r="F894" s="110">
        <v>279.89999999999998</v>
      </c>
      <c r="G894">
        <v>353073</v>
      </c>
      <c r="H894" s="110"/>
      <c r="I894" s="110"/>
      <c r="L894" s="133">
        <v>43314</v>
      </c>
      <c r="M894" s="110">
        <v>55.95</v>
      </c>
      <c r="N894" s="110">
        <v>56.87</v>
      </c>
      <c r="O894" s="110">
        <v>55.5</v>
      </c>
      <c r="P894" s="110">
        <v>56.5</v>
      </c>
      <c r="Q894" s="110">
        <v>279.75</v>
      </c>
      <c r="R894">
        <v>5736118</v>
      </c>
    </row>
    <row r="895" spans="1:18" x14ac:dyDescent="0.25">
      <c r="A895" s="133">
        <v>43315</v>
      </c>
      <c r="B895" s="110">
        <v>58.42</v>
      </c>
      <c r="C895" s="110">
        <v>58.18</v>
      </c>
      <c r="D895" s="110">
        <v>55.9</v>
      </c>
      <c r="E895" s="110">
        <v>56.04</v>
      </c>
      <c r="F895" s="110">
        <v>290.89999999999998</v>
      </c>
      <c r="G895">
        <v>592925</v>
      </c>
      <c r="H895" s="110"/>
      <c r="I895" s="110"/>
      <c r="L895" s="133">
        <v>43315</v>
      </c>
      <c r="M895" s="110">
        <v>58.07</v>
      </c>
      <c r="N895" s="110">
        <v>58.45</v>
      </c>
      <c r="O895" s="110">
        <v>55.85</v>
      </c>
      <c r="P895" s="110">
        <v>56.01</v>
      </c>
      <c r="Q895" s="110">
        <v>290.35000000000002</v>
      </c>
      <c r="R895">
        <v>7725470</v>
      </c>
    </row>
    <row r="896" spans="1:18" x14ac:dyDescent="0.25">
      <c r="A896" s="133">
        <v>43318</v>
      </c>
      <c r="B896" s="110">
        <v>59.5</v>
      </c>
      <c r="C896" s="110">
        <v>58.87</v>
      </c>
      <c r="D896" s="110">
        <v>57.94</v>
      </c>
      <c r="E896" s="110">
        <v>58.4</v>
      </c>
      <c r="F896" s="110">
        <v>294.35000000000002</v>
      </c>
      <c r="G896">
        <v>492534</v>
      </c>
      <c r="H896" s="110"/>
      <c r="I896" s="110"/>
      <c r="L896" s="133">
        <v>43318</v>
      </c>
      <c r="M896" s="110">
        <v>58.89</v>
      </c>
      <c r="N896" s="110">
        <v>59.57</v>
      </c>
      <c r="O896" s="110">
        <v>57.86</v>
      </c>
      <c r="P896" s="110">
        <v>58.4</v>
      </c>
      <c r="Q896" s="110">
        <v>294.45</v>
      </c>
      <c r="R896">
        <v>7312185</v>
      </c>
    </row>
    <row r="897" spans="1:18" x14ac:dyDescent="0.25">
      <c r="A897" s="133">
        <v>43319</v>
      </c>
      <c r="B897" s="110">
        <v>59.3</v>
      </c>
      <c r="C897" s="110">
        <v>57.75</v>
      </c>
      <c r="D897" s="110">
        <v>57.42</v>
      </c>
      <c r="E897" s="110">
        <v>58.94</v>
      </c>
      <c r="F897" s="110">
        <v>288.75</v>
      </c>
      <c r="G897">
        <v>300872</v>
      </c>
      <c r="H897" s="110"/>
      <c r="I897" s="110"/>
      <c r="L897" s="133">
        <v>43319</v>
      </c>
      <c r="M897" s="110">
        <v>57.78</v>
      </c>
      <c r="N897" s="110">
        <v>59.32</v>
      </c>
      <c r="O897" s="110">
        <v>57.41</v>
      </c>
      <c r="P897" s="110">
        <v>58.89</v>
      </c>
      <c r="Q897" s="110">
        <v>288.89999999999998</v>
      </c>
      <c r="R897">
        <v>5707814</v>
      </c>
    </row>
    <row r="898" spans="1:18" x14ac:dyDescent="0.25">
      <c r="A898" s="133">
        <v>43320</v>
      </c>
      <c r="B898" s="110">
        <v>58.78</v>
      </c>
      <c r="C898" s="110">
        <v>57.64</v>
      </c>
      <c r="D898" s="110">
        <v>57.35</v>
      </c>
      <c r="E898" s="110">
        <v>57.87</v>
      </c>
      <c r="F898" s="110">
        <v>288.2</v>
      </c>
      <c r="G898">
        <v>244555</v>
      </c>
      <c r="H898" s="110"/>
      <c r="I898" s="110"/>
      <c r="L898" s="133">
        <v>43320</v>
      </c>
      <c r="M898" s="110">
        <v>57.69</v>
      </c>
      <c r="N898" s="110">
        <v>58.78</v>
      </c>
      <c r="O898" s="110">
        <v>57.3</v>
      </c>
      <c r="P898" s="110">
        <v>57.78</v>
      </c>
      <c r="Q898" s="110">
        <v>288.45</v>
      </c>
      <c r="R898">
        <v>4909127</v>
      </c>
    </row>
    <row r="899" spans="1:18" x14ac:dyDescent="0.25">
      <c r="A899" s="133">
        <v>43321</v>
      </c>
      <c r="B899" s="110">
        <v>60.42</v>
      </c>
      <c r="C899" s="110">
        <v>59.15</v>
      </c>
      <c r="D899" s="110">
        <v>57.97</v>
      </c>
      <c r="E899" s="110">
        <v>58.19</v>
      </c>
      <c r="F899" s="110">
        <v>295.75</v>
      </c>
      <c r="G899">
        <v>545907</v>
      </c>
      <c r="H899" s="110"/>
      <c r="I899" s="110"/>
      <c r="L899" s="133">
        <v>43321</v>
      </c>
      <c r="M899" s="110">
        <v>59.19</v>
      </c>
      <c r="N899" s="110">
        <v>60.46</v>
      </c>
      <c r="O899" s="110">
        <v>57.9</v>
      </c>
      <c r="P899" s="110">
        <v>58.18</v>
      </c>
      <c r="Q899" s="110">
        <v>295.95</v>
      </c>
      <c r="R899">
        <v>9304129</v>
      </c>
    </row>
    <row r="900" spans="1:18" x14ac:dyDescent="0.25">
      <c r="A900" s="133">
        <v>43322</v>
      </c>
      <c r="B900" s="110">
        <v>59</v>
      </c>
      <c r="C900" s="110">
        <v>56.44</v>
      </c>
      <c r="D900" s="110">
        <v>56.02</v>
      </c>
      <c r="E900" s="110">
        <v>59</v>
      </c>
      <c r="F900" s="110">
        <v>282.2</v>
      </c>
      <c r="G900">
        <v>410694</v>
      </c>
      <c r="H900" s="110"/>
      <c r="I900" s="110"/>
      <c r="L900" s="133">
        <v>43322</v>
      </c>
      <c r="M900" s="110">
        <v>56.47</v>
      </c>
      <c r="N900" s="110">
        <v>59.04</v>
      </c>
      <c r="O900" s="110">
        <v>56.19</v>
      </c>
      <c r="P900" s="110">
        <v>58.83</v>
      </c>
      <c r="Q900" s="110">
        <v>282.35000000000002</v>
      </c>
      <c r="R900">
        <v>6930128</v>
      </c>
    </row>
    <row r="901" spans="1:18" x14ac:dyDescent="0.25">
      <c r="A901" s="133">
        <v>43325</v>
      </c>
      <c r="B901" s="110">
        <v>55.97</v>
      </c>
      <c r="C901" s="110">
        <v>53.98</v>
      </c>
      <c r="D901" s="110">
        <v>53.36</v>
      </c>
      <c r="E901" s="110">
        <v>55.13</v>
      </c>
      <c r="F901" s="110">
        <v>269.89999999999998</v>
      </c>
      <c r="G901">
        <v>404198</v>
      </c>
      <c r="H901" s="110"/>
      <c r="I901" s="110"/>
      <c r="L901" s="133">
        <v>43325</v>
      </c>
      <c r="M901" s="110">
        <v>53.98</v>
      </c>
      <c r="N901" s="110">
        <v>56</v>
      </c>
      <c r="O901" s="110">
        <v>53.47</v>
      </c>
      <c r="P901" s="110">
        <v>55.7</v>
      </c>
      <c r="Q901" s="110">
        <v>269.89999999999998</v>
      </c>
      <c r="R901">
        <v>6435154</v>
      </c>
    </row>
    <row r="902" spans="1:18" x14ac:dyDescent="0.25">
      <c r="A902" s="133">
        <v>43326</v>
      </c>
      <c r="B902" s="110">
        <v>54.76</v>
      </c>
      <c r="C902" s="110">
        <v>54.09</v>
      </c>
      <c r="D902" s="110">
        <v>53.57</v>
      </c>
      <c r="E902" s="110">
        <v>54</v>
      </c>
      <c r="F902" s="110">
        <v>270.45</v>
      </c>
      <c r="G902">
        <v>373258</v>
      </c>
      <c r="H902" s="110"/>
      <c r="I902" s="110"/>
      <c r="L902" s="133">
        <v>43326</v>
      </c>
      <c r="M902" s="110">
        <v>54.13</v>
      </c>
      <c r="N902" s="110">
        <v>54.74</v>
      </c>
      <c r="O902" s="110">
        <v>53.52</v>
      </c>
      <c r="P902" s="110">
        <v>54</v>
      </c>
      <c r="Q902" s="110">
        <v>270.64999999999998</v>
      </c>
      <c r="R902">
        <v>5585528</v>
      </c>
    </row>
    <row r="903" spans="1:18" x14ac:dyDescent="0.25">
      <c r="A903" s="133">
        <v>43328</v>
      </c>
      <c r="B903" s="110">
        <v>55.11</v>
      </c>
      <c r="C903" s="110">
        <v>53.69</v>
      </c>
      <c r="D903" s="110">
        <v>53.09</v>
      </c>
      <c r="E903" s="110">
        <v>53.96</v>
      </c>
      <c r="F903" s="110">
        <v>268.45</v>
      </c>
      <c r="G903">
        <v>282693</v>
      </c>
      <c r="H903" s="110"/>
      <c r="I903" s="110"/>
      <c r="L903" s="133">
        <v>43328</v>
      </c>
      <c r="M903" s="110">
        <v>53.52</v>
      </c>
      <c r="N903" s="110">
        <v>55.14</v>
      </c>
      <c r="O903" s="110">
        <v>52.91</v>
      </c>
      <c r="P903" s="110">
        <v>53.42</v>
      </c>
      <c r="Q903" s="110">
        <v>267.60000000000002</v>
      </c>
      <c r="R903">
        <v>6964923</v>
      </c>
    </row>
    <row r="904" spans="1:18" x14ac:dyDescent="0.25">
      <c r="A904" s="133">
        <v>43329</v>
      </c>
      <c r="B904" s="110">
        <v>55.71</v>
      </c>
      <c r="C904" s="110">
        <v>55.47</v>
      </c>
      <c r="D904" s="110">
        <v>54.22</v>
      </c>
      <c r="E904" s="110">
        <v>54.45</v>
      </c>
      <c r="F904" s="110">
        <v>277.35000000000002</v>
      </c>
      <c r="G904">
        <v>353806</v>
      </c>
      <c r="H904" s="110"/>
      <c r="I904" s="110"/>
      <c r="L904" s="133">
        <v>43329</v>
      </c>
      <c r="M904" s="110">
        <v>55.47</v>
      </c>
      <c r="N904" s="110">
        <v>55.65</v>
      </c>
      <c r="O904" s="110">
        <v>54</v>
      </c>
      <c r="P904" s="110">
        <v>54</v>
      </c>
      <c r="Q904" s="110">
        <v>277.35000000000002</v>
      </c>
      <c r="R904">
        <v>6699707</v>
      </c>
    </row>
    <row r="905" spans="1:18" x14ac:dyDescent="0.25">
      <c r="A905" s="133">
        <v>43332</v>
      </c>
      <c r="B905" s="110">
        <v>57.76</v>
      </c>
      <c r="C905" s="110">
        <v>57.49</v>
      </c>
      <c r="D905" s="110">
        <v>55.75</v>
      </c>
      <c r="E905" s="110">
        <v>55.99</v>
      </c>
      <c r="F905" s="110">
        <v>287.45</v>
      </c>
      <c r="G905">
        <v>259691</v>
      </c>
      <c r="H905" s="110"/>
      <c r="I905" s="110"/>
      <c r="L905" s="133">
        <v>43332</v>
      </c>
      <c r="M905" s="110">
        <v>57.5</v>
      </c>
      <c r="N905" s="110">
        <v>57.84</v>
      </c>
      <c r="O905" s="110">
        <v>55.73</v>
      </c>
      <c r="P905" s="110">
        <v>55.8</v>
      </c>
      <c r="Q905" s="110">
        <v>287.5</v>
      </c>
      <c r="R905">
        <v>5471485</v>
      </c>
    </row>
    <row r="906" spans="1:18" x14ac:dyDescent="0.25">
      <c r="A906" s="133">
        <v>43333</v>
      </c>
      <c r="B906" s="110">
        <v>58</v>
      </c>
      <c r="C906" s="110">
        <v>56.89</v>
      </c>
      <c r="D906" s="110">
        <v>56.37</v>
      </c>
      <c r="E906" s="110">
        <v>58</v>
      </c>
      <c r="F906" s="110">
        <v>284.45</v>
      </c>
      <c r="G906">
        <v>230872</v>
      </c>
      <c r="H906" s="110"/>
      <c r="I906" s="110"/>
      <c r="L906" s="133">
        <v>43333</v>
      </c>
      <c r="M906" s="110">
        <v>56.87</v>
      </c>
      <c r="N906" s="110">
        <v>57.96</v>
      </c>
      <c r="O906" s="110">
        <v>56.35</v>
      </c>
      <c r="P906" s="110">
        <v>57.84</v>
      </c>
      <c r="Q906" s="110">
        <v>284.35000000000002</v>
      </c>
      <c r="R906">
        <v>5516956</v>
      </c>
    </row>
    <row r="907" spans="1:18" x14ac:dyDescent="0.25">
      <c r="A907" s="133">
        <v>43335</v>
      </c>
      <c r="B907" s="110">
        <v>56.96</v>
      </c>
      <c r="C907" s="110">
        <v>56.29</v>
      </c>
      <c r="D907" s="110">
        <v>55.25</v>
      </c>
      <c r="E907" s="110">
        <v>56.81</v>
      </c>
      <c r="F907" s="110">
        <v>281.45</v>
      </c>
      <c r="G907">
        <v>322958</v>
      </c>
      <c r="H907" s="110"/>
      <c r="I907" s="110"/>
      <c r="L907" s="133">
        <v>43335</v>
      </c>
      <c r="M907" s="110">
        <v>56.26</v>
      </c>
      <c r="N907" s="110">
        <v>57</v>
      </c>
      <c r="O907" s="110">
        <v>55.24</v>
      </c>
      <c r="P907" s="110">
        <v>56.8</v>
      </c>
      <c r="Q907" s="110">
        <v>281.3</v>
      </c>
      <c r="R907">
        <v>6219151</v>
      </c>
    </row>
    <row r="908" spans="1:18" x14ac:dyDescent="0.25">
      <c r="A908" s="133">
        <v>43336</v>
      </c>
      <c r="B908" s="110">
        <v>56.88</v>
      </c>
      <c r="C908" s="110">
        <v>55.24</v>
      </c>
      <c r="D908" s="110">
        <v>54.9</v>
      </c>
      <c r="E908" s="110">
        <v>55.97</v>
      </c>
      <c r="F908" s="110">
        <v>276.2</v>
      </c>
      <c r="G908">
        <v>243993</v>
      </c>
      <c r="H908" s="110"/>
      <c r="I908" s="110"/>
      <c r="L908" s="133">
        <v>43336</v>
      </c>
      <c r="M908" s="110">
        <v>55.27</v>
      </c>
      <c r="N908" s="110">
        <v>56.9</v>
      </c>
      <c r="O908" s="110">
        <v>54.94</v>
      </c>
      <c r="P908" s="110">
        <v>55.88</v>
      </c>
      <c r="Q908" s="110">
        <v>276.35000000000002</v>
      </c>
      <c r="R908">
        <v>5863520</v>
      </c>
    </row>
    <row r="909" spans="1:18" x14ac:dyDescent="0.25">
      <c r="A909" s="133">
        <v>43339</v>
      </c>
      <c r="B909" s="110">
        <v>57.57</v>
      </c>
      <c r="C909" s="110">
        <v>56.98</v>
      </c>
      <c r="D909" s="110">
        <v>55.68</v>
      </c>
      <c r="E909" s="110">
        <v>55.8</v>
      </c>
      <c r="F909" s="110">
        <v>284.89999999999998</v>
      </c>
      <c r="G909">
        <v>323812</v>
      </c>
      <c r="H909" s="110"/>
      <c r="I909" s="110"/>
      <c r="L909" s="133">
        <v>43339</v>
      </c>
      <c r="M909" s="110">
        <v>56.96</v>
      </c>
      <c r="N909" s="110">
        <v>57.59</v>
      </c>
      <c r="O909" s="110">
        <v>55.63</v>
      </c>
      <c r="P909" s="110">
        <v>55.87</v>
      </c>
      <c r="Q909" s="110">
        <v>284.8</v>
      </c>
      <c r="R909">
        <v>6891762</v>
      </c>
    </row>
    <row r="910" spans="1:18" x14ac:dyDescent="0.25">
      <c r="A910" s="133">
        <v>43340</v>
      </c>
      <c r="B910" s="110">
        <v>57.15</v>
      </c>
      <c r="C910" s="110">
        <v>54.9</v>
      </c>
      <c r="D910" s="110">
        <v>54.53</v>
      </c>
      <c r="E910" s="110">
        <v>57.04</v>
      </c>
      <c r="F910" s="110">
        <v>274.5</v>
      </c>
      <c r="G910">
        <v>289924</v>
      </c>
      <c r="H910" s="110"/>
      <c r="I910" s="110"/>
      <c r="L910" s="133">
        <v>43340</v>
      </c>
      <c r="M910" s="110">
        <v>54.92</v>
      </c>
      <c r="N910" s="110">
        <v>57.16</v>
      </c>
      <c r="O910" s="110">
        <v>54.52</v>
      </c>
      <c r="P910" s="110">
        <v>57</v>
      </c>
      <c r="Q910" s="110">
        <v>274.60000000000002</v>
      </c>
      <c r="R910">
        <v>6070246</v>
      </c>
    </row>
    <row r="911" spans="1:18" x14ac:dyDescent="0.25">
      <c r="A911" s="133">
        <v>43341</v>
      </c>
      <c r="B911" s="110">
        <v>57.07</v>
      </c>
      <c r="C911" s="110">
        <v>56.51</v>
      </c>
      <c r="D911" s="110">
        <v>55.2</v>
      </c>
      <c r="E911" s="110">
        <v>55.44</v>
      </c>
      <c r="F911" s="110">
        <v>282.55</v>
      </c>
      <c r="G911">
        <v>313395</v>
      </c>
      <c r="H911" s="110"/>
      <c r="I911" s="110"/>
      <c r="L911" s="133">
        <v>43341</v>
      </c>
      <c r="M911" s="110">
        <v>56.41</v>
      </c>
      <c r="N911" s="110">
        <v>57.08</v>
      </c>
      <c r="O911" s="110">
        <v>55.15</v>
      </c>
      <c r="P911" s="110">
        <v>55.32</v>
      </c>
      <c r="Q911" s="110">
        <v>282.05</v>
      </c>
      <c r="R911">
        <v>6900063</v>
      </c>
    </row>
    <row r="912" spans="1:18" x14ac:dyDescent="0.25">
      <c r="A912" s="133">
        <v>43342</v>
      </c>
      <c r="B912" s="110">
        <v>57.82</v>
      </c>
      <c r="C912" s="110">
        <v>57.23</v>
      </c>
      <c r="D912" s="110">
        <v>55.66</v>
      </c>
      <c r="E912" s="110">
        <v>56.74</v>
      </c>
      <c r="F912" s="110">
        <v>286.14999999999998</v>
      </c>
      <c r="G912">
        <v>262963</v>
      </c>
      <c r="H912" s="110"/>
      <c r="I912" s="110"/>
      <c r="L912" s="133">
        <v>43342</v>
      </c>
      <c r="M912" s="110">
        <v>57.23</v>
      </c>
      <c r="N912" s="110">
        <v>57.86</v>
      </c>
      <c r="O912" s="110">
        <v>55.65</v>
      </c>
      <c r="P912" s="110">
        <v>56.2</v>
      </c>
      <c r="Q912" s="110">
        <v>286.14999999999998</v>
      </c>
      <c r="R912">
        <v>6760384</v>
      </c>
    </row>
    <row r="913" spans="1:18" x14ac:dyDescent="0.25">
      <c r="A913" s="133">
        <v>43343</v>
      </c>
      <c r="B913" s="110">
        <v>57.3</v>
      </c>
      <c r="C913" s="110">
        <v>56.83</v>
      </c>
      <c r="D913" s="110">
        <v>55.46</v>
      </c>
      <c r="E913" s="110">
        <v>57</v>
      </c>
      <c r="F913" s="110">
        <v>284.14999999999998</v>
      </c>
      <c r="G913">
        <v>294954</v>
      </c>
      <c r="H913" s="110"/>
      <c r="I913" s="110"/>
      <c r="L913" s="133">
        <v>43343</v>
      </c>
      <c r="M913" s="110">
        <v>56.74</v>
      </c>
      <c r="N913" s="110">
        <v>57.35</v>
      </c>
      <c r="O913" s="110">
        <v>55.44</v>
      </c>
      <c r="P913" s="110">
        <v>56.79</v>
      </c>
      <c r="Q913" s="110">
        <v>283.7</v>
      </c>
      <c r="R913">
        <v>7149784</v>
      </c>
    </row>
    <row r="914" spans="1:18" x14ac:dyDescent="0.25">
      <c r="A914" s="133">
        <v>43346</v>
      </c>
      <c r="B914" s="110">
        <v>58.5</v>
      </c>
      <c r="C914" s="110">
        <v>56.94</v>
      </c>
      <c r="D914" s="110">
        <v>56.48</v>
      </c>
      <c r="E914" s="110">
        <v>56.96</v>
      </c>
      <c r="F914" s="110">
        <v>284.7</v>
      </c>
      <c r="G914">
        <v>366487</v>
      </c>
      <c r="H914" s="110"/>
      <c r="I914" s="110"/>
      <c r="L914" s="133">
        <v>43346</v>
      </c>
      <c r="M914" s="110">
        <v>56.97</v>
      </c>
      <c r="N914" s="110">
        <v>58.55</v>
      </c>
      <c r="O914" s="110">
        <v>56.42</v>
      </c>
      <c r="P914" s="110">
        <v>57.1</v>
      </c>
      <c r="Q914" s="110">
        <v>284.85000000000002</v>
      </c>
      <c r="R914">
        <v>8344902</v>
      </c>
    </row>
    <row r="915" spans="1:18" x14ac:dyDescent="0.25">
      <c r="A915" s="133">
        <v>43347</v>
      </c>
      <c r="B915" s="110">
        <v>57.23</v>
      </c>
      <c r="C915" s="110">
        <v>54.22</v>
      </c>
      <c r="D915" s="110">
        <v>53.51</v>
      </c>
      <c r="E915" s="110">
        <v>56.81</v>
      </c>
      <c r="F915" s="110">
        <v>271.10000000000002</v>
      </c>
      <c r="G915">
        <v>502675</v>
      </c>
      <c r="H915" s="110"/>
      <c r="I915" s="110"/>
      <c r="L915" s="133">
        <v>43347</v>
      </c>
      <c r="M915" s="110">
        <v>54.28</v>
      </c>
      <c r="N915" s="110">
        <v>57.21</v>
      </c>
      <c r="O915" s="110">
        <v>53.93</v>
      </c>
      <c r="P915" s="110">
        <v>57.14</v>
      </c>
      <c r="Q915" s="110">
        <v>271.39999999999998</v>
      </c>
      <c r="R915">
        <v>8381000</v>
      </c>
    </row>
    <row r="916" spans="1:18" x14ac:dyDescent="0.25">
      <c r="A916" s="133">
        <v>43348</v>
      </c>
      <c r="B916" s="110">
        <v>54.65</v>
      </c>
      <c r="C916" s="110">
        <v>53.59</v>
      </c>
      <c r="D916" s="110">
        <v>52.33</v>
      </c>
      <c r="E916" s="110">
        <v>54.4</v>
      </c>
      <c r="F916" s="110">
        <v>267.95</v>
      </c>
      <c r="G916">
        <v>427732</v>
      </c>
      <c r="H916" s="110"/>
      <c r="I916" s="110"/>
      <c r="L916" s="133">
        <v>43348</v>
      </c>
      <c r="M916" s="110">
        <v>53.58</v>
      </c>
      <c r="N916" s="110">
        <v>54.66</v>
      </c>
      <c r="O916" s="110">
        <v>52.28</v>
      </c>
      <c r="P916" s="110">
        <v>54.05</v>
      </c>
      <c r="Q916" s="110">
        <v>267.89999999999998</v>
      </c>
      <c r="R916">
        <v>7977333</v>
      </c>
    </row>
    <row r="917" spans="1:18" x14ac:dyDescent="0.25">
      <c r="A917" s="133">
        <v>43349</v>
      </c>
      <c r="B917" s="110">
        <v>54.68</v>
      </c>
      <c r="C917" s="110">
        <v>53.71</v>
      </c>
      <c r="D917" s="110">
        <v>53.3</v>
      </c>
      <c r="E917" s="110">
        <v>54.2</v>
      </c>
      <c r="F917" s="110">
        <v>268.55</v>
      </c>
      <c r="G917">
        <v>335241</v>
      </c>
      <c r="H917" s="110"/>
      <c r="I917" s="110"/>
      <c r="L917" s="133">
        <v>43349</v>
      </c>
      <c r="M917" s="110">
        <v>53.79</v>
      </c>
      <c r="N917" s="110">
        <v>54.69</v>
      </c>
      <c r="O917" s="110">
        <v>53.24</v>
      </c>
      <c r="P917" s="110">
        <v>54</v>
      </c>
      <c r="Q917" s="110">
        <v>268.95</v>
      </c>
      <c r="R917">
        <v>7812786</v>
      </c>
    </row>
    <row r="918" spans="1:18" x14ac:dyDescent="0.25">
      <c r="A918" s="133">
        <v>43350</v>
      </c>
      <c r="B918" s="110">
        <v>54.51</v>
      </c>
      <c r="C918" s="110">
        <v>54.13</v>
      </c>
      <c r="D918" s="110">
        <v>52.93</v>
      </c>
      <c r="E918" s="110">
        <v>54.13</v>
      </c>
      <c r="F918" s="110">
        <v>270.64999999999998</v>
      </c>
      <c r="G918">
        <v>261869</v>
      </c>
      <c r="H918" s="110"/>
      <c r="I918" s="110"/>
      <c r="L918" s="133">
        <v>43350</v>
      </c>
      <c r="M918" s="110">
        <v>54.09</v>
      </c>
      <c r="N918" s="110">
        <v>54.52</v>
      </c>
      <c r="O918" s="110">
        <v>52.89</v>
      </c>
      <c r="P918" s="110">
        <v>54.2</v>
      </c>
      <c r="Q918" s="110">
        <v>270.45</v>
      </c>
      <c r="R918">
        <v>6131041</v>
      </c>
    </row>
    <row r="919" spans="1:18" x14ac:dyDescent="0.25">
      <c r="A919" s="133">
        <v>43353</v>
      </c>
      <c r="B919" s="110">
        <v>54.19</v>
      </c>
      <c r="C919" s="110">
        <v>52.9</v>
      </c>
      <c r="D919" s="110">
        <v>52.51</v>
      </c>
      <c r="E919" s="110">
        <v>53.91</v>
      </c>
      <c r="F919" s="110">
        <v>264.5</v>
      </c>
      <c r="G919">
        <v>311044</v>
      </c>
      <c r="H919" s="110"/>
      <c r="I919" s="110"/>
      <c r="L919" s="133">
        <v>43353</v>
      </c>
      <c r="M919" s="110">
        <v>52.97</v>
      </c>
      <c r="N919" s="110">
        <v>54.2</v>
      </c>
      <c r="O919" s="110">
        <v>52.56</v>
      </c>
      <c r="P919" s="110">
        <v>53.6</v>
      </c>
      <c r="Q919" s="110">
        <v>264.85000000000002</v>
      </c>
      <c r="R919">
        <v>6567083</v>
      </c>
    </row>
    <row r="920" spans="1:18" x14ac:dyDescent="0.25">
      <c r="A920" s="133">
        <v>43354</v>
      </c>
      <c r="B920" s="110">
        <v>53.88</v>
      </c>
      <c r="C920" s="110">
        <v>52.45</v>
      </c>
      <c r="D920" s="110">
        <v>52.2</v>
      </c>
      <c r="E920" s="110">
        <v>52.84</v>
      </c>
      <c r="F920" s="110">
        <v>262.25</v>
      </c>
      <c r="G920">
        <v>445585</v>
      </c>
      <c r="H920" s="110"/>
      <c r="I920" s="110"/>
      <c r="L920" s="133">
        <v>43354</v>
      </c>
      <c r="M920" s="110">
        <v>52.55</v>
      </c>
      <c r="N920" s="110">
        <v>53.91</v>
      </c>
      <c r="O920" s="110">
        <v>52.2</v>
      </c>
      <c r="P920" s="110">
        <v>53</v>
      </c>
      <c r="Q920" s="110">
        <v>262.75</v>
      </c>
      <c r="R920">
        <v>8193355</v>
      </c>
    </row>
    <row r="921" spans="1:18" x14ac:dyDescent="0.25">
      <c r="A921" s="133">
        <v>43355</v>
      </c>
      <c r="B921" s="110">
        <v>53.46</v>
      </c>
      <c r="C921" s="110">
        <v>53.04</v>
      </c>
      <c r="D921" s="110">
        <v>51.55</v>
      </c>
      <c r="E921" s="110">
        <v>52.99</v>
      </c>
      <c r="F921" s="110">
        <v>265.2</v>
      </c>
      <c r="G921">
        <v>481285</v>
      </c>
      <c r="H921" s="110"/>
      <c r="I921" s="110"/>
      <c r="L921" s="133">
        <v>43355</v>
      </c>
      <c r="M921" s="110">
        <v>52.98</v>
      </c>
      <c r="N921" s="110">
        <v>53.36</v>
      </c>
      <c r="O921" s="110">
        <v>51.46</v>
      </c>
      <c r="P921" s="110">
        <v>52.78</v>
      </c>
      <c r="Q921" s="110">
        <v>264.89999999999998</v>
      </c>
      <c r="R921">
        <v>7107022</v>
      </c>
    </row>
    <row r="922" spans="1:18" x14ac:dyDescent="0.25">
      <c r="A922" s="133">
        <v>43357</v>
      </c>
      <c r="B922" s="110">
        <v>54.25</v>
      </c>
      <c r="C922" s="110">
        <v>53.89</v>
      </c>
      <c r="D922" s="110">
        <v>53.44</v>
      </c>
      <c r="E922" s="110">
        <v>53.6</v>
      </c>
      <c r="F922" s="110">
        <v>269.45</v>
      </c>
      <c r="G922">
        <v>261011</v>
      </c>
      <c r="H922" s="110"/>
      <c r="I922" s="110"/>
      <c r="L922" s="133">
        <v>43357</v>
      </c>
      <c r="M922" s="110">
        <v>53.86</v>
      </c>
      <c r="N922" s="110">
        <v>54.24</v>
      </c>
      <c r="O922" s="110">
        <v>53.47</v>
      </c>
      <c r="P922" s="110">
        <v>53.73</v>
      </c>
      <c r="Q922" s="110">
        <v>269.3</v>
      </c>
      <c r="R922">
        <v>4541303</v>
      </c>
    </row>
    <row r="923" spans="1:18" x14ac:dyDescent="0.25">
      <c r="A923" s="133">
        <v>43360</v>
      </c>
      <c r="B923" s="110">
        <v>54.3</v>
      </c>
      <c r="C923" s="110">
        <v>53.49</v>
      </c>
      <c r="D923" s="110">
        <v>52.8</v>
      </c>
      <c r="E923" s="110">
        <v>53.45</v>
      </c>
      <c r="F923" s="110">
        <v>267.45</v>
      </c>
      <c r="G923">
        <v>330003</v>
      </c>
      <c r="H923" s="110"/>
      <c r="I923" s="110"/>
      <c r="L923" s="133">
        <v>43360</v>
      </c>
      <c r="M923" s="110">
        <v>53.5</v>
      </c>
      <c r="N923" s="110">
        <v>54.3</v>
      </c>
      <c r="O923" s="110">
        <v>52.76</v>
      </c>
      <c r="P923" s="110">
        <v>53.35</v>
      </c>
      <c r="Q923" s="110">
        <v>267.5</v>
      </c>
      <c r="R923">
        <v>5074930</v>
      </c>
    </row>
    <row r="924" spans="1:18" x14ac:dyDescent="0.25">
      <c r="A924" s="133">
        <v>43361</v>
      </c>
      <c r="B924" s="110">
        <v>52.8</v>
      </c>
      <c r="C924" s="110">
        <v>49.39</v>
      </c>
      <c r="D924" s="110">
        <v>48.9</v>
      </c>
      <c r="E924" s="110">
        <v>52.6</v>
      </c>
      <c r="F924" s="110">
        <v>246.95</v>
      </c>
      <c r="G924">
        <v>967929</v>
      </c>
      <c r="H924" s="110"/>
      <c r="I924" s="110"/>
      <c r="L924" s="133">
        <v>43361</v>
      </c>
      <c r="M924" s="110">
        <v>49.36</v>
      </c>
      <c r="N924" s="110">
        <v>52.8</v>
      </c>
      <c r="O924" s="110">
        <v>48.86</v>
      </c>
      <c r="P924" s="110">
        <v>52.56</v>
      </c>
      <c r="Q924" s="110">
        <v>246.8</v>
      </c>
      <c r="R924">
        <v>13340515</v>
      </c>
    </row>
    <row r="925" spans="1:18" x14ac:dyDescent="0.25">
      <c r="A925" s="133">
        <v>43362</v>
      </c>
      <c r="B925" s="110">
        <v>50.49</v>
      </c>
      <c r="C925" s="110">
        <v>49.3</v>
      </c>
      <c r="D925" s="110">
        <v>49.04</v>
      </c>
      <c r="E925" s="110">
        <v>49.61</v>
      </c>
      <c r="F925" s="110">
        <v>246.5</v>
      </c>
      <c r="G925">
        <v>574705</v>
      </c>
      <c r="H925" s="110"/>
      <c r="I925" s="110"/>
      <c r="L925" s="133">
        <v>43362</v>
      </c>
      <c r="M925" s="110">
        <v>49.24</v>
      </c>
      <c r="N925" s="110">
        <v>50.52</v>
      </c>
      <c r="O925" s="110">
        <v>49</v>
      </c>
      <c r="P925" s="110">
        <v>49.89</v>
      </c>
      <c r="Q925" s="110">
        <v>246.2</v>
      </c>
      <c r="R925">
        <v>8169465</v>
      </c>
    </row>
    <row r="926" spans="1:18" x14ac:dyDescent="0.25">
      <c r="A926" s="133">
        <v>43364</v>
      </c>
      <c r="B926" s="110">
        <v>50.27</v>
      </c>
      <c r="C926" s="110">
        <v>47.92</v>
      </c>
      <c r="D926" s="110">
        <v>41.91</v>
      </c>
      <c r="E926" s="110">
        <v>50</v>
      </c>
      <c r="F926" s="110">
        <v>239.6</v>
      </c>
      <c r="G926">
        <v>643924</v>
      </c>
      <c r="H926" s="110"/>
      <c r="I926" s="110"/>
      <c r="L926" s="133">
        <v>43364</v>
      </c>
      <c r="M926" s="110">
        <v>47.87</v>
      </c>
      <c r="N926" s="110">
        <v>50.3</v>
      </c>
      <c r="O926" s="110">
        <v>41.86</v>
      </c>
      <c r="P926" s="110">
        <v>49.66</v>
      </c>
      <c r="Q926" s="110">
        <v>239.35</v>
      </c>
      <c r="R926">
        <v>8629206</v>
      </c>
    </row>
    <row r="927" spans="1:18" x14ac:dyDescent="0.25">
      <c r="A927" s="133">
        <v>43367</v>
      </c>
      <c r="B927" s="110">
        <v>48.62</v>
      </c>
      <c r="C927" s="110">
        <v>46.66</v>
      </c>
      <c r="D927" s="110">
        <v>46.14</v>
      </c>
      <c r="E927" s="110">
        <v>48.56</v>
      </c>
      <c r="F927" s="110">
        <v>233.3</v>
      </c>
      <c r="G927">
        <v>373806</v>
      </c>
      <c r="H927" s="110"/>
      <c r="I927" s="110"/>
      <c r="L927" s="133">
        <v>43367</v>
      </c>
      <c r="M927" s="110">
        <v>46.6</v>
      </c>
      <c r="N927" s="110">
        <v>48.5</v>
      </c>
      <c r="O927" s="110">
        <v>46.07</v>
      </c>
      <c r="P927" s="110">
        <v>48.5</v>
      </c>
      <c r="Q927" s="110">
        <v>233</v>
      </c>
      <c r="R927">
        <v>6598819</v>
      </c>
    </row>
    <row r="928" spans="1:18" x14ac:dyDescent="0.25">
      <c r="A928" s="133">
        <v>43368</v>
      </c>
      <c r="B928" s="110">
        <v>47.4</v>
      </c>
      <c r="C928" s="110">
        <v>46.73</v>
      </c>
      <c r="D928" s="110">
        <v>44.32</v>
      </c>
      <c r="E928" s="110">
        <v>46.3</v>
      </c>
      <c r="F928" s="110">
        <v>233.65</v>
      </c>
      <c r="G928">
        <v>446607</v>
      </c>
      <c r="H928" s="110"/>
      <c r="I928" s="110"/>
      <c r="L928" s="133">
        <v>43368</v>
      </c>
      <c r="M928" s="110">
        <v>46.7</v>
      </c>
      <c r="N928" s="110">
        <v>47.42</v>
      </c>
      <c r="O928" s="110">
        <v>44.28</v>
      </c>
      <c r="P928" s="110">
        <v>46.38</v>
      </c>
      <c r="Q928" s="110">
        <v>233.5</v>
      </c>
      <c r="R928">
        <v>8511160</v>
      </c>
    </row>
    <row r="929" spans="1:18" x14ac:dyDescent="0.25">
      <c r="A929" s="133">
        <v>43369</v>
      </c>
      <c r="B929" s="110">
        <v>47.59</v>
      </c>
      <c r="C929" s="110">
        <v>46.99</v>
      </c>
      <c r="D929" s="110">
        <v>46.3</v>
      </c>
      <c r="E929" s="110">
        <v>47.04</v>
      </c>
      <c r="F929" s="110">
        <v>234.95</v>
      </c>
      <c r="G929">
        <v>267593</v>
      </c>
      <c r="H929" s="110"/>
      <c r="I929" s="110"/>
      <c r="L929" s="133">
        <v>43369</v>
      </c>
      <c r="M929" s="110">
        <v>47.03</v>
      </c>
      <c r="N929" s="110">
        <v>47.6</v>
      </c>
      <c r="O929" s="110">
        <v>46.26</v>
      </c>
      <c r="P929" s="110">
        <v>47.2</v>
      </c>
      <c r="Q929" s="110">
        <v>235.15</v>
      </c>
      <c r="R929">
        <v>6009365</v>
      </c>
    </row>
    <row r="930" spans="1:18" x14ac:dyDescent="0.25">
      <c r="A930" s="133">
        <v>43370</v>
      </c>
      <c r="B930" s="110">
        <v>47.3</v>
      </c>
      <c r="C930" s="110">
        <v>45.47</v>
      </c>
      <c r="D930" s="110">
        <v>45</v>
      </c>
      <c r="E930" s="110">
        <v>47.22</v>
      </c>
      <c r="F930" s="110">
        <v>227.35</v>
      </c>
      <c r="G930">
        <v>231020</v>
      </c>
      <c r="H930" s="110"/>
      <c r="I930" s="110"/>
      <c r="L930" s="133">
        <v>43370</v>
      </c>
      <c r="M930" s="110">
        <v>45.53</v>
      </c>
      <c r="N930" s="110">
        <v>47.37</v>
      </c>
      <c r="O930" s="110">
        <v>45.36</v>
      </c>
      <c r="P930" s="110">
        <v>47.34</v>
      </c>
      <c r="Q930" s="110">
        <v>227.65</v>
      </c>
      <c r="R930">
        <v>5105145</v>
      </c>
    </row>
    <row r="931" spans="1:18" x14ac:dyDescent="0.25">
      <c r="A931" s="133">
        <v>43371</v>
      </c>
      <c r="B931" s="110">
        <v>46.6</v>
      </c>
      <c r="C931" s="110">
        <v>44.17</v>
      </c>
      <c r="D931" s="110">
        <v>43.4</v>
      </c>
      <c r="E931" s="110">
        <v>46.2</v>
      </c>
      <c r="F931" s="110">
        <v>220.85</v>
      </c>
      <c r="G931">
        <v>541837</v>
      </c>
      <c r="H931" s="110"/>
      <c r="I931" s="110"/>
      <c r="L931" s="133">
        <v>43371</v>
      </c>
      <c r="M931" s="110">
        <v>44.17</v>
      </c>
      <c r="N931" s="110">
        <v>46.6</v>
      </c>
      <c r="O931" s="110">
        <v>43.73</v>
      </c>
      <c r="P931" s="110">
        <v>46.4</v>
      </c>
      <c r="Q931" s="110">
        <v>220.85</v>
      </c>
      <c r="R931">
        <v>8379638</v>
      </c>
    </row>
    <row r="932" spans="1:18" x14ac:dyDescent="0.25">
      <c r="A932" s="133">
        <v>43374</v>
      </c>
      <c r="B932" s="110">
        <v>47.16</v>
      </c>
      <c r="C932" s="110">
        <v>46.59</v>
      </c>
      <c r="D932" s="110">
        <v>42.7</v>
      </c>
      <c r="E932" s="110">
        <v>44.17</v>
      </c>
      <c r="F932" s="110">
        <v>232.95</v>
      </c>
      <c r="G932">
        <v>526359</v>
      </c>
      <c r="H932" s="110"/>
      <c r="I932" s="110"/>
      <c r="L932" s="133">
        <v>43374</v>
      </c>
      <c r="M932" s="110">
        <v>46.56</v>
      </c>
      <c r="N932" s="110">
        <v>47</v>
      </c>
      <c r="O932" s="110">
        <v>42.71</v>
      </c>
      <c r="P932" s="110">
        <v>43.8</v>
      </c>
      <c r="Q932" s="110">
        <v>232.8</v>
      </c>
      <c r="R932">
        <v>9788027</v>
      </c>
    </row>
    <row r="933" spans="1:18" x14ac:dyDescent="0.25">
      <c r="A933" s="133">
        <v>43376</v>
      </c>
      <c r="B933" s="110">
        <v>47.92</v>
      </c>
      <c r="C933" s="110">
        <v>46.34</v>
      </c>
      <c r="D933" s="110">
        <v>45.8</v>
      </c>
      <c r="E933" s="110">
        <v>46.6</v>
      </c>
      <c r="F933" s="110">
        <v>231.7</v>
      </c>
      <c r="G933">
        <v>475634</v>
      </c>
      <c r="H933" s="110"/>
      <c r="I933" s="110"/>
      <c r="L933" s="133">
        <v>43376</v>
      </c>
      <c r="M933" s="110">
        <v>46.36</v>
      </c>
      <c r="N933" s="110">
        <v>47.98</v>
      </c>
      <c r="O933" s="110">
        <v>45.76</v>
      </c>
      <c r="P933" s="110">
        <v>46</v>
      </c>
      <c r="Q933" s="110">
        <v>231.8</v>
      </c>
      <c r="R933">
        <v>8475653</v>
      </c>
    </row>
    <row r="934" spans="1:18" x14ac:dyDescent="0.25">
      <c r="A934" s="133">
        <v>43377</v>
      </c>
      <c r="B934" s="110">
        <v>46.82</v>
      </c>
      <c r="C934" s="110">
        <v>45.81</v>
      </c>
      <c r="D934" s="110">
        <v>45.13</v>
      </c>
      <c r="E934" s="110">
        <v>45.63</v>
      </c>
      <c r="F934" s="110">
        <v>229.05</v>
      </c>
      <c r="G934">
        <v>395703</v>
      </c>
      <c r="H934" s="110"/>
      <c r="I934" s="110"/>
      <c r="L934" s="133">
        <v>43377</v>
      </c>
      <c r="M934" s="110">
        <v>45.82</v>
      </c>
      <c r="N934" s="110">
        <v>46.8</v>
      </c>
      <c r="O934" s="110">
        <v>45.1</v>
      </c>
      <c r="P934" s="110">
        <v>45.61</v>
      </c>
      <c r="Q934" s="110">
        <v>229.1</v>
      </c>
      <c r="R934">
        <v>6312203</v>
      </c>
    </row>
    <row r="935" spans="1:18" x14ac:dyDescent="0.25">
      <c r="A935" s="133">
        <v>43378</v>
      </c>
      <c r="B935" s="110">
        <v>46.29</v>
      </c>
      <c r="C935" s="110">
        <v>44</v>
      </c>
      <c r="D935" s="110">
        <v>43.16</v>
      </c>
      <c r="E935" s="110">
        <v>46</v>
      </c>
      <c r="F935" s="110">
        <v>220</v>
      </c>
      <c r="G935">
        <v>424963</v>
      </c>
      <c r="H935" s="110"/>
      <c r="I935" s="110"/>
      <c r="L935" s="133">
        <v>43378</v>
      </c>
      <c r="M935" s="110">
        <v>43.87</v>
      </c>
      <c r="N935" s="110">
        <v>46.27</v>
      </c>
      <c r="O935" s="110">
        <v>43</v>
      </c>
      <c r="P935" s="110">
        <v>45.7</v>
      </c>
      <c r="Q935" s="110">
        <v>219.35</v>
      </c>
      <c r="R935">
        <v>6799304</v>
      </c>
    </row>
    <row r="936" spans="1:18" x14ac:dyDescent="0.25">
      <c r="A936" s="133">
        <v>43381</v>
      </c>
      <c r="B936" s="110">
        <v>44.05</v>
      </c>
      <c r="C936" s="110">
        <v>43.36</v>
      </c>
      <c r="D936" s="110">
        <v>42.2</v>
      </c>
      <c r="E936" s="110">
        <v>43.6</v>
      </c>
      <c r="F936" s="110">
        <v>216.8</v>
      </c>
      <c r="G936">
        <v>479501</v>
      </c>
      <c r="H936" s="110"/>
      <c r="I936" s="110"/>
      <c r="L936" s="133">
        <v>43381</v>
      </c>
      <c r="M936" s="110">
        <v>43.34</v>
      </c>
      <c r="N936" s="110">
        <v>44.09</v>
      </c>
      <c r="O936" s="110">
        <v>42.2</v>
      </c>
      <c r="P936" s="110">
        <v>43.78</v>
      </c>
      <c r="Q936" s="110">
        <v>216.7</v>
      </c>
      <c r="R936">
        <v>7847413</v>
      </c>
    </row>
    <row r="937" spans="1:18" x14ac:dyDescent="0.25">
      <c r="A937" s="133">
        <v>43382</v>
      </c>
      <c r="B937" s="110">
        <v>43.94</v>
      </c>
      <c r="C937" s="110">
        <v>43.3</v>
      </c>
      <c r="D937" s="110">
        <v>42.26</v>
      </c>
      <c r="E937" s="110">
        <v>43.8</v>
      </c>
      <c r="F937" s="110">
        <v>216.5</v>
      </c>
      <c r="G937">
        <v>394080</v>
      </c>
      <c r="H937" s="110"/>
      <c r="I937" s="110"/>
      <c r="L937" s="133">
        <v>43382</v>
      </c>
      <c r="M937" s="110">
        <v>43.24</v>
      </c>
      <c r="N937" s="110">
        <v>43.98</v>
      </c>
      <c r="O937" s="110">
        <v>42.24</v>
      </c>
      <c r="P937" s="110">
        <v>43.98</v>
      </c>
      <c r="Q937" s="110">
        <v>216.2</v>
      </c>
      <c r="R937">
        <v>6454245</v>
      </c>
    </row>
    <row r="938" spans="1:18" x14ac:dyDescent="0.25">
      <c r="A938" s="133">
        <v>43383</v>
      </c>
      <c r="B938" s="110">
        <v>46.81</v>
      </c>
      <c r="C938" s="110">
        <v>46.43</v>
      </c>
      <c r="D938" s="110">
        <v>43</v>
      </c>
      <c r="E938" s="110">
        <v>43</v>
      </c>
      <c r="F938" s="110">
        <v>232.15</v>
      </c>
      <c r="G938">
        <v>367770</v>
      </c>
      <c r="H938" s="110"/>
      <c r="I938" s="110"/>
      <c r="L938" s="133">
        <v>43383</v>
      </c>
      <c r="M938" s="110">
        <v>46.55</v>
      </c>
      <c r="N938" s="110">
        <v>47.16</v>
      </c>
      <c r="O938" s="110">
        <v>43.17</v>
      </c>
      <c r="P938" s="110">
        <v>43.2</v>
      </c>
      <c r="Q938" s="110">
        <v>232.75</v>
      </c>
      <c r="R938">
        <v>8101438</v>
      </c>
    </row>
    <row r="939" spans="1:18" x14ac:dyDescent="0.25">
      <c r="A939" s="133">
        <v>43384</v>
      </c>
      <c r="B939" s="110">
        <v>46.17</v>
      </c>
      <c r="C939" s="110">
        <v>45.01</v>
      </c>
      <c r="D939" s="110">
        <v>43.6</v>
      </c>
      <c r="E939" s="110">
        <v>43.62</v>
      </c>
      <c r="F939" s="110">
        <v>225.05</v>
      </c>
      <c r="G939">
        <v>354231</v>
      </c>
      <c r="H939" s="110"/>
      <c r="I939" s="110"/>
      <c r="L939" s="133">
        <v>43384</v>
      </c>
      <c r="M939" s="110">
        <v>45.03</v>
      </c>
      <c r="N939" s="110">
        <v>46.2</v>
      </c>
      <c r="O939" s="110">
        <v>43.6</v>
      </c>
      <c r="P939" s="110">
        <v>43.6</v>
      </c>
      <c r="Q939" s="110">
        <v>225.15</v>
      </c>
      <c r="R939">
        <v>6550519</v>
      </c>
    </row>
    <row r="940" spans="1:18" x14ac:dyDescent="0.25">
      <c r="A940" s="133">
        <v>43385</v>
      </c>
      <c r="B940" s="110">
        <v>46.82</v>
      </c>
      <c r="C940" s="110">
        <v>46.07</v>
      </c>
      <c r="D940" s="110">
        <v>45.6</v>
      </c>
      <c r="E940" s="110">
        <v>45.6</v>
      </c>
      <c r="F940" s="110">
        <v>230.35</v>
      </c>
      <c r="G940">
        <v>211602</v>
      </c>
      <c r="H940" s="110"/>
      <c r="I940" s="110"/>
      <c r="L940" s="133">
        <v>43385</v>
      </c>
      <c r="M940" s="110">
        <v>46.16</v>
      </c>
      <c r="N940" s="110">
        <v>46.83</v>
      </c>
      <c r="O940" s="110">
        <v>45.71</v>
      </c>
      <c r="P940" s="110">
        <v>46</v>
      </c>
      <c r="Q940" s="110">
        <v>230.8</v>
      </c>
      <c r="R940">
        <v>4938108</v>
      </c>
    </row>
    <row r="941" spans="1:18" x14ac:dyDescent="0.25">
      <c r="A941" s="133">
        <v>43388</v>
      </c>
      <c r="B941" s="110">
        <v>46.6</v>
      </c>
      <c r="C941" s="110">
        <v>46.03</v>
      </c>
      <c r="D941" s="110">
        <v>45.28</v>
      </c>
      <c r="E941" s="110">
        <v>46.6</v>
      </c>
      <c r="F941" s="110">
        <v>230.15</v>
      </c>
      <c r="G941">
        <v>200513</v>
      </c>
      <c r="H941" s="110"/>
      <c r="I941" s="110"/>
      <c r="L941" s="133">
        <v>43388</v>
      </c>
      <c r="M941" s="110">
        <v>45.97</v>
      </c>
      <c r="N941" s="110">
        <v>46.57</v>
      </c>
      <c r="O941" s="110">
        <v>45.24</v>
      </c>
      <c r="P941" s="110">
        <v>46.2</v>
      </c>
      <c r="Q941" s="110">
        <v>229.85</v>
      </c>
      <c r="R941">
        <v>4947232</v>
      </c>
    </row>
    <row r="942" spans="1:18" x14ac:dyDescent="0.25">
      <c r="A942" s="133">
        <v>43389</v>
      </c>
      <c r="B942" s="110">
        <v>47.78</v>
      </c>
      <c r="C942" s="110">
        <v>47.34</v>
      </c>
      <c r="D942" s="110">
        <v>46.03</v>
      </c>
      <c r="E942" s="110">
        <v>46.45</v>
      </c>
      <c r="F942" s="110">
        <v>236.7</v>
      </c>
      <c r="G942">
        <v>239641</v>
      </c>
      <c r="H942" s="110"/>
      <c r="I942" s="110"/>
      <c r="L942" s="133">
        <v>43389</v>
      </c>
      <c r="M942" s="110">
        <v>47.32</v>
      </c>
      <c r="N942" s="110">
        <v>47.76</v>
      </c>
      <c r="O942" s="110">
        <v>46</v>
      </c>
      <c r="P942" s="110">
        <v>46.33</v>
      </c>
      <c r="Q942" s="110">
        <v>236.6</v>
      </c>
      <c r="R942">
        <v>4809511</v>
      </c>
    </row>
    <row r="943" spans="1:18" x14ac:dyDescent="0.25">
      <c r="A943" s="133">
        <v>43390</v>
      </c>
      <c r="B943" s="110">
        <v>48.18</v>
      </c>
      <c r="C943" s="110">
        <v>44.04</v>
      </c>
      <c r="D943" s="110">
        <v>43.6</v>
      </c>
      <c r="E943" s="110">
        <v>47.8</v>
      </c>
      <c r="F943" s="110">
        <v>220.2</v>
      </c>
      <c r="G943">
        <v>411835</v>
      </c>
      <c r="H943" s="110"/>
      <c r="I943" s="110"/>
      <c r="L943" s="133">
        <v>43390</v>
      </c>
      <c r="M943" s="110">
        <v>44.13</v>
      </c>
      <c r="N943" s="110">
        <v>48.19</v>
      </c>
      <c r="O943" s="110">
        <v>43.65</v>
      </c>
      <c r="P943" s="110">
        <v>48.19</v>
      </c>
      <c r="Q943" s="110">
        <v>220.65</v>
      </c>
      <c r="R943">
        <v>7127914</v>
      </c>
    </row>
    <row r="944" spans="1:18" x14ac:dyDescent="0.25">
      <c r="A944" s="133">
        <v>43392</v>
      </c>
      <c r="B944" s="110">
        <v>45.1</v>
      </c>
      <c r="C944" s="110">
        <v>44.16</v>
      </c>
      <c r="D944" s="110">
        <v>43.38</v>
      </c>
      <c r="E944" s="110">
        <v>43.6</v>
      </c>
      <c r="F944" s="110">
        <v>220.8</v>
      </c>
      <c r="G944">
        <v>416876</v>
      </c>
      <c r="H944" s="110"/>
      <c r="I944" s="110"/>
      <c r="L944" s="133">
        <v>43392</v>
      </c>
      <c r="M944" s="110">
        <v>44.2</v>
      </c>
      <c r="N944" s="110">
        <v>45.14</v>
      </c>
      <c r="O944" s="110">
        <v>43.32</v>
      </c>
      <c r="P944" s="110">
        <v>44</v>
      </c>
      <c r="Q944" s="110">
        <v>221</v>
      </c>
      <c r="R944">
        <v>6460902</v>
      </c>
    </row>
    <row r="945" spans="1:18" x14ac:dyDescent="0.25">
      <c r="A945" s="133">
        <v>43395</v>
      </c>
      <c r="B945" s="110">
        <v>45.19</v>
      </c>
      <c r="C945" s="110">
        <v>42.58</v>
      </c>
      <c r="D945" s="110">
        <v>42.07</v>
      </c>
      <c r="E945" s="110">
        <v>44.8</v>
      </c>
      <c r="F945" s="110">
        <v>212.9</v>
      </c>
      <c r="G945">
        <v>496788</v>
      </c>
      <c r="H945" s="110"/>
      <c r="I945" s="110"/>
      <c r="L945" s="133">
        <v>43395</v>
      </c>
      <c r="M945" s="110">
        <v>42.26</v>
      </c>
      <c r="N945" s="110">
        <v>45.28</v>
      </c>
      <c r="O945" s="110">
        <v>41.86</v>
      </c>
      <c r="P945" s="110">
        <v>45</v>
      </c>
      <c r="Q945" s="110">
        <v>211.3</v>
      </c>
      <c r="R945">
        <v>8558472</v>
      </c>
    </row>
    <row r="946" spans="1:18" x14ac:dyDescent="0.25">
      <c r="A946" s="133">
        <v>43396</v>
      </c>
      <c r="B946" s="110">
        <v>42.5</v>
      </c>
      <c r="C946" s="110">
        <v>41.65</v>
      </c>
      <c r="D946" s="110">
        <v>41.03</v>
      </c>
      <c r="E946" s="110">
        <v>41.95</v>
      </c>
      <c r="F946" s="110">
        <v>208.25</v>
      </c>
      <c r="G946">
        <v>406501</v>
      </c>
      <c r="H946" s="110"/>
      <c r="I946" s="110"/>
      <c r="L946" s="133">
        <v>43396</v>
      </c>
      <c r="M946" s="110">
        <v>41.62</v>
      </c>
      <c r="N946" s="110">
        <v>42.44</v>
      </c>
      <c r="O946" s="110">
        <v>40.950000000000003</v>
      </c>
      <c r="P946" s="110">
        <v>41.61</v>
      </c>
      <c r="Q946" s="110">
        <v>208.1</v>
      </c>
      <c r="R946">
        <v>6251505</v>
      </c>
    </row>
    <row r="947" spans="1:18" x14ac:dyDescent="0.25">
      <c r="A947" s="133">
        <v>43397</v>
      </c>
      <c r="B947" s="110">
        <v>42.84</v>
      </c>
      <c r="C947" s="110">
        <v>42.47</v>
      </c>
      <c r="D947" s="110">
        <v>41.19</v>
      </c>
      <c r="E947" s="110">
        <v>42.4</v>
      </c>
      <c r="F947" s="110">
        <v>212.35</v>
      </c>
      <c r="G947">
        <v>392560</v>
      </c>
      <c r="H947" s="110"/>
      <c r="I947" s="110"/>
      <c r="L947" s="133">
        <v>43397</v>
      </c>
      <c r="M947" s="110">
        <v>42.54</v>
      </c>
      <c r="N947" s="110">
        <v>43</v>
      </c>
      <c r="O947" s="110">
        <v>41.14</v>
      </c>
      <c r="P947" s="110">
        <v>42.5</v>
      </c>
      <c r="Q947" s="110">
        <v>212.7</v>
      </c>
      <c r="R947">
        <v>5953674</v>
      </c>
    </row>
    <row r="948" spans="1:18" x14ac:dyDescent="0.25">
      <c r="A948" s="133">
        <v>43398</v>
      </c>
      <c r="B948" s="110">
        <v>42.9</v>
      </c>
      <c r="C948" s="110">
        <v>42.26</v>
      </c>
      <c r="D948" s="110">
        <v>41.65</v>
      </c>
      <c r="E948" s="110">
        <v>42.2</v>
      </c>
      <c r="F948" s="110">
        <v>211.3</v>
      </c>
      <c r="G948">
        <v>527288</v>
      </c>
      <c r="H948" s="110"/>
      <c r="I948" s="110"/>
      <c r="L948" s="133">
        <v>43398</v>
      </c>
      <c r="M948" s="110">
        <v>42.33</v>
      </c>
      <c r="N948" s="110">
        <v>42.95</v>
      </c>
      <c r="O948" s="110">
        <v>41.6</v>
      </c>
      <c r="P948" s="110">
        <v>42</v>
      </c>
      <c r="Q948" s="110">
        <v>211.65</v>
      </c>
      <c r="R948">
        <v>4714863</v>
      </c>
    </row>
    <row r="949" spans="1:18" x14ac:dyDescent="0.25">
      <c r="A949" s="133">
        <v>43399</v>
      </c>
      <c r="B949" s="110">
        <v>43.16</v>
      </c>
      <c r="C949" s="110">
        <v>42.52</v>
      </c>
      <c r="D949" s="110">
        <v>41.9</v>
      </c>
      <c r="E949" s="110">
        <v>42.8</v>
      </c>
      <c r="F949" s="110">
        <v>212.6</v>
      </c>
      <c r="G949">
        <v>373734</v>
      </c>
      <c r="H949" s="110"/>
      <c r="I949" s="110"/>
      <c r="L949" s="133">
        <v>43399</v>
      </c>
      <c r="M949" s="110">
        <v>42.51</v>
      </c>
      <c r="N949" s="110">
        <v>43.16</v>
      </c>
      <c r="O949" s="110">
        <v>41.85</v>
      </c>
      <c r="P949" s="110">
        <v>42.8</v>
      </c>
      <c r="Q949" s="110">
        <v>212.55</v>
      </c>
      <c r="R949">
        <v>5676171</v>
      </c>
    </row>
    <row r="950" spans="1:18" x14ac:dyDescent="0.25">
      <c r="A950" s="133">
        <v>43402</v>
      </c>
      <c r="B950" s="110">
        <v>48</v>
      </c>
      <c r="C950" s="110">
        <v>47.66</v>
      </c>
      <c r="D950" s="110">
        <v>42.4</v>
      </c>
      <c r="E950" s="110">
        <v>42.6</v>
      </c>
      <c r="F950" s="110">
        <v>238.3</v>
      </c>
      <c r="G950">
        <v>639108</v>
      </c>
      <c r="H950" s="110"/>
      <c r="I950" s="110"/>
      <c r="L950" s="133">
        <v>43402</v>
      </c>
      <c r="M950" s="110">
        <v>47.64</v>
      </c>
      <c r="N950" s="110">
        <v>48</v>
      </c>
      <c r="O950" s="110">
        <v>42.42</v>
      </c>
      <c r="P950" s="110">
        <v>42.7</v>
      </c>
      <c r="Q950" s="110">
        <v>238.2</v>
      </c>
      <c r="R950">
        <v>11080517</v>
      </c>
    </row>
    <row r="951" spans="1:18" x14ac:dyDescent="0.25">
      <c r="A951" s="133">
        <v>43403</v>
      </c>
      <c r="B951" s="110">
        <v>52.68</v>
      </c>
      <c r="C951" s="110">
        <v>51.26</v>
      </c>
      <c r="D951" s="110">
        <v>47.11</v>
      </c>
      <c r="E951" s="110">
        <v>48.8</v>
      </c>
      <c r="F951" s="110">
        <v>256.3</v>
      </c>
      <c r="G951">
        <v>1407324</v>
      </c>
      <c r="H951" s="110"/>
      <c r="I951" s="110"/>
      <c r="L951" s="133">
        <v>43403</v>
      </c>
      <c r="M951" s="110">
        <v>51.25</v>
      </c>
      <c r="N951" s="110">
        <v>52.74</v>
      </c>
      <c r="O951" s="110">
        <v>47.17</v>
      </c>
      <c r="P951" s="110">
        <v>47.4</v>
      </c>
      <c r="Q951" s="110">
        <v>256.25</v>
      </c>
      <c r="R951">
        <v>21600916</v>
      </c>
    </row>
    <row r="952" spans="1:18" x14ac:dyDescent="0.25">
      <c r="A952" s="133">
        <v>43404</v>
      </c>
      <c r="B952" s="110">
        <v>52.6</v>
      </c>
      <c r="C952" s="110">
        <v>52.39</v>
      </c>
      <c r="D952" s="110">
        <v>50</v>
      </c>
      <c r="E952" s="110">
        <v>51.88</v>
      </c>
      <c r="F952" s="110">
        <v>261.95</v>
      </c>
      <c r="G952">
        <v>823776</v>
      </c>
      <c r="H952" s="110"/>
      <c r="I952" s="110"/>
      <c r="L952" s="133">
        <v>43404</v>
      </c>
      <c r="M952" s="110">
        <v>52.39</v>
      </c>
      <c r="N952" s="110">
        <v>52.65</v>
      </c>
      <c r="O952" s="110">
        <v>49.96</v>
      </c>
      <c r="P952" s="110">
        <v>51.8</v>
      </c>
      <c r="Q952" s="110">
        <v>261.95</v>
      </c>
      <c r="R952">
        <v>12180758</v>
      </c>
    </row>
    <row r="953" spans="1:18" x14ac:dyDescent="0.25">
      <c r="A953" s="133">
        <v>43405</v>
      </c>
      <c r="B953" s="110">
        <v>52.95</v>
      </c>
      <c r="C953" s="110">
        <v>50.35</v>
      </c>
      <c r="D953" s="110">
        <v>49.83</v>
      </c>
      <c r="E953" s="110">
        <v>52.7</v>
      </c>
      <c r="F953" s="110">
        <v>251.75</v>
      </c>
      <c r="G953">
        <v>1093045</v>
      </c>
      <c r="H953" s="110"/>
      <c r="I953" s="110"/>
      <c r="L953" s="133">
        <v>43405</v>
      </c>
      <c r="M953" s="110">
        <v>50.36</v>
      </c>
      <c r="N953" s="110">
        <v>52.97</v>
      </c>
      <c r="O953" s="110">
        <v>49.91</v>
      </c>
      <c r="P953" s="110">
        <v>52.4</v>
      </c>
      <c r="Q953" s="110">
        <v>251.8</v>
      </c>
      <c r="R953">
        <v>15743295</v>
      </c>
    </row>
    <row r="954" spans="1:18" x14ac:dyDescent="0.25">
      <c r="A954" s="133">
        <v>43406</v>
      </c>
      <c r="B954" s="110">
        <v>51.58</v>
      </c>
      <c r="C954" s="110">
        <v>48.76</v>
      </c>
      <c r="D954" s="110">
        <v>48.45</v>
      </c>
      <c r="E954" s="110">
        <v>51.58</v>
      </c>
      <c r="F954" s="110">
        <v>243.8</v>
      </c>
      <c r="G954">
        <v>614337</v>
      </c>
      <c r="H954" s="110"/>
      <c r="I954" s="110"/>
      <c r="L954" s="133">
        <v>43406</v>
      </c>
      <c r="M954" s="110">
        <v>48.7</v>
      </c>
      <c r="N954" s="110">
        <v>51.44</v>
      </c>
      <c r="O954" s="110">
        <v>48.42</v>
      </c>
      <c r="P954" s="110">
        <v>50.98</v>
      </c>
      <c r="Q954" s="110">
        <v>243.5</v>
      </c>
      <c r="R954">
        <v>10441779</v>
      </c>
    </row>
    <row r="955" spans="1:18" x14ac:dyDescent="0.25">
      <c r="A955" s="133">
        <v>43409</v>
      </c>
      <c r="B955" s="110">
        <v>49.72</v>
      </c>
      <c r="C955" s="110">
        <v>49.19</v>
      </c>
      <c r="D955" s="110">
        <v>48.28</v>
      </c>
      <c r="E955" s="110">
        <v>48.4</v>
      </c>
      <c r="F955" s="110">
        <v>245.95</v>
      </c>
      <c r="G955">
        <v>362358</v>
      </c>
      <c r="H955" s="110"/>
      <c r="I955" s="110"/>
      <c r="L955" s="133">
        <v>43409</v>
      </c>
      <c r="M955" s="110">
        <v>49.2</v>
      </c>
      <c r="N955" s="110">
        <v>49.74</v>
      </c>
      <c r="O955" s="110">
        <v>48.2</v>
      </c>
      <c r="P955" s="110">
        <v>48.58</v>
      </c>
      <c r="Q955" s="110">
        <v>246</v>
      </c>
      <c r="R955">
        <v>5613259</v>
      </c>
    </row>
    <row r="956" spans="1:18" x14ac:dyDescent="0.25">
      <c r="A956" s="133">
        <v>43410</v>
      </c>
      <c r="B956" s="110">
        <v>49.7</v>
      </c>
      <c r="C956" s="110">
        <v>48.4</v>
      </c>
      <c r="D956" s="110">
        <v>48.06</v>
      </c>
      <c r="E956" s="110">
        <v>49.53</v>
      </c>
      <c r="F956" s="110">
        <v>242</v>
      </c>
      <c r="G956">
        <v>234990</v>
      </c>
      <c r="H956" s="110"/>
      <c r="I956" s="110"/>
      <c r="L956" s="133">
        <v>43410</v>
      </c>
      <c r="M956" s="110">
        <v>48.41</v>
      </c>
      <c r="N956" s="110">
        <v>49.7</v>
      </c>
      <c r="O956" s="110">
        <v>48.05</v>
      </c>
      <c r="P956" s="110">
        <v>49.37</v>
      </c>
      <c r="Q956" s="110">
        <v>242.05</v>
      </c>
      <c r="R956">
        <v>4298701</v>
      </c>
    </row>
    <row r="957" spans="1:18" x14ac:dyDescent="0.25">
      <c r="A957" s="133">
        <v>43411</v>
      </c>
      <c r="B957" s="110">
        <v>48.88</v>
      </c>
      <c r="C957" s="110">
        <v>48.63</v>
      </c>
      <c r="D957" s="110">
        <v>48.52</v>
      </c>
      <c r="E957" s="110">
        <v>48.74</v>
      </c>
      <c r="F957" s="110">
        <v>243.15</v>
      </c>
      <c r="G957">
        <v>40620</v>
      </c>
      <c r="H957" s="110"/>
      <c r="I957" s="110"/>
      <c r="L957" s="133">
        <v>43411</v>
      </c>
      <c r="M957" s="110">
        <v>48.56</v>
      </c>
      <c r="N957" s="110">
        <v>48.93</v>
      </c>
      <c r="O957" s="110">
        <v>48.42</v>
      </c>
      <c r="P957" s="110">
        <v>48.8</v>
      </c>
      <c r="Q957" s="110">
        <v>242.8</v>
      </c>
      <c r="R957">
        <v>600198</v>
      </c>
    </row>
    <row r="958" spans="1:18" x14ac:dyDescent="0.25">
      <c r="A958" s="133">
        <v>43413</v>
      </c>
      <c r="B958" s="110">
        <v>50.42</v>
      </c>
      <c r="C958" s="110">
        <v>49.3</v>
      </c>
      <c r="D958" s="110">
        <v>48.13</v>
      </c>
      <c r="E958" s="110">
        <v>48.94</v>
      </c>
      <c r="F958" s="110">
        <v>246.5</v>
      </c>
      <c r="G958">
        <v>423826</v>
      </c>
      <c r="H958" s="110"/>
      <c r="I958" s="110"/>
      <c r="L958" s="133">
        <v>43413</v>
      </c>
      <c r="M958" s="110">
        <v>49.28</v>
      </c>
      <c r="N958" s="110">
        <v>50.44</v>
      </c>
      <c r="O958" s="110">
        <v>48.14</v>
      </c>
      <c r="P958" s="110">
        <v>48.6</v>
      </c>
      <c r="Q958" s="110">
        <v>246.4</v>
      </c>
      <c r="R958">
        <v>7032653</v>
      </c>
    </row>
    <row r="959" spans="1:18" x14ac:dyDescent="0.25">
      <c r="A959" s="133">
        <v>43416</v>
      </c>
      <c r="B959" s="110">
        <v>49.65</v>
      </c>
      <c r="C959" s="110">
        <v>47.6</v>
      </c>
      <c r="D959" s="110">
        <v>47.37</v>
      </c>
      <c r="E959" s="110">
        <v>49.63</v>
      </c>
      <c r="F959" s="110">
        <v>238</v>
      </c>
      <c r="G959">
        <v>376188</v>
      </c>
      <c r="H959" s="110"/>
      <c r="I959" s="110"/>
      <c r="L959" s="133">
        <v>43416</v>
      </c>
      <c r="M959" s="110">
        <v>47.62</v>
      </c>
      <c r="N959" s="110">
        <v>49.53</v>
      </c>
      <c r="O959" s="110">
        <v>47.4</v>
      </c>
      <c r="P959" s="110">
        <v>49.36</v>
      </c>
      <c r="Q959" s="110">
        <v>238.1</v>
      </c>
      <c r="R959">
        <v>5046681</v>
      </c>
    </row>
    <row r="960" spans="1:18" x14ac:dyDescent="0.25">
      <c r="A960" s="133">
        <v>43417</v>
      </c>
      <c r="B960" s="110">
        <v>49.2</v>
      </c>
      <c r="C960" s="110">
        <v>48.69</v>
      </c>
      <c r="D960" s="110">
        <v>47</v>
      </c>
      <c r="E960" s="110">
        <v>47.59</v>
      </c>
      <c r="F960" s="110">
        <v>243.45</v>
      </c>
      <c r="G960">
        <v>383519</v>
      </c>
      <c r="H960" s="110"/>
      <c r="I960" s="110"/>
      <c r="L960" s="133">
        <v>43417</v>
      </c>
      <c r="M960" s="110">
        <v>48.65</v>
      </c>
      <c r="N960" s="110">
        <v>49.2</v>
      </c>
      <c r="O960" s="110">
        <v>46.94</v>
      </c>
      <c r="P960" s="110">
        <v>47.4</v>
      </c>
      <c r="Q960" s="110">
        <v>243.25</v>
      </c>
      <c r="R960">
        <v>6128406</v>
      </c>
    </row>
    <row r="961" spans="1:18" x14ac:dyDescent="0.25">
      <c r="A961" s="133">
        <v>43418</v>
      </c>
      <c r="B961" s="110">
        <v>51.44</v>
      </c>
      <c r="C961" s="110">
        <v>50.54</v>
      </c>
      <c r="D961" s="110">
        <v>48.86</v>
      </c>
      <c r="E961" s="110">
        <v>49.2</v>
      </c>
      <c r="F961" s="110">
        <v>252.7</v>
      </c>
      <c r="G961">
        <v>529472</v>
      </c>
      <c r="H961" s="110"/>
      <c r="I961" s="110"/>
      <c r="L961" s="133">
        <v>43418</v>
      </c>
      <c r="M961" s="110">
        <v>50.53</v>
      </c>
      <c r="N961" s="110">
        <v>51.48</v>
      </c>
      <c r="O961" s="110">
        <v>48.82</v>
      </c>
      <c r="P961" s="110">
        <v>49.2</v>
      </c>
      <c r="Q961" s="110">
        <v>252.65</v>
      </c>
      <c r="R961">
        <v>10419931</v>
      </c>
    </row>
    <row r="962" spans="1:18" x14ac:dyDescent="0.25">
      <c r="A962" s="133">
        <v>43419</v>
      </c>
      <c r="B962" s="110">
        <v>51.86</v>
      </c>
      <c r="C962" s="110">
        <v>51.15</v>
      </c>
      <c r="D962" s="110">
        <v>49.6</v>
      </c>
      <c r="E962" s="110">
        <v>50.8</v>
      </c>
      <c r="F962" s="110">
        <v>255.75</v>
      </c>
      <c r="G962">
        <v>376191</v>
      </c>
      <c r="H962" s="110"/>
      <c r="I962" s="110"/>
      <c r="L962" s="133">
        <v>43419</v>
      </c>
      <c r="M962" s="110">
        <v>51.13</v>
      </c>
      <c r="N962" s="110">
        <v>51.89</v>
      </c>
      <c r="O962" s="110">
        <v>49.6</v>
      </c>
      <c r="P962" s="110">
        <v>50.59</v>
      </c>
      <c r="Q962" s="110">
        <v>255.65</v>
      </c>
      <c r="R962">
        <v>7428539</v>
      </c>
    </row>
    <row r="963" spans="1:18" x14ac:dyDescent="0.25">
      <c r="A963" s="133">
        <v>43420</v>
      </c>
      <c r="B963" s="110">
        <v>53.2</v>
      </c>
      <c r="C963" s="110">
        <v>52.64</v>
      </c>
      <c r="D963" s="110">
        <v>50.24</v>
      </c>
      <c r="E963" s="110">
        <v>51.49</v>
      </c>
      <c r="F963" s="110">
        <v>263.2</v>
      </c>
      <c r="G963">
        <v>603509</v>
      </c>
      <c r="H963" s="110"/>
      <c r="I963" s="110"/>
      <c r="L963" s="133">
        <v>43420</v>
      </c>
      <c r="M963" s="110">
        <v>52.74</v>
      </c>
      <c r="N963" s="110">
        <v>53.28</v>
      </c>
      <c r="O963" s="110">
        <v>50.18</v>
      </c>
      <c r="P963" s="110">
        <v>51.09</v>
      </c>
      <c r="Q963" s="110">
        <v>263.7</v>
      </c>
      <c r="R963">
        <v>10143334</v>
      </c>
    </row>
    <row r="964" spans="1:18" x14ac:dyDescent="0.25">
      <c r="A964" s="133">
        <v>43423</v>
      </c>
      <c r="B964" s="110">
        <v>53.6</v>
      </c>
      <c r="C964" s="110">
        <v>52.21</v>
      </c>
      <c r="D964" s="110">
        <v>51.9</v>
      </c>
      <c r="E964" s="110">
        <v>53.31</v>
      </c>
      <c r="F964" s="110">
        <v>261.05</v>
      </c>
      <c r="G964">
        <v>389037</v>
      </c>
      <c r="H964" s="110"/>
      <c r="I964" s="110"/>
      <c r="L964" s="133">
        <v>43423</v>
      </c>
      <c r="M964" s="110">
        <v>52.22</v>
      </c>
      <c r="N964" s="110">
        <v>53.55</v>
      </c>
      <c r="O964" s="110">
        <v>51.85</v>
      </c>
      <c r="P964" s="110">
        <v>53.36</v>
      </c>
      <c r="Q964" s="110">
        <v>261.10000000000002</v>
      </c>
      <c r="R964">
        <v>6637142</v>
      </c>
    </row>
    <row r="965" spans="1:18" x14ac:dyDescent="0.25">
      <c r="A965" s="133">
        <v>43424</v>
      </c>
      <c r="B965" s="110">
        <v>52.86</v>
      </c>
      <c r="C965" s="110">
        <v>51.27</v>
      </c>
      <c r="D965" s="110">
        <v>51</v>
      </c>
      <c r="E965" s="110">
        <v>51.2</v>
      </c>
      <c r="F965" s="110">
        <v>256.35000000000002</v>
      </c>
      <c r="G965">
        <v>416867</v>
      </c>
      <c r="H965" s="110"/>
      <c r="I965" s="110"/>
      <c r="L965" s="133">
        <v>43424</v>
      </c>
      <c r="M965" s="110">
        <v>51.37</v>
      </c>
      <c r="N965" s="110">
        <v>52.85</v>
      </c>
      <c r="O965" s="110">
        <v>51.07</v>
      </c>
      <c r="P965" s="110">
        <v>51.08</v>
      </c>
      <c r="Q965" s="110">
        <v>256.85000000000002</v>
      </c>
      <c r="R965">
        <v>7643669</v>
      </c>
    </row>
    <row r="966" spans="1:18" x14ac:dyDescent="0.25">
      <c r="A966" s="133">
        <v>43425</v>
      </c>
      <c r="B966" s="110">
        <v>53</v>
      </c>
      <c r="C966" s="110">
        <v>52.57</v>
      </c>
      <c r="D966" s="110">
        <v>51.04</v>
      </c>
      <c r="E966" s="110">
        <v>51.04</v>
      </c>
      <c r="F966" s="110">
        <v>262.85000000000002</v>
      </c>
      <c r="G966">
        <v>385406</v>
      </c>
      <c r="H966" s="110"/>
      <c r="I966" s="110"/>
      <c r="L966" s="133">
        <v>43425</v>
      </c>
      <c r="M966" s="110">
        <v>52.62</v>
      </c>
      <c r="N966" s="110">
        <v>52.98</v>
      </c>
      <c r="O966" s="110">
        <v>51.3</v>
      </c>
      <c r="P966" s="110">
        <v>51.38</v>
      </c>
      <c r="Q966" s="110">
        <v>263.10000000000002</v>
      </c>
      <c r="R966">
        <v>7807803</v>
      </c>
    </row>
    <row r="967" spans="1:18" x14ac:dyDescent="0.25">
      <c r="A967" s="133">
        <v>43426</v>
      </c>
      <c r="B967" s="110">
        <v>52.81</v>
      </c>
      <c r="C967" s="110">
        <v>52.02</v>
      </c>
      <c r="D967" s="110">
        <v>51.52</v>
      </c>
      <c r="E967" s="110">
        <v>52.6</v>
      </c>
      <c r="F967" s="110">
        <v>260.10000000000002</v>
      </c>
      <c r="G967">
        <v>409817</v>
      </c>
      <c r="H967" s="110"/>
      <c r="I967" s="110"/>
      <c r="L967" s="133">
        <v>43426</v>
      </c>
      <c r="M967" s="110">
        <v>52.18</v>
      </c>
      <c r="N967" s="110">
        <v>52.9</v>
      </c>
      <c r="O967" s="110">
        <v>51.52</v>
      </c>
      <c r="P967" s="110">
        <v>52.86</v>
      </c>
      <c r="Q967" s="110">
        <v>260.89999999999998</v>
      </c>
      <c r="R967">
        <v>7395443</v>
      </c>
    </row>
    <row r="968" spans="1:18" x14ac:dyDescent="0.25">
      <c r="A968" s="133">
        <v>43430</v>
      </c>
      <c r="B968" s="110">
        <v>52.96</v>
      </c>
      <c r="C968" s="110">
        <v>52.72</v>
      </c>
      <c r="D968" s="110">
        <v>51.42</v>
      </c>
      <c r="E968" s="110">
        <v>52.63</v>
      </c>
      <c r="F968" s="110">
        <v>263.60000000000002</v>
      </c>
      <c r="G968">
        <v>320680</v>
      </c>
      <c r="H968" s="110"/>
      <c r="I968" s="110"/>
      <c r="L968" s="133">
        <v>43430</v>
      </c>
      <c r="M968" s="110">
        <v>52.73</v>
      </c>
      <c r="N968" s="110">
        <v>52.99</v>
      </c>
      <c r="O968" s="110">
        <v>51.36</v>
      </c>
      <c r="P968" s="110">
        <v>52.65</v>
      </c>
      <c r="Q968" s="110">
        <v>263.64999999999998</v>
      </c>
      <c r="R968">
        <v>6377801</v>
      </c>
    </row>
    <row r="969" spans="1:18" x14ac:dyDescent="0.25">
      <c r="A969" s="133">
        <v>43431</v>
      </c>
      <c r="B969" s="110">
        <v>53.87</v>
      </c>
      <c r="C969" s="110">
        <v>53.5</v>
      </c>
      <c r="D969" s="110">
        <v>52.39</v>
      </c>
      <c r="E969" s="110">
        <v>52.8</v>
      </c>
      <c r="F969" s="110">
        <v>267.5</v>
      </c>
      <c r="G969">
        <v>512008</v>
      </c>
      <c r="H969" s="110"/>
      <c r="I969" s="110"/>
      <c r="L969" s="133">
        <v>43431</v>
      </c>
      <c r="M969" s="110">
        <v>53.51</v>
      </c>
      <c r="N969" s="110">
        <v>53.89</v>
      </c>
      <c r="O969" s="110">
        <v>52.33</v>
      </c>
      <c r="P969" s="110">
        <v>52.65</v>
      </c>
      <c r="Q969" s="110">
        <v>267.55</v>
      </c>
      <c r="R969">
        <v>9163876</v>
      </c>
    </row>
    <row r="970" spans="1:18" x14ac:dyDescent="0.25">
      <c r="A970" s="133">
        <v>43432</v>
      </c>
      <c r="B970" s="110">
        <v>54.4</v>
      </c>
      <c r="C970" s="110">
        <v>52.45</v>
      </c>
      <c r="D970" s="110">
        <v>52.11</v>
      </c>
      <c r="E970" s="110">
        <v>53.93</v>
      </c>
      <c r="F970" s="110">
        <v>262.25</v>
      </c>
      <c r="G970">
        <v>424115</v>
      </c>
      <c r="H970" s="110"/>
      <c r="I970" s="110"/>
      <c r="L970" s="133">
        <v>43432</v>
      </c>
      <c r="M970" s="110">
        <v>52.41</v>
      </c>
      <c r="N970" s="110">
        <v>54.4</v>
      </c>
      <c r="O970" s="110">
        <v>52.07</v>
      </c>
      <c r="P970" s="110">
        <v>53.75</v>
      </c>
      <c r="Q970" s="110">
        <v>262.05</v>
      </c>
      <c r="R970">
        <v>7340113</v>
      </c>
    </row>
    <row r="971" spans="1:18" x14ac:dyDescent="0.25">
      <c r="A971" s="133">
        <v>43433</v>
      </c>
      <c r="B971" s="110">
        <v>53.4</v>
      </c>
      <c r="C971" s="110">
        <v>52.15</v>
      </c>
      <c r="D971" s="110">
        <v>51.94</v>
      </c>
      <c r="E971" s="110">
        <v>52.66</v>
      </c>
      <c r="F971" s="110">
        <v>260.75</v>
      </c>
      <c r="G971">
        <v>334789</v>
      </c>
      <c r="H971" s="110"/>
      <c r="I971" s="110"/>
      <c r="L971" s="133">
        <v>43433</v>
      </c>
      <c r="M971" s="110">
        <v>52.21</v>
      </c>
      <c r="N971" s="110">
        <v>53.45</v>
      </c>
      <c r="O971" s="110">
        <v>52.04</v>
      </c>
      <c r="P971" s="110">
        <v>52.96</v>
      </c>
      <c r="Q971" s="110">
        <v>261.05</v>
      </c>
      <c r="R971">
        <v>5327399</v>
      </c>
    </row>
    <row r="972" spans="1:18" x14ac:dyDescent="0.25">
      <c r="A972" s="133">
        <v>43434</v>
      </c>
      <c r="B972" s="110">
        <v>52.81</v>
      </c>
      <c r="C972" s="110">
        <v>51.13</v>
      </c>
      <c r="D972" s="110">
        <v>50.93</v>
      </c>
      <c r="E972" s="110">
        <v>52.44</v>
      </c>
      <c r="F972" s="110">
        <v>255.65</v>
      </c>
      <c r="G972">
        <v>304008</v>
      </c>
      <c r="H972" s="110"/>
      <c r="I972" s="110"/>
      <c r="L972" s="133">
        <v>43434</v>
      </c>
      <c r="M972" s="110">
        <v>51.16</v>
      </c>
      <c r="N972" s="110">
        <v>52.8</v>
      </c>
      <c r="O972" s="110">
        <v>50.8</v>
      </c>
      <c r="P972" s="110">
        <v>52.58</v>
      </c>
      <c r="Q972" s="110">
        <v>255.8</v>
      </c>
      <c r="R972">
        <v>5576043</v>
      </c>
    </row>
    <row r="973" spans="1:18" x14ac:dyDescent="0.25">
      <c r="A973" s="133">
        <v>43437</v>
      </c>
      <c r="B973" s="110">
        <v>52.38</v>
      </c>
      <c r="C973" s="110">
        <v>51.64</v>
      </c>
      <c r="D973" s="110">
        <v>50.96</v>
      </c>
      <c r="E973" s="110">
        <v>51.78</v>
      </c>
      <c r="F973" s="110">
        <v>258.2</v>
      </c>
      <c r="G973">
        <v>289031</v>
      </c>
      <c r="H973" s="110"/>
      <c r="I973" s="110"/>
      <c r="L973" s="133">
        <v>43437</v>
      </c>
      <c r="M973" s="110">
        <v>51.59</v>
      </c>
      <c r="N973" s="110">
        <v>52.38</v>
      </c>
      <c r="O973" s="110">
        <v>50.95</v>
      </c>
      <c r="P973" s="110">
        <v>51.59</v>
      </c>
      <c r="Q973" s="110">
        <v>257.95</v>
      </c>
      <c r="R973">
        <v>6925635</v>
      </c>
    </row>
    <row r="974" spans="1:18" x14ac:dyDescent="0.25">
      <c r="A974" s="133">
        <v>43438</v>
      </c>
      <c r="B974" s="110">
        <v>51.64</v>
      </c>
      <c r="C974" s="110">
        <v>50.76</v>
      </c>
      <c r="D974" s="110">
        <v>50.54</v>
      </c>
      <c r="E974" s="110">
        <v>51.64</v>
      </c>
      <c r="F974" s="110">
        <v>253.8</v>
      </c>
      <c r="G974">
        <v>350643</v>
      </c>
      <c r="H974" s="110"/>
      <c r="I974" s="110"/>
      <c r="L974" s="133">
        <v>43438</v>
      </c>
      <c r="M974" s="110">
        <v>50.77</v>
      </c>
      <c r="N974" s="110">
        <v>51.68</v>
      </c>
      <c r="O974" s="110">
        <v>50.49</v>
      </c>
      <c r="P974" s="110">
        <v>51.58</v>
      </c>
      <c r="Q974" s="110">
        <v>253.85</v>
      </c>
      <c r="R974">
        <v>4878901</v>
      </c>
    </row>
    <row r="975" spans="1:18" x14ac:dyDescent="0.25">
      <c r="A975" s="133">
        <v>43439</v>
      </c>
      <c r="B975" s="110">
        <v>51.16</v>
      </c>
      <c r="C975" s="110">
        <v>50.54</v>
      </c>
      <c r="D975" s="110">
        <v>49.82</v>
      </c>
      <c r="E975" s="110">
        <v>50.6</v>
      </c>
      <c r="F975" s="110">
        <v>252.7</v>
      </c>
      <c r="G975">
        <v>260599</v>
      </c>
      <c r="H975" s="110"/>
      <c r="I975" s="110"/>
      <c r="L975" s="133">
        <v>43439</v>
      </c>
      <c r="M975" s="110">
        <v>50.5</v>
      </c>
      <c r="N975" s="110">
        <v>51.19</v>
      </c>
      <c r="O975" s="110">
        <v>50.05</v>
      </c>
      <c r="P975" s="110">
        <v>50.34</v>
      </c>
      <c r="Q975" s="110">
        <v>252.5</v>
      </c>
      <c r="R975">
        <v>5587340</v>
      </c>
    </row>
    <row r="976" spans="1:18" x14ac:dyDescent="0.25">
      <c r="A976" s="133">
        <v>43440</v>
      </c>
      <c r="B976" s="110">
        <v>50.38</v>
      </c>
      <c r="C976" s="110">
        <v>49.15</v>
      </c>
      <c r="D976" s="110">
        <v>48.76</v>
      </c>
      <c r="E976" s="110">
        <v>50.38</v>
      </c>
      <c r="F976" s="110">
        <v>245.75</v>
      </c>
      <c r="G976">
        <v>339991</v>
      </c>
      <c r="H976" s="110"/>
      <c r="I976" s="110"/>
      <c r="L976" s="133">
        <v>43440</v>
      </c>
      <c r="M976" s="110">
        <v>49.18</v>
      </c>
      <c r="N976" s="110">
        <v>50.28</v>
      </c>
      <c r="O976" s="110">
        <v>48.74</v>
      </c>
      <c r="P976" s="110">
        <v>50.2</v>
      </c>
      <c r="Q976" s="110">
        <v>245.9</v>
      </c>
      <c r="R976">
        <v>5268579</v>
      </c>
    </row>
    <row r="977" spans="1:18" x14ac:dyDescent="0.25">
      <c r="A977" s="133">
        <v>43441</v>
      </c>
      <c r="B977" s="110">
        <v>50.8</v>
      </c>
      <c r="C977" s="110">
        <v>49.4</v>
      </c>
      <c r="D977" s="110">
        <v>48.32</v>
      </c>
      <c r="E977" s="110">
        <v>48.8</v>
      </c>
      <c r="F977" s="110">
        <v>247</v>
      </c>
      <c r="G977">
        <v>331109</v>
      </c>
      <c r="H977" s="110"/>
      <c r="I977" s="110"/>
      <c r="L977" s="133">
        <v>43441</v>
      </c>
      <c r="M977" s="110">
        <v>49.44</v>
      </c>
      <c r="N977" s="110">
        <v>50.54</v>
      </c>
      <c r="O977" s="110">
        <v>48.3</v>
      </c>
      <c r="P977" s="110">
        <v>49.56</v>
      </c>
      <c r="Q977" s="110">
        <v>247.2</v>
      </c>
      <c r="R977">
        <v>5679958</v>
      </c>
    </row>
    <row r="978" spans="1:18" x14ac:dyDescent="0.25">
      <c r="A978" s="133">
        <v>43444</v>
      </c>
      <c r="B978" s="110">
        <v>49.23</v>
      </c>
      <c r="C978" s="110">
        <v>48.17</v>
      </c>
      <c r="D978" s="110">
        <v>47.78</v>
      </c>
      <c r="E978" s="110">
        <v>48.49</v>
      </c>
      <c r="F978" s="110">
        <v>240.85</v>
      </c>
      <c r="G978">
        <v>262576</v>
      </c>
      <c r="H978" s="110"/>
      <c r="I978" s="110"/>
      <c r="L978" s="133">
        <v>43444</v>
      </c>
      <c r="M978" s="110">
        <v>48.22</v>
      </c>
      <c r="N978" s="110">
        <v>49.24</v>
      </c>
      <c r="O978" s="110">
        <v>47.87</v>
      </c>
      <c r="P978" s="110">
        <v>48</v>
      </c>
      <c r="Q978" s="110">
        <v>241.1</v>
      </c>
      <c r="R978">
        <v>3816129</v>
      </c>
    </row>
    <row r="979" spans="1:18" x14ac:dyDescent="0.25">
      <c r="A979" s="133">
        <v>43445</v>
      </c>
      <c r="B979" s="110">
        <v>50.02</v>
      </c>
      <c r="C979" s="110">
        <v>49.63</v>
      </c>
      <c r="D979" s="110">
        <v>47.18</v>
      </c>
      <c r="E979" s="110">
        <v>47.54</v>
      </c>
      <c r="F979" s="110">
        <v>248.15</v>
      </c>
      <c r="G979">
        <v>414269</v>
      </c>
      <c r="H979" s="110"/>
      <c r="I979" s="110"/>
      <c r="L979" s="133">
        <v>43445</v>
      </c>
      <c r="M979" s="110">
        <v>49.66</v>
      </c>
      <c r="N979" s="110">
        <v>50.08</v>
      </c>
      <c r="O979" s="110">
        <v>47</v>
      </c>
      <c r="P979" s="110">
        <v>47</v>
      </c>
      <c r="Q979" s="110">
        <v>248.3</v>
      </c>
      <c r="R979">
        <v>7078833</v>
      </c>
    </row>
    <row r="980" spans="1:18" x14ac:dyDescent="0.25">
      <c r="A980" s="133">
        <v>43446</v>
      </c>
      <c r="B980" s="110">
        <v>51.87</v>
      </c>
      <c r="C980" s="110">
        <v>51.67</v>
      </c>
      <c r="D980" s="110">
        <v>50.01</v>
      </c>
      <c r="E980" s="110">
        <v>50.96</v>
      </c>
      <c r="F980" s="110">
        <v>258.35000000000002</v>
      </c>
      <c r="G980">
        <v>466896</v>
      </c>
      <c r="H980" s="110"/>
      <c r="I980" s="110"/>
      <c r="L980" s="133">
        <v>43446</v>
      </c>
      <c r="M980" s="110">
        <v>51.62</v>
      </c>
      <c r="N980" s="110">
        <v>51.85</v>
      </c>
      <c r="O980" s="110">
        <v>50</v>
      </c>
      <c r="P980" s="110">
        <v>50.4</v>
      </c>
      <c r="Q980" s="110">
        <v>258.10000000000002</v>
      </c>
      <c r="R980">
        <v>7229352</v>
      </c>
    </row>
    <row r="981" spans="1:18" x14ac:dyDescent="0.25">
      <c r="A981" s="133">
        <v>43447</v>
      </c>
      <c r="B981" s="110">
        <v>52.79</v>
      </c>
      <c r="C981" s="110">
        <v>51.94</v>
      </c>
      <c r="D981" s="110">
        <v>51.22</v>
      </c>
      <c r="E981" s="110">
        <v>52</v>
      </c>
      <c r="F981" s="110">
        <v>259.7</v>
      </c>
      <c r="G981">
        <v>416693</v>
      </c>
      <c r="H981" s="110"/>
      <c r="I981" s="110"/>
      <c r="L981" s="133">
        <v>43447</v>
      </c>
      <c r="M981" s="110">
        <v>51.91</v>
      </c>
      <c r="N981" s="110">
        <v>52.78</v>
      </c>
      <c r="O981" s="110">
        <v>51.16</v>
      </c>
      <c r="P981" s="110">
        <v>52</v>
      </c>
      <c r="Q981" s="110">
        <v>259.55</v>
      </c>
      <c r="R981">
        <v>6414287</v>
      </c>
    </row>
    <row r="982" spans="1:18" x14ac:dyDescent="0.25">
      <c r="A982" s="133">
        <v>43448</v>
      </c>
      <c r="B982" s="110">
        <v>53.6</v>
      </c>
      <c r="C982" s="110">
        <v>53.29</v>
      </c>
      <c r="D982" s="110">
        <v>51.42</v>
      </c>
      <c r="E982" s="110">
        <v>51.98</v>
      </c>
      <c r="F982" s="110">
        <v>266.45</v>
      </c>
      <c r="G982">
        <v>421715</v>
      </c>
      <c r="H982" s="110"/>
      <c r="I982" s="110"/>
      <c r="L982" s="133">
        <v>43448</v>
      </c>
      <c r="M982" s="110">
        <v>53.29</v>
      </c>
      <c r="N982" s="110">
        <v>53.48</v>
      </c>
      <c r="O982" s="110">
        <v>51.44</v>
      </c>
      <c r="P982" s="110">
        <v>51.72</v>
      </c>
      <c r="Q982" s="110">
        <v>266.45</v>
      </c>
      <c r="R982">
        <v>6640373</v>
      </c>
    </row>
    <row r="983" spans="1:18" x14ac:dyDescent="0.25">
      <c r="A983" s="133">
        <v>43451</v>
      </c>
      <c r="B983" s="110">
        <v>53.66</v>
      </c>
      <c r="C983" s="110">
        <v>53.11</v>
      </c>
      <c r="D983" s="110">
        <v>52.7</v>
      </c>
      <c r="E983" s="110">
        <v>53.56</v>
      </c>
      <c r="F983" s="110">
        <v>265.55</v>
      </c>
      <c r="G983">
        <v>185438</v>
      </c>
      <c r="H983" s="110"/>
      <c r="I983" s="110"/>
      <c r="L983" s="133">
        <v>43451</v>
      </c>
      <c r="M983" s="110">
        <v>53.11</v>
      </c>
      <c r="N983" s="110">
        <v>53.69</v>
      </c>
      <c r="O983" s="110">
        <v>52.65</v>
      </c>
      <c r="P983" s="110">
        <v>53.35</v>
      </c>
      <c r="Q983" s="110">
        <v>265.55</v>
      </c>
      <c r="R983">
        <v>3263657</v>
      </c>
    </row>
    <row r="984" spans="1:18" x14ac:dyDescent="0.25">
      <c r="A984" s="133">
        <v>43452</v>
      </c>
      <c r="B984" s="110">
        <v>54.24</v>
      </c>
      <c r="C984" s="110">
        <v>53.81</v>
      </c>
      <c r="D984" s="110">
        <v>52.62</v>
      </c>
      <c r="E984" s="110">
        <v>52.62</v>
      </c>
      <c r="F984" s="110">
        <v>269.05</v>
      </c>
      <c r="G984">
        <v>316613</v>
      </c>
      <c r="H984" s="110"/>
      <c r="I984" s="110"/>
      <c r="L984" s="133">
        <v>43452</v>
      </c>
      <c r="M984" s="110">
        <v>53.83</v>
      </c>
      <c r="N984" s="110">
        <v>54.27</v>
      </c>
      <c r="O984" s="110">
        <v>52.69</v>
      </c>
      <c r="P984" s="110">
        <v>52.91</v>
      </c>
      <c r="Q984" s="110">
        <v>269.14999999999998</v>
      </c>
      <c r="R984">
        <v>5551983</v>
      </c>
    </row>
    <row r="985" spans="1:18" x14ac:dyDescent="0.25">
      <c r="A985" s="133">
        <v>43453</v>
      </c>
      <c r="B985" s="110">
        <v>55.45</v>
      </c>
      <c r="C985" s="110">
        <v>54.91</v>
      </c>
      <c r="D985" s="110">
        <v>54.2</v>
      </c>
      <c r="E985" s="110">
        <v>54.2</v>
      </c>
      <c r="F985" s="110">
        <v>274.55</v>
      </c>
      <c r="G985">
        <v>365815</v>
      </c>
      <c r="H985" s="110"/>
      <c r="I985" s="110"/>
      <c r="L985" s="133">
        <v>43453</v>
      </c>
      <c r="M985" s="110">
        <v>54.85</v>
      </c>
      <c r="N985" s="110">
        <v>55.48</v>
      </c>
      <c r="O985" s="110">
        <v>54.22</v>
      </c>
      <c r="P985" s="110">
        <v>54.48</v>
      </c>
      <c r="Q985" s="110">
        <v>274.25</v>
      </c>
      <c r="R985">
        <v>6333743</v>
      </c>
    </row>
    <row r="986" spans="1:18" x14ac:dyDescent="0.25">
      <c r="A986" s="133">
        <v>43454</v>
      </c>
      <c r="B986" s="110">
        <v>55.5</v>
      </c>
      <c r="C986" s="110">
        <v>53.62</v>
      </c>
      <c r="D986" s="110">
        <v>53.23</v>
      </c>
      <c r="E986" s="110">
        <v>54.39</v>
      </c>
      <c r="F986" s="110">
        <v>268.10000000000002</v>
      </c>
      <c r="G986">
        <v>603932</v>
      </c>
      <c r="H986" s="110"/>
      <c r="I986" s="110"/>
      <c r="L986" s="133">
        <v>43454</v>
      </c>
      <c r="M986" s="110">
        <v>53.69</v>
      </c>
      <c r="N986" s="110">
        <v>55.46</v>
      </c>
      <c r="O986" s="110">
        <v>53.26</v>
      </c>
      <c r="P986" s="110">
        <v>54.43</v>
      </c>
      <c r="Q986" s="110">
        <v>268.45</v>
      </c>
      <c r="R986">
        <v>7203280</v>
      </c>
    </row>
    <row r="987" spans="1:18" x14ac:dyDescent="0.25">
      <c r="A987" s="133">
        <v>43455</v>
      </c>
      <c r="B987" s="110">
        <v>54.46</v>
      </c>
      <c r="C987" s="110">
        <v>53.04</v>
      </c>
      <c r="D987" s="110">
        <v>52.6</v>
      </c>
      <c r="E987" s="110">
        <v>54.4</v>
      </c>
      <c r="F987" s="110">
        <v>265.2</v>
      </c>
      <c r="G987">
        <v>422303</v>
      </c>
      <c r="H987" s="110"/>
      <c r="I987" s="110"/>
      <c r="L987" s="133">
        <v>43455</v>
      </c>
      <c r="M987" s="110">
        <v>53.1</v>
      </c>
      <c r="N987" s="110">
        <v>54.45</v>
      </c>
      <c r="O987" s="110">
        <v>52.77</v>
      </c>
      <c r="P987" s="110">
        <v>54</v>
      </c>
      <c r="Q987" s="110">
        <v>265.5</v>
      </c>
      <c r="R987">
        <v>4509612</v>
      </c>
    </row>
    <row r="988" spans="1:18" x14ac:dyDescent="0.25">
      <c r="A988" s="133">
        <v>43458</v>
      </c>
      <c r="B988" s="110">
        <v>53.98</v>
      </c>
      <c r="C988" s="110">
        <v>53.28</v>
      </c>
      <c r="D988" s="110">
        <v>52.52</v>
      </c>
      <c r="E988" s="110">
        <v>53.26</v>
      </c>
      <c r="F988" s="110">
        <v>266.39999999999998</v>
      </c>
      <c r="G988">
        <v>245144</v>
      </c>
      <c r="H988" s="110"/>
      <c r="I988" s="110"/>
      <c r="L988" s="133">
        <v>43458</v>
      </c>
      <c r="M988" s="110">
        <v>53.27</v>
      </c>
      <c r="N988" s="110">
        <v>54</v>
      </c>
      <c r="O988" s="110">
        <v>52.5</v>
      </c>
      <c r="P988" s="110">
        <v>53.02</v>
      </c>
      <c r="Q988" s="110">
        <v>266.35000000000002</v>
      </c>
      <c r="R988">
        <v>4364117</v>
      </c>
    </row>
    <row r="989" spans="1:18" x14ac:dyDescent="0.25">
      <c r="A989" s="133">
        <v>43460</v>
      </c>
      <c r="B989" s="110">
        <v>54.66</v>
      </c>
      <c r="C989" s="110">
        <v>54.23</v>
      </c>
      <c r="D989" s="110">
        <v>51.97</v>
      </c>
      <c r="E989" s="110">
        <v>53.25</v>
      </c>
      <c r="F989" s="110">
        <v>271.14999999999998</v>
      </c>
      <c r="G989">
        <v>296785</v>
      </c>
      <c r="H989" s="110"/>
      <c r="I989" s="110"/>
      <c r="L989" s="133">
        <v>43460</v>
      </c>
      <c r="M989" s="110">
        <v>54.18</v>
      </c>
      <c r="N989" s="110">
        <v>54.71</v>
      </c>
      <c r="O989" s="110">
        <v>51.93</v>
      </c>
      <c r="P989" s="110">
        <v>53.2</v>
      </c>
      <c r="Q989" s="110">
        <v>270.89999999999998</v>
      </c>
      <c r="R989">
        <v>4715909</v>
      </c>
    </row>
    <row r="990" spans="1:18" x14ac:dyDescent="0.25">
      <c r="A990" s="133">
        <v>43461</v>
      </c>
      <c r="B990" s="110">
        <v>54.92</v>
      </c>
      <c r="C990" s="110">
        <v>54.41</v>
      </c>
      <c r="D990" s="110">
        <v>54.04</v>
      </c>
      <c r="E990" s="110">
        <v>54.4</v>
      </c>
      <c r="F990" s="110">
        <v>272.05</v>
      </c>
      <c r="G990">
        <v>248077</v>
      </c>
      <c r="H990" s="110"/>
      <c r="I990" s="110"/>
      <c r="L990" s="133">
        <v>43461</v>
      </c>
      <c r="M990" s="110">
        <v>54.45</v>
      </c>
      <c r="N990" s="110">
        <v>54.94</v>
      </c>
      <c r="O990" s="110">
        <v>54.02</v>
      </c>
      <c r="P990" s="110">
        <v>54.52</v>
      </c>
      <c r="Q990" s="110">
        <v>272.25</v>
      </c>
      <c r="R990">
        <v>5002091</v>
      </c>
    </row>
    <row r="991" spans="1:18" x14ac:dyDescent="0.25">
      <c r="A991" s="133">
        <v>43462</v>
      </c>
      <c r="B991" s="110">
        <v>55.8</v>
      </c>
      <c r="C991" s="110">
        <v>55.51</v>
      </c>
      <c r="D991" s="110">
        <v>54.53</v>
      </c>
      <c r="E991" s="110">
        <v>54.8</v>
      </c>
      <c r="F991" s="110">
        <v>277.55</v>
      </c>
      <c r="G991">
        <v>229512</v>
      </c>
      <c r="H991" s="110"/>
      <c r="I991" s="110"/>
      <c r="L991" s="133">
        <v>43462</v>
      </c>
      <c r="M991" s="110">
        <v>55.49</v>
      </c>
      <c r="N991" s="110">
        <v>55.8</v>
      </c>
      <c r="O991" s="110">
        <v>54.5</v>
      </c>
      <c r="P991" s="110">
        <v>54.88</v>
      </c>
      <c r="Q991" s="110">
        <v>277.45</v>
      </c>
      <c r="R991">
        <v>5203766</v>
      </c>
    </row>
    <row r="992" spans="1:18" x14ac:dyDescent="0.25">
      <c r="A992" s="133">
        <v>43465</v>
      </c>
      <c r="B992" s="110">
        <v>56.3</v>
      </c>
      <c r="C992" s="110">
        <v>55</v>
      </c>
      <c r="D992" s="110">
        <v>54.72</v>
      </c>
      <c r="E992" s="110">
        <v>55.81</v>
      </c>
      <c r="F992" s="110">
        <v>275</v>
      </c>
      <c r="G992">
        <v>200637</v>
      </c>
      <c r="H992" s="110"/>
      <c r="I992" s="110"/>
      <c r="L992" s="133">
        <v>43465</v>
      </c>
      <c r="M992" s="110">
        <v>55.01</v>
      </c>
      <c r="N992" s="110">
        <v>56.32</v>
      </c>
      <c r="O992" s="110">
        <v>54.85</v>
      </c>
      <c r="P992" s="110">
        <v>55.95</v>
      </c>
      <c r="Q992" s="110">
        <v>275.05</v>
      </c>
      <c r="R992">
        <v>4258488</v>
      </c>
    </row>
    <row r="993" spans="1:18" x14ac:dyDescent="0.25">
      <c r="A993" s="133">
        <v>43466</v>
      </c>
      <c r="B993" s="110">
        <v>56.77</v>
      </c>
      <c r="C993" s="110">
        <v>56.32</v>
      </c>
      <c r="D993" s="110">
        <v>54.87</v>
      </c>
      <c r="E993" s="110">
        <v>55.31</v>
      </c>
      <c r="F993" s="110">
        <v>281.60000000000002</v>
      </c>
      <c r="G993">
        <v>265378</v>
      </c>
      <c r="H993" s="110"/>
      <c r="I993" s="110"/>
      <c r="L993" s="133">
        <v>43466</v>
      </c>
      <c r="M993" s="110">
        <v>56.3</v>
      </c>
      <c r="N993" s="110">
        <v>56.68</v>
      </c>
      <c r="O993" s="110">
        <v>54.86</v>
      </c>
      <c r="P993" s="110">
        <v>55.3</v>
      </c>
      <c r="Q993" s="110">
        <v>281.5</v>
      </c>
      <c r="R993">
        <v>5419071</v>
      </c>
    </row>
    <row r="994" spans="1:18" x14ac:dyDescent="0.25">
      <c r="A994" s="133">
        <v>43467</v>
      </c>
      <c r="B994" s="110">
        <v>56.75</v>
      </c>
      <c r="C994" s="110">
        <v>55.08</v>
      </c>
      <c r="D994" s="110">
        <v>54.74</v>
      </c>
      <c r="E994" s="110">
        <v>56.39</v>
      </c>
      <c r="F994" s="110">
        <v>275.39999999999998</v>
      </c>
      <c r="G994">
        <v>325809</v>
      </c>
      <c r="H994" s="110"/>
      <c r="I994" s="110"/>
      <c r="L994" s="133">
        <v>43467</v>
      </c>
      <c r="M994" s="110">
        <v>55.08</v>
      </c>
      <c r="N994" s="110">
        <v>56.74</v>
      </c>
      <c r="O994" s="110">
        <v>54.72</v>
      </c>
      <c r="P994" s="110">
        <v>56.04</v>
      </c>
      <c r="Q994" s="110">
        <v>275.39999999999998</v>
      </c>
      <c r="R994">
        <v>5644563</v>
      </c>
    </row>
    <row r="995" spans="1:18" x14ac:dyDescent="0.25">
      <c r="A995" s="133">
        <v>43468</v>
      </c>
      <c r="B995" s="110">
        <v>55.65</v>
      </c>
      <c r="C995" s="110">
        <v>55.26</v>
      </c>
      <c r="D995" s="110">
        <v>54.7</v>
      </c>
      <c r="E995" s="110">
        <v>55.18</v>
      </c>
      <c r="F995" s="110">
        <v>276.3</v>
      </c>
      <c r="G995">
        <v>213895</v>
      </c>
      <c r="H995" s="110"/>
      <c r="I995" s="110"/>
      <c r="L995" s="133">
        <v>43468</v>
      </c>
      <c r="M995" s="110">
        <v>55.26</v>
      </c>
      <c r="N995" s="110">
        <v>55.68</v>
      </c>
      <c r="O995" s="110">
        <v>54.67</v>
      </c>
      <c r="P995" s="110">
        <v>55.18</v>
      </c>
      <c r="Q995" s="110">
        <v>276.3</v>
      </c>
      <c r="R995">
        <v>3993439</v>
      </c>
    </row>
    <row r="996" spans="1:18" x14ac:dyDescent="0.25">
      <c r="A996" s="133">
        <v>43469</v>
      </c>
      <c r="B996" s="110">
        <v>57.05</v>
      </c>
      <c r="C996" s="110">
        <v>56.58</v>
      </c>
      <c r="D996" s="110">
        <v>54.87</v>
      </c>
      <c r="E996" s="110">
        <v>55.22</v>
      </c>
      <c r="F996" s="110">
        <v>282.89999999999998</v>
      </c>
      <c r="G996">
        <v>337729</v>
      </c>
      <c r="H996" s="110"/>
      <c r="I996" s="110"/>
      <c r="L996" s="133">
        <v>43469</v>
      </c>
      <c r="M996" s="110">
        <v>56.59</v>
      </c>
      <c r="N996" s="110">
        <v>57.1</v>
      </c>
      <c r="O996" s="110">
        <v>54.84</v>
      </c>
      <c r="P996" s="110">
        <v>55.6</v>
      </c>
      <c r="Q996" s="110">
        <v>282.95</v>
      </c>
      <c r="R996">
        <v>6138056</v>
      </c>
    </row>
    <row r="997" spans="1:18" x14ac:dyDescent="0.25">
      <c r="A997" s="133">
        <v>43472</v>
      </c>
      <c r="B997" s="110">
        <v>57.26</v>
      </c>
      <c r="C997" s="110">
        <v>55.61</v>
      </c>
      <c r="D997" s="110">
        <v>55.36</v>
      </c>
      <c r="E997" s="110">
        <v>56.9</v>
      </c>
      <c r="F997" s="110">
        <v>278.05</v>
      </c>
      <c r="G997">
        <v>209575</v>
      </c>
      <c r="H997" s="110"/>
      <c r="I997" s="110"/>
      <c r="L997" s="133">
        <v>43472</v>
      </c>
      <c r="M997" s="110">
        <v>55.65</v>
      </c>
      <c r="N997" s="110">
        <v>57.29</v>
      </c>
      <c r="O997" s="110">
        <v>55.37</v>
      </c>
      <c r="P997" s="110">
        <v>56.94</v>
      </c>
      <c r="Q997" s="110">
        <v>278.25</v>
      </c>
      <c r="R997">
        <v>3551975</v>
      </c>
    </row>
    <row r="998" spans="1:18" x14ac:dyDescent="0.25">
      <c r="A998" s="133">
        <v>43473</v>
      </c>
      <c r="B998" s="110">
        <v>57.96</v>
      </c>
      <c r="C998" s="110">
        <v>57.56</v>
      </c>
      <c r="D998" s="110">
        <v>55.45</v>
      </c>
      <c r="E998" s="110">
        <v>55.61</v>
      </c>
      <c r="F998" s="110">
        <v>287.8</v>
      </c>
      <c r="G998">
        <v>290905</v>
      </c>
      <c r="H998" s="110"/>
      <c r="I998" s="110"/>
      <c r="L998" s="133">
        <v>43473</v>
      </c>
      <c r="M998" s="110">
        <v>57.58</v>
      </c>
      <c r="N998" s="110">
        <v>58</v>
      </c>
      <c r="O998" s="110">
        <v>55.41</v>
      </c>
      <c r="P998" s="110">
        <v>55.58</v>
      </c>
      <c r="Q998" s="110">
        <v>287.89999999999998</v>
      </c>
      <c r="R998">
        <v>5572988</v>
      </c>
    </row>
    <row r="999" spans="1:18" x14ac:dyDescent="0.25">
      <c r="A999" s="133">
        <v>43474</v>
      </c>
      <c r="B999" s="110">
        <v>58</v>
      </c>
      <c r="C999" s="110">
        <v>56.11</v>
      </c>
      <c r="D999" s="110">
        <v>55.29</v>
      </c>
      <c r="E999" s="110">
        <v>57.76</v>
      </c>
      <c r="F999" s="110">
        <v>280.55</v>
      </c>
      <c r="G999">
        <v>279052</v>
      </c>
      <c r="H999" s="110"/>
      <c r="I999" s="110"/>
      <c r="L999" s="133">
        <v>43474</v>
      </c>
      <c r="M999" s="110">
        <v>56.1</v>
      </c>
      <c r="N999" s="110">
        <v>57.97</v>
      </c>
      <c r="O999" s="110">
        <v>55.29</v>
      </c>
      <c r="P999" s="110">
        <v>57.8</v>
      </c>
      <c r="Q999" s="110">
        <v>280.5</v>
      </c>
      <c r="R999">
        <v>6418709</v>
      </c>
    </row>
    <row r="1000" spans="1:18" x14ac:dyDescent="0.25">
      <c r="A1000" s="133">
        <v>43475</v>
      </c>
      <c r="B1000" s="110">
        <v>56.63</v>
      </c>
      <c r="C1000" s="110">
        <v>56.21</v>
      </c>
      <c r="D1000" s="110">
        <v>55.76</v>
      </c>
      <c r="E1000" s="110">
        <v>56.11</v>
      </c>
      <c r="F1000" s="110">
        <v>281.05</v>
      </c>
      <c r="G1000">
        <v>132170</v>
      </c>
      <c r="H1000" s="110"/>
      <c r="I1000" s="110"/>
      <c r="L1000" s="133">
        <v>43475</v>
      </c>
      <c r="M1000" s="110">
        <v>56.21</v>
      </c>
      <c r="N1000" s="110">
        <v>56.63</v>
      </c>
      <c r="O1000" s="110">
        <v>55.66</v>
      </c>
      <c r="P1000" s="110">
        <v>56.15</v>
      </c>
      <c r="Q1000" s="110">
        <v>281.05</v>
      </c>
      <c r="R1000">
        <v>3359442</v>
      </c>
    </row>
    <row r="1001" spans="1:18" x14ac:dyDescent="0.25">
      <c r="A1001" s="133">
        <v>43476</v>
      </c>
      <c r="B1001" s="110">
        <v>56.46</v>
      </c>
      <c r="C1001" s="110">
        <v>55.62</v>
      </c>
      <c r="D1001" s="110">
        <v>55.23</v>
      </c>
      <c r="E1001" s="110">
        <v>56.46</v>
      </c>
      <c r="F1001" s="110">
        <v>278.10000000000002</v>
      </c>
      <c r="G1001">
        <v>170955</v>
      </c>
      <c r="H1001" s="110"/>
      <c r="I1001" s="110"/>
      <c r="L1001" s="133">
        <v>43476</v>
      </c>
      <c r="M1001" s="110">
        <v>55.65</v>
      </c>
      <c r="N1001" s="110">
        <v>56.46</v>
      </c>
      <c r="O1001" s="110">
        <v>55.3</v>
      </c>
      <c r="P1001" s="110">
        <v>56.38</v>
      </c>
      <c r="Q1001" s="110">
        <v>278.25</v>
      </c>
      <c r="R1001">
        <v>3039547</v>
      </c>
    </row>
    <row r="1002" spans="1:18" x14ac:dyDescent="0.25">
      <c r="A1002" s="133">
        <v>43479</v>
      </c>
      <c r="B1002" s="110">
        <v>56.26</v>
      </c>
      <c r="C1002" s="110">
        <v>55.5</v>
      </c>
      <c r="D1002" s="110">
        <v>55.08</v>
      </c>
      <c r="E1002" s="110">
        <v>55.59</v>
      </c>
      <c r="F1002" s="110">
        <v>277.5</v>
      </c>
      <c r="G1002">
        <v>142085</v>
      </c>
      <c r="H1002" s="110"/>
      <c r="I1002" s="110"/>
      <c r="L1002" s="133">
        <v>43479</v>
      </c>
      <c r="M1002" s="110">
        <v>55.6</v>
      </c>
      <c r="N1002" s="110">
        <v>56.29</v>
      </c>
      <c r="O1002" s="110">
        <v>55.03</v>
      </c>
      <c r="P1002" s="110">
        <v>55.65</v>
      </c>
      <c r="Q1002" s="110">
        <v>278</v>
      </c>
      <c r="R1002">
        <v>3631407</v>
      </c>
    </row>
    <row r="1003" spans="1:18" x14ac:dyDescent="0.25">
      <c r="A1003" s="133">
        <v>43480</v>
      </c>
      <c r="B1003" s="110">
        <v>56.04</v>
      </c>
      <c r="C1003" s="110">
        <v>55.08</v>
      </c>
      <c r="D1003" s="110">
        <v>54.79</v>
      </c>
      <c r="E1003" s="110">
        <v>55.41</v>
      </c>
      <c r="F1003" s="110">
        <v>275.39999999999998</v>
      </c>
      <c r="G1003">
        <v>158177</v>
      </c>
      <c r="H1003" s="110"/>
      <c r="I1003" s="110"/>
      <c r="L1003" s="133">
        <v>43480</v>
      </c>
      <c r="M1003" s="110">
        <v>55.07</v>
      </c>
      <c r="N1003" s="110">
        <v>56.15</v>
      </c>
      <c r="O1003" s="110">
        <v>54.73</v>
      </c>
      <c r="P1003" s="110">
        <v>56.15</v>
      </c>
      <c r="Q1003" s="110">
        <v>275.35000000000002</v>
      </c>
      <c r="R1003">
        <v>3287352</v>
      </c>
    </row>
    <row r="1004" spans="1:18" x14ac:dyDescent="0.25">
      <c r="A1004" s="133">
        <v>43481</v>
      </c>
      <c r="B1004" s="110">
        <v>56.14</v>
      </c>
      <c r="C1004" s="110">
        <v>55.1</v>
      </c>
      <c r="D1004" s="110">
        <v>54.41</v>
      </c>
      <c r="E1004" s="110">
        <v>54.41</v>
      </c>
      <c r="F1004" s="110">
        <v>275.5</v>
      </c>
      <c r="G1004">
        <v>154546</v>
      </c>
      <c r="H1004" s="110"/>
      <c r="I1004" s="110"/>
      <c r="L1004" s="133">
        <v>43481</v>
      </c>
      <c r="M1004" s="110">
        <v>55.07</v>
      </c>
      <c r="N1004" s="110">
        <v>56.17</v>
      </c>
      <c r="O1004" s="110">
        <v>54.91</v>
      </c>
      <c r="P1004" s="110">
        <v>55.25</v>
      </c>
      <c r="Q1004" s="110">
        <v>275.35000000000002</v>
      </c>
      <c r="R1004">
        <v>3880186</v>
      </c>
    </row>
    <row r="1005" spans="1:18" x14ac:dyDescent="0.25">
      <c r="A1005" s="133">
        <v>43482</v>
      </c>
      <c r="B1005" s="110">
        <v>55.81</v>
      </c>
      <c r="C1005" s="110">
        <v>55.07</v>
      </c>
      <c r="D1005" s="110">
        <v>54</v>
      </c>
      <c r="E1005" s="110">
        <v>55.59</v>
      </c>
      <c r="F1005" s="110">
        <v>275.35000000000002</v>
      </c>
      <c r="G1005">
        <v>192747</v>
      </c>
      <c r="H1005" s="110"/>
      <c r="I1005" s="110"/>
      <c r="L1005" s="133">
        <v>43482</v>
      </c>
      <c r="M1005" s="110">
        <v>55.09</v>
      </c>
      <c r="N1005" s="110">
        <v>55.46</v>
      </c>
      <c r="O1005" s="110">
        <v>53.98</v>
      </c>
      <c r="P1005" s="110">
        <v>55.18</v>
      </c>
      <c r="Q1005" s="110">
        <v>275.45</v>
      </c>
      <c r="R1005">
        <v>3578928</v>
      </c>
    </row>
    <row r="1006" spans="1:18" x14ac:dyDescent="0.25">
      <c r="A1006" s="133">
        <v>43483</v>
      </c>
      <c r="B1006" s="110">
        <v>55.56</v>
      </c>
      <c r="C1006" s="110">
        <v>54.47</v>
      </c>
      <c r="D1006" s="110">
        <v>54.27</v>
      </c>
      <c r="E1006" s="110">
        <v>55.38</v>
      </c>
      <c r="F1006" s="110">
        <v>272.35000000000002</v>
      </c>
      <c r="G1006">
        <v>137160</v>
      </c>
      <c r="H1006" s="110"/>
      <c r="I1006" s="110"/>
      <c r="L1006" s="133">
        <v>43483</v>
      </c>
      <c r="M1006" s="110">
        <v>54.52</v>
      </c>
      <c r="N1006" s="110">
        <v>55.56</v>
      </c>
      <c r="O1006" s="110">
        <v>54.37</v>
      </c>
      <c r="P1006" s="110">
        <v>55.49</v>
      </c>
      <c r="Q1006" s="110">
        <v>272.60000000000002</v>
      </c>
      <c r="R1006">
        <v>2620498</v>
      </c>
    </row>
    <row r="1007" spans="1:18" x14ac:dyDescent="0.25">
      <c r="A1007" s="133">
        <v>43486</v>
      </c>
      <c r="B1007" s="110">
        <v>56</v>
      </c>
      <c r="C1007" s="110">
        <v>53.68</v>
      </c>
      <c r="D1007" s="110">
        <v>53.01</v>
      </c>
      <c r="E1007" s="110">
        <v>56</v>
      </c>
      <c r="F1007" s="110">
        <v>268.39999999999998</v>
      </c>
      <c r="G1007">
        <v>196667</v>
      </c>
      <c r="H1007" s="110"/>
      <c r="I1007" s="110"/>
      <c r="L1007" s="133">
        <v>43486</v>
      </c>
      <c r="M1007" s="110">
        <v>53.6</v>
      </c>
      <c r="N1007" s="110">
        <v>55.3</v>
      </c>
      <c r="O1007" s="110">
        <v>53.08</v>
      </c>
      <c r="P1007" s="110">
        <v>54.8</v>
      </c>
      <c r="Q1007" s="110">
        <v>268</v>
      </c>
      <c r="R1007">
        <v>3386812</v>
      </c>
    </row>
    <row r="1008" spans="1:18" x14ac:dyDescent="0.25">
      <c r="A1008" s="133">
        <v>43487</v>
      </c>
      <c r="B1008" s="110">
        <v>53.8</v>
      </c>
      <c r="C1008" s="110">
        <v>52.68</v>
      </c>
      <c r="D1008" s="110">
        <v>52.08</v>
      </c>
      <c r="E1008" s="110">
        <v>53.39</v>
      </c>
      <c r="F1008" s="110">
        <v>263.39999999999998</v>
      </c>
      <c r="G1008">
        <v>174151</v>
      </c>
      <c r="H1008" s="110"/>
      <c r="I1008" s="110"/>
      <c r="L1008" s="133">
        <v>43487</v>
      </c>
      <c r="M1008" s="110">
        <v>52.69</v>
      </c>
      <c r="N1008" s="110">
        <v>53.82</v>
      </c>
      <c r="O1008" s="110">
        <v>52.3</v>
      </c>
      <c r="P1008" s="110">
        <v>53.4</v>
      </c>
      <c r="Q1008" s="110">
        <v>263.45</v>
      </c>
      <c r="R1008">
        <v>3037292</v>
      </c>
    </row>
    <row r="1009" spans="1:18" x14ac:dyDescent="0.25">
      <c r="A1009" s="133">
        <v>43488</v>
      </c>
      <c r="B1009" s="110">
        <v>53.01</v>
      </c>
      <c r="C1009" s="110">
        <v>52</v>
      </c>
      <c r="D1009" s="110">
        <v>51.73</v>
      </c>
      <c r="E1009" s="110">
        <v>52.68</v>
      </c>
      <c r="F1009" s="110">
        <v>260</v>
      </c>
      <c r="G1009">
        <v>189965</v>
      </c>
      <c r="H1009" s="110"/>
      <c r="I1009" s="110"/>
      <c r="L1009" s="133">
        <v>43488</v>
      </c>
      <c r="M1009" s="110">
        <v>52.09</v>
      </c>
      <c r="N1009" s="110">
        <v>53</v>
      </c>
      <c r="O1009" s="110">
        <v>51.75</v>
      </c>
      <c r="P1009" s="110">
        <v>52.7</v>
      </c>
      <c r="Q1009" s="110">
        <v>260.45</v>
      </c>
      <c r="R1009">
        <v>3650554</v>
      </c>
    </row>
    <row r="1010" spans="1:18" x14ac:dyDescent="0.25">
      <c r="A1010" s="133">
        <v>43489</v>
      </c>
      <c r="B1010" s="110">
        <v>53</v>
      </c>
      <c r="C1010" s="110">
        <v>52.49</v>
      </c>
      <c r="D1010" s="110">
        <v>51.54</v>
      </c>
      <c r="E1010" s="110">
        <v>51.82</v>
      </c>
      <c r="F1010" s="110">
        <v>262.45</v>
      </c>
      <c r="G1010">
        <v>216531</v>
      </c>
      <c r="H1010" s="110"/>
      <c r="I1010" s="110"/>
      <c r="L1010" s="133">
        <v>43489</v>
      </c>
      <c r="M1010" s="110">
        <v>52.46</v>
      </c>
      <c r="N1010" s="110">
        <v>52.76</v>
      </c>
      <c r="O1010" s="110">
        <v>51.49</v>
      </c>
      <c r="P1010" s="110">
        <v>52.1</v>
      </c>
      <c r="Q1010" s="110">
        <v>262.3</v>
      </c>
      <c r="R1010">
        <v>3700424</v>
      </c>
    </row>
    <row r="1011" spans="1:18" x14ac:dyDescent="0.25">
      <c r="A1011" s="133">
        <v>43490</v>
      </c>
      <c r="B1011" s="110">
        <v>52.92</v>
      </c>
      <c r="C1011" s="110">
        <v>50.71</v>
      </c>
      <c r="D1011" s="110">
        <v>49.88</v>
      </c>
      <c r="E1011" s="110">
        <v>52.92</v>
      </c>
      <c r="F1011" s="110">
        <v>253.55</v>
      </c>
      <c r="G1011">
        <v>212905</v>
      </c>
      <c r="H1011" s="110"/>
      <c r="I1011" s="110"/>
      <c r="L1011" s="133">
        <v>43490</v>
      </c>
      <c r="M1011" s="110">
        <v>50.87</v>
      </c>
      <c r="N1011" s="110">
        <v>53</v>
      </c>
      <c r="O1011" s="110">
        <v>49.85</v>
      </c>
      <c r="P1011" s="110">
        <v>52.8</v>
      </c>
      <c r="Q1011" s="110">
        <v>254.35</v>
      </c>
      <c r="R1011">
        <v>4039492</v>
      </c>
    </row>
    <row r="1012" spans="1:18" x14ac:dyDescent="0.25">
      <c r="A1012" s="133">
        <v>43493</v>
      </c>
      <c r="B1012" s="110">
        <v>52.38</v>
      </c>
      <c r="C1012" s="110">
        <v>48.06</v>
      </c>
      <c r="D1012" s="110">
        <v>47.6</v>
      </c>
      <c r="E1012" s="110">
        <v>50.91</v>
      </c>
      <c r="F1012" s="110">
        <v>240.3</v>
      </c>
      <c r="G1012">
        <v>910693</v>
      </c>
      <c r="H1012" s="110"/>
      <c r="I1012" s="110"/>
      <c r="L1012" s="133">
        <v>43493</v>
      </c>
      <c r="M1012" s="110">
        <v>48.08</v>
      </c>
      <c r="N1012" s="110">
        <v>52.39</v>
      </c>
      <c r="O1012" s="110">
        <v>47.54</v>
      </c>
      <c r="P1012" s="110">
        <v>51.2</v>
      </c>
      <c r="Q1012" s="110">
        <v>240.4</v>
      </c>
      <c r="R1012">
        <v>10601787</v>
      </c>
    </row>
    <row r="1013" spans="1:18" x14ac:dyDescent="0.25">
      <c r="A1013" s="133">
        <v>43494</v>
      </c>
      <c r="B1013" s="110">
        <v>50.72</v>
      </c>
      <c r="C1013" s="110">
        <v>49.29</v>
      </c>
      <c r="D1013" s="110">
        <v>48</v>
      </c>
      <c r="E1013" s="110">
        <v>48.4</v>
      </c>
      <c r="F1013" s="110">
        <v>246.45</v>
      </c>
      <c r="G1013">
        <v>551968</v>
      </c>
      <c r="H1013" s="110"/>
      <c r="I1013" s="110"/>
      <c r="L1013" s="133">
        <v>43494</v>
      </c>
      <c r="M1013" s="110">
        <v>49.26</v>
      </c>
      <c r="N1013" s="110">
        <v>50.76</v>
      </c>
      <c r="O1013" s="110">
        <v>48.04</v>
      </c>
      <c r="P1013" s="110">
        <v>48.38</v>
      </c>
      <c r="Q1013" s="110">
        <v>246.3</v>
      </c>
      <c r="R1013">
        <v>9815650</v>
      </c>
    </row>
    <row r="1014" spans="1:18" x14ac:dyDescent="0.25">
      <c r="A1014" s="133">
        <v>43495</v>
      </c>
      <c r="B1014" s="110">
        <v>50.37</v>
      </c>
      <c r="C1014" s="110">
        <v>49.91</v>
      </c>
      <c r="D1014" s="110">
        <v>49.07</v>
      </c>
      <c r="E1014" s="110">
        <v>49.8</v>
      </c>
      <c r="F1014" s="110">
        <v>249.55</v>
      </c>
      <c r="G1014">
        <v>234762</v>
      </c>
      <c r="H1014" s="110"/>
      <c r="I1014" s="110"/>
      <c r="L1014" s="133">
        <v>43495</v>
      </c>
      <c r="M1014" s="110">
        <v>49.95</v>
      </c>
      <c r="N1014" s="110">
        <v>50.37</v>
      </c>
      <c r="O1014" s="110">
        <v>49.04</v>
      </c>
      <c r="P1014" s="110">
        <v>49.6</v>
      </c>
      <c r="Q1014" s="110">
        <v>249.75</v>
      </c>
      <c r="R1014">
        <v>4417310</v>
      </c>
    </row>
    <row r="1015" spans="1:18" x14ac:dyDescent="0.25">
      <c r="A1015" s="133">
        <v>43496</v>
      </c>
      <c r="B1015" s="110">
        <v>50.38</v>
      </c>
      <c r="C1015" s="110">
        <v>50.01</v>
      </c>
      <c r="D1015" s="110">
        <v>49.18</v>
      </c>
      <c r="E1015" s="110">
        <v>50.2</v>
      </c>
      <c r="F1015" s="110">
        <v>250.05</v>
      </c>
      <c r="G1015">
        <v>196184</v>
      </c>
      <c r="H1015" s="110"/>
      <c r="I1015" s="110"/>
      <c r="L1015" s="133">
        <v>43496</v>
      </c>
      <c r="M1015" s="110">
        <v>50.03</v>
      </c>
      <c r="N1015" s="110">
        <v>50.45</v>
      </c>
      <c r="O1015" s="110">
        <v>49.16</v>
      </c>
      <c r="P1015" s="110">
        <v>50.33</v>
      </c>
      <c r="Q1015" s="110">
        <v>250.15</v>
      </c>
      <c r="R1015">
        <v>4522100</v>
      </c>
    </row>
    <row r="1016" spans="1:18" x14ac:dyDescent="0.25">
      <c r="A1016" s="133">
        <v>43497</v>
      </c>
      <c r="B1016" s="110">
        <v>50.39</v>
      </c>
      <c r="C1016" s="110">
        <v>47.69</v>
      </c>
      <c r="D1016" s="110">
        <v>47.02</v>
      </c>
      <c r="E1016" s="110">
        <v>49.8</v>
      </c>
      <c r="F1016" s="110">
        <v>238.45</v>
      </c>
      <c r="G1016">
        <v>449917</v>
      </c>
      <c r="H1016" s="110"/>
      <c r="I1016" s="110"/>
      <c r="L1016" s="133">
        <v>43497</v>
      </c>
      <c r="M1016" s="110">
        <v>47.61</v>
      </c>
      <c r="N1016" s="110">
        <v>50.48</v>
      </c>
      <c r="O1016" s="110">
        <v>47.02</v>
      </c>
      <c r="P1016" s="110">
        <v>50.4</v>
      </c>
      <c r="Q1016" s="110">
        <v>238.05</v>
      </c>
      <c r="R1016">
        <v>5884645</v>
      </c>
    </row>
    <row r="1017" spans="1:18" x14ac:dyDescent="0.25">
      <c r="A1017" s="133">
        <v>43500</v>
      </c>
      <c r="B1017" s="110">
        <v>47.83</v>
      </c>
      <c r="C1017" s="110">
        <v>47</v>
      </c>
      <c r="D1017" s="110">
        <v>46.1</v>
      </c>
      <c r="E1017" s="110">
        <v>47.6</v>
      </c>
      <c r="F1017" s="110">
        <v>235</v>
      </c>
      <c r="G1017">
        <v>356991</v>
      </c>
      <c r="H1017" s="110"/>
      <c r="I1017" s="110"/>
      <c r="L1017" s="133">
        <v>43500</v>
      </c>
      <c r="M1017" s="110">
        <v>47</v>
      </c>
      <c r="N1017" s="110">
        <v>47.86</v>
      </c>
      <c r="O1017" s="110">
        <v>46.07</v>
      </c>
      <c r="P1017" s="110">
        <v>47.8</v>
      </c>
      <c r="Q1017" s="110">
        <v>235</v>
      </c>
      <c r="R1017">
        <v>4995591</v>
      </c>
    </row>
    <row r="1018" spans="1:18" x14ac:dyDescent="0.25">
      <c r="A1018" s="133">
        <v>43501</v>
      </c>
      <c r="B1018" s="110">
        <v>47.99</v>
      </c>
      <c r="C1018" s="110">
        <v>46.2</v>
      </c>
      <c r="D1018" s="110">
        <v>45.95</v>
      </c>
      <c r="E1018" s="110">
        <v>47.99</v>
      </c>
      <c r="F1018" s="110">
        <v>231</v>
      </c>
      <c r="G1018">
        <v>228820</v>
      </c>
      <c r="H1018" s="110"/>
      <c r="I1018" s="110"/>
      <c r="L1018" s="133">
        <v>43501</v>
      </c>
      <c r="M1018" s="110">
        <v>46.23</v>
      </c>
      <c r="N1018" s="110">
        <v>47.53</v>
      </c>
      <c r="O1018" s="110">
        <v>45.92</v>
      </c>
      <c r="P1018" s="110">
        <v>47.2</v>
      </c>
      <c r="Q1018" s="110">
        <v>231.15</v>
      </c>
      <c r="R1018">
        <v>4362173</v>
      </c>
    </row>
    <row r="1019" spans="1:18" x14ac:dyDescent="0.25">
      <c r="A1019" s="133">
        <v>43502</v>
      </c>
      <c r="B1019" s="110">
        <v>47.4</v>
      </c>
      <c r="C1019" s="110">
        <v>47.06</v>
      </c>
      <c r="D1019" s="110">
        <v>45.35</v>
      </c>
      <c r="E1019" s="110">
        <v>46.46</v>
      </c>
      <c r="F1019" s="110">
        <v>235.3</v>
      </c>
      <c r="G1019">
        <v>229143</v>
      </c>
      <c r="H1019" s="110"/>
      <c r="I1019" s="110"/>
      <c r="L1019" s="133">
        <v>43502</v>
      </c>
      <c r="M1019" s="110">
        <v>47.12</v>
      </c>
      <c r="N1019" s="110">
        <v>47.39</v>
      </c>
      <c r="O1019" s="110">
        <v>45.31</v>
      </c>
      <c r="P1019" s="110">
        <v>46.5</v>
      </c>
      <c r="Q1019" s="110">
        <v>235.6</v>
      </c>
      <c r="R1019">
        <v>4324859</v>
      </c>
    </row>
    <row r="1020" spans="1:18" x14ac:dyDescent="0.25">
      <c r="A1020" s="133">
        <v>43503</v>
      </c>
      <c r="B1020" s="110">
        <v>48.26</v>
      </c>
      <c r="C1020" s="110">
        <v>47.42</v>
      </c>
      <c r="D1020" s="110">
        <v>46.8</v>
      </c>
      <c r="E1020" s="110">
        <v>47.21</v>
      </c>
      <c r="F1020" s="110">
        <v>237.1</v>
      </c>
      <c r="G1020">
        <v>234877</v>
      </c>
      <c r="H1020" s="110"/>
      <c r="I1020" s="110"/>
      <c r="L1020" s="133">
        <v>43503</v>
      </c>
      <c r="M1020" s="110">
        <v>47.41</v>
      </c>
      <c r="N1020" s="110">
        <v>48.3</v>
      </c>
      <c r="O1020" s="110">
        <v>46.78</v>
      </c>
      <c r="P1020" s="110">
        <v>47.21</v>
      </c>
      <c r="Q1020" s="110">
        <v>237.05</v>
      </c>
      <c r="R1020">
        <v>4888921</v>
      </c>
    </row>
    <row r="1021" spans="1:18" x14ac:dyDescent="0.25">
      <c r="A1021" s="133">
        <v>43504</v>
      </c>
      <c r="B1021" s="110">
        <v>47.2</v>
      </c>
      <c r="C1021" s="110">
        <v>45.64</v>
      </c>
      <c r="D1021" s="110">
        <v>45.34</v>
      </c>
      <c r="E1021" s="110">
        <v>47.2</v>
      </c>
      <c r="F1021" s="110">
        <v>228.2</v>
      </c>
      <c r="G1021">
        <v>192868</v>
      </c>
      <c r="H1021" s="110"/>
      <c r="I1021" s="110"/>
      <c r="L1021" s="133">
        <v>43504</v>
      </c>
      <c r="M1021" s="110">
        <v>45.65</v>
      </c>
      <c r="N1021" s="110">
        <v>47.23</v>
      </c>
      <c r="O1021" s="110">
        <v>45.38</v>
      </c>
      <c r="P1021" s="110">
        <v>47.2</v>
      </c>
      <c r="Q1021" s="110">
        <v>228.25</v>
      </c>
      <c r="R1021">
        <v>4172029</v>
      </c>
    </row>
    <row r="1022" spans="1:18" x14ac:dyDescent="0.25">
      <c r="A1022" s="133">
        <v>43507</v>
      </c>
      <c r="B1022" s="110">
        <v>45.87</v>
      </c>
      <c r="C1022" s="110">
        <v>45.11</v>
      </c>
      <c r="D1022" s="110">
        <v>44.77</v>
      </c>
      <c r="E1022" s="110">
        <v>45.64</v>
      </c>
      <c r="F1022" s="110">
        <v>225.55</v>
      </c>
      <c r="G1022">
        <v>138441</v>
      </c>
      <c r="H1022" s="110"/>
      <c r="I1022" s="110"/>
      <c r="L1022" s="133">
        <v>43507</v>
      </c>
      <c r="M1022" s="110">
        <v>45</v>
      </c>
      <c r="N1022" s="110">
        <v>45.9</v>
      </c>
      <c r="O1022" s="110">
        <v>44.76</v>
      </c>
      <c r="P1022" s="110">
        <v>45.75</v>
      </c>
      <c r="Q1022" s="110">
        <v>225</v>
      </c>
      <c r="R1022">
        <v>3150448</v>
      </c>
    </row>
    <row r="1023" spans="1:18" x14ac:dyDescent="0.25">
      <c r="A1023" s="133">
        <v>43508</v>
      </c>
      <c r="B1023" s="110">
        <v>45.52</v>
      </c>
      <c r="C1023" s="110">
        <v>44.23</v>
      </c>
      <c r="D1023" s="110">
        <v>44</v>
      </c>
      <c r="E1023" s="110">
        <v>45.2</v>
      </c>
      <c r="F1023" s="110">
        <v>221.15</v>
      </c>
      <c r="G1023">
        <v>158510</v>
      </c>
      <c r="H1023" s="110"/>
      <c r="I1023" s="110"/>
      <c r="L1023" s="133">
        <v>43508</v>
      </c>
      <c r="M1023" s="110">
        <v>44.12</v>
      </c>
      <c r="N1023" s="110">
        <v>45.52</v>
      </c>
      <c r="O1023" s="110">
        <v>43.96</v>
      </c>
      <c r="P1023" s="110">
        <v>45</v>
      </c>
      <c r="Q1023" s="110">
        <v>220.6</v>
      </c>
      <c r="R1023">
        <v>4168595</v>
      </c>
    </row>
    <row r="1024" spans="1:18" x14ac:dyDescent="0.25">
      <c r="A1024" s="133">
        <v>43509</v>
      </c>
      <c r="B1024" s="110">
        <v>44.69</v>
      </c>
      <c r="C1024" s="110">
        <v>43.95</v>
      </c>
      <c r="D1024" s="110">
        <v>43.7</v>
      </c>
      <c r="E1024" s="110">
        <v>44.07</v>
      </c>
      <c r="F1024" s="110">
        <v>219.75</v>
      </c>
      <c r="G1024">
        <v>172581</v>
      </c>
      <c r="H1024" s="110"/>
      <c r="I1024" s="110"/>
      <c r="L1024" s="133">
        <v>43509</v>
      </c>
      <c r="M1024" s="110">
        <v>44</v>
      </c>
      <c r="N1024" s="110">
        <v>44.67</v>
      </c>
      <c r="O1024" s="110">
        <v>43.81</v>
      </c>
      <c r="P1024" s="110">
        <v>44.27</v>
      </c>
      <c r="Q1024" s="110">
        <v>220</v>
      </c>
      <c r="R1024">
        <v>3594910</v>
      </c>
    </row>
    <row r="1025" spans="1:18" x14ac:dyDescent="0.25">
      <c r="A1025" s="133">
        <v>43510</v>
      </c>
      <c r="B1025" s="110">
        <v>45.2</v>
      </c>
      <c r="C1025" s="110">
        <v>44.81</v>
      </c>
      <c r="D1025" s="110">
        <v>43.66</v>
      </c>
      <c r="E1025" s="110">
        <v>44</v>
      </c>
      <c r="F1025" s="110">
        <v>224.05</v>
      </c>
      <c r="G1025">
        <v>159787</v>
      </c>
      <c r="H1025" s="110"/>
      <c r="I1025" s="110"/>
      <c r="L1025" s="133">
        <v>43510</v>
      </c>
      <c r="M1025" s="110">
        <v>44.74</v>
      </c>
      <c r="N1025" s="110">
        <v>45.2</v>
      </c>
      <c r="O1025" s="110">
        <v>43.62</v>
      </c>
      <c r="P1025" s="110">
        <v>43.92</v>
      </c>
      <c r="Q1025" s="110">
        <v>223.7</v>
      </c>
      <c r="R1025">
        <v>5849471</v>
      </c>
    </row>
    <row r="1026" spans="1:18" x14ac:dyDescent="0.25">
      <c r="A1026" s="133">
        <v>43511</v>
      </c>
      <c r="B1026" s="110">
        <v>44.68</v>
      </c>
      <c r="C1026" s="110">
        <v>43.05</v>
      </c>
      <c r="D1026" s="110">
        <v>42.71</v>
      </c>
      <c r="E1026" s="110">
        <v>44.55</v>
      </c>
      <c r="F1026" s="110">
        <v>215.25</v>
      </c>
      <c r="G1026">
        <v>269879</v>
      </c>
      <c r="H1026" s="110"/>
      <c r="I1026" s="110"/>
      <c r="L1026" s="133">
        <v>43511</v>
      </c>
      <c r="M1026" s="110">
        <v>43.05</v>
      </c>
      <c r="N1026" s="110">
        <v>44.77</v>
      </c>
      <c r="O1026" s="110">
        <v>42.66</v>
      </c>
      <c r="P1026" s="110">
        <v>44.74</v>
      </c>
      <c r="Q1026" s="110">
        <v>215.25</v>
      </c>
      <c r="R1026">
        <v>5228707</v>
      </c>
    </row>
    <row r="1027" spans="1:18" x14ac:dyDescent="0.25">
      <c r="A1027" s="133">
        <v>43514</v>
      </c>
      <c r="B1027" s="110">
        <v>43.46</v>
      </c>
      <c r="C1027" s="110">
        <v>42.76</v>
      </c>
      <c r="D1027" s="110">
        <v>42.59</v>
      </c>
      <c r="E1027" s="110">
        <v>43.02</v>
      </c>
      <c r="F1027" s="110">
        <v>213.8</v>
      </c>
      <c r="G1027">
        <v>175095</v>
      </c>
      <c r="H1027" s="110"/>
      <c r="I1027" s="110"/>
      <c r="L1027" s="133">
        <v>43514</v>
      </c>
      <c r="M1027" s="110">
        <v>42.73</v>
      </c>
      <c r="N1027" s="110">
        <v>43.46</v>
      </c>
      <c r="O1027" s="110">
        <v>42.56</v>
      </c>
      <c r="P1027" s="110">
        <v>43.3</v>
      </c>
      <c r="Q1027" s="110">
        <v>213.65</v>
      </c>
      <c r="R1027">
        <v>3201980</v>
      </c>
    </row>
    <row r="1028" spans="1:18" x14ac:dyDescent="0.25">
      <c r="A1028" s="133">
        <v>43515</v>
      </c>
      <c r="B1028" s="110">
        <v>44.24</v>
      </c>
      <c r="C1028" s="110">
        <v>43.04</v>
      </c>
      <c r="D1028" s="110">
        <v>42.73</v>
      </c>
      <c r="E1028" s="110">
        <v>42.73</v>
      </c>
      <c r="F1028" s="110">
        <v>215.2</v>
      </c>
      <c r="G1028">
        <v>233887</v>
      </c>
      <c r="H1028" s="110"/>
      <c r="I1028" s="110"/>
      <c r="L1028" s="133">
        <v>43515</v>
      </c>
      <c r="M1028" s="110">
        <v>42.97</v>
      </c>
      <c r="N1028" s="110">
        <v>44.28</v>
      </c>
      <c r="O1028" s="110">
        <v>42.73</v>
      </c>
      <c r="P1028" s="110">
        <v>42.98</v>
      </c>
      <c r="Q1028" s="110">
        <v>214.85</v>
      </c>
      <c r="R1028">
        <v>6221013</v>
      </c>
    </row>
    <row r="1029" spans="1:18" x14ac:dyDescent="0.25">
      <c r="A1029" s="133">
        <v>43516</v>
      </c>
      <c r="B1029" s="110">
        <v>43.93</v>
      </c>
      <c r="C1029" s="110">
        <v>43.7</v>
      </c>
      <c r="D1029" s="110">
        <v>43.05</v>
      </c>
      <c r="E1029" s="110">
        <v>43.06</v>
      </c>
      <c r="F1029" s="110">
        <v>218.5</v>
      </c>
      <c r="G1029">
        <v>142271</v>
      </c>
      <c r="H1029" s="110"/>
      <c r="I1029" s="110"/>
      <c r="L1029" s="133">
        <v>43516</v>
      </c>
      <c r="M1029" s="110">
        <v>43.71</v>
      </c>
      <c r="N1029" s="110">
        <v>43.96</v>
      </c>
      <c r="O1029" s="110">
        <v>43.15</v>
      </c>
      <c r="P1029" s="110">
        <v>43.3</v>
      </c>
      <c r="Q1029" s="110">
        <v>218.55</v>
      </c>
      <c r="R1029">
        <v>3644838</v>
      </c>
    </row>
    <row r="1030" spans="1:18" x14ac:dyDescent="0.25">
      <c r="A1030" s="133">
        <v>43517</v>
      </c>
      <c r="B1030" s="110">
        <v>45.05</v>
      </c>
      <c r="C1030" s="110">
        <v>44.33</v>
      </c>
      <c r="D1030" s="110">
        <v>44.1</v>
      </c>
      <c r="E1030" s="110">
        <v>45</v>
      </c>
      <c r="F1030" s="110">
        <v>221.65</v>
      </c>
      <c r="G1030">
        <v>172314</v>
      </c>
      <c r="H1030" s="110"/>
      <c r="I1030" s="110"/>
      <c r="L1030" s="133">
        <v>43517</v>
      </c>
      <c r="M1030" s="110">
        <v>44.3</v>
      </c>
      <c r="N1030" s="110">
        <v>45</v>
      </c>
      <c r="O1030" s="110">
        <v>44.07</v>
      </c>
      <c r="P1030" s="110">
        <v>45</v>
      </c>
      <c r="Q1030" s="110">
        <v>221.5</v>
      </c>
      <c r="R1030">
        <v>4449981</v>
      </c>
    </row>
    <row r="1031" spans="1:18" x14ac:dyDescent="0.25">
      <c r="A1031" s="133">
        <v>43518</v>
      </c>
      <c r="B1031" s="110">
        <v>44.74</v>
      </c>
      <c r="C1031" s="110">
        <v>44.38</v>
      </c>
      <c r="D1031" s="110">
        <v>43.8</v>
      </c>
      <c r="E1031" s="110">
        <v>44.32</v>
      </c>
      <c r="F1031" s="110">
        <v>221.9</v>
      </c>
      <c r="G1031">
        <v>125733</v>
      </c>
      <c r="H1031" s="110"/>
      <c r="I1031" s="110"/>
      <c r="L1031" s="133">
        <v>43518</v>
      </c>
      <c r="M1031" s="110">
        <v>44.4</v>
      </c>
      <c r="N1031" s="110">
        <v>44.75</v>
      </c>
      <c r="O1031" s="110">
        <v>43.72</v>
      </c>
      <c r="P1031" s="110">
        <v>44.3</v>
      </c>
      <c r="Q1031" s="110">
        <v>222</v>
      </c>
      <c r="R1031">
        <v>3404670</v>
      </c>
    </row>
    <row r="1032" spans="1:18" x14ac:dyDescent="0.25">
      <c r="A1032" s="133">
        <v>43521</v>
      </c>
      <c r="B1032" s="110">
        <v>45</v>
      </c>
      <c r="C1032" s="110">
        <v>44.52</v>
      </c>
      <c r="D1032" s="110">
        <v>44.3</v>
      </c>
      <c r="E1032" s="110">
        <v>45</v>
      </c>
      <c r="F1032" s="110">
        <v>222.6</v>
      </c>
      <c r="G1032">
        <v>87834</v>
      </c>
      <c r="H1032" s="110"/>
      <c r="I1032" s="110"/>
      <c r="L1032" s="133">
        <v>43521</v>
      </c>
      <c r="M1032" s="110">
        <v>44.56</v>
      </c>
      <c r="N1032" s="110">
        <v>44.76</v>
      </c>
      <c r="O1032" s="110">
        <v>44.28</v>
      </c>
      <c r="P1032" s="110">
        <v>44.76</v>
      </c>
      <c r="Q1032" s="110">
        <v>222.8</v>
      </c>
      <c r="R1032">
        <v>2318426</v>
      </c>
    </row>
    <row r="1033" spans="1:18" x14ac:dyDescent="0.25">
      <c r="A1033" s="133">
        <v>43522</v>
      </c>
      <c r="B1033" s="110">
        <v>44.09</v>
      </c>
      <c r="C1033" s="110">
        <v>43.6</v>
      </c>
      <c r="D1033" s="110">
        <v>42.69</v>
      </c>
      <c r="E1033" s="110">
        <v>43.6</v>
      </c>
      <c r="F1033" s="110">
        <v>218</v>
      </c>
      <c r="G1033">
        <v>220271</v>
      </c>
      <c r="H1033" s="110"/>
      <c r="I1033" s="110"/>
      <c r="L1033" s="133">
        <v>43522</v>
      </c>
      <c r="M1033" s="110">
        <v>43.59</v>
      </c>
      <c r="N1033" s="110">
        <v>44.11</v>
      </c>
      <c r="O1033" s="110">
        <v>42.67</v>
      </c>
      <c r="P1033" s="110">
        <v>43.8</v>
      </c>
      <c r="Q1033" s="110">
        <v>217.95</v>
      </c>
      <c r="R1033">
        <v>4611195</v>
      </c>
    </row>
    <row r="1034" spans="1:18" x14ac:dyDescent="0.25">
      <c r="A1034" s="133">
        <v>43523</v>
      </c>
      <c r="B1034" s="110">
        <v>46.36</v>
      </c>
      <c r="C1034" s="110">
        <v>46.1</v>
      </c>
      <c r="D1034" s="110">
        <v>43.94</v>
      </c>
      <c r="E1034" s="110">
        <v>44</v>
      </c>
      <c r="F1034" s="110">
        <v>230.5</v>
      </c>
      <c r="G1034">
        <v>476503</v>
      </c>
      <c r="H1034" s="110"/>
      <c r="I1034" s="110"/>
      <c r="L1034" s="133">
        <v>43523</v>
      </c>
      <c r="M1034" s="110">
        <v>46.24</v>
      </c>
      <c r="N1034" s="110">
        <v>46.51</v>
      </c>
      <c r="O1034" s="110">
        <v>43.8</v>
      </c>
      <c r="P1034" s="110">
        <v>43.8</v>
      </c>
      <c r="Q1034" s="110">
        <v>231.2</v>
      </c>
      <c r="R1034">
        <v>13081688</v>
      </c>
    </row>
    <row r="1035" spans="1:18" x14ac:dyDescent="0.25">
      <c r="A1035" s="133">
        <v>43524</v>
      </c>
      <c r="B1035" s="110">
        <v>46.76</v>
      </c>
      <c r="C1035" s="110">
        <v>46.3</v>
      </c>
      <c r="D1035" s="110">
        <v>45.82</v>
      </c>
      <c r="E1035" s="110">
        <v>46.4</v>
      </c>
      <c r="F1035" s="110">
        <v>231.5</v>
      </c>
      <c r="G1035">
        <v>214668</v>
      </c>
      <c r="H1035" s="110"/>
      <c r="I1035" s="110"/>
      <c r="L1035" s="133">
        <v>43524</v>
      </c>
      <c r="M1035" s="110">
        <v>46.29</v>
      </c>
      <c r="N1035" s="110">
        <v>46.78</v>
      </c>
      <c r="O1035" s="110">
        <v>45.82</v>
      </c>
      <c r="P1035" s="110">
        <v>46.02</v>
      </c>
      <c r="Q1035" s="110">
        <v>231.45</v>
      </c>
      <c r="R1035">
        <v>5534257</v>
      </c>
    </row>
    <row r="1036" spans="1:18" x14ac:dyDescent="0.25">
      <c r="A1036" s="133">
        <v>43525</v>
      </c>
      <c r="B1036" s="110">
        <v>49.6</v>
      </c>
      <c r="C1036" s="110">
        <v>48.67</v>
      </c>
      <c r="D1036" s="110">
        <v>46.48</v>
      </c>
      <c r="E1036" s="110">
        <v>46.57</v>
      </c>
      <c r="F1036" s="110">
        <v>243.35</v>
      </c>
      <c r="G1036">
        <v>602970</v>
      </c>
      <c r="H1036" s="110"/>
      <c r="I1036" s="110"/>
      <c r="L1036" s="133">
        <v>43525</v>
      </c>
      <c r="M1036" s="110">
        <v>48.48</v>
      </c>
      <c r="N1036" s="110">
        <v>48.87</v>
      </c>
      <c r="O1036" s="110">
        <v>46.5</v>
      </c>
      <c r="P1036" s="110">
        <v>46.54</v>
      </c>
      <c r="Q1036" s="110">
        <v>242.4</v>
      </c>
      <c r="R1036">
        <v>6844534</v>
      </c>
    </row>
    <row r="1037" spans="1:18" x14ac:dyDescent="0.25">
      <c r="A1037" s="133">
        <v>43529</v>
      </c>
      <c r="B1037" s="110">
        <v>51.38</v>
      </c>
      <c r="C1037" s="110">
        <v>50.6</v>
      </c>
      <c r="D1037" s="110">
        <v>48.42</v>
      </c>
      <c r="E1037" s="110">
        <v>49.2</v>
      </c>
      <c r="F1037" s="110">
        <v>253</v>
      </c>
      <c r="G1037">
        <v>400216</v>
      </c>
      <c r="H1037" s="110"/>
      <c r="I1037" s="110"/>
      <c r="L1037" s="133">
        <v>43529</v>
      </c>
      <c r="M1037" s="110">
        <v>50.67</v>
      </c>
      <c r="N1037" s="110">
        <v>51</v>
      </c>
      <c r="O1037" s="110">
        <v>48.44</v>
      </c>
      <c r="P1037" s="110">
        <v>48.78</v>
      </c>
      <c r="Q1037" s="110">
        <v>253.35</v>
      </c>
      <c r="R1037">
        <v>6408506</v>
      </c>
    </row>
    <row r="1038" spans="1:18" x14ac:dyDescent="0.25">
      <c r="A1038" s="133">
        <v>43530</v>
      </c>
      <c r="B1038" s="110">
        <v>51.46</v>
      </c>
      <c r="C1038" s="110">
        <v>50.43</v>
      </c>
      <c r="D1038" s="110">
        <v>50.2</v>
      </c>
      <c r="E1038" s="110">
        <v>51</v>
      </c>
      <c r="F1038" s="110">
        <v>252.15</v>
      </c>
      <c r="G1038">
        <v>221440</v>
      </c>
      <c r="H1038" s="110"/>
      <c r="I1038" s="110"/>
      <c r="L1038" s="133">
        <v>43530</v>
      </c>
      <c r="M1038" s="110">
        <v>50.56</v>
      </c>
      <c r="N1038" s="110">
        <v>51.5</v>
      </c>
      <c r="O1038" s="110">
        <v>50.2</v>
      </c>
      <c r="P1038" s="110">
        <v>50.99</v>
      </c>
      <c r="Q1038" s="110">
        <v>252.8</v>
      </c>
      <c r="R1038">
        <v>4941825</v>
      </c>
    </row>
    <row r="1039" spans="1:18" x14ac:dyDescent="0.25">
      <c r="A1039" s="133">
        <v>43531</v>
      </c>
      <c r="B1039" s="110">
        <v>51.66</v>
      </c>
      <c r="C1039" s="110">
        <v>51.38</v>
      </c>
      <c r="D1039" s="110">
        <v>49.8</v>
      </c>
      <c r="E1039" s="110">
        <v>50.51</v>
      </c>
      <c r="F1039" s="110">
        <v>256.89999999999998</v>
      </c>
      <c r="G1039">
        <v>284081</v>
      </c>
      <c r="H1039" s="110"/>
      <c r="I1039" s="110"/>
      <c r="L1039" s="133">
        <v>43531</v>
      </c>
      <c r="M1039" s="110">
        <v>51.47</v>
      </c>
      <c r="N1039" s="110">
        <v>51.79</v>
      </c>
      <c r="O1039" s="110">
        <v>49.8</v>
      </c>
      <c r="P1039" s="110">
        <v>50.58</v>
      </c>
      <c r="Q1039" s="110">
        <v>257.35000000000002</v>
      </c>
      <c r="R1039">
        <v>5448863</v>
      </c>
    </row>
    <row r="1040" spans="1:18" x14ac:dyDescent="0.25">
      <c r="A1040" s="133">
        <v>43532</v>
      </c>
      <c r="B1040" s="110">
        <v>51.61</v>
      </c>
      <c r="C1040" s="110">
        <v>50.88</v>
      </c>
      <c r="D1040" s="110">
        <v>50.55</v>
      </c>
      <c r="E1040" s="110">
        <v>51.19</v>
      </c>
      <c r="F1040" s="110">
        <v>254.4</v>
      </c>
      <c r="G1040">
        <v>129485</v>
      </c>
      <c r="H1040" s="110"/>
      <c r="I1040" s="110"/>
      <c r="L1040" s="133">
        <v>43532</v>
      </c>
      <c r="M1040" s="110">
        <v>50.8</v>
      </c>
      <c r="N1040" s="110">
        <v>51.66</v>
      </c>
      <c r="O1040" s="110">
        <v>50.57</v>
      </c>
      <c r="P1040" s="110">
        <v>51.05</v>
      </c>
      <c r="Q1040" s="110">
        <v>254</v>
      </c>
      <c r="R1040">
        <v>3646618</v>
      </c>
    </row>
    <row r="1041" spans="1:18" x14ac:dyDescent="0.25">
      <c r="A1041" s="133">
        <v>43535</v>
      </c>
      <c r="B1041" s="110">
        <v>52.59</v>
      </c>
      <c r="C1041" s="110">
        <v>51.82</v>
      </c>
      <c r="D1041" s="110">
        <v>50.99</v>
      </c>
      <c r="E1041" s="110">
        <v>51</v>
      </c>
      <c r="F1041" s="110">
        <v>259.10000000000002</v>
      </c>
      <c r="G1041">
        <v>227802</v>
      </c>
      <c r="H1041" s="110"/>
      <c r="I1041" s="110"/>
      <c r="L1041" s="133">
        <v>43535</v>
      </c>
      <c r="M1041" s="110">
        <v>51.87</v>
      </c>
      <c r="N1041" s="110">
        <v>52.59</v>
      </c>
      <c r="O1041" s="110">
        <v>51.13</v>
      </c>
      <c r="P1041" s="110">
        <v>51.18</v>
      </c>
      <c r="Q1041" s="110">
        <v>259.35000000000002</v>
      </c>
      <c r="R1041">
        <v>4714054</v>
      </c>
    </row>
    <row r="1042" spans="1:18" x14ac:dyDescent="0.25">
      <c r="A1042" s="133">
        <v>43536</v>
      </c>
      <c r="B1042" s="110">
        <v>52.66</v>
      </c>
      <c r="C1042" s="110">
        <v>51.28</v>
      </c>
      <c r="D1042" s="110">
        <v>51.04</v>
      </c>
      <c r="E1042" s="110">
        <v>52.4</v>
      </c>
      <c r="F1042" s="110">
        <v>256.39999999999998</v>
      </c>
      <c r="G1042">
        <v>164949</v>
      </c>
      <c r="H1042" s="110"/>
      <c r="I1042" s="110"/>
      <c r="L1042" s="133">
        <v>43536</v>
      </c>
      <c r="M1042" s="110">
        <v>51.28</v>
      </c>
      <c r="N1042" s="110">
        <v>52.72</v>
      </c>
      <c r="O1042" s="110">
        <v>51.02</v>
      </c>
      <c r="P1042" s="110">
        <v>52.58</v>
      </c>
      <c r="Q1042" s="110">
        <v>256.39999999999998</v>
      </c>
      <c r="R1042">
        <v>4220471</v>
      </c>
    </row>
    <row r="1043" spans="1:18" x14ac:dyDescent="0.25">
      <c r="A1043" s="133">
        <v>43537</v>
      </c>
      <c r="B1043" s="110">
        <v>52.89</v>
      </c>
      <c r="C1043" s="110">
        <v>52.73</v>
      </c>
      <c r="D1043" s="110">
        <v>50.76</v>
      </c>
      <c r="E1043" s="110">
        <v>51.6</v>
      </c>
      <c r="F1043" s="110">
        <v>263.64999999999998</v>
      </c>
      <c r="G1043">
        <v>521004</v>
      </c>
      <c r="H1043" s="110"/>
      <c r="I1043" s="110"/>
      <c r="L1043" s="133">
        <v>43537</v>
      </c>
      <c r="M1043" s="110">
        <v>52.6</v>
      </c>
      <c r="N1043" s="110">
        <v>52.78</v>
      </c>
      <c r="O1043" s="110">
        <v>50.75</v>
      </c>
      <c r="P1043" s="110">
        <v>51.24</v>
      </c>
      <c r="Q1043" s="110">
        <v>263</v>
      </c>
      <c r="R1043">
        <v>7056071</v>
      </c>
    </row>
    <row r="1044" spans="1:18" x14ac:dyDescent="0.25">
      <c r="A1044" s="133">
        <v>43538</v>
      </c>
      <c r="B1044" s="110">
        <v>53.57</v>
      </c>
      <c r="C1044" s="110">
        <v>52.46</v>
      </c>
      <c r="D1044" s="110">
        <v>51.8</v>
      </c>
      <c r="E1044" s="110">
        <v>53.57</v>
      </c>
      <c r="F1044" s="110">
        <v>262.3</v>
      </c>
      <c r="G1044">
        <v>319794</v>
      </c>
      <c r="H1044" s="110"/>
      <c r="I1044" s="110"/>
      <c r="L1044" s="133">
        <v>43538</v>
      </c>
      <c r="M1044" s="110">
        <v>52.4</v>
      </c>
      <c r="N1044" s="110">
        <v>53.2</v>
      </c>
      <c r="O1044" s="110">
        <v>51.72</v>
      </c>
      <c r="P1044" s="110">
        <v>52.95</v>
      </c>
      <c r="Q1044" s="110">
        <v>262</v>
      </c>
      <c r="R1044">
        <v>5867399</v>
      </c>
    </row>
    <row r="1045" spans="1:18" x14ac:dyDescent="0.25">
      <c r="A1045" s="133">
        <v>43539</v>
      </c>
      <c r="B1045" s="110">
        <v>53.92</v>
      </c>
      <c r="C1045" s="110">
        <v>52.97</v>
      </c>
      <c r="D1045" s="110">
        <v>52.5</v>
      </c>
      <c r="E1045" s="110">
        <v>52.64</v>
      </c>
      <c r="F1045" s="110">
        <v>264.85000000000002</v>
      </c>
      <c r="G1045">
        <v>465351</v>
      </c>
      <c r="H1045" s="110"/>
      <c r="I1045" s="110"/>
      <c r="L1045" s="133">
        <v>43539</v>
      </c>
      <c r="M1045" s="110">
        <v>52.92</v>
      </c>
      <c r="N1045" s="110">
        <v>53.97</v>
      </c>
      <c r="O1045" s="110">
        <v>52.43</v>
      </c>
      <c r="P1045" s="110">
        <v>52.74</v>
      </c>
      <c r="Q1045" s="110">
        <v>264.60000000000002</v>
      </c>
      <c r="R1045">
        <v>5645857</v>
      </c>
    </row>
    <row r="1046" spans="1:18" x14ac:dyDescent="0.25">
      <c r="A1046" s="133">
        <v>43542</v>
      </c>
      <c r="B1046" s="110">
        <v>54.64</v>
      </c>
      <c r="C1046" s="110">
        <v>54.35</v>
      </c>
      <c r="D1046" s="110">
        <v>52.4</v>
      </c>
      <c r="E1046" s="110">
        <v>53.2</v>
      </c>
      <c r="F1046" s="110">
        <v>271.75</v>
      </c>
      <c r="G1046">
        <v>455114</v>
      </c>
      <c r="H1046" s="110"/>
      <c r="I1046" s="110"/>
      <c r="L1046" s="133">
        <v>43542</v>
      </c>
      <c r="M1046" s="110">
        <v>54.44</v>
      </c>
      <c r="N1046" s="110">
        <v>54.7</v>
      </c>
      <c r="O1046" s="110">
        <v>52.39</v>
      </c>
      <c r="P1046" s="110">
        <v>53.3</v>
      </c>
      <c r="Q1046" s="110">
        <v>272.2</v>
      </c>
      <c r="R1046">
        <v>5684014</v>
      </c>
    </row>
    <row r="1047" spans="1:18" x14ac:dyDescent="0.25">
      <c r="A1047" s="133">
        <v>43543</v>
      </c>
      <c r="B1047" s="110">
        <v>56.3</v>
      </c>
      <c r="C1047" s="110">
        <v>55.33</v>
      </c>
      <c r="D1047" s="110">
        <v>54.3</v>
      </c>
      <c r="E1047" s="110">
        <v>54.42</v>
      </c>
      <c r="F1047" s="110">
        <v>276.64999999999998</v>
      </c>
      <c r="G1047">
        <v>506461</v>
      </c>
      <c r="H1047" s="110"/>
      <c r="I1047" s="110"/>
      <c r="L1047" s="133">
        <v>43543</v>
      </c>
      <c r="M1047" s="110">
        <v>55.27</v>
      </c>
      <c r="N1047" s="110">
        <v>56.34</v>
      </c>
      <c r="O1047" s="110">
        <v>54.35</v>
      </c>
      <c r="P1047" s="110">
        <v>54.62</v>
      </c>
      <c r="Q1047" s="110">
        <v>276.35000000000002</v>
      </c>
      <c r="R1047">
        <v>8189169</v>
      </c>
    </row>
    <row r="1048" spans="1:18" x14ac:dyDescent="0.25">
      <c r="A1048" s="133">
        <v>43544</v>
      </c>
      <c r="B1048" s="110">
        <v>55.65</v>
      </c>
      <c r="C1048" s="110">
        <v>55.24</v>
      </c>
      <c r="D1048" s="110">
        <v>54.6</v>
      </c>
      <c r="E1048" s="110">
        <v>55</v>
      </c>
      <c r="F1048" s="110">
        <v>276.2</v>
      </c>
      <c r="G1048">
        <v>267597</v>
      </c>
      <c r="H1048" s="110"/>
      <c r="I1048" s="110"/>
      <c r="L1048" s="133">
        <v>43544</v>
      </c>
      <c r="M1048" s="110">
        <v>55.24</v>
      </c>
      <c r="N1048" s="110">
        <v>55.65</v>
      </c>
      <c r="O1048" s="110">
        <v>54.57</v>
      </c>
      <c r="P1048" s="110">
        <v>55.2</v>
      </c>
      <c r="Q1048" s="110">
        <v>276.2</v>
      </c>
      <c r="R1048">
        <v>5245810</v>
      </c>
    </row>
    <row r="1049" spans="1:18" x14ac:dyDescent="0.25">
      <c r="A1049" s="133">
        <v>43546</v>
      </c>
      <c r="B1049" s="110">
        <v>55.68</v>
      </c>
      <c r="C1049" s="110">
        <v>54.34</v>
      </c>
      <c r="D1049" s="110">
        <v>53.31</v>
      </c>
      <c r="E1049" s="110">
        <v>55.49</v>
      </c>
      <c r="F1049" s="110">
        <v>271.7</v>
      </c>
      <c r="G1049">
        <v>206272</v>
      </c>
      <c r="H1049" s="110"/>
      <c r="I1049" s="110"/>
      <c r="L1049" s="133">
        <v>43546</v>
      </c>
      <c r="M1049" s="110">
        <v>54.35</v>
      </c>
      <c r="N1049" s="110">
        <v>55.68</v>
      </c>
      <c r="O1049" s="110">
        <v>54.17</v>
      </c>
      <c r="P1049" s="110">
        <v>55.38</v>
      </c>
      <c r="Q1049" s="110">
        <v>271.75</v>
      </c>
      <c r="R1049">
        <v>4109233</v>
      </c>
    </row>
    <row r="1050" spans="1:18" x14ac:dyDescent="0.25">
      <c r="A1050" s="133">
        <v>43549</v>
      </c>
      <c r="B1050" s="110">
        <v>54.44</v>
      </c>
      <c r="C1050" s="110">
        <v>54.13</v>
      </c>
      <c r="D1050" s="110">
        <v>53.28</v>
      </c>
      <c r="E1050" s="110">
        <v>53.8</v>
      </c>
      <c r="F1050" s="110">
        <v>270.64999999999998</v>
      </c>
      <c r="G1050">
        <v>186187</v>
      </c>
      <c r="H1050" s="110"/>
      <c r="I1050" s="110"/>
      <c r="L1050" s="133">
        <v>43549</v>
      </c>
      <c r="M1050" s="110">
        <v>54.04</v>
      </c>
      <c r="N1050" s="110">
        <v>54.46</v>
      </c>
      <c r="O1050" s="110">
        <v>53.24</v>
      </c>
      <c r="P1050" s="110">
        <v>53.6</v>
      </c>
      <c r="Q1050" s="110">
        <v>270.2</v>
      </c>
      <c r="R1050">
        <v>3124126</v>
      </c>
    </row>
    <row r="1051" spans="1:18" x14ac:dyDescent="0.25">
      <c r="A1051" s="133">
        <v>43550</v>
      </c>
      <c r="B1051" s="110">
        <v>56.8</v>
      </c>
      <c r="C1051" s="110">
        <v>56.29</v>
      </c>
      <c r="D1051" s="110">
        <v>54.09</v>
      </c>
      <c r="E1051" s="110">
        <v>54.26</v>
      </c>
      <c r="F1051" s="110">
        <v>281.45</v>
      </c>
      <c r="G1051">
        <v>398259</v>
      </c>
      <c r="H1051" s="110"/>
      <c r="I1051" s="110"/>
      <c r="L1051" s="133">
        <v>43550</v>
      </c>
      <c r="M1051" s="110">
        <v>56.24</v>
      </c>
      <c r="N1051" s="110">
        <v>56.66</v>
      </c>
      <c r="O1051" s="110">
        <v>54.06</v>
      </c>
      <c r="P1051" s="110">
        <v>54.18</v>
      </c>
      <c r="Q1051" s="110">
        <v>281.2</v>
      </c>
      <c r="R1051">
        <v>6293464</v>
      </c>
    </row>
    <row r="1052" spans="1:18" x14ac:dyDescent="0.25">
      <c r="A1052" s="133">
        <v>43551</v>
      </c>
      <c r="B1052" s="110">
        <v>57.48</v>
      </c>
      <c r="C1052" s="110">
        <v>57.18</v>
      </c>
      <c r="D1052" s="110">
        <v>55.86</v>
      </c>
      <c r="E1052" s="110">
        <v>56.4</v>
      </c>
      <c r="F1052" s="110">
        <v>285.89999999999998</v>
      </c>
      <c r="G1052">
        <v>375060</v>
      </c>
      <c r="H1052" s="110"/>
      <c r="I1052" s="110"/>
      <c r="L1052" s="133">
        <v>43551</v>
      </c>
      <c r="M1052" s="110">
        <v>57.2</v>
      </c>
      <c r="N1052" s="110">
        <v>57.5</v>
      </c>
      <c r="O1052" s="110">
        <v>55.86</v>
      </c>
      <c r="P1052" s="110">
        <v>56.4</v>
      </c>
      <c r="Q1052" s="110">
        <v>286</v>
      </c>
      <c r="R1052">
        <v>6848426</v>
      </c>
    </row>
    <row r="1053" spans="1:18" x14ac:dyDescent="0.25">
      <c r="A1053" s="133">
        <v>43552</v>
      </c>
      <c r="B1053" s="110">
        <v>59.67</v>
      </c>
      <c r="C1053" s="110">
        <v>59.02</v>
      </c>
      <c r="D1053" s="110">
        <v>56.76</v>
      </c>
      <c r="E1053" s="110">
        <v>57</v>
      </c>
      <c r="F1053" s="110">
        <v>295.10000000000002</v>
      </c>
      <c r="G1053">
        <v>606853</v>
      </c>
      <c r="H1053" s="110"/>
      <c r="I1053" s="110"/>
      <c r="L1053" s="133">
        <v>43552</v>
      </c>
      <c r="M1053" s="110">
        <v>59.29</v>
      </c>
      <c r="N1053" s="110">
        <v>60</v>
      </c>
      <c r="O1053" s="110">
        <v>56.8</v>
      </c>
      <c r="P1053" s="110">
        <v>56.8</v>
      </c>
      <c r="Q1053" s="110">
        <v>296.45</v>
      </c>
      <c r="R1053">
        <v>10370230</v>
      </c>
    </row>
    <row r="1054" spans="1:18" x14ac:dyDescent="0.25">
      <c r="A1054" s="133">
        <v>43553</v>
      </c>
      <c r="B1054" s="110">
        <v>59.51</v>
      </c>
      <c r="C1054" s="110">
        <v>58.39</v>
      </c>
      <c r="D1054" s="110">
        <v>57.8</v>
      </c>
      <c r="E1054" s="110">
        <v>59.02</v>
      </c>
      <c r="F1054" s="110">
        <v>291.95</v>
      </c>
      <c r="G1054">
        <v>930797</v>
      </c>
      <c r="H1054" s="110"/>
      <c r="I1054" s="110"/>
      <c r="L1054" s="133">
        <v>43553</v>
      </c>
      <c r="M1054" s="110">
        <v>58.26</v>
      </c>
      <c r="N1054" s="110">
        <v>59.52</v>
      </c>
      <c r="O1054" s="110">
        <v>57.7</v>
      </c>
      <c r="P1054" s="110">
        <v>59.24</v>
      </c>
      <c r="Q1054" s="110">
        <v>291.3</v>
      </c>
      <c r="R1054">
        <v>7435342</v>
      </c>
    </row>
    <row r="1055" spans="1:18" x14ac:dyDescent="0.25">
      <c r="A1055" s="133">
        <v>43556</v>
      </c>
      <c r="B1055" s="110">
        <v>60.4</v>
      </c>
      <c r="C1055" s="110">
        <v>58.72</v>
      </c>
      <c r="D1055" s="110">
        <v>58.31</v>
      </c>
      <c r="E1055" s="110">
        <v>58.75</v>
      </c>
      <c r="F1055" s="110">
        <v>293.60000000000002</v>
      </c>
      <c r="G1055">
        <v>302773</v>
      </c>
      <c r="H1055" s="110"/>
      <c r="I1055" s="110"/>
      <c r="L1055" s="133">
        <v>43556</v>
      </c>
      <c r="M1055" s="110">
        <v>58.74</v>
      </c>
      <c r="N1055" s="110">
        <v>60.42</v>
      </c>
      <c r="O1055" s="110">
        <v>58.4</v>
      </c>
      <c r="P1055" s="110">
        <v>58.6</v>
      </c>
      <c r="Q1055" s="110">
        <v>293.7</v>
      </c>
      <c r="R1055">
        <v>5942161</v>
      </c>
    </row>
    <row r="1056" spans="1:18" x14ac:dyDescent="0.25">
      <c r="A1056" s="133">
        <v>43557</v>
      </c>
      <c r="B1056" s="110">
        <v>59.66</v>
      </c>
      <c r="C1056" s="110">
        <v>59.1</v>
      </c>
      <c r="D1056" s="110">
        <v>58.24</v>
      </c>
      <c r="E1056" s="110">
        <v>58.72</v>
      </c>
      <c r="F1056" s="110">
        <v>295.5</v>
      </c>
      <c r="G1056">
        <v>962416</v>
      </c>
      <c r="H1056" s="110"/>
      <c r="I1056" s="110"/>
      <c r="L1056" s="133">
        <v>43557</v>
      </c>
      <c r="M1056" s="110">
        <v>59.17</v>
      </c>
      <c r="N1056" s="110">
        <v>59.68</v>
      </c>
      <c r="O1056" s="110">
        <v>58.2</v>
      </c>
      <c r="P1056" s="110">
        <v>58.95</v>
      </c>
      <c r="Q1056" s="110">
        <v>295.85000000000002</v>
      </c>
      <c r="R1056">
        <v>6414493</v>
      </c>
    </row>
    <row r="1057" spans="1:18" x14ac:dyDescent="0.25">
      <c r="A1057" s="133">
        <v>43558</v>
      </c>
      <c r="B1057" s="110">
        <v>60.1</v>
      </c>
      <c r="C1057" s="110">
        <v>57.04</v>
      </c>
      <c r="D1057" s="110">
        <v>56.69</v>
      </c>
      <c r="E1057" s="110">
        <v>59.44</v>
      </c>
      <c r="F1057" s="110">
        <v>285.2</v>
      </c>
      <c r="G1057">
        <v>410917</v>
      </c>
      <c r="H1057" s="110"/>
      <c r="I1057" s="110"/>
      <c r="L1057" s="133">
        <v>43558</v>
      </c>
      <c r="M1057" s="110">
        <v>57.03</v>
      </c>
      <c r="N1057" s="110">
        <v>60.1</v>
      </c>
      <c r="O1057" s="110">
        <v>56.64</v>
      </c>
      <c r="P1057" s="110">
        <v>59.4</v>
      </c>
      <c r="Q1057" s="110">
        <v>285.14999999999998</v>
      </c>
      <c r="R1057">
        <v>6244802</v>
      </c>
    </row>
    <row r="1058" spans="1:18" x14ac:dyDescent="0.25">
      <c r="A1058" s="133">
        <v>43559</v>
      </c>
      <c r="B1058" s="110">
        <v>58.4</v>
      </c>
      <c r="C1058" s="110">
        <v>56.4</v>
      </c>
      <c r="D1058" s="110">
        <v>56.22</v>
      </c>
      <c r="E1058" s="110">
        <v>58.4</v>
      </c>
      <c r="F1058" s="110">
        <v>282</v>
      </c>
      <c r="G1058">
        <v>866002</v>
      </c>
      <c r="H1058" s="110"/>
      <c r="I1058" s="110"/>
      <c r="L1058" s="133">
        <v>43559</v>
      </c>
      <c r="M1058" s="110">
        <v>56.36</v>
      </c>
      <c r="N1058" s="110">
        <v>57.99</v>
      </c>
      <c r="O1058" s="110">
        <v>56.15</v>
      </c>
      <c r="P1058" s="110">
        <v>57.19</v>
      </c>
      <c r="Q1058" s="110">
        <v>281.8</v>
      </c>
      <c r="R1058">
        <v>7489602</v>
      </c>
    </row>
    <row r="1059" spans="1:18" x14ac:dyDescent="0.25">
      <c r="A1059" s="133">
        <v>43560</v>
      </c>
      <c r="B1059" s="110">
        <v>57.98</v>
      </c>
      <c r="C1059" s="110">
        <v>56.07</v>
      </c>
      <c r="D1059" s="110">
        <v>55.68</v>
      </c>
      <c r="E1059" s="110">
        <v>57.98</v>
      </c>
      <c r="F1059" s="110">
        <v>280.35000000000002</v>
      </c>
      <c r="G1059">
        <v>253081</v>
      </c>
      <c r="H1059" s="110"/>
      <c r="I1059" s="110"/>
      <c r="L1059" s="133">
        <v>43560</v>
      </c>
      <c r="M1059" s="110">
        <v>55.99</v>
      </c>
      <c r="N1059" s="110">
        <v>56.96</v>
      </c>
      <c r="O1059" s="110">
        <v>55.63</v>
      </c>
      <c r="P1059" s="110">
        <v>56.7</v>
      </c>
      <c r="Q1059" s="110">
        <v>279.95</v>
      </c>
      <c r="R1059">
        <v>4481043</v>
      </c>
    </row>
    <row r="1060" spans="1:18" x14ac:dyDescent="0.25">
      <c r="A1060" s="133">
        <v>43563</v>
      </c>
      <c r="B1060" s="110">
        <v>56.91</v>
      </c>
      <c r="C1060" s="110">
        <v>54.83</v>
      </c>
      <c r="D1060" s="110">
        <v>54.48</v>
      </c>
      <c r="E1060" s="110">
        <v>56.03</v>
      </c>
      <c r="F1060" s="110">
        <v>274.14999999999998</v>
      </c>
      <c r="G1060">
        <v>259030</v>
      </c>
      <c r="H1060" s="110"/>
      <c r="I1060" s="110"/>
      <c r="L1060" s="133">
        <v>43563</v>
      </c>
      <c r="M1060" s="110">
        <v>54.74</v>
      </c>
      <c r="N1060" s="110">
        <v>56.88</v>
      </c>
      <c r="O1060" s="110">
        <v>54.43</v>
      </c>
      <c r="P1060" s="110">
        <v>56.16</v>
      </c>
      <c r="Q1060" s="110">
        <v>273.7</v>
      </c>
      <c r="R1060">
        <v>5556229</v>
      </c>
    </row>
    <row r="1061" spans="1:18" x14ac:dyDescent="0.25">
      <c r="A1061" s="133">
        <v>43564</v>
      </c>
      <c r="B1061" s="110">
        <v>57.59</v>
      </c>
      <c r="C1061" s="110">
        <v>57.26</v>
      </c>
      <c r="D1061" s="110">
        <v>54.47</v>
      </c>
      <c r="E1061" s="110">
        <v>54.8</v>
      </c>
      <c r="F1061" s="110">
        <v>286.3</v>
      </c>
      <c r="G1061">
        <v>628338</v>
      </c>
      <c r="H1061" s="110"/>
      <c r="I1061" s="110"/>
      <c r="L1061" s="133">
        <v>43564</v>
      </c>
      <c r="M1061" s="110">
        <v>57.38</v>
      </c>
      <c r="N1061" s="110">
        <v>57.7</v>
      </c>
      <c r="O1061" s="110">
        <v>54.44</v>
      </c>
      <c r="P1061" s="110">
        <v>54.95</v>
      </c>
      <c r="Q1061" s="110">
        <v>286.89999999999998</v>
      </c>
      <c r="R1061">
        <v>8559328</v>
      </c>
    </row>
    <row r="1062" spans="1:18" x14ac:dyDescent="0.25">
      <c r="A1062" s="133">
        <v>43565</v>
      </c>
      <c r="B1062" s="110">
        <v>57.36</v>
      </c>
      <c r="C1062" s="110">
        <v>56.24</v>
      </c>
      <c r="D1062" s="110">
        <v>56.09</v>
      </c>
      <c r="E1062" s="110">
        <v>56.94</v>
      </c>
      <c r="F1062" s="110">
        <v>281.2</v>
      </c>
      <c r="G1062">
        <v>237580</v>
      </c>
      <c r="H1062" s="110"/>
      <c r="I1062" s="110"/>
      <c r="L1062" s="133">
        <v>43565</v>
      </c>
      <c r="M1062" s="110">
        <v>56.31</v>
      </c>
      <c r="N1062" s="110">
        <v>57.37</v>
      </c>
      <c r="O1062" s="110">
        <v>56.07</v>
      </c>
      <c r="P1062" s="110">
        <v>56.84</v>
      </c>
      <c r="Q1062" s="110">
        <v>281.55</v>
      </c>
      <c r="R1062">
        <v>5624832</v>
      </c>
    </row>
    <row r="1063" spans="1:18" x14ac:dyDescent="0.25">
      <c r="A1063" s="133">
        <v>43566</v>
      </c>
      <c r="B1063" s="110">
        <v>56.8</v>
      </c>
      <c r="C1063" s="110">
        <v>56.18</v>
      </c>
      <c r="D1063" s="110">
        <v>55.6</v>
      </c>
      <c r="E1063" s="110">
        <v>56.8</v>
      </c>
      <c r="F1063" s="110">
        <v>280.89999999999998</v>
      </c>
      <c r="G1063">
        <v>206621</v>
      </c>
      <c r="H1063" s="110"/>
      <c r="I1063" s="110"/>
      <c r="L1063" s="133">
        <v>43566</v>
      </c>
      <c r="M1063" s="110">
        <v>56.12</v>
      </c>
      <c r="N1063" s="110">
        <v>56.7</v>
      </c>
      <c r="O1063" s="110">
        <v>55.54</v>
      </c>
      <c r="P1063" s="110">
        <v>56.3</v>
      </c>
      <c r="Q1063" s="110">
        <v>280.60000000000002</v>
      </c>
      <c r="R1063">
        <v>4619971</v>
      </c>
    </row>
    <row r="1064" spans="1:18" x14ac:dyDescent="0.25">
      <c r="A1064" s="133">
        <v>43567</v>
      </c>
      <c r="B1064" s="110">
        <v>57</v>
      </c>
      <c r="C1064" s="110">
        <v>56.89</v>
      </c>
      <c r="D1064" s="110">
        <v>55.7</v>
      </c>
      <c r="E1064" s="110">
        <v>56.54</v>
      </c>
      <c r="F1064" s="110">
        <v>284.45</v>
      </c>
      <c r="G1064">
        <v>225329</v>
      </c>
      <c r="H1064" s="110"/>
      <c r="I1064" s="110"/>
      <c r="L1064" s="133">
        <v>43567</v>
      </c>
      <c r="M1064" s="110">
        <v>56.97</v>
      </c>
      <c r="N1064" s="110">
        <v>57.16</v>
      </c>
      <c r="O1064" s="110">
        <v>55.64</v>
      </c>
      <c r="P1064" s="110">
        <v>56</v>
      </c>
      <c r="Q1064" s="110">
        <v>284.85000000000002</v>
      </c>
      <c r="R1064">
        <v>4387565</v>
      </c>
    </row>
    <row r="1065" spans="1:18" x14ac:dyDescent="0.25">
      <c r="A1065" s="133">
        <v>43570</v>
      </c>
      <c r="B1065" s="110">
        <v>57.48</v>
      </c>
      <c r="C1065" s="110">
        <v>56.15</v>
      </c>
      <c r="D1065" s="110">
        <v>55.97</v>
      </c>
      <c r="E1065" s="110">
        <v>57</v>
      </c>
      <c r="F1065" s="110">
        <v>280.75</v>
      </c>
      <c r="G1065">
        <v>237931</v>
      </c>
      <c r="H1065" s="110"/>
      <c r="I1065" s="110"/>
      <c r="L1065" s="133">
        <v>43570</v>
      </c>
      <c r="M1065" s="110">
        <v>56.15</v>
      </c>
      <c r="N1065" s="110">
        <v>57.5</v>
      </c>
      <c r="O1065" s="110">
        <v>55.94</v>
      </c>
      <c r="P1065" s="110">
        <v>57.13</v>
      </c>
      <c r="Q1065" s="110">
        <v>280.75</v>
      </c>
      <c r="R1065">
        <v>4079349</v>
      </c>
    </row>
    <row r="1066" spans="1:18" x14ac:dyDescent="0.25">
      <c r="A1066" s="133">
        <v>43571</v>
      </c>
      <c r="B1066" s="110">
        <v>57.19</v>
      </c>
      <c r="C1066" s="110">
        <v>56.03</v>
      </c>
      <c r="D1066" s="110">
        <v>55.7</v>
      </c>
      <c r="E1066" s="110">
        <v>57.19</v>
      </c>
      <c r="F1066" s="110">
        <v>280.14999999999998</v>
      </c>
      <c r="G1066">
        <v>119782</v>
      </c>
      <c r="H1066" s="110"/>
      <c r="I1066" s="110"/>
      <c r="L1066" s="133">
        <v>43571</v>
      </c>
      <c r="M1066" s="110">
        <v>56.01</v>
      </c>
      <c r="N1066" s="110">
        <v>56.78</v>
      </c>
      <c r="O1066" s="110">
        <v>55.68</v>
      </c>
      <c r="P1066" s="110">
        <v>56.44</v>
      </c>
      <c r="Q1066" s="110">
        <v>280.05</v>
      </c>
      <c r="R1066">
        <v>3015129</v>
      </c>
    </row>
    <row r="1067" spans="1:18" x14ac:dyDescent="0.25">
      <c r="A1067" s="133">
        <v>43573</v>
      </c>
      <c r="B1067" s="110">
        <v>56.19</v>
      </c>
      <c r="C1067" s="110">
        <v>55.46</v>
      </c>
      <c r="D1067" s="110">
        <v>54.68</v>
      </c>
      <c r="E1067" s="110">
        <v>55.66</v>
      </c>
      <c r="F1067" s="110">
        <v>277.3</v>
      </c>
      <c r="G1067">
        <v>137641</v>
      </c>
      <c r="H1067" s="110"/>
      <c r="I1067" s="110"/>
      <c r="L1067" s="133">
        <v>43573</v>
      </c>
      <c r="M1067" s="110">
        <v>55.45</v>
      </c>
      <c r="N1067" s="110">
        <v>56.25</v>
      </c>
      <c r="O1067" s="110">
        <v>54.63</v>
      </c>
      <c r="P1067" s="110">
        <v>56.16</v>
      </c>
      <c r="Q1067" s="110">
        <v>277.25</v>
      </c>
      <c r="R1067">
        <v>3965678</v>
      </c>
    </row>
    <row r="1068" spans="1:18" x14ac:dyDescent="0.25">
      <c r="A1068" s="133">
        <v>43577</v>
      </c>
      <c r="B1068" s="110">
        <v>55.2</v>
      </c>
      <c r="C1068" s="110">
        <v>53.6</v>
      </c>
      <c r="D1068" s="110">
        <v>53.03</v>
      </c>
      <c r="E1068" s="110">
        <v>55.2</v>
      </c>
      <c r="F1068" s="110">
        <v>268</v>
      </c>
      <c r="G1068">
        <v>186105</v>
      </c>
      <c r="H1068" s="110"/>
      <c r="I1068" s="110"/>
      <c r="L1068" s="133">
        <v>43577</v>
      </c>
      <c r="M1068" s="110">
        <v>53.5</v>
      </c>
      <c r="N1068" s="110">
        <v>55.04</v>
      </c>
      <c r="O1068" s="110">
        <v>53.1</v>
      </c>
      <c r="P1068" s="110">
        <v>55</v>
      </c>
      <c r="Q1068" s="110">
        <v>267.5</v>
      </c>
      <c r="R1068">
        <v>4150115</v>
      </c>
    </row>
    <row r="1069" spans="1:18" x14ac:dyDescent="0.25">
      <c r="A1069" s="133">
        <v>43578</v>
      </c>
      <c r="B1069" s="110">
        <v>54.8</v>
      </c>
      <c r="C1069" s="110">
        <v>54.12</v>
      </c>
      <c r="D1069" s="110">
        <v>53.24</v>
      </c>
      <c r="E1069" s="110">
        <v>53.6</v>
      </c>
      <c r="F1069" s="110">
        <v>270.60000000000002</v>
      </c>
      <c r="G1069">
        <v>285788</v>
      </c>
      <c r="H1069" s="110"/>
      <c r="I1069" s="110"/>
      <c r="L1069" s="133">
        <v>43578</v>
      </c>
      <c r="M1069" s="110">
        <v>54.09</v>
      </c>
      <c r="N1069" s="110">
        <v>54.84</v>
      </c>
      <c r="O1069" s="110">
        <v>53.26</v>
      </c>
      <c r="P1069" s="110">
        <v>53.58</v>
      </c>
      <c r="Q1069" s="110">
        <v>270.45</v>
      </c>
      <c r="R1069">
        <v>4676076</v>
      </c>
    </row>
    <row r="1070" spans="1:18" x14ac:dyDescent="0.25">
      <c r="A1070" s="133">
        <v>43579</v>
      </c>
      <c r="B1070" s="110">
        <v>54.99</v>
      </c>
      <c r="C1070" s="110">
        <v>54.68</v>
      </c>
      <c r="D1070" s="110">
        <v>53.6</v>
      </c>
      <c r="E1070" s="110">
        <v>54.99</v>
      </c>
      <c r="F1070" s="110">
        <v>273.39999999999998</v>
      </c>
      <c r="G1070">
        <v>177333</v>
      </c>
      <c r="H1070" s="110"/>
      <c r="I1070" s="110"/>
      <c r="L1070" s="133">
        <v>43579</v>
      </c>
      <c r="M1070" s="110">
        <v>54.7</v>
      </c>
      <c r="N1070" s="110">
        <v>54.88</v>
      </c>
      <c r="O1070" s="110">
        <v>53.55</v>
      </c>
      <c r="P1070" s="110">
        <v>54.09</v>
      </c>
      <c r="Q1070" s="110">
        <v>273.5</v>
      </c>
      <c r="R1070">
        <v>3188492</v>
      </c>
    </row>
    <row r="1071" spans="1:18" x14ac:dyDescent="0.25">
      <c r="A1071" s="133">
        <v>43580</v>
      </c>
      <c r="B1071" s="110">
        <v>55.05</v>
      </c>
      <c r="C1071" s="110">
        <v>54.3</v>
      </c>
      <c r="D1071" s="110">
        <v>53.87</v>
      </c>
      <c r="E1071" s="110">
        <v>54.6</v>
      </c>
      <c r="F1071" s="110">
        <v>271.5</v>
      </c>
      <c r="G1071">
        <v>137327</v>
      </c>
      <c r="H1071" s="110"/>
      <c r="I1071" s="110"/>
      <c r="L1071" s="133">
        <v>43580</v>
      </c>
      <c r="M1071" s="110">
        <v>54.31</v>
      </c>
      <c r="N1071" s="110">
        <v>55.02</v>
      </c>
      <c r="O1071" s="110">
        <v>54.09</v>
      </c>
      <c r="P1071" s="110">
        <v>54.6</v>
      </c>
      <c r="Q1071" s="110">
        <v>271.55</v>
      </c>
      <c r="R1071">
        <v>2857540</v>
      </c>
    </row>
    <row r="1072" spans="1:18" x14ac:dyDescent="0.25">
      <c r="A1072" s="133">
        <v>43581</v>
      </c>
      <c r="B1072" s="110">
        <v>54.95</v>
      </c>
      <c r="C1072" s="110">
        <v>54.67</v>
      </c>
      <c r="D1072" s="110">
        <v>53.82</v>
      </c>
      <c r="E1072" s="110">
        <v>54.95</v>
      </c>
      <c r="F1072" s="110">
        <v>273.35000000000002</v>
      </c>
      <c r="G1072">
        <v>187230</v>
      </c>
      <c r="H1072" s="110"/>
      <c r="I1072" s="110"/>
      <c r="L1072" s="133">
        <v>43581</v>
      </c>
      <c r="M1072" s="110">
        <v>54.68</v>
      </c>
      <c r="N1072" s="110">
        <v>54.82</v>
      </c>
      <c r="O1072" s="110">
        <v>53.8</v>
      </c>
      <c r="P1072" s="110">
        <v>54.48</v>
      </c>
      <c r="Q1072" s="110">
        <v>273.39999999999998</v>
      </c>
      <c r="R1072">
        <v>3458004</v>
      </c>
    </row>
    <row r="1073" spans="1:18" x14ac:dyDescent="0.25">
      <c r="A1073" s="133">
        <v>43585</v>
      </c>
      <c r="B1073" s="110">
        <v>54.69</v>
      </c>
      <c r="C1073" s="110">
        <v>52.06</v>
      </c>
      <c r="D1073" s="110">
        <v>50.93</v>
      </c>
      <c r="E1073" s="110">
        <v>54.69</v>
      </c>
      <c r="F1073" s="110">
        <v>260.3</v>
      </c>
      <c r="G1073">
        <v>363415</v>
      </c>
      <c r="H1073" s="110"/>
      <c r="I1073" s="110"/>
      <c r="L1073" s="133">
        <v>43585</v>
      </c>
      <c r="M1073" s="110">
        <v>52.09</v>
      </c>
      <c r="N1073" s="110">
        <v>54.93</v>
      </c>
      <c r="O1073" s="110">
        <v>50.85</v>
      </c>
      <c r="P1073" s="110">
        <v>54.8</v>
      </c>
      <c r="Q1073" s="110">
        <v>260.45</v>
      </c>
      <c r="R1073">
        <v>6571947</v>
      </c>
    </row>
    <row r="1074" spans="1:18" x14ac:dyDescent="0.25">
      <c r="A1074" s="133">
        <v>43587</v>
      </c>
      <c r="B1074" s="110">
        <v>53.3</v>
      </c>
      <c r="C1074" s="110">
        <v>52.52</v>
      </c>
      <c r="D1074" s="110">
        <v>51.66</v>
      </c>
      <c r="E1074" s="110">
        <v>52.8</v>
      </c>
      <c r="F1074" s="110">
        <v>262.60000000000002</v>
      </c>
      <c r="G1074">
        <v>196151</v>
      </c>
      <c r="H1074" s="110"/>
      <c r="I1074" s="110"/>
      <c r="L1074" s="133">
        <v>43587</v>
      </c>
      <c r="M1074" s="110">
        <v>52.44</v>
      </c>
      <c r="N1074" s="110">
        <v>53.31</v>
      </c>
      <c r="O1074" s="110">
        <v>51.57</v>
      </c>
      <c r="P1074" s="110">
        <v>51.9</v>
      </c>
      <c r="Q1074" s="110">
        <v>262.2</v>
      </c>
      <c r="R1074">
        <v>4479054</v>
      </c>
    </row>
    <row r="1075" spans="1:18" x14ac:dyDescent="0.25">
      <c r="A1075" s="133">
        <v>43588</v>
      </c>
      <c r="B1075" s="110">
        <v>53.95</v>
      </c>
      <c r="C1075" s="110">
        <v>53.39</v>
      </c>
      <c r="D1075" s="110">
        <v>52.56</v>
      </c>
      <c r="E1075" s="110">
        <v>52.84</v>
      </c>
      <c r="F1075" s="110">
        <v>266.95</v>
      </c>
      <c r="G1075">
        <v>187352</v>
      </c>
      <c r="H1075" s="110"/>
      <c r="I1075" s="110"/>
      <c r="L1075" s="133">
        <v>43588</v>
      </c>
      <c r="M1075" s="110">
        <v>53.41</v>
      </c>
      <c r="N1075" s="110">
        <v>53.94</v>
      </c>
      <c r="O1075" s="110">
        <v>52.53</v>
      </c>
      <c r="P1075" s="110">
        <v>52.69</v>
      </c>
      <c r="Q1075" s="110">
        <v>267.05</v>
      </c>
      <c r="R1075">
        <v>4253632</v>
      </c>
    </row>
    <row r="1076" spans="1:18" x14ac:dyDescent="0.25">
      <c r="A1076" s="133">
        <v>43591</v>
      </c>
      <c r="B1076" s="110">
        <v>53.56</v>
      </c>
      <c r="C1076" s="110">
        <v>53.08</v>
      </c>
      <c r="D1076" s="110">
        <v>52.2</v>
      </c>
      <c r="E1076" s="110">
        <v>52.48</v>
      </c>
      <c r="F1076" s="110">
        <v>265.39999999999998</v>
      </c>
      <c r="G1076">
        <v>184929</v>
      </c>
      <c r="H1076" s="110"/>
      <c r="I1076" s="110"/>
      <c r="L1076" s="133">
        <v>43591</v>
      </c>
      <c r="M1076" s="110">
        <v>53.11</v>
      </c>
      <c r="N1076" s="110">
        <v>53.59</v>
      </c>
      <c r="O1076" s="110">
        <v>52.16</v>
      </c>
      <c r="P1076" s="110">
        <v>52.39</v>
      </c>
      <c r="Q1076" s="110">
        <v>265.55</v>
      </c>
      <c r="R1076">
        <v>3494990</v>
      </c>
    </row>
    <row r="1077" spans="1:18" x14ac:dyDescent="0.25">
      <c r="A1077" s="133">
        <v>43592</v>
      </c>
      <c r="B1077" s="110">
        <v>53.71</v>
      </c>
      <c r="C1077" s="110">
        <v>51.48</v>
      </c>
      <c r="D1077" s="110">
        <v>51.1</v>
      </c>
      <c r="E1077" s="110">
        <v>53.11</v>
      </c>
      <c r="F1077" s="110">
        <v>257.39999999999998</v>
      </c>
      <c r="G1077">
        <v>133681</v>
      </c>
      <c r="H1077" s="110"/>
      <c r="I1077" s="110"/>
      <c r="L1077" s="133">
        <v>43592</v>
      </c>
      <c r="M1077" s="110">
        <v>51.5</v>
      </c>
      <c r="N1077" s="110">
        <v>53.75</v>
      </c>
      <c r="O1077" s="110">
        <v>51.1</v>
      </c>
      <c r="P1077" s="110">
        <v>53.46</v>
      </c>
      <c r="Q1077" s="110">
        <v>257.5</v>
      </c>
      <c r="R1077">
        <v>3713460</v>
      </c>
    </row>
    <row r="1078" spans="1:18" x14ac:dyDescent="0.25">
      <c r="A1078" s="133">
        <v>43593</v>
      </c>
      <c r="B1078" s="110">
        <v>52.41</v>
      </c>
      <c r="C1078" s="110">
        <v>51.31</v>
      </c>
      <c r="D1078" s="110">
        <v>50.93</v>
      </c>
      <c r="E1078" s="110">
        <v>51.4</v>
      </c>
      <c r="F1078" s="110">
        <v>256.55</v>
      </c>
      <c r="G1078">
        <v>171209</v>
      </c>
      <c r="H1078" s="110"/>
      <c r="I1078" s="110"/>
      <c r="L1078" s="133">
        <v>43593</v>
      </c>
      <c r="M1078" s="110">
        <v>51.35</v>
      </c>
      <c r="N1078" s="110">
        <v>52.48</v>
      </c>
      <c r="O1078" s="110">
        <v>50.91</v>
      </c>
      <c r="P1078" s="110">
        <v>51.38</v>
      </c>
      <c r="Q1078" s="110">
        <v>256.75</v>
      </c>
      <c r="R1078">
        <v>5193078</v>
      </c>
    </row>
    <row r="1079" spans="1:18" x14ac:dyDescent="0.25">
      <c r="A1079" s="133">
        <v>43594</v>
      </c>
      <c r="B1079" s="110">
        <v>51.98</v>
      </c>
      <c r="C1079" s="110">
        <v>51.44</v>
      </c>
      <c r="D1079" s="110">
        <v>51.06</v>
      </c>
      <c r="E1079" s="110">
        <v>51.25</v>
      </c>
      <c r="F1079" s="110">
        <v>257.2</v>
      </c>
      <c r="G1079">
        <v>119506</v>
      </c>
      <c r="H1079" s="110"/>
      <c r="I1079" s="110"/>
      <c r="L1079" s="133">
        <v>43594</v>
      </c>
      <c r="M1079" s="110">
        <v>51.39</v>
      </c>
      <c r="N1079" s="110">
        <v>51.93</v>
      </c>
      <c r="O1079" s="110">
        <v>51.04</v>
      </c>
      <c r="P1079" s="110">
        <v>51.2</v>
      </c>
      <c r="Q1079" s="110">
        <v>256.95</v>
      </c>
      <c r="R1079">
        <v>3071064</v>
      </c>
    </row>
    <row r="1080" spans="1:18" x14ac:dyDescent="0.25">
      <c r="A1080" s="133">
        <v>43595</v>
      </c>
      <c r="B1080" s="110">
        <v>53.72</v>
      </c>
      <c r="C1080" s="110">
        <v>53.09</v>
      </c>
      <c r="D1080" s="110">
        <v>51.28</v>
      </c>
      <c r="E1080" s="110">
        <v>51.8</v>
      </c>
      <c r="F1080" s="110">
        <v>265.45</v>
      </c>
      <c r="G1080">
        <v>590850</v>
      </c>
      <c r="H1080" s="110"/>
      <c r="I1080" s="110"/>
      <c r="L1080" s="133">
        <v>43595</v>
      </c>
      <c r="M1080" s="110">
        <v>53.1</v>
      </c>
      <c r="N1080" s="110">
        <v>53.74</v>
      </c>
      <c r="O1080" s="110">
        <v>51.25</v>
      </c>
      <c r="P1080" s="110">
        <v>51.62</v>
      </c>
      <c r="Q1080" s="110">
        <v>265.5</v>
      </c>
      <c r="R1080">
        <v>9739857</v>
      </c>
    </row>
    <row r="1081" spans="1:18" x14ac:dyDescent="0.25">
      <c r="A1081" s="133">
        <v>43598</v>
      </c>
      <c r="B1081" s="110">
        <v>53.28</v>
      </c>
      <c r="C1081" s="110">
        <v>48.69</v>
      </c>
      <c r="D1081" s="110">
        <v>48.15</v>
      </c>
      <c r="E1081" s="110">
        <v>52.54</v>
      </c>
      <c r="F1081" s="110">
        <v>243.45</v>
      </c>
      <c r="G1081">
        <v>583925</v>
      </c>
      <c r="H1081" s="110"/>
      <c r="I1081" s="110"/>
      <c r="L1081" s="133">
        <v>43598</v>
      </c>
      <c r="M1081" s="110">
        <v>48.68</v>
      </c>
      <c r="N1081" s="110">
        <v>53.33</v>
      </c>
      <c r="O1081" s="110">
        <v>48.1</v>
      </c>
      <c r="P1081" s="110">
        <v>52.5</v>
      </c>
      <c r="Q1081" s="110">
        <v>243.4</v>
      </c>
      <c r="R1081">
        <v>13377981</v>
      </c>
    </row>
    <row r="1082" spans="1:18" x14ac:dyDescent="0.25">
      <c r="A1082" s="133">
        <v>43599</v>
      </c>
      <c r="B1082" s="110">
        <v>50.2</v>
      </c>
      <c r="C1082" s="110">
        <v>49.67</v>
      </c>
      <c r="D1082" s="110">
        <v>47.76</v>
      </c>
      <c r="E1082" s="110">
        <v>49</v>
      </c>
      <c r="F1082" s="110">
        <v>248.35</v>
      </c>
      <c r="G1082">
        <v>317399</v>
      </c>
      <c r="H1082" s="110"/>
      <c r="I1082" s="110"/>
      <c r="L1082" s="133">
        <v>43599</v>
      </c>
      <c r="M1082" s="110">
        <v>49.71</v>
      </c>
      <c r="N1082" s="110">
        <v>50.2</v>
      </c>
      <c r="O1082" s="110">
        <v>47.69</v>
      </c>
      <c r="P1082" s="110">
        <v>48.79</v>
      </c>
      <c r="Q1082" s="110">
        <v>248.55</v>
      </c>
      <c r="R1082">
        <v>6640298</v>
      </c>
    </row>
    <row r="1083" spans="1:18" x14ac:dyDescent="0.25">
      <c r="A1083" s="133">
        <v>43600</v>
      </c>
      <c r="B1083" s="110">
        <v>50.2</v>
      </c>
      <c r="C1083" s="110">
        <v>48.48</v>
      </c>
      <c r="D1083" s="110">
        <v>47.8</v>
      </c>
      <c r="E1083" s="110">
        <v>50.2</v>
      </c>
      <c r="F1083" s="110">
        <v>242.4</v>
      </c>
      <c r="G1083">
        <v>233025</v>
      </c>
      <c r="H1083" s="110"/>
      <c r="I1083" s="110"/>
      <c r="L1083" s="133">
        <v>43600</v>
      </c>
      <c r="M1083" s="110">
        <v>48.71</v>
      </c>
      <c r="N1083" s="110">
        <v>50.11</v>
      </c>
      <c r="O1083" s="110">
        <v>48.46</v>
      </c>
      <c r="P1083" s="110">
        <v>49.8</v>
      </c>
      <c r="Q1083" s="110">
        <v>243.55</v>
      </c>
      <c r="R1083">
        <v>4092719</v>
      </c>
    </row>
    <row r="1084" spans="1:18" x14ac:dyDescent="0.25">
      <c r="A1084" s="133">
        <v>43601</v>
      </c>
      <c r="B1084" s="110">
        <v>49.08</v>
      </c>
      <c r="C1084" s="110">
        <v>48.56</v>
      </c>
      <c r="D1084" s="110">
        <v>47.84</v>
      </c>
      <c r="E1084" s="110">
        <v>49.08</v>
      </c>
      <c r="F1084" s="110">
        <v>242.8</v>
      </c>
      <c r="G1084">
        <v>191843</v>
      </c>
      <c r="H1084" s="110"/>
      <c r="I1084" s="110"/>
      <c r="L1084" s="133">
        <v>43601</v>
      </c>
      <c r="M1084" s="110">
        <v>48.55</v>
      </c>
      <c r="N1084" s="110">
        <v>48.97</v>
      </c>
      <c r="O1084" s="110">
        <v>47.82</v>
      </c>
      <c r="P1084" s="110">
        <v>48.88</v>
      </c>
      <c r="Q1084" s="110">
        <v>242.75</v>
      </c>
      <c r="R1084">
        <v>4195487</v>
      </c>
    </row>
    <row r="1085" spans="1:18" x14ac:dyDescent="0.25">
      <c r="A1085" s="133">
        <v>43602</v>
      </c>
      <c r="B1085" s="110">
        <v>49.43</v>
      </c>
      <c r="C1085" s="110">
        <v>49.15</v>
      </c>
      <c r="D1085" s="110">
        <v>48.24</v>
      </c>
      <c r="E1085" s="110">
        <v>48.4</v>
      </c>
      <c r="F1085" s="110">
        <v>245.75</v>
      </c>
      <c r="G1085">
        <v>163044</v>
      </c>
      <c r="H1085" s="110"/>
      <c r="I1085" s="110"/>
      <c r="L1085" s="133">
        <v>43602</v>
      </c>
      <c r="M1085" s="110">
        <v>49.11</v>
      </c>
      <c r="N1085" s="110">
        <v>49.48</v>
      </c>
      <c r="O1085" s="110">
        <v>48.2</v>
      </c>
      <c r="P1085" s="110">
        <v>48.5</v>
      </c>
      <c r="Q1085" s="110">
        <v>245.55</v>
      </c>
      <c r="R1085">
        <v>3808476</v>
      </c>
    </row>
    <row r="1086" spans="1:18" x14ac:dyDescent="0.25">
      <c r="A1086" s="133">
        <v>43605</v>
      </c>
      <c r="B1086" s="110">
        <v>53.78</v>
      </c>
      <c r="C1086" s="110">
        <v>53.31</v>
      </c>
      <c r="D1086" s="110">
        <v>50.8</v>
      </c>
      <c r="E1086" s="110">
        <v>50.8</v>
      </c>
      <c r="F1086" s="110">
        <v>266.55</v>
      </c>
      <c r="G1086">
        <v>538550</v>
      </c>
      <c r="H1086" s="110"/>
      <c r="I1086" s="110"/>
      <c r="L1086" s="133">
        <v>43605</v>
      </c>
      <c r="M1086" s="110">
        <v>53.15</v>
      </c>
      <c r="N1086" s="110">
        <v>53.79</v>
      </c>
      <c r="O1086" s="110">
        <v>50.87</v>
      </c>
      <c r="P1086" s="110">
        <v>51.56</v>
      </c>
      <c r="Q1086" s="110">
        <v>265.75</v>
      </c>
      <c r="R1086">
        <v>7197628</v>
      </c>
    </row>
    <row r="1087" spans="1:18" x14ac:dyDescent="0.25">
      <c r="A1087" s="133">
        <v>43606</v>
      </c>
      <c r="B1087" s="110">
        <v>53.99</v>
      </c>
      <c r="C1087" s="110">
        <v>52.11</v>
      </c>
      <c r="D1087" s="110">
        <v>51.49</v>
      </c>
      <c r="E1087" s="110">
        <v>52.24</v>
      </c>
      <c r="F1087" s="110">
        <v>260.55</v>
      </c>
      <c r="G1087">
        <v>326570</v>
      </c>
      <c r="H1087" s="110"/>
      <c r="I1087" s="110"/>
      <c r="L1087" s="133">
        <v>43606</v>
      </c>
      <c r="M1087" s="110">
        <v>52</v>
      </c>
      <c r="N1087" s="110">
        <v>53.98</v>
      </c>
      <c r="O1087" s="110">
        <v>51.42</v>
      </c>
      <c r="P1087" s="110">
        <v>53.18</v>
      </c>
      <c r="Q1087" s="110">
        <v>260</v>
      </c>
      <c r="R1087">
        <v>5877855</v>
      </c>
    </row>
    <row r="1088" spans="1:18" x14ac:dyDescent="0.25">
      <c r="A1088" s="133">
        <v>43607</v>
      </c>
      <c r="B1088" s="110">
        <v>52.57</v>
      </c>
      <c r="C1088" s="110">
        <v>51.64</v>
      </c>
      <c r="D1088" s="110">
        <v>51.08</v>
      </c>
      <c r="E1088" s="110">
        <v>52</v>
      </c>
      <c r="F1088" s="110">
        <v>258.2</v>
      </c>
      <c r="G1088">
        <v>324567</v>
      </c>
      <c r="H1088" s="110"/>
      <c r="I1088" s="110"/>
      <c r="L1088" s="133">
        <v>43607</v>
      </c>
      <c r="M1088" s="110">
        <v>51.47</v>
      </c>
      <c r="N1088" s="110">
        <v>52.59</v>
      </c>
      <c r="O1088" s="110">
        <v>51.02</v>
      </c>
      <c r="P1088" s="110">
        <v>51.89</v>
      </c>
      <c r="Q1088" s="110">
        <v>257.35000000000002</v>
      </c>
      <c r="R1088">
        <v>5951889</v>
      </c>
    </row>
    <row r="1089" spans="1:18" x14ac:dyDescent="0.25">
      <c r="A1089" s="133">
        <v>43608</v>
      </c>
      <c r="B1089" s="110">
        <v>55.84</v>
      </c>
      <c r="C1089" s="110">
        <v>51.75</v>
      </c>
      <c r="D1089" s="110">
        <v>51.39</v>
      </c>
      <c r="E1089" s="110">
        <v>52.98</v>
      </c>
      <c r="F1089" s="110">
        <v>258.75</v>
      </c>
      <c r="G1089">
        <v>669485</v>
      </c>
      <c r="H1089" s="110"/>
      <c r="I1089" s="110"/>
      <c r="L1089" s="133">
        <v>43608</v>
      </c>
      <c r="M1089" s="110">
        <v>51.82</v>
      </c>
      <c r="N1089" s="110">
        <v>55.88</v>
      </c>
      <c r="O1089" s="110">
        <v>51.46</v>
      </c>
      <c r="P1089" s="110">
        <v>53</v>
      </c>
      <c r="Q1089" s="110">
        <v>259.10000000000002</v>
      </c>
      <c r="R1089">
        <v>10398142</v>
      </c>
    </row>
    <row r="1090" spans="1:18" x14ac:dyDescent="0.25">
      <c r="A1090" s="133">
        <v>43609</v>
      </c>
      <c r="B1090" s="110">
        <v>55.51</v>
      </c>
      <c r="C1090" s="110">
        <v>55.22</v>
      </c>
      <c r="D1090" s="110">
        <v>52.22</v>
      </c>
      <c r="E1090" s="110">
        <v>53.36</v>
      </c>
      <c r="F1090" s="110">
        <v>276.10000000000002</v>
      </c>
      <c r="G1090">
        <v>373613</v>
      </c>
      <c r="H1090" s="110"/>
      <c r="I1090" s="110"/>
      <c r="L1090" s="133">
        <v>43609</v>
      </c>
      <c r="M1090" s="110">
        <v>55.21</v>
      </c>
      <c r="N1090" s="110">
        <v>55.56</v>
      </c>
      <c r="O1090" s="110">
        <v>52.16</v>
      </c>
      <c r="P1090" s="110">
        <v>52.3</v>
      </c>
      <c r="Q1090" s="110">
        <v>276.05</v>
      </c>
      <c r="R1090">
        <v>8557474</v>
      </c>
    </row>
    <row r="1091" spans="1:18" x14ac:dyDescent="0.25">
      <c r="A1091" s="133">
        <v>43612</v>
      </c>
      <c r="B1091" s="110">
        <v>57.11</v>
      </c>
      <c r="C1091" s="110">
        <v>56.17</v>
      </c>
      <c r="D1091" s="110">
        <v>54.8</v>
      </c>
      <c r="E1091" s="110">
        <v>54.8</v>
      </c>
      <c r="F1091" s="110">
        <v>280.85000000000002</v>
      </c>
      <c r="G1091">
        <v>395263</v>
      </c>
      <c r="H1091" s="110"/>
      <c r="I1091" s="110"/>
      <c r="L1091" s="133">
        <v>43612</v>
      </c>
      <c r="M1091" s="110">
        <v>56.19</v>
      </c>
      <c r="N1091" s="110">
        <v>57.11</v>
      </c>
      <c r="O1091" s="110">
        <v>54.76</v>
      </c>
      <c r="P1091" s="110">
        <v>54.93</v>
      </c>
      <c r="Q1091" s="110">
        <v>280.95</v>
      </c>
      <c r="R1091">
        <v>7110550</v>
      </c>
    </row>
    <row r="1092" spans="1:18" x14ac:dyDescent="0.25">
      <c r="A1092" s="133">
        <v>43613</v>
      </c>
      <c r="B1092" s="110">
        <v>56.85</v>
      </c>
      <c r="C1092" s="110">
        <v>56.2</v>
      </c>
      <c r="D1092" s="110">
        <v>55.38</v>
      </c>
      <c r="E1092" s="110">
        <v>56</v>
      </c>
      <c r="F1092" s="110">
        <v>281</v>
      </c>
      <c r="G1092">
        <v>306179</v>
      </c>
      <c r="H1092" s="110"/>
      <c r="I1092" s="110"/>
      <c r="L1092" s="133">
        <v>43613</v>
      </c>
      <c r="M1092" s="110">
        <v>56.15</v>
      </c>
      <c r="N1092" s="110">
        <v>56.88</v>
      </c>
      <c r="O1092" s="110">
        <v>55.35</v>
      </c>
      <c r="P1092" s="110">
        <v>56.45</v>
      </c>
      <c r="Q1092" s="110">
        <v>280.75</v>
      </c>
      <c r="R1092">
        <v>5824480</v>
      </c>
    </row>
    <row r="1093" spans="1:18" x14ac:dyDescent="0.25">
      <c r="A1093" s="133">
        <v>43614</v>
      </c>
      <c r="B1093" s="110">
        <v>56.14</v>
      </c>
      <c r="C1093" s="110">
        <v>54.47</v>
      </c>
      <c r="D1093" s="110">
        <v>54.27</v>
      </c>
      <c r="E1093" s="110">
        <v>56.14</v>
      </c>
      <c r="F1093" s="110">
        <v>272.35000000000002</v>
      </c>
      <c r="G1093">
        <v>169842</v>
      </c>
      <c r="H1093" s="110"/>
      <c r="I1093" s="110"/>
      <c r="L1093" s="133">
        <v>43614</v>
      </c>
      <c r="M1093" s="110">
        <v>54.49</v>
      </c>
      <c r="N1093" s="110">
        <v>55.98</v>
      </c>
      <c r="O1093" s="110">
        <v>54.24</v>
      </c>
      <c r="P1093" s="110">
        <v>55.9</v>
      </c>
      <c r="Q1093" s="110">
        <v>272.45</v>
      </c>
      <c r="R1093">
        <v>3479565</v>
      </c>
    </row>
    <row r="1094" spans="1:18" x14ac:dyDescent="0.25">
      <c r="A1094" s="133">
        <v>43615</v>
      </c>
      <c r="B1094" s="110">
        <v>55.3</v>
      </c>
      <c r="C1094" s="110">
        <v>54.49</v>
      </c>
      <c r="D1094" s="110">
        <v>53.7</v>
      </c>
      <c r="E1094" s="110">
        <v>54.41</v>
      </c>
      <c r="F1094" s="110">
        <v>272.45</v>
      </c>
      <c r="G1094">
        <v>211708</v>
      </c>
      <c r="H1094" s="110"/>
      <c r="I1094" s="110"/>
      <c r="L1094" s="133">
        <v>43615</v>
      </c>
      <c r="M1094" s="110">
        <v>54.42</v>
      </c>
      <c r="N1094" s="110">
        <v>55</v>
      </c>
      <c r="O1094" s="110">
        <v>53.64</v>
      </c>
      <c r="P1094" s="110">
        <v>54.6</v>
      </c>
      <c r="Q1094" s="110">
        <v>272.10000000000002</v>
      </c>
      <c r="R1094">
        <v>5060934</v>
      </c>
    </row>
    <row r="1095" spans="1:18" x14ac:dyDescent="0.25">
      <c r="A1095" s="133">
        <v>43616</v>
      </c>
      <c r="B1095" s="110">
        <v>55.28</v>
      </c>
      <c r="C1095" s="110">
        <v>53.52</v>
      </c>
      <c r="D1095" s="110">
        <v>52.6</v>
      </c>
      <c r="E1095" s="110">
        <v>54.98</v>
      </c>
      <c r="F1095" s="110">
        <v>267.60000000000002</v>
      </c>
      <c r="G1095">
        <v>369286</v>
      </c>
      <c r="H1095" s="110"/>
      <c r="I1095" s="110"/>
      <c r="L1095" s="133">
        <v>43616</v>
      </c>
      <c r="M1095" s="110">
        <v>53.56</v>
      </c>
      <c r="N1095" s="110">
        <v>55.27</v>
      </c>
      <c r="O1095" s="110">
        <v>52.61</v>
      </c>
      <c r="P1095" s="110">
        <v>54.82</v>
      </c>
      <c r="Q1095" s="110">
        <v>267.8</v>
      </c>
      <c r="R1095">
        <v>5619425</v>
      </c>
    </row>
    <row r="1096" spans="1:18" x14ac:dyDescent="0.25">
      <c r="A1096" s="133">
        <v>43619</v>
      </c>
      <c r="B1096" s="110">
        <v>54.63</v>
      </c>
      <c r="C1096" s="110">
        <v>54.41</v>
      </c>
      <c r="D1096" s="110">
        <v>53</v>
      </c>
      <c r="E1096" s="110">
        <v>53.6</v>
      </c>
      <c r="F1096" s="110">
        <v>272.05</v>
      </c>
      <c r="G1096">
        <v>210139</v>
      </c>
      <c r="H1096" s="110"/>
      <c r="I1096" s="110"/>
      <c r="L1096" s="133">
        <v>43619</v>
      </c>
      <c r="M1096" s="110">
        <v>54.43</v>
      </c>
      <c r="N1096" s="110">
        <v>54.66</v>
      </c>
      <c r="O1096" s="110">
        <v>52.97</v>
      </c>
      <c r="P1096" s="110">
        <v>53.4</v>
      </c>
      <c r="Q1096" s="110">
        <v>272.14999999999998</v>
      </c>
      <c r="R1096">
        <v>3835041</v>
      </c>
    </row>
    <row r="1097" spans="1:18" x14ac:dyDescent="0.25">
      <c r="A1097" s="133">
        <v>43620</v>
      </c>
      <c r="B1097" s="110">
        <v>56.02</v>
      </c>
      <c r="C1097" s="110">
        <v>54.97</v>
      </c>
      <c r="D1097" s="110">
        <v>54.24</v>
      </c>
      <c r="E1097" s="110">
        <v>54.69</v>
      </c>
      <c r="F1097" s="110">
        <v>274.85000000000002</v>
      </c>
      <c r="G1097">
        <v>414533</v>
      </c>
      <c r="H1097" s="110"/>
      <c r="I1097" s="110"/>
      <c r="L1097" s="133">
        <v>43620</v>
      </c>
      <c r="M1097" s="110">
        <v>54.94</v>
      </c>
      <c r="N1097" s="110">
        <v>56.07</v>
      </c>
      <c r="O1097" s="110">
        <v>54.12</v>
      </c>
      <c r="P1097" s="110">
        <v>54.4</v>
      </c>
      <c r="Q1097" s="110">
        <v>274.7</v>
      </c>
      <c r="R1097">
        <v>7201934</v>
      </c>
    </row>
    <row r="1098" spans="1:18" x14ac:dyDescent="0.25">
      <c r="A1098" s="133">
        <v>43622</v>
      </c>
      <c r="B1098" s="110">
        <v>55.17</v>
      </c>
      <c r="C1098" s="110">
        <v>52.25</v>
      </c>
      <c r="D1098" s="110">
        <v>51.75</v>
      </c>
      <c r="E1098" s="110">
        <v>55.17</v>
      </c>
      <c r="F1098" s="110">
        <v>261.25</v>
      </c>
      <c r="G1098">
        <v>337941</v>
      </c>
      <c r="H1098" s="110"/>
      <c r="I1098" s="110"/>
      <c r="L1098" s="133">
        <v>43622</v>
      </c>
      <c r="M1098" s="110">
        <v>52.35</v>
      </c>
      <c r="N1098" s="110">
        <v>54.85</v>
      </c>
      <c r="O1098" s="110">
        <v>52.02</v>
      </c>
      <c r="P1098" s="110">
        <v>54.5</v>
      </c>
      <c r="Q1098" s="110">
        <v>261.75</v>
      </c>
      <c r="R1098">
        <v>5452376</v>
      </c>
    </row>
    <row r="1099" spans="1:18" x14ac:dyDescent="0.25">
      <c r="A1099" s="133">
        <v>43623</v>
      </c>
      <c r="B1099" s="110">
        <v>53.17</v>
      </c>
      <c r="C1099" s="110">
        <v>52.38</v>
      </c>
      <c r="D1099" s="110">
        <v>51.56</v>
      </c>
      <c r="E1099" s="110">
        <v>52.5</v>
      </c>
      <c r="F1099" s="110">
        <v>261.89999999999998</v>
      </c>
      <c r="G1099">
        <v>312169</v>
      </c>
      <c r="H1099" s="110"/>
      <c r="I1099" s="110"/>
      <c r="L1099" s="133">
        <v>43623</v>
      </c>
      <c r="M1099" s="110">
        <v>52.59</v>
      </c>
      <c r="N1099" s="110">
        <v>53.18</v>
      </c>
      <c r="O1099" s="110">
        <v>51.51</v>
      </c>
      <c r="P1099" s="110">
        <v>52.34</v>
      </c>
      <c r="Q1099" s="110">
        <v>262.95</v>
      </c>
      <c r="R1099">
        <v>4894753</v>
      </c>
    </row>
    <row r="1100" spans="1:18" x14ac:dyDescent="0.25">
      <c r="A1100" s="133">
        <v>43626</v>
      </c>
      <c r="B1100" s="110">
        <v>53.6</v>
      </c>
      <c r="C1100" s="110">
        <v>51.6</v>
      </c>
      <c r="D1100" s="110">
        <v>51.2</v>
      </c>
      <c r="E1100" s="110">
        <v>53.2</v>
      </c>
      <c r="F1100" s="110">
        <v>258</v>
      </c>
      <c r="G1100">
        <v>236777</v>
      </c>
      <c r="H1100" s="110"/>
      <c r="I1100" s="110"/>
      <c r="L1100" s="133">
        <v>43626</v>
      </c>
      <c r="M1100" s="110">
        <v>51.66</v>
      </c>
      <c r="N1100" s="110">
        <v>53.67</v>
      </c>
      <c r="O1100" s="110">
        <v>51.14</v>
      </c>
      <c r="P1100" s="110">
        <v>53.18</v>
      </c>
      <c r="Q1100" s="110">
        <v>258.3</v>
      </c>
      <c r="R1100">
        <v>4262310</v>
      </c>
    </row>
    <row r="1101" spans="1:18" x14ac:dyDescent="0.25">
      <c r="A1101" s="133">
        <v>43627</v>
      </c>
      <c r="B1101" s="110">
        <v>53.83</v>
      </c>
      <c r="C1101" s="110">
        <v>53.66</v>
      </c>
      <c r="D1101" s="110">
        <v>51.64</v>
      </c>
      <c r="E1101" s="110">
        <v>52</v>
      </c>
      <c r="F1101" s="110">
        <v>268.3</v>
      </c>
      <c r="G1101">
        <v>355653</v>
      </c>
      <c r="H1101" s="110"/>
      <c r="I1101" s="110"/>
      <c r="L1101" s="133">
        <v>43627</v>
      </c>
      <c r="M1101" s="110">
        <v>53.63</v>
      </c>
      <c r="N1101" s="110">
        <v>53.88</v>
      </c>
      <c r="O1101" s="110">
        <v>51.6</v>
      </c>
      <c r="P1101" s="110">
        <v>51.98</v>
      </c>
      <c r="Q1101" s="110">
        <v>268.14999999999998</v>
      </c>
      <c r="R1101">
        <v>5565120</v>
      </c>
    </row>
    <row r="1102" spans="1:18" x14ac:dyDescent="0.25">
      <c r="A1102" s="133">
        <v>43628</v>
      </c>
      <c r="B1102" s="110">
        <v>54</v>
      </c>
      <c r="C1102" s="110">
        <v>53.7</v>
      </c>
      <c r="D1102" s="110">
        <v>53.06</v>
      </c>
      <c r="E1102" s="110">
        <v>53.64</v>
      </c>
      <c r="F1102" s="110">
        <v>268.5</v>
      </c>
      <c r="G1102">
        <v>206803</v>
      </c>
      <c r="H1102" s="110"/>
      <c r="I1102" s="110"/>
      <c r="L1102" s="133">
        <v>43628</v>
      </c>
      <c r="M1102" s="110">
        <v>53.7</v>
      </c>
      <c r="N1102" s="110">
        <v>53.99</v>
      </c>
      <c r="O1102" s="110">
        <v>53</v>
      </c>
      <c r="P1102" s="110">
        <v>53.5</v>
      </c>
      <c r="Q1102" s="110">
        <v>268.5</v>
      </c>
      <c r="R1102">
        <v>3848976</v>
      </c>
    </row>
    <row r="1103" spans="1:18" x14ac:dyDescent="0.25">
      <c r="A1103" s="133">
        <v>43629</v>
      </c>
      <c r="B1103" s="110">
        <v>53.8</v>
      </c>
      <c r="C1103" s="110">
        <v>52.46</v>
      </c>
      <c r="D1103" s="110">
        <v>50.74</v>
      </c>
      <c r="E1103" s="110">
        <v>53.8</v>
      </c>
      <c r="F1103" s="110">
        <v>262.3</v>
      </c>
      <c r="G1103">
        <v>378818</v>
      </c>
      <c r="H1103" s="110"/>
      <c r="I1103" s="110"/>
      <c r="L1103" s="133">
        <v>43629</v>
      </c>
      <c r="M1103" s="110">
        <v>52.45</v>
      </c>
      <c r="N1103" s="110">
        <v>53.8</v>
      </c>
      <c r="O1103" s="110">
        <v>50.66</v>
      </c>
      <c r="P1103" s="110">
        <v>53.62</v>
      </c>
      <c r="Q1103" s="110">
        <v>262.25</v>
      </c>
      <c r="R1103">
        <v>7503011</v>
      </c>
    </row>
    <row r="1104" spans="1:18" x14ac:dyDescent="0.25">
      <c r="A1104" s="133">
        <v>43630</v>
      </c>
      <c r="B1104" s="110">
        <v>53.36</v>
      </c>
      <c r="C1104" s="110">
        <v>52.67</v>
      </c>
      <c r="D1104" s="110">
        <v>51.64</v>
      </c>
      <c r="E1104" s="110">
        <v>52.4</v>
      </c>
      <c r="F1104" s="110">
        <v>263.35000000000002</v>
      </c>
      <c r="G1104">
        <v>268712</v>
      </c>
      <c r="H1104" s="110"/>
      <c r="I1104" s="110"/>
      <c r="L1104" s="133">
        <v>43630</v>
      </c>
      <c r="M1104" s="110">
        <v>52.66</v>
      </c>
      <c r="N1104" s="110">
        <v>53.39</v>
      </c>
      <c r="O1104" s="110">
        <v>51.65</v>
      </c>
      <c r="P1104" s="110">
        <v>52.02</v>
      </c>
      <c r="Q1104" s="110">
        <v>263.3</v>
      </c>
      <c r="R1104">
        <v>5288046</v>
      </c>
    </row>
    <row r="1105" spans="1:18" x14ac:dyDescent="0.25">
      <c r="A1105" s="133">
        <v>43633</v>
      </c>
      <c r="B1105" s="110">
        <v>53.11</v>
      </c>
      <c r="C1105" s="110">
        <v>51.71</v>
      </c>
      <c r="D1105" s="110">
        <v>51.51</v>
      </c>
      <c r="E1105" s="110">
        <v>52.64</v>
      </c>
      <c r="F1105" s="110">
        <v>258.55</v>
      </c>
      <c r="G1105">
        <v>210046</v>
      </c>
      <c r="H1105" s="110"/>
      <c r="I1105" s="110"/>
      <c r="L1105" s="133">
        <v>43633</v>
      </c>
      <c r="M1105" s="110">
        <v>51.71</v>
      </c>
      <c r="N1105" s="110">
        <v>53.1</v>
      </c>
      <c r="O1105" s="110">
        <v>51.46</v>
      </c>
      <c r="P1105" s="110">
        <v>52.78</v>
      </c>
      <c r="Q1105" s="110">
        <v>258.55</v>
      </c>
      <c r="R1105">
        <v>4179099</v>
      </c>
    </row>
    <row r="1106" spans="1:18" x14ac:dyDescent="0.25">
      <c r="A1106" s="133">
        <v>43634</v>
      </c>
      <c r="B1106" s="110">
        <v>53.28</v>
      </c>
      <c r="C1106" s="110">
        <v>52.06</v>
      </c>
      <c r="D1106" s="110">
        <v>51.28</v>
      </c>
      <c r="E1106" s="110">
        <v>51.8</v>
      </c>
      <c r="F1106" s="110">
        <v>260.3</v>
      </c>
      <c r="G1106">
        <v>335051</v>
      </c>
      <c r="H1106" s="110"/>
      <c r="I1106" s="110"/>
      <c r="L1106" s="133">
        <v>43634</v>
      </c>
      <c r="M1106" s="110">
        <v>52.02</v>
      </c>
      <c r="N1106" s="110">
        <v>53.28</v>
      </c>
      <c r="O1106" s="110">
        <v>51.28</v>
      </c>
      <c r="P1106" s="110">
        <v>51.96</v>
      </c>
      <c r="Q1106" s="110">
        <v>260.10000000000002</v>
      </c>
      <c r="R1106">
        <v>5529794</v>
      </c>
    </row>
    <row r="1107" spans="1:18" x14ac:dyDescent="0.25">
      <c r="A1107" s="133">
        <v>43635</v>
      </c>
      <c r="B1107" s="110">
        <v>53.03</v>
      </c>
      <c r="C1107" s="110">
        <v>51.54</v>
      </c>
      <c r="D1107" s="110">
        <v>51</v>
      </c>
      <c r="E1107" s="110">
        <v>52.6</v>
      </c>
      <c r="F1107" s="110">
        <v>257.7</v>
      </c>
      <c r="G1107">
        <v>224252</v>
      </c>
      <c r="H1107" s="110"/>
      <c r="I1107" s="110"/>
      <c r="L1107" s="133">
        <v>43635</v>
      </c>
      <c r="M1107" s="110">
        <v>51.51</v>
      </c>
      <c r="N1107" s="110">
        <v>53.07</v>
      </c>
      <c r="O1107" s="110">
        <v>50.96</v>
      </c>
      <c r="P1107" s="110">
        <v>52.4</v>
      </c>
      <c r="Q1107" s="110">
        <v>257.55</v>
      </c>
      <c r="R1107">
        <v>5396110</v>
      </c>
    </row>
    <row r="1108" spans="1:18" x14ac:dyDescent="0.25">
      <c r="A1108" s="133">
        <v>43636</v>
      </c>
      <c r="B1108" s="110">
        <v>53.9</v>
      </c>
      <c r="C1108" s="110">
        <v>53.66</v>
      </c>
      <c r="D1108" s="110">
        <v>51.46</v>
      </c>
      <c r="E1108" s="110">
        <v>51.6</v>
      </c>
      <c r="F1108" s="110">
        <v>268.3</v>
      </c>
      <c r="G1108">
        <v>310935</v>
      </c>
      <c r="H1108" s="110"/>
      <c r="I1108" s="110"/>
      <c r="L1108" s="133">
        <v>43636</v>
      </c>
      <c r="M1108" s="110">
        <v>53.67</v>
      </c>
      <c r="N1108" s="110">
        <v>53.9</v>
      </c>
      <c r="O1108" s="110">
        <v>51.45</v>
      </c>
      <c r="P1108" s="110">
        <v>51.95</v>
      </c>
      <c r="Q1108" s="110">
        <v>268.35000000000002</v>
      </c>
      <c r="R1108">
        <v>4717504</v>
      </c>
    </row>
    <row r="1109" spans="1:18" x14ac:dyDescent="0.25">
      <c r="A1109" s="133">
        <v>43637</v>
      </c>
      <c r="B1109" s="110">
        <v>54.47</v>
      </c>
      <c r="C1109" s="110">
        <v>54.16</v>
      </c>
      <c r="D1109" s="110">
        <v>53.11</v>
      </c>
      <c r="E1109" s="110">
        <v>53.8</v>
      </c>
      <c r="F1109" s="110">
        <v>270.8</v>
      </c>
      <c r="G1109">
        <v>320104</v>
      </c>
      <c r="H1109" s="110"/>
      <c r="I1109" s="110"/>
      <c r="L1109" s="133">
        <v>43637</v>
      </c>
      <c r="M1109" s="110">
        <v>54.14</v>
      </c>
      <c r="N1109" s="110">
        <v>54.5</v>
      </c>
      <c r="O1109" s="110">
        <v>53.11</v>
      </c>
      <c r="P1109" s="110">
        <v>53.3</v>
      </c>
      <c r="Q1109" s="110">
        <v>270.7</v>
      </c>
      <c r="R1109">
        <v>4686546</v>
      </c>
    </row>
    <row r="1110" spans="1:18" x14ac:dyDescent="0.25">
      <c r="A1110" s="133">
        <v>43640</v>
      </c>
      <c r="B1110" s="110">
        <v>54.82</v>
      </c>
      <c r="C1110" s="110">
        <v>54.63</v>
      </c>
      <c r="D1110" s="110">
        <v>53.9</v>
      </c>
      <c r="E1110" s="110">
        <v>54.02</v>
      </c>
      <c r="F1110" s="110">
        <v>273.14999999999998</v>
      </c>
      <c r="G1110">
        <v>288331</v>
      </c>
      <c r="H1110" s="110"/>
      <c r="I1110" s="110"/>
      <c r="L1110" s="133">
        <v>43640</v>
      </c>
      <c r="M1110" s="110">
        <v>54.62</v>
      </c>
      <c r="N1110" s="110">
        <v>54.79</v>
      </c>
      <c r="O1110" s="110">
        <v>53.9</v>
      </c>
      <c r="P1110" s="110">
        <v>54.2</v>
      </c>
      <c r="Q1110" s="110">
        <v>273.10000000000002</v>
      </c>
      <c r="R1110">
        <v>3610147</v>
      </c>
    </row>
    <row r="1111" spans="1:18" x14ac:dyDescent="0.25">
      <c r="A1111" s="133">
        <v>43641</v>
      </c>
      <c r="B1111" s="110">
        <v>55.26</v>
      </c>
      <c r="C1111" s="110">
        <v>54.85</v>
      </c>
      <c r="D1111" s="110">
        <v>54.2</v>
      </c>
      <c r="E1111" s="110">
        <v>54.32</v>
      </c>
      <c r="F1111" s="110">
        <v>274.25</v>
      </c>
      <c r="G1111">
        <v>228175</v>
      </c>
      <c r="H1111" s="110"/>
      <c r="I1111" s="110"/>
      <c r="L1111" s="133">
        <v>43641</v>
      </c>
      <c r="M1111" s="110">
        <v>54.91</v>
      </c>
      <c r="N1111" s="110">
        <v>55.28</v>
      </c>
      <c r="O1111" s="110">
        <v>54.2</v>
      </c>
      <c r="P1111" s="110">
        <v>54.48</v>
      </c>
      <c r="Q1111" s="110">
        <v>274.55</v>
      </c>
      <c r="R1111">
        <v>3148894</v>
      </c>
    </row>
    <row r="1112" spans="1:18" x14ac:dyDescent="0.25">
      <c r="A1112" s="133">
        <v>43642</v>
      </c>
      <c r="B1112" s="110">
        <v>56</v>
      </c>
      <c r="C1112" s="110">
        <v>55.68</v>
      </c>
      <c r="D1112" s="110">
        <v>54.41</v>
      </c>
      <c r="E1112" s="110">
        <v>54.85</v>
      </c>
      <c r="F1112" s="110">
        <v>278.39999999999998</v>
      </c>
      <c r="G1112">
        <v>224399</v>
      </c>
      <c r="H1112" s="110"/>
      <c r="I1112" s="110"/>
      <c r="L1112" s="133">
        <v>43642</v>
      </c>
      <c r="M1112" s="110">
        <v>55.7</v>
      </c>
      <c r="N1112" s="110">
        <v>56</v>
      </c>
      <c r="O1112" s="110">
        <v>54.4</v>
      </c>
      <c r="P1112" s="110">
        <v>54.88</v>
      </c>
      <c r="Q1112" s="110">
        <v>278.5</v>
      </c>
      <c r="R1112">
        <v>3832155</v>
      </c>
    </row>
    <row r="1113" spans="1:18" x14ac:dyDescent="0.25">
      <c r="A1113" s="133">
        <v>43643</v>
      </c>
      <c r="B1113" s="110">
        <v>56.28</v>
      </c>
      <c r="C1113" s="110">
        <v>55.72</v>
      </c>
      <c r="D1113" s="110">
        <v>55.28</v>
      </c>
      <c r="E1113" s="110">
        <v>56.2</v>
      </c>
      <c r="F1113" s="110">
        <v>278.60000000000002</v>
      </c>
      <c r="G1113">
        <v>230901</v>
      </c>
      <c r="H1113" s="110"/>
      <c r="I1113" s="110"/>
      <c r="L1113" s="133">
        <v>43643</v>
      </c>
      <c r="M1113" s="110">
        <v>55.7</v>
      </c>
      <c r="N1113" s="110">
        <v>56.3</v>
      </c>
      <c r="O1113" s="110">
        <v>55.25</v>
      </c>
      <c r="P1113" s="110">
        <v>56.03</v>
      </c>
      <c r="Q1113" s="110">
        <v>278.5</v>
      </c>
      <c r="R1113">
        <v>4254667</v>
      </c>
    </row>
    <row r="1114" spans="1:18" x14ac:dyDescent="0.25">
      <c r="A1114" s="133">
        <v>43644</v>
      </c>
      <c r="B1114" s="110">
        <v>58.32</v>
      </c>
      <c r="C1114" s="110">
        <v>56.88</v>
      </c>
      <c r="D1114" s="110">
        <v>55.6</v>
      </c>
      <c r="E1114" s="110">
        <v>55.74</v>
      </c>
      <c r="F1114" s="110">
        <v>284.39999999999998</v>
      </c>
      <c r="G1114">
        <v>633100</v>
      </c>
      <c r="H1114" s="110"/>
      <c r="I1114" s="110"/>
      <c r="L1114" s="133">
        <v>43644</v>
      </c>
      <c r="M1114" s="110">
        <v>56.88</v>
      </c>
      <c r="N1114" s="110">
        <v>58.36</v>
      </c>
      <c r="O1114" s="110">
        <v>55.56</v>
      </c>
      <c r="P1114" s="110">
        <v>55.8</v>
      </c>
      <c r="Q1114" s="110">
        <v>284.39999999999998</v>
      </c>
      <c r="R1114">
        <v>12350445</v>
      </c>
    </row>
    <row r="1115" spans="1:18" x14ac:dyDescent="0.25">
      <c r="A1115" s="133">
        <v>43647</v>
      </c>
      <c r="B1115" s="110">
        <v>57.52</v>
      </c>
      <c r="C1115" s="110">
        <v>57.09</v>
      </c>
      <c r="D1115" s="110">
        <v>56.37</v>
      </c>
      <c r="E1115" s="110">
        <v>57.46</v>
      </c>
      <c r="F1115" s="110">
        <v>285.45</v>
      </c>
      <c r="G1115">
        <v>331074</v>
      </c>
      <c r="H1115" s="110"/>
      <c r="I1115" s="110"/>
      <c r="L1115" s="133">
        <v>43647</v>
      </c>
      <c r="M1115" s="110">
        <v>57.07</v>
      </c>
      <c r="N1115" s="110">
        <v>57.53</v>
      </c>
      <c r="O1115" s="110">
        <v>56.32</v>
      </c>
      <c r="P1115" s="110">
        <v>57.26</v>
      </c>
      <c r="Q1115" s="110">
        <v>285.35000000000002</v>
      </c>
      <c r="R1115">
        <v>7049496</v>
      </c>
    </row>
    <row r="1116" spans="1:18" x14ac:dyDescent="0.25">
      <c r="A1116" s="133">
        <v>43648</v>
      </c>
      <c r="B1116" s="110">
        <v>57.42</v>
      </c>
      <c r="C1116" s="110">
        <v>56.62</v>
      </c>
      <c r="D1116" s="110">
        <v>56.26</v>
      </c>
      <c r="E1116" s="110">
        <v>57.2</v>
      </c>
      <c r="F1116" s="110">
        <v>283.10000000000002</v>
      </c>
      <c r="G1116">
        <v>255153</v>
      </c>
      <c r="H1116" s="110"/>
      <c r="I1116" s="110"/>
      <c r="L1116" s="133">
        <v>43648</v>
      </c>
      <c r="M1116" s="110">
        <v>56.63</v>
      </c>
      <c r="N1116" s="110">
        <v>57.47</v>
      </c>
      <c r="O1116" s="110">
        <v>56.24</v>
      </c>
      <c r="P1116" s="110">
        <v>57</v>
      </c>
      <c r="Q1116" s="110">
        <v>283.14999999999998</v>
      </c>
      <c r="R1116">
        <v>3683924</v>
      </c>
    </row>
    <row r="1117" spans="1:18" x14ac:dyDescent="0.25">
      <c r="A1117" s="133">
        <v>43649</v>
      </c>
      <c r="B1117" s="110">
        <v>57.9</v>
      </c>
      <c r="C1117" s="110">
        <v>57.53</v>
      </c>
      <c r="D1117" s="110">
        <v>56.4</v>
      </c>
      <c r="E1117" s="110">
        <v>56.62</v>
      </c>
      <c r="F1117" s="110">
        <v>287.64999999999998</v>
      </c>
      <c r="G1117">
        <v>296609</v>
      </c>
      <c r="H1117" s="110"/>
      <c r="I1117" s="110"/>
      <c r="L1117" s="133">
        <v>43649</v>
      </c>
      <c r="M1117" s="110">
        <v>57.55</v>
      </c>
      <c r="N1117" s="110">
        <v>57.92</v>
      </c>
      <c r="O1117" s="110">
        <v>56.36</v>
      </c>
      <c r="P1117" s="110">
        <v>56.78</v>
      </c>
      <c r="Q1117" s="110">
        <v>287.75</v>
      </c>
      <c r="R1117">
        <v>4676043</v>
      </c>
    </row>
    <row r="1118" spans="1:18" x14ac:dyDescent="0.25">
      <c r="A1118" s="133">
        <v>43650</v>
      </c>
      <c r="B1118" s="110">
        <v>58.69</v>
      </c>
      <c r="C1118" s="110">
        <v>57.42</v>
      </c>
      <c r="D1118" s="110">
        <v>56.94</v>
      </c>
      <c r="E1118" s="110">
        <v>57.8</v>
      </c>
      <c r="F1118" s="110">
        <v>287.10000000000002</v>
      </c>
      <c r="G1118">
        <v>421931</v>
      </c>
      <c r="H1118" s="110"/>
      <c r="I1118" s="110"/>
      <c r="L1118" s="133">
        <v>43650</v>
      </c>
      <c r="M1118" s="110">
        <v>57.43</v>
      </c>
      <c r="N1118" s="110">
        <v>58.69</v>
      </c>
      <c r="O1118" s="110">
        <v>56.89</v>
      </c>
      <c r="P1118" s="110">
        <v>57.6</v>
      </c>
      <c r="Q1118" s="110">
        <v>287.14999999999998</v>
      </c>
      <c r="R1118">
        <v>7393529</v>
      </c>
    </row>
    <row r="1119" spans="1:18" x14ac:dyDescent="0.25">
      <c r="A1119" s="133">
        <v>43651</v>
      </c>
      <c r="B1119" s="110">
        <v>59.3</v>
      </c>
      <c r="C1119" s="110">
        <v>58.23</v>
      </c>
      <c r="D1119" s="110">
        <v>57.01</v>
      </c>
      <c r="E1119" s="110">
        <v>57.61</v>
      </c>
      <c r="F1119" s="110">
        <v>291.14999999999998</v>
      </c>
      <c r="G1119">
        <v>806097</v>
      </c>
      <c r="H1119" s="110"/>
      <c r="I1119" s="110"/>
      <c r="L1119" s="133">
        <v>43651</v>
      </c>
      <c r="M1119" s="110">
        <v>58.23</v>
      </c>
      <c r="N1119" s="110">
        <v>59.31</v>
      </c>
      <c r="O1119" s="110">
        <v>56.97</v>
      </c>
      <c r="P1119" s="110">
        <v>57.66</v>
      </c>
      <c r="Q1119" s="110">
        <v>291.14999999999998</v>
      </c>
      <c r="R1119">
        <v>10904071</v>
      </c>
    </row>
    <row r="1120" spans="1:18" x14ac:dyDescent="0.25">
      <c r="A1120" s="133">
        <v>43654</v>
      </c>
      <c r="B1120" s="110">
        <v>58.18</v>
      </c>
      <c r="C1120" s="110">
        <v>53.91</v>
      </c>
      <c r="D1120" s="110">
        <v>53.4</v>
      </c>
      <c r="E1120" s="110">
        <v>58.18</v>
      </c>
      <c r="F1120" s="110">
        <v>269.55</v>
      </c>
      <c r="G1120">
        <v>703866</v>
      </c>
      <c r="H1120" s="110"/>
      <c r="I1120" s="110"/>
      <c r="L1120" s="133">
        <v>43654</v>
      </c>
      <c r="M1120" s="110">
        <v>53.99</v>
      </c>
      <c r="N1120" s="110">
        <v>58.2</v>
      </c>
      <c r="O1120" s="110">
        <v>53.35</v>
      </c>
      <c r="P1120" s="110">
        <v>57.93</v>
      </c>
      <c r="Q1120" s="110">
        <v>269.95</v>
      </c>
      <c r="R1120">
        <v>12011568</v>
      </c>
    </row>
    <row r="1121" spans="1:18" x14ac:dyDescent="0.25">
      <c r="A1121" s="133">
        <v>43655</v>
      </c>
      <c r="B1121" s="110">
        <v>55.4</v>
      </c>
      <c r="C1121" s="110">
        <v>55.04</v>
      </c>
      <c r="D1121" s="110">
        <v>53.35</v>
      </c>
      <c r="E1121" s="110">
        <v>53.8</v>
      </c>
      <c r="F1121" s="110">
        <v>275.2</v>
      </c>
      <c r="G1121">
        <v>426273</v>
      </c>
      <c r="H1121" s="110"/>
      <c r="I1121" s="110"/>
      <c r="L1121" s="133">
        <v>43655</v>
      </c>
      <c r="M1121" s="110">
        <v>55.05</v>
      </c>
      <c r="N1121" s="110">
        <v>55.38</v>
      </c>
      <c r="O1121" s="110">
        <v>53.29</v>
      </c>
      <c r="P1121" s="110">
        <v>53.66</v>
      </c>
      <c r="Q1121" s="110">
        <v>275.25</v>
      </c>
      <c r="R1121">
        <v>7146079</v>
      </c>
    </row>
    <row r="1122" spans="1:18" x14ac:dyDescent="0.25">
      <c r="A1122" s="133">
        <v>43656</v>
      </c>
      <c r="B1122" s="110">
        <v>55.86</v>
      </c>
      <c r="C1122" s="110">
        <v>55.06</v>
      </c>
      <c r="D1122" s="110">
        <v>54.49</v>
      </c>
      <c r="E1122" s="110">
        <v>55.6</v>
      </c>
      <c r="F1122" s="110">
        <v>275.3</v>
      </c>
      <c r="G1122">
        <v>273590</v>
      </c>
      <c r="H1122" s="110"/>
      <c r="I1122" s="110"/>
      <c r="L1122" s="133">
        <v>43656</v>
      </c>
      <c r="M1122" s="110">
        <v>55.06</v>
      </c>
      <c r="N1122" s="110">
        <v>55.87</v>
      </c>
      <c r="O1122" s="110">
        <v>54.47</v>
      </c>
      <c r="P1122" s="110">
        <v>55.4</v>
      </c>
      <c r="Q1122" s="110">
        <v>275.3</v>
      </c>
      <c r="R1122">
        <v>5873864</v>
      </c>
    </row>
    <row r="1123" spans="1:18" x14ac:dyDescent="0.25">
      <c r="A1123" s="133">
        <v>43657</v>
      </c>
      <c r="B1123" s="110">
        <v>56.34</v>
      </c>
      <c r="C1123" s="110">
        <v>56.07</v>
      </c>
      <c r="D1123" s="110">
        <v>55.13</v>
      </c>
      <c r="E1123" s="110">
        <v>55.55</v>
      </c>
      <c r="F1123" s="110">
        <v>280.35000000000002</v>
      </c>
      <c r="G1123">
        <v>278935</v>
      </c>
      <c r="H1123" s="110"/>
      <c r="I1123" s="110"/>
      <c r="L1123" s="133">
        <v>43657</v>
      </c>
      <c r="M1123" s="110">
        <v>56.08</v>
      </c>
      <c r="N1123" s="110">
        <v>56.35</v>
      </c>
      <c r="O1123" s="110">
        <v>55.09</v>
      </c>
      <c r="P1123" s="110">
        <v>55.59</v>
      </c>
      <c r="Q1123" s="110">
        <v>280.39999999999998</v>
      </c>
      <c r="R1123">
        <v>3757055</v>
      </c>
    </row>
    <row r="1124" spans="1:18" x14ac:dyDescent="0.25">
      <c r="A1124" s="133">
        <v>43658</v>
      </c>
      <c r="B1124" s="110">
        <v>57.46</v>
      </c>
      <c r="C1124" s="110">
        <v>56.79</v>
      </c>
      <c r="D1124" s="110">
        <v>55.81</v>
      </c>
      <c r="E1124" s="110">
        <v>56.2</v>
      </c>
      <c r="F1124" s="110">
        <v>283.95</v>
      </c>
      <c r="G1124">
        <v>463027</v>
      </c>
      <c r="H1124" s="110"/>
      <c r="I1124" s="110"/>
      <c r="L1124" s="133">
        <v>43658</v>
      </c>
      <c r="M1124" s="110">
        <v>56.88</v>
      </c>
      <c r="N1124" s="110">
        <v>57.41</v>
      </c>
      <c r="O1124" s="110">
        <v>55.76</v>
      </c>
      <c r="P1124" s="110">
        <v>56.1</v>
      </c>
      <c r="Q1124" s="110">
        <v>284.39999999999998</v>
      </c>
      <c r="R1124">
        <v>5066014</v>
      </c>
    </row>
    <row r="1125" spans="1:18" x14ac:dyDescent="0.25">
      <c r="A1125" s="133">
        <v>43661</v>
      </c>
      <c r="B1125" s="110">
        <v>56.87</v>
      </c>
      <c r="C1125" s="110">
        <v>54.77</v>
      </c>
      <c r="D1125" s="110">
        <v>54.46</v>
      </c>
      <c r="E1125" s="110">
        <v>56.87</v>
      </c>
      <c r="F1125" s="110">
        <v>273.85000000000002</v>
      </c>
      <c r="G1125">
        <v>546169</v>
      </c>
      <c r="H1125" s="110"/>
      <c r="I1125" s="110"/>
      <c r="L1125" s="133">
        <v>43661</v>
      </c>
      <c r="M1125" s="110">
        <v>54.78</v>
      </c>
      <c r="N1125" s="110">
        <v>56.78</v>
      </c>
      <c r="O1125" s="110">
        <v>54.4</v>
      </c>
      <c r="P1125" s="110">
        <v>56.72</v>
      </c>
      <c r="Q1125" s="110">
        <v>273.89999999999998</v>
      </c>
      <c r="R1125">
        <v>6495311</v>
      </c>
    </row>
    <row r="1126" spans="1:18" x14ac:dyDescent="0.25">
      <c r="A1126" s="133">
        <v>43662</v>
      </c>
      <c r="B1126" s="110">
        <v>55.44</v>
      </c>
      <c r="C1126" s="110">
        <v>55.3</v>
      </c>
      <c r="D1126" s="110">
        <v>54.34</v>
      </c>
      <c r="E1126" s="110">
        <v>54.66</v>
      </c>
      <c r="F1126" s="110">
        <v>276.5</v>
      </c>
      <c r="G1126">
        <v>250272</v>
      </c>
      <c r="H1126" s="110"/>
      <c r="I1126" s="110"/>
      <c r="L1126" s="133">
        <v>43662</v>
      </c>
      <c r="M1126" s="110">
        <v>55.33</v>
      </c>
      <c r="N1126" s="110">
        <v>55.43</v>
      </c>
      <c r="O1126" s="110">
        <v>54.32</v>
      </c>
      <c r="P1126" s="110">
        <v>54.6</v>
      </c>
      <c r="Q1126" s="110">
        <v>276.64999999999998</v>
      </c>
      <c r="R1126">
        <v>3886989</v>
      </c>
    </row>
    <row r="1127" spans="1:18" x14ac:dyDescent="0.25">
      <c r="A1127" s="133">
        <v>43663</v>
      </c>
      <c r="B1127" s="110">
        <v>56.13</v>
      </c>
      <c r="C1127" s="110">
        <v>56.01</v>
      </c>
      <c r="D1127" s="110">
        <v>55.08</v>
      </c>
      <c r="E1127" s="110">
        <v>55.2</v>
      </c>
      <c r="F1127" s="110">
        <v>280.05</v>
      </c>
      <c r="G1127">
        <v>332156</v>
      </c>
      <c r="H1127" s="110"/>
      <c r="I1127" s="110"/>
      <c r="L1127" s="133">
        <v>43663</v>
      </c>
      <c r="M1127" s="110">
        <v>56.04</v>
      </c>
      <c r="N1127" s="110">
        <v>56.16</v>
      </c>
      <c r="O1127" s="110">
        <v>55.02</v>
      </c>
      <c r="P1127" s="110">
        <v>55.33</v>
      </c>
      <c r="Q1127" s="110">
        <v>280.2</v>
      </c>
      <c r="R1127">
        <v>3918525</v>
      </c>
    </row>
    <row r="1128" spans="1:18" x14ac:dyDescent="0.25">
      <c r="A1128" s="133">
        <v>43664</v>
      </c>
      <c r="B1128" s="110">
        <v>56.08</v>
      </c>
      <c r="C1128" s="110">
        <v>53.71</v>
      </c>
      <c r="D1128" s="110">
        <v>53.48</v>
      </c>
      <c r="E1128" s="110">
        <v>56</v>
      </c>
      <c r="F1128" s="110">
        <v>268.55</v>
      </c>
      <c r="G1128">
        <v>333271</v>
      </c>
      <c r="H1128" s="110"/>
      <c r="I1128" s="110"/>
      <c r="L1128" s="133">
        <v>43664</v>
      </c>
      <c r="M1128" s="110">
        <v>53.7</v>
      </c>
      <c r="N1128" s="110">
        <v>56.13</v>
      </c>
      <c r="O1128" s="110">
        <v>53.45</v>
      </c>
      <c r="P1128" s="110">
        <v>56.03</v>
      </c>
      <c r="Q1128" s="110">
        <v>268.5</v>
      </c>
      <c r="R1128">
        <v>5346987</v>
      </c>
    </row>
    <row r="1129" spans="1:18" x14ac:dyDescent="0.25">
      <c r="A1129" s="133">
        <v>43665</v>
      </c>
      <c r="B1129" s="110">
        <v>54.34</v>
      </c>
      <c r="C1129" s="110">
        <v>53.06</v>
      </c>
      <c r="D1129" s="110">
        <v>52.81</v>
      </c>
      <c r="E1129" s="110">
        <v>54</v>
      </c>
      <c r="F1129" s="110">
        <v>265.3</v>
      </c>
      <c r="G1129">
        <v>331884</v>
      </c>
      <c r="H1129" s="110"/>
      <c r="I1129" s="110"/>
      <c r="L1129" s="133">
        <v>43665</v>
      </c>
      <c r="M1129" s="110">
        <v>53.07</v>
      </c>
      <c r="N1129" s="110">
        <v>54.34</v>
      </c>
      <c r="O1129" s="110">
        <v>52.8</v>
      </c>
      <c r="P1129" s="110">
        <v>54</v>
      </c>
      <c r="Q1129" s="110">
        <v>265.35000000000002</v>
      </c>
      <c r="R1129">
        <v>4916132</v>
      </c>
    </row>
    <row r="1130" spans="1:18" x14ac:dyDescent="0.25">
      <c r="A1130" s="133">
        <v>43668</v>
      </c>
      <c r="B1130" s="110">
        <v>53.8</v>
      </c>
      <c r="C1130" s="110">
        <v>52.82</v>
      </c>
      <c r="D1130" s="110">
        <v>52.11</v>
      </c>
      <c r="E1130" s="110">
        <v>52.6</v>
      </c>
      <c r="F1130" s="110">
        <v>264.10000000000002</v>
      </c>
      <c r="G1130">
        <v>355454</v>
      </c>
      <c r="H1130" s="110"/>
      <c r="I1130" s="110"/>
      <c r="L1130" s="133">
        <v>43668</v>
      </c>
      <c r="M1130" s="110">
        <v>52.87</v>
      </c>
      <c r="N1130" s="110">
        <v>53.8</v>
      </c>
      <c r="O1130" s="110">
        <v>52.11</v>
      </c>
      <c r="P1130" s="110">
        <v>52.86</v>
      </c>
      <c r="Q1130" s="110">
        <v>264.35000000000002</v>
      </c>
      <c r="R1130">
        <v>4666931</v>
      </c>
    </row>
    <row r="1131" spans="1:18" x14ac:dyDescent="0.25">
      <c r="A1131" s="133">
        <v>43669</v>
      </c>
      <c r="B1131" s="110">
        <v>53.29</v>
      </c>
      <c r="C1131" s="110">
        <v>51.25</v>
      </c>
      <c r="D1131" s="110">
        <v>51.04</v>
      </c>
      <c r="E1131" s="110">
        <v>52.95</v>
      </c>
      <c r="F1131" s="110">
        <v>256.25</v>
      </c>
      <c r="G1131">
        <v>350135</v>
      </c>
      <c r="H1131" s="110"/>
      <c r="I1131" s="110"/>
      <c r="L1131" s="133">
        <v>43669</v>
      </c>
      <c r="M1131" s="110">
        <v>51.24</v>
      </c>
      <c r="N1131" s="110">
        <v>53.3</v>
      </c>
      <c r="O1131" s="110">
        <v>51</v>
      </c>
      <c r="P1131" s="110">
        <v>53.2</v>
      </c>
      <c r="Q1131" s="110">
        <v>256.2</v>
      </c>
      <c r="R1131">
        <v>4692439</v>
      </c>
    </row>
    <row r="1132" spans="1:18" x14ac:dyDescent="0.25">
      <c r="A1132" s="133">
        <v>43670</v>
      </c>
      <c r="B1132" s="110">
        <v>51.5</v>
      </c>
      <c r="C1132" s="110">
        <v>49.73</v>
      </c>
      <c r="D1132" s="110">
        <v>48.47</v>
      </c>
      <c r="E1132" s="110">
        <v>51.21</v>
      </c>
      <c r="F1132" s="110">
        <v>248.65</v>
      </c>
      <c r="G1132">
        <v>907109</v>
      </c>
      <c r="H1132" s="110"/>
      <c r="I1132" s="110"/>
      <c r="L1132" s="133">
        <v>43670</v>
      </c>
      <c r="M1132" s="110">
        <v>49.62</v>
      </c>
      <c r="N1132" s="110">
        <v>51.52</v>
      </c>
      <c r="O1132" s="110">
        <v>48.48</v>
      </c>
      <c r="P1132" s="110">
        <v>51.2</v>
      </c>
      <c r="Q1132" s="110">
        <v>248.1</v>
      </c>
      <c r="R1132">
        <v>11353058</v>
      </c>
    </row>
    <row r="1133" spans="1:18" x14ac:dyDescent="0.25">
      <c r="A1133" s="133">
        <v>43671</v>
      </c>
      <c r="B1133" s="110">
        <v>50.01</v>
      </c>
      <c r="C1133" s="110">
        <v>47.83</v>
      </c>
      <c r="D1133" s="110">
        <v>47.14</v>
      </c>
      <c r="E1133" s="110">
        <v>49.6</v>
      </c>
      <c r="F1133" s="110">
        <v>239.15</v>
      </c>
      <c r="G1133">
        <v>696439</v>
      </c>
      <c r="H1133" s="110"/>
      <c r="I1133" s="110"/>
      <c r="L1133" s="133">
        <v>43671</v>
      </c>
      <c r="M1133" s="110">
        <v>47.85</v>
      </c>
      <c r="N1133" s="110">
        <v>50</v>
      </c>
      <c r="O1133" s="110">
        <v>47.13</v>
      </c>
      <c r="P1133" s="110">
        <v>50</v>
      </c>
      <c r="Q1133" s="110">
        <v>239.25</v>
      </c>
      <c r="R1133">
        <v>12027668</v>
      </c>
    </row>
    <row r="1134" spans="1:18" x14ac:dyDescent="0.25">
      <c r="A1134" s="133">
        <v>43672</v>
      </c>
      <c r="B1134" s="110">
        <v>49.29</v>
      </c>
      <c r="C1134" s="110">
        <v>48.02</v>
      </c>
      <c r="D1134" s="110">
        <v>47</v>
      </c>
      <c r="E1134" s="110">
        <v>47.89</v>
      </c>
      <c r="F1134" s="110">
        <v>240.1</v>
      </c>
      <c r="G1134">
        <v>595558</v>
      </c>
      <c r="H1134" s="110"/>
      <c r="I1134" s="110"/>
      <c r="L1134" s="133">
        <v>43672</v>
      </c>
      <c r="M1134" s="110">
        <v>48.07</v>
      </c>
      <c r="N1134" s="110">
        <v>49.28</v>
      </c>
      <c r="O1134" s="110">
        <v>47.84</v>
      </c>
      <c r="P1134" s="110">
        <v>48</v>
      </c>
      <c r="Q1134" s="110">
        <v>240.35</v>
      </c>
      <c r="R1134">
        <v>6965463</v>
      </c>
    </row>
    <row r="1135" spans="1:18" x14ac:dyDescent="0.25">
      <c r="A1135" s="133">
        <v>43675</v>
      </c>
      <c r="B1135" s="110">
        <v>48.77</v>
      </c>
      <c r="C1135" s="110">
        <v>47.94</v>
      </c>
      <c r="D1135" s="110">
        <v>47.28</v>
      </c>
      <c r="E1135" s="110">
        <v>48.38</v>
      </c>
      <c r="F1135" s="110">
        <v>239.7</v>
      </c>
      <c r="G1135">
        <v>355195</v>
      </c>
      <c r="H1135" s="110"/>
      <c r="I1135" s="110"/>
      <c r="L1135" s="133">
        <v>43675</v>
      </c>
      <c r="M1135" s="110">
        <v>47.96</v>
      </c>
      <c r="N1135" s="110">
        <v>48.78</v>
      </c>
      <c r="O1135" s="110">
        <v>47.27</v>
      </c>
      <c r="P1135" s="110">
        <v>48.12</v>
      </c>
      <c r="Q1135" s="110">
        <v>239.8</v>
      </c>
      <c r="R1135">
        <v>5428528</v>
      </c>
    </row>
    <row r="1136" spans="1:18" x14ac:dyDescent="0.25">
      <c r="A1136" s="133">
        <v>43676</v>
      </c>
      <c r="B1136" s="110">
        <v>48.47</v>
      </c>
      <c r="C1136" s="110">
        <v>46.47</v>
      </c>
      <c r="D1136" s="110">
        <v>46.3</v>
      </c>
      <c r="E1136" s="110">
        <v>48.18</v>
      </c>
      <c r="F1136" s="110">
        <v>232.35</v>
      </c>
      <c r="G1136">
        <v>341530</v>
      </c>
      <c r="H1136" s="110"/>
      <c r="I1136" s="110"/>
      <c r="L1136" s="133">
        <v>43676</v>
      </c>
      <c r="M1136" s="110">
        <v>46.45</v>
      </c>
      <c r="N1136" s="110">
        <v>48.45</v>
      </c>
      <c r="O1136" s="110">
        <v>46.27</v>
      </c>
      <c r="P1136" s="110">
        <v>48.1</v>
      </c>
      <c r="Q1136" s="110">
        <v>232.25</v>
      </c>
      <c r="R1136">
        <v>6564458</v>
      </c>
    </row>
    <row r="1137" spans="1:18" x14ac:dyDescent="0.25">
      <c r="A1137" s="133">
        <v>43677</v>
      </c>
      <c r="B1137" s="110">
        <v>47.51</v>
      </c>
      <c r="C1137" s="110">
        <v>47.26</v>
      </c>
      <c r="D1137" s="110">
        <v>44.77</v>
      </c>
      <c r="E1137" s="110">
        <v>47.2</v>
      </c>
      <c r="F1137" s="110">
        <v>236.3</v>
      </c>
      <c r="G1137">
        <v>386821</v>
      </c>
      <c r="H1137" s="110"/>
      <c r="I1137" s="110"/>
      <c r="L1137" s="133">
        <v>43677</v>
      </c>
      <c r="M1137" s="110">
        <v>47.28</v>
      </c>
      <c r="N1137" s="110">
        <v>47.52</v>
      </c>
      <c r="O1137" s="110">
        <v>45.86</v>
      </c>
      <c r="P1137" s="110">
        <v>46.28</v>
      </c>
      <c r="Q1137" s="110">
        <v>236.4</v>
      </c>
      <c r="R1137">
        <v>4779203</v>
      </c>
    </row>
    <row r="1138" spans="1:18" x14ac:dyDescent="0.25">
      <c r="A1138" s="133">
        <v>43678</v>
      </c>
      <c r="B1138" s="110">
        <v>47.39</v>
      </c>
      <c r="C1138" s="110">
        <v>46.3</v>
      </c>
      <c r="D1138" s="110">
        <v>45.69</v>
      </c>
      <c r="E1138" s="110">
        <v>47</v>
      </c>
      <c r="F1138" s="110">
        <v>231.5</v>
      </c>
      <c r="G1138">
        <v>287807</v>
      </c>
      <c r="H1138" s="110"/>
      <c r="I1138" s="110"/>
      <c r="L1138" s="133">
        <v>43678</v>
      </c>
      <c r="M1138" s="110">
        <v>46.34</v>
      </c>
      <c r="N1138" s="110">
        <v>47.44</v>
      </c>
      <c r="O1138" s="110">
        <v>45.7</v>
      </c>
      <c r="P1138" s="110">
        <v>46.8</v>
      </c>
      <c r="Q1138" s="110">
        <v>231.7</v>
      </c>
      <c r="R1138">
        <v>4424336</v>
      </c>
    </row>
    <row r="1139" spans="1:18" x14ac:dyDescent="0.25">
      <c r="A1139" s="133">
        <v>43679</v>
      </c>
      <c r="B1139" s="110">
        <v>46.98</v>
      </c>
      <c r="C1139" s="110">
        <v>46.5</v>
      </c>
      <c r="D1139" s="110">
        <v>45.2</v>
      </c>
      <c r="E1139" s="110">
        <v>46.15</v>
      </c>
      <c r="F1139" s="110">
        <v>232.5</v>
      </c>
      <c r="G1139">
        <v>567303</v>
      </c>
      <c r="H1139" s="110"/>
      <c r="I1139" s="110"/>
      <c r="L1139" s="133">
        <v>43679</v>
      </c>
      <c r="M1139" s="110">
        <v>46.54</v>
      </c>
      <c r="N1139" s="110">
        <v>46.99</v>
      </c>
      <c r="O1139" s="110">
        <v>45.2</v>
      </c>
      <c r="P1139" s="110">
        <v>46</v>
      </c>
      <c r="Q1139" s="110">
        <v>232.7</v>
      </c>
      <c r="R1139">
        <v>5824170</v>
      </c>
    </row>
    <row r="1140" spans="1:18" x14ac:dyDescent="0.25">
      <c r="A1140" s="133">
        <v>43682</v>
      </c>
      <c r="B1140" s="110">
        <v>46.6</v>
      </c>
      <c r="C1140" s="110">
        <v>45.77</v>
      </c>
      <c r="D1140" s="110">
        <v>44</v>
      </c>
      <c r="E1140" s="110">
        <v>46.6</v>
      </c>
      <c r="F1140" s="110">
        <v>228.85</v>
      </c>
      <c r="G1140">
        <v>482889</v>
      </c>
      <c r="H1140" s="110"/>
      <c r="I1140" s="110"/>
      <c r="L1140" s="133">
        <v>43682</v>
      </c>
      <c r="M1140" s="110">
        <v>45.79</v>
      </c>
      <c r="N1140" s="110">
        <v>46.12</v>
      </c>
      <c r="O1140" s="110">
        <v>44</v>
      </c>
      <c r="P1140" s="110">
        <v>45.8</v>
      </c>
      <c r="Q1140" s="110">
        <v>228.95</v>
      </c>
      <c r="R1140">
        <v>5654914</v>
      </c>
    </row>
    <row r="1141" spans="1:18" x14ac:dyDescent="0.25">
      <c r="A1141" s="133">
        <v>43683</v>
      </c>
      <c r="B1141" s="110">
        <v>46.94</v>
      </c>
      <c r="C1141" s="110">
        <v>46.42</v>
      </c>
      <c r="D1141" s="110">
        <v>45.2</v>
      </c>
      <c r="E1141" s="110">
        <v>45.54</v>
      </c>
      <c r="F1141" s="110">
        <v>232.1</v>
      </c>
      <c r="G1141">
        <v>339066</v>
      </c>
      <c r="H1141" s="110"/>
      <c r="I1141" s="110"/>
      <c r="L1141" s="133">
        <v>43683</v>
      </c>
      <c r="M1141" s="110">
        <v>46.44</v>
      </c>
      <c r="N1141" s="110">
        <v>46.96</v>
      </c>
      <c r="O1141" s="110">
        <v>45.19</v>
      </c>
      <c r="P1141" s="110">
        <v>45.35</v>
      </c>
      <c r="Q1141" s="110">
        <v>232.2</v>
      </c>
      <c r="R1141">
        <v>4237955</v>
      </c>
    </row>
    <row r="1142" spans="1:18" x14ac:dyDescent="0.25">
      <c r="A1142" s="133">
        <v>43684</v>
      </c>
      <c r="B1142" s="110">
        <v>47.22</v>
      </c>
      <c r="C1142" s="110">
        <v>45.09</v>
      </c>
      <c r="D1142" s="110">
        <v>44.59</v>
      </c>
      <c r="E1142" s="110">
        <v>46.8</v>
      </c>
      <c r="F1142" s="110">
        <v>225.45</v>
      </c>
      <c r="G1142">
        <v>551318</v>
      </c>
      <c r="H1142" s="110"/>
      <c r="I1142" s="110"/>
      <c r="L1142" s="133">
        <v>43684</v>
      </c>
      <c r="M1142" s="110">
        <v>45.05</v>
      </c>
      <c r="N1142" s="110">
        <v>47.24</v>
      </c>
      <c r="O1142" s="110">
        <v>44.56</v>
      </c>
      <c r="P1142" s="110">
        <v>46.78</v>
      </c>
      <c r="Q1142" s="110">
        <v>225.25</v>
      </c>
      <c r="R1142">
        <v>7605823</v>
      </c>
    </row>
    <row r="1143" spans="1:18" x14ac:dyDescent="0.25">
      <c r="A1143" s="133">
        <v>43685</v>
      </c>
      <c r="B1143" s="110">
        <v>46.16</v>
      </c>
      <c r="C1143" s="110">
        <v>45.55</v>
      </c>
      <c r="D1143" s="110">
        <v>44.04</v>
      </c>
      <c r="E1143" s="110">
        <v>46.16</v>
      </c>
      <c r="F1143" s="110">
        <v>227.75</v>
      </c>
      <c r="G1143">
        <v>412326</v>
      </c>
      <c r="H1143" s="110"/>
      <c r="I1143" s="110"/>
      <c r="L1143" s="133">
        <v>43685</v>
      </c>
      <c r="M1143" s="110">
        <v>45.57</v>
      </c>
      <c r="N1143" s="110">
        <v>45.88</v>
      </c>
      <c r="O1143" s="110">
        <v>44.03</v>
      </c>
      <c r="P1143" s="110">
        <v>45.3</v>
      </c>
      <c r="Q1143" s="110">
        <v>227.85</v>
      </c>
      <c r="R1143">
        <v>7744820</v>
      </c>
    </row>
    <row r="1144" spans="1:18" x14ac:dyDescent="0.25">
      <c r="A1144" s="133">
        <v>43686</v>
      </c>
      <c r="B1144" s="110">
        <v>46.47</v>
      </c>
      <c r="C1144" s="110">
        <v>45.63</v>
      </c>
      <c r="D1144" s="110">
        <v>45.18</v>
      </c>
      <c r="E1144" s="110">
        <v>46.08</v>
      </c>
      <c r="F1144" s="110">
        <v>228.15</v>
      </c>
      <c r="G1144">
        <v>262956</v>
      </c>
      <c r="H1144" s="110"/>
      <c r="I1144" s="110"/>
      <c r="L1144" s="133">
        <v>43686</v>
      </c>
      <c r="M1144" s="110">
        <v>45.71</v>
      </c>
      <c r="N1144" s="110">
        <v>46.54</v>
      </c>
      <c r="O1144" s="110">
        <v>45.11</v>
      </c>
      <c r="P1144" s="110">
        <v>45.71</v>
      </c>
      <c r="Q1144" s="110">
        <v>228.55</v>
      </c>
      <c r="R1144">
        <v>4756249</v>
      </c>
    </row>
    <row r="1145" spans="1:18" x14ac:dyDescent="0.25">
      <c r="A1145" s="133">
        <v>43690</v>
      </c>
      <c r="B1145" s="110">
        <v>46.37</v>
      </c>
      <c r="C1145" s="110">
        <v>44.32</v>
      </c>
      <c r="D1145" s="110">
        <v>44.02</v>
      </c>
      <c r="E1145" s="110">
        <v>45.83</v>
      </c>
      <c r="F1145" s="110">
        <v>221.6</v>
      </c>
      <c r="G1145">
        <v>271747</v>
      </c>
      <c r="H1145" s="110"/>
      <c r="I1145" s="110"/>
      <c r="L1145" s="133">
        <v>43690</v>
      </c>
      <c r="M1145" s="110">
        <v>44.24</v>
      </c>
      <c r="N1145" s="110">
        <v>46.38</v>
      </c>
      <c r="O1145" s="110">
        <v>44</v>
      </c>
      <c r="P1145" s="110">
        <v>45.71</v>
      </c>
      <c r="Q1145" s="110">
        <v>221.2</v>
      </c>
      <c r="R1145">
        <v>4226823</v>
      </c>
    </row>
    <row r="1146" spans="1:18" x14ac:dyDescent="0.25">
      <c r="A1146" s="133">
        <v>43691</v>
      </c>
      <c r="B1146" s="110">
        <v>45.56</v>
      </c>
      <c r="C1146" s="110">
        <v>45.04</v>
      </c>
      <c r="D1146" s="110">
        <v>44.24</v>
      </c>
      <c r="E1146" s="110">
        <v>45.4</v>
      </c>
      <c r="F1146" s="110">
        <v>225.2</v>
      </c>
      <c r="G1146">
        <v>341958</v>
      </c>
      <c r="H1146" s="110"/>
      <c r="I1146" s="110"/>
      <c r="L1146" s="133">
        <v>43691</v>
      </c>
      <c r="M1146" s="110">
        <v>45.06</v>
      </c>
      <c r="N1146" s="110">
        <v>45.6</v>
      </c>
      <c r="O1146" s="110">
        <v>44.22</v>
      </c>
      <c r="P1146" s="110">
        <v>44.4</v>
      </c>
      <c r="Q1146" s="110">
        <v>225.3</v>
      </c>
      <c r="R1146">
        <v>4522157</v>
      </c>
    </row>
    <row r="1147" spans="1:18" x14ac:dyDescent="0.25">
      <c r="A1147" s="133">
        <v>43693</v>
      </c>
      <c r="B1147" s="110">
        <v>47.42</v>
      </c>
      <c r="C1147" s="110">
        <v>47.17</v>
      </c>
      <c r="D1147" s="110">
        <v>44.45</v>
      </c>
      <c r="E1147" s="110">
        <v>45</v>
      </c>
      <c r="F1147" s="110">
        <v>235.85</v>
      </c>
      <c r="G1147">
        <v>430555</v>
      </c>
      <c r="H1147" s="110"/>
      <c r="I1147" s="110"/>
      <c r="L1147" s="133">
        <v>43693</v>
      </c>
      <c r="M1147" s="110">
        <v>47.2</v>
      </c>
      <c r="N1147" s="110">
        <v>47.8</v>
      </c>
      <c r="O1147" s="110">
        <v>44.4</v>
      </c>
      <c r="P1147" s="110">
        <v>44.88</v>
      </c>
      <c r="Q1147" s="110">
        <v>236</v>
      </c>
      <c r="R1147">
        <v>7507178</v>
      </c>
    </row>
    <row r="1148" spans="1:18" x14ac:dyDescent="0.25">
      <c r="A1148" s="133">
        <v>43696</v>
      </c>
      <c r="B1148" s="110">
        <v>47.88</v>
      </c>
      <c r="C1148" s="110">
        <v>46.25</v>
      </c>
      <c r="D1148" s="110">
        <v>46.05</v>
      </c>
      <c r="E1148" s="110">
        <v>47.88</v>
      </c>
      <c r="F1148" s="110">
        <v>231.25</v>
      </c>
      <c r="G1148">
        <v>392242</v>
      </c>
      <c r="H1148" s="110"/>
      <c r="I1148" s="110"/>
      <c r="L1148" s="133">
        <v>43696</v>
      </c>
      <c r="M1148" s="110">
        <v>46.22</v>
      </c>
      <c r="N1148" s="110">
        <v>47.48</v>
      </c>
      <c r="O1148" s="110">
        <v>45.84</v>
      </c>
      <c r="P1148" s="110">
        <v>47.43</v>
      </c>
      <c r="Q1148" s="110">
        <v>231.1</v>
      </c>
      <c r="R1148">
        <v>5456580</v>
      </c>
    </row>
    <row r="1149" spans="1:18" x14ac:dyDescent="0.25">
      <c r="A1149" s="133">
        <v>43697</v>
      </c>
      <c r="B1149" s="110">
        <v>46.44</v>
      </c>
      <c r="C1149" s="110">
        <v>45.06</v>
      </c>
      <c r="D1149" s="110">
        <v>44.68</v>
      </c>
      <c r="E1149" s="110">
        <v>45.8</v>
      </c>
      <c r="F1149" s="110">
        <v>225.3</v>
      </c>
      <c r="G1149">
        <v>398440</v>
      </c>
      <c r="H1149" s="110"/>
      <c r="I1149" s="110"/>
      <c r="L1149" s="133">
        <v>43697</v>
      </c>
      <c r="M1149" s="110">
        <v>45.05</v>
      </c>
      <c r="N1149" s="110">
        <v>46.4</v>
      </c>
      <c r="O1149" s="110">
        <v>44.67</v>
      </c>
      <c r="P1149" s="110">
        <v>46.27</v>
      </c>
      <c r="Q1149" s="110">
        <v>225.25</v>
      </c>
      <c r="R1149">
        <v>5173553</v>
      </c>
    </row>
    <row r="1150" spans="1:18" x14ac:dyDescent="0.25">
      <c r="A1150" s="133">
        <v>43698</v>
      </c>
      <c r="B1150" s="110">
        <v>45.36</v>
      </c>
      <c r="C1150" s="110">
        <v>44.02</v>
      </c>
      <c r="D1150" s="110">
        <v>43.7</v>
      </c>
      <c r="E1150" s="110">
        <v>45</v>
      </c>
      <c r="F1150" s="110">
        <v>220.1</v>
      </c>
      <c r="G1150">
        <v>293253</v>
      </c>
      <c r="H1150" s="110"/>
      <c r="I1150" s="110"/>
      <c r="L1150" s="133">
        <v>43698</v>
      </c>
      <c r="M1150" s="110">
        <v>43.96</v>
      </c>
      <c r="N1150" s="110">
        <v>45.37</v>
      </c>
      <c r="O1150" s="110">
        <v>43.7</v>
      </c>
      <c r="P1150" s="110">
        <v>45</v>
      </c>
      <c r="Q1150" s="110">
        <v>219.8</v>
      </c>
      <c r="R1150">
        <v>5944689</v>
      </c>
    </row>
    <row r="1151" spans="1:18" x14ac:dyDescent="0.25">
      <c r="A1151" s="133">
        <v>43699</v>
      </c>
      <c r="B1151" s="110">
        <v>44.38</v>
      </c>
      <c r="C1151" s="110">
        <v>41.94</v>
      </c>
      <c r="D1151" s="110">
        <v>41.68</v>
      </c>
      <c r="E1151" s="110">
        <v>44.38</v>
      </c>
      <c r="F1151" s="110">
        <v>209.7</v>
      </c>
      <c r="G1151">
        <v>590194</v>
      </c>
      <c r="H1151" s="110"/>
      <c r="I1151" s="110"/>
      <c r="L1151" s="133">
        <v>43699</v>
      </c>
      <c r="M1151" s="110">
        <v>41.96</v>
      </c>
      <c r="N1151" s="110">
        <v>44.33</v>
      </c>
      <c r="O1151" s="110">
        <v>41.66</v>
      </c>
      <c r="P1151" s="110">
        <v>43.94</v>
      </c>
      <c r="Q1151" s="110">
        <v>209.8</v>
      </c>
      <c r="R1151">
        <v>6638311</v>
      </c>
    </row>
    <row r="1152" spans="1:18" x14ac:dyDescent="0.25">
      <c r="A1152" s="133">
        <v>43700</v>
      </c>
      <c r="B1152" s="110">
        <v>43.83</v>
      </c>
      <c r="C1152" s="110">
        <v>43.32</v>
      </c>
      <c r="D1152" s="110">
        <v>41.43</v>
      </c>
      <c r="E1152" s="110">
        <v>41.95</v>
      </c>
      <c r="F1152" s="110">
        <v>216.6</v>
      </c>
      <c r="G1152">
        <v>408799</v>
      </c>
      <c r="H1152" s="110"/>
      <c r="I1152" s="110"/>
      <c r="L1152" s="133">
        <v>43700</v>
      </c>
      <c r="M1152" s="110">
        <v>43.34</v>
      </c>
      <c r="N1152" s="110">
        <v>43.85</v>
      </c>
      <c r="O1152" s="110">
        <v>41.48</v>
      </c>
      <c r="P1152" s="110">
        <v>41.84</v>
      </c>
      <c r="Q1152" s="110">
        <v>216.7</v>
      </c>
      <c r="R1152">
        <v>7122918</v>
      </c>
    </row>
    <row r="1153" spans="1:18" x14ac:dyDescent="0.25">
      <c r="A1153" s="133">
        <v>43703</v>
      </c>
      <c r="B1153" s="110">
        <v>45.8</v>
      </c>
      <c r="C1153" s="110">
        <v>44.79</v>
      </c>
      <c r="D1153" s="110">
        <v>43.18</v>
      </c>
      <c r="E1153" s="110">
        <v>45.8</v>
      </c>
      <c r="F1153" s="110">
        <v>223.95</v>
      </c>
      <c r="G1153">
        <v>597553</v>
      </c>
      <c r="H1153" s="110"/>
      <c r="I1153" s="110"/>
      <c r="L1153" s="133">
        <v>43703</v>
      </c>
      <c r="M1153" s="110">
        <v>44.76</v>
      </c>
      <c r="N1153" s="110">
        <v>45.39</v>
      </c>
      <c r="O1153" s="110">
        <v>43.14</v>
      </c>
      <c r="P1153" s="110">
        <v>45.39</v>
      </c>
      <c r="Q1153" s="110">
        <v>223.8</v>
      </c>
      <c r="R1153">
        <v>8304048</v>
      </c>
    </row>
    <row r="1154" spans="1:18" x14ac:dyDescent="0.25">
      <c r="A1154" s="133">
        <v>43704</v>
      </c>
      <c r="B1154" s="110">
        <v>46.6</v>
      </c>
      <c r="C1154" s="110">
        <v>45.9</v>
      </c>
      <c r="D1154" s="110">
        <v>45.19</v>
      </c>
      <c r="E1154" s="110">
        <v>45.27</v>
      </c>
      <c r="F1154" s="110">
        <v>229.5</v>
      </c>
      <c r="G1154">
        <v>447788</v>
      </c>
      <c r="H1154" s="110"/>
      <c r="I1154" s="110"/>
      <c r="L1154" s="133">
        <v>43704</v>
      </c>
      <c r="M1154" s="110">
        <v>45.91</v>
      </c>
      <c r="N1154" s="110">
        <v>46.61</v>
      </c>
      <c r="O1154" s="110">
        <v>45.18</v>
      </c>
      <c r="P1154" s="110">
        <v>45.2</v>
      </c>
      <c r="Q1154" s="110">
        <v>229.55</v>
      </c>
      <c r="R1154">
        <v>7890477</v>
      </c>
    </row>
    <row r="1155" spans="1:18" x14ac:dyDescent="0.25">
      <c r="A1155" s="133">
        <v>43705</v>
      </c>
      <c r="B1155" s="110">
        <v>46.32</v>
      </c>
      <c r="C1155" s="110">
        <v>45.29</v>
      </c>
      <c r="D1155" s="110">
        <v>44.99</v>
      </c>
      <c r="E1155" s="110">
        <v>46.26</v>
      </c>
      <c r="F1155" s="110">
        <v>226.45</v>
      </c>
      <c r="G1155">
        <v>360781</v>
      </c>
      <c r="H1155" s="110"/>
      <c r="I1155" s="110"/>
      <c r="L1155" s="133">
        <v>43705</v>
      </c>
      <c r="M1155" s="110">
        <v>45.38</v>
      </c>
      <c r="N1155" s="110">
        <v>46.33</v>
      </c>
      <c r="O1155" s="110">
        <v>45.04</v>
      </c>
      <c r="P1155" s="110">
        <v>45.88</v>
      </c>
      <c r="Q1155" s="110">
        <v>226.9</v>
      </c>
      <c r="R1155">
        <v>4772624</v>
      </c>
    </row>
    <row r="1156" spans="1:18" x14ac:dyDescent="0.25">
      <c r="A1156" s="133">
        <v>43706</v>
      </c>
      <c r="B1156" s="110">
        <v>45.35</v>
      </c>
      <c r="C1156" s="110">
        <v>44.14</v>
      </c>
      <c r="D1156" s="110">
        <v>43.54</v>
      </c>
      <c r="E1156" s="110">
        <v>45.16</v>
      </c>
      <c r="F1156" s="110">
        <v>220.7</v>
      </c>
      <c r="G1156">
        <v>296557</v>
      </c>
      <c r="H1156" s="110"/>
      <c r="I1156" s="110"/>
      <c r="L1156" s="133">
        <v>43706</v>
      </c>
      <c r="M1156" s="110">
        <v>44.12</v>
      </c>
      <c r="N1156" s="110">
        <v>45.34</v>
      </c>
      <c r="O1156" s="110">
        <v>43.55</v>
      </c>
      <c r="P1156" s="110">
        <v>45</v>
      </c>
      <c r="Q1156" s="110">
        <v>220.6</v>
      </c>
      <c r="R1156">
        <v>4790806</v>
      </c>
    </row>
    <row r="1157" spans="1:18" x14ac:dyDescent="0.25">
      <c r="A1157" s="133">
        <v>43707</v>
      </c>
      <c r="B1157" s="110">
        <v>44.92</v>
      </c>
      <c r="C1157" s="110">
        <v>44.11</v>
      </c>
      <c r="D1157" s="110">
        <v>43.36</v>
      </c>
      <c r="E1157" s="110">
        <v>44.8</v>
      </c>
      <c r="F1157" s="110">
        <v>220.55</v>
      </c>
      <c r="G1157">
        <v>591258</v>
      </c>
      <c r="H1157" s="110"/>
      <c r="I1157" s="110"/>
      <c r="L1157" s="133">
        <v>43707</v>
      </c>
      <c r="M1157" s="110">
        <v>44.12</v>
      </c>
      <c r="N1157" s="110">
        <v>44.93</v>
      </c>
      <c r="O1157" s="110">
        <v>43.35</v>
      </c>
      <c r="P1157" s="110">
        <v>44.43</v>
      </c>
      <c r="Q1157" s="110">
        <v>220.6</v>
      </c>
      <c r="R1157">
        <v>7895383</v>
      </c>
    </row>
    <row r="1158" spans="1:18" x14ac:dyDescent="0.25">
      <c r="A1158" s="133">
        <v>43711</v>
      </c>
      <c r="B1158" s="110">
        <v>42.67</v>
      </c>
      <c r="C1158" s="110">
        <v>39.44</v>
      </c>
      <c r="D1158" s="110">
        <v>38.83</v>
      </c>
      <c r="E1158" s="110">
        <v>42.4</v>
      </c>
      <c r="F1158" s="110">
        <v>197.2</v>
      </c>
      <c r="G1158">
        <v>1227048</v>
      </c>
      <c r="H1158" s="110"/>
      <c r="I1158" s="110"/>
      <c r="L1158" s="133">
        <v>43711</v>
      </c>
      <c r="M1158" s="110">
        <v>39.4</v>
      </c>
      <c r="N1158" s="110">
        <v>42.8</v>
      </c>
      <c r="O1158" s="110">
        <v>38.81</v>
      </c>
      <c r="P1158" s="110">
        <v>42.8</v>
      </c>
      <c r="Q1158" s="110">
        <v>197</v>
      </c>
      <c r="R1158">
        <v>21756194</v>
      </c>
    </row>
    <row r="1159" spans="1:18" x14ac:dyDescent="0.25">
      <c r="A1159" s="133">
        <v>43712</v>
      </c>
      <c r="B1159" s="110">
        <v>39.78</v>
      </c>
      <c r="C1159" s="110">
        <v>38.590000000000003</v>
      </c>
      <c r="D1159" s="110">
        <v>38.130000000000003</v>
      </c>
      <c r="E1159" s="110">
        <v>38.799999999999997</v>
      </c>
      <c r="F1159" s="110">
        <v>192.95</v>
      </c>
      <c r="G1159">
        <v>878839</v>
      </c>
      <c r="H1159" s="110"/>
      <c r="I1159" s="110"/>
      <c r="L1159" s="133">
        <v>43712</v>
      </c>
      <c r="M1159" s="110">
        <v>38.53</v>
      </c>
      <c r="N1159" s="110">
        <v>39.78</v>
      </c>
      <c r="O1159" s="110">
        <v>38.119999999999997</v>
      </c>
      <c r="P1159" s="110">
        <v>38.799999999999997</v>
      </c>
      <c r="Q1159" s="110">
        <v>192.65</v>
      </c>
      <c r="R1159">
        <v>16858726</v>
      </c>
    </row>
    <row r="1160" spans="1:18" x14ac:dyDescent="0.25">
      <c r="A1160" s="133">
        <v>43713</v>
      </c>
      <c r="B1160" s="110">
        <v>39</v>
      </c>
      <c r="C1160" s="110">
        <v>38.32</v>
      </c>
      <c r="D1160" s="110">
        <v>38.07</v>
      </c>
      <c r="E1160" s="110">
        <v>38.94</v>
      </c>
      <c r="F1160" s="110">
        <v>191.6</v>
      </c>
      <c r="G1160">
        <v>439999</v>
      </c>
      <c r="H1160" s="110"/>
      <c r="I1160" s="110"/>
      <c r="L1160" s="133">
        <v>43713</v>
      </c>
      <c r="M1160" s="110">
        <v>38.31</v>
      </c>
      <c r="N1160" s="110">
        <v>39</v>
      </c>
      <c r="O1160" s="110">
        <v>38.07</v>
      </c>
      <c r="P1160" s="110">
        <v>38.92</v>
      </c>
      <c r="Q1160" s="110">
        <v>191.55</v>
      </c>
      <c r="R1160">
        <v>11057486</v>
      </c>
    </row>
    <row r="1161" spans="1:18" x14ac:dyDescent="0.25">
      <c r="A1161" s="133">
        <v>43714</v>
      </c>
      <c r="B1161" s="110">
        <v>39.17</v>
      </c>
      <c r="C1161" s="110">
        <v>38.33</v>
      </c>
      <c r="D1161" s="110">
        <v>38.17</v>
      </c>
      <c r="E1161" s="110">
        <v>38.72</v>
      </c>
      <c r="F1161" s="110">
        <v>191.65</v>
      </c>
      <c r="G1161">
        <v>397958</v>
      </c>
      <c r="H1161" s="110"/>
      <c r="I1161" s="110"/>
      <c r="L1161" s="133">
        <v>43714</v>
      </c>
      <c r="M1161" s="110">
        <v>38.340000000000003</v>
      </c>
      <c r="N1161" s="110">
        <v>39.18</v>
      </c>
      <c r="O1161" s="110">
        <v>38.18</v>
      </c>
      <c r="P1161" s="110">
        <v>38.6</v>
      </c>
      <c r="Q1161" s="110">
        <v>191.7</v>
      </c>
      <c r="R1161">
        <v>8063242</v>
      </c>
    </row>
    <row r="1162" spans="1:18" x14ac:dyDescent="0.25">
      <c r="A1162" s="133">
        <v>43717</v>
      </c>
      <c r="B1162" s="110">
        <v>39.700000000000003</v>
      </c>
      <c r="C1162" s="110">
        <v>39.56</v>
      </c>
      <c r="D1162" s="110">
        <v>38.200000000000003</v>
      </c>
      <c r="E1162" s="110">
        <v>38.520000000000003</v>
      </c>
      <c r="F1162" s="110">
        <v>197.8</v>
      </c>
      <c r="G1162">
        <v>644126</v>
      </c>
      <c r="H1162" s="110"/>
      <c r="I1162" s="110"/>
      <c r="L1162" s="133">
        <v>43717</v>
      </c>
      <c r="M1162" s="110">
        <v>39.590000000000003</v>
      </c>
      <c r="N1162" s="110">
        <v>39.729999999999997</v>
      </c>
      <c r="O1162" s="110">
        <v>38.14</v>
      </c>
      <c r="P1162" s="110">
        <v>38.270000000000003</v>
      </c>
      <c r="Q1162" s="110">
        <v>197.95</v>
      </c>
      <c r="R1162">
        <v>9875391</v>
      </c>
    </row>
    <row r="1163" spans="1:18" x14ac:dyDescent="0.25">
      <c r="A1163" s="133">
        <v>43719</v>
      </c>
      <c r="B1163" s="110">
        <v>41.17</v>
      </c>
      <c r="C1163" s="110">
        <v>40.909999999999997</v>
      </c>
      <c r="D1163" s="110">
        <v>39.56</v>
      </c>
      <c r="E1163" s="110">
        <v>39.74</v>
      </c>
      <c r="F1163" s="110">
        <v>204.55</v>
      </c>
      <c r="G1163">
        <v>399154</v>
      </c>
      <c r="H1163" s="110"/>
      <c r="I1163" s="110"/>
      <c r="L1163" s="133">
        <v>43719</v>
      </c>
      <c r="M1163" s="110">
        <v>40.9</v>
      </c>
      <c r="N1163" s="110">
        <v>41.2</v>
      </c>
      <c r="O1163" s="110">
        <v>39.619999999999997</v>
      </c>
      <c r="P1163" s="110">
        <v>39.619999999999997</v>
      </c>
      <c r="Q1163" s="110">
        <v>204.5</v>
      </c>
      <c r="R1163">
        <v>8273809</v>
      </c>
    </row>
    <row r="1164" spans="1:18" x14ac:dyDescent="0.25">
      <c r="A1164" s="133">
        <v>43720</v>
      </c>
      <c r="B1164" s="110">
        <v>41.47</v>
      </c>
      <c r="C1164" s="110">
        <v>40.75</v>
      </c>
      <c r="D1164" s="110">
        <v>40.369999999999997</v>
      </c>
      <c r="E1164" s="110">
        <v>41</v>
      </c>
      <c r="F1164" s="110">
        <v>203.75</v>
      </c>
      <c r="G1164">
        <v>418449</v>
      </c>
      <c r="H1164" s="110"/>
      <c r="I1164" s="110"/>
      <c r="L1164" s="133">
        <v>43720</v>
      </c>
      <c r="M1164" s="110">
        <v>40.700000000000003</v>
      </c>
      <c r="N1164" s="110">
        <v>41.46</v>
      </c>
      <c r="O1164" s="110">
        <v>40.36</v>
      </c>
      <c r="P1164" s="110">
        <v>41</v>
      </c>
      <c r="Q1164" s="110">
        <v>203.5</v>
      </c>
      <c r="R1164">
        <v>7332279</v>
      </c>
    </row>
    <row r="1165" spans="1:18" x14ac:dyDescent="0.25">
      <c r="A1165" s="133">
        <v>43721</v>
      </c>
      <c r="B1165" s="110">
        <v>40.9</v>
      </c>
      <c r="C1165" s="110">
        <v>40.68</v>
      </c>
      <c r="D1165" s="110">
        <v>39.25</v>
      </c>
      <c r="E1165" s="110">
        <v>40.9</v>
      </c>
      <c r="F1165" s="110">
        <v>203.4</v>
      </c>
      <c r="G1165">
        <v>435967</v>
      </c>
      <c r="H1165" s="110"/>
      <c r="I1165" s="110"/>
      <c r="L1165" s="133">
        <v>43721</v>
      </c>
      <c r="M1165" s="110">
        <v>40.68</v>
      </c>
      <c r="N1165" s="110">
        <v>40.85</v>
      </c>
      <c r="O1165" s="110">
        <v>39.25</v>
      </c>
      <c r="P1165" s="110">
        <v>40.79</v>
      </c>
      <c r="Q1165" s="110">
        <v>203.4</v>
      </c>
      <c r="R1165">
        <v>8921381</v>
      </c>
    </row>
    <row r="1166" spans="1:18" x14ac:dyDescent="0.25">
      <c r="A1166" s="133">
        <v>43724</v>
      </c>
      <c r="B1166" s="110">
        <v>41.27</v>
      </c>
      <c r="C1166" s="110">
        <v>40.61</v>
      </c>
      <c r="D1166" s="110">
        <v>40.08</v>
      </c>
      <c r="E1166" s="110">
        <v>40.4</v>
      </c>
      <c r="F1166" s="110">
        <v>203.05</v>
      </c>
      <c r="G1166">
        <v>416240</v>
      </c>
      <c r="H1166" s="110"/>
      <c r="I1166" s="110"/>
      <c r="L1166" s="133">
        <v>43724</v>
      </c>
      <c r="M1166" s="110">
        <v>40.64</v>
      </c>
      <c r="N1166" s="110">
        <v>41.28</v>
      </c>
      <c r="O1166" s="110">
        <v>40.04</v>
      </c>
      <c r="P1166" s="110">
        <v>40.6</v>
      </c>
      <c r="Q1166" s="110">
        <v>203.2</v>
      </c>
      <c r="R1166">
        <v>6165228</v>
      </c>
    </row>
    <row r="1167" spans="1:18" x14ac:dyDescent="0.25">
      <c r="A1167" s="133">
        <v>43725</v>
      </c>
      <c r="B1167" s="110">
        <v>40.83</v>
      </c>
      <c r="C1167" s="110">
        <v>38.869999999999997</v>
      </c>
      <c r="D1167" s="110">
        <v>38.659999999999997</v>
      </c>
      <c r="E1167" s="110">
        <v>40.6</v>
      </c>
      <c r="F1167" s="110">
        <v>194.35</v>
      </c>
      <c r="G1167">
        <v>337073</v>
      </c>
      <c r="H1167" s="110"/>
      <c r="I1167" s="110"/>
      <c r="L1167" s="133">
        <v>43725</v>
      </c>
      <c r="M1167" s="110">
        <v>38.81</v>
      </c>
      <c r="N1167" s="110">
        <v>40.840000000000003</v>
      </c>
      <c r="O1167" s="110">
        <v>38.619999999999997</v>
      </c>
      <c r="P1167" s="110">
        <v>40.56</v>
      </c>
      <c r="Q1167" s="110">
        <v>194.05</v>
      </c>
      <c r="R1167">
        <v>7284359</v>
      </c>
    </row>
    <row r="1168" spans="1:18" x14ac:dyDescent="0.25">
      <c r="A1168" s="133">
        <v>43726</v>
      </c>
      <c r="B1168" s="110">
        <v>39.979999999999997</v>
      </c>
      <c r="C1168" s="110">
        <v>39.24</v>
      </c>
      <c r="D1168" s="110">
        <v>38.880000000000003</v>
      </c>
      <c r="E1168" s="110">
        <v>39.119999999999997</v>
      </c>
      <c r="F1168" s="110">
        <v>196.2</v>
      </c>
      <c r="G1168">
        <v>452733</v>
      </c>
      <c r="H1168" s="110"/>
      <c r="I1168" s="110"/>
      <c r="L1168" s="133">
        <v>43726</v>
      </c>
      <c r="M1168" s="110">
        <v>39.19</v>
      </c>
      <c r="N1168" s="110">
        <v>39.979999999999997</v>
      </c>
      <c r="O1168" s="110">
        <v>38.86</v>
      </c>
      <c r="P1168" s="110">
        <v>39.130000000000003</v>
      </c>
      <c r="Q1168" s="110">
        <v>195.95</v>
      </c>
      <c r="R1168">
        <v>7299908</v>
      </c>
    </row>
    <row r="1169" spans="1:18" x14ac:dyDescent="0.25">
      <c r="A1169" s="133">
        <v>43727</v>
      </c>
      <c r="B1169" s="110">
        <v>39.200000000000003</v>
      </c>
      <c r="C1169" s="110">
        <v>37.96</v>
      </c>
      <c r="D1169" s="110">
        <v>37.5</v>
      </c>
      <c r="E1169" s="110">
        <v>39.200000000000003</v>
      </c>
      <c r="F1169" s="110">
        <v>189.8</v>
      </c>
      <c r="G1169">
        <v>346067</v>
      </c>
      <c r="H1169" s="110"/>
      <c r="I1169" s="110"/>
      <c r="L1169" s="133">
        <v>43727</v>
      </c>
      <c r="M1169" s="110">
        <v>37.97</v>
      </c>
      <c r="N1169" s="110">
        <v>39.11</v>
      </c>
      <c r="O1169" s="110">
        <v>37.47</v>
      </c>
      <c r="P1169" s="110">
        <v>39</v>
      </c>
      <c r="Q1169" s="110">
        <v>189.85</v>
      </c>
      <c r="R1169">
        <v>8056753</v>
      </c>
    </row>
    <row r="1170" spans="1:18" x14ac:dyDescent="0.25">
      <c r="A1170" s="133">
        <v>43728</v>
      </c>
      <c r="B1170" s="110">
        <v>41.07</v>
      </c>
      <c r="C1170" s="110">
        <v>40.32</v>
      </c>
      <c r="D1170" s="110">
        <v>37.369999999999997</v>
      </c>
      <c r="E1170" s="110">
        <v>38.159999999999997</v>
      </c>
      <c r="F1170" s="110">
        <v>201.6</v>
      </c>
      <c r="G1170">
        <v>884172</v>
      </c>
      <c r="H1170" s="110"/>
      <c r="I1170" s="110"/>
      <c r="L1170" s="133">
        <v>43728</v>
      </c>
      <c r="M1170" s="110">
        <v>40.32</v>
      </c>
      <c r="N1170" s="110">
        <v>41.06</v>
      </c>
      <c r="O1170" s="110">
        <v>37.340000000000003</v>
      </c>
      <c r="P1170" s="110">
        <v>38.18</v>
      </c>
      <c r="Q1170" s="110">
        <v>201.6</v>
      </c>
      <c r="R1170">
        <v>14145805</v>
      </c>
    </row>
    <row r="1171" spans="1:18" x14ac:dyDescent="0.25">
      <c r="A1171" s="133">
        <v>43731</v>
      </c>
      <c r="B1171" s="110">
        <v>42.38</v>
      </c>
      <c r="C1171" s="110">
        <v>41.94</v>
      </c>
      <c r="D1171" s="110">
        <v>39.130000000000003</v>
      </c>
      <c r="E1171" s="110">
        <v>41.4</v>
      </c>
      <c r="F1171" s="110">
        <v>209.7</v>
      </c>
      <c r="G1171">
        <v>1107320</v>
      </c>
      <c r="H1171" s="110"/>
      <c r="I1171" s="110"/>
      <c r="L1171" s="133">
        <v>43731</v>
      </c>
      <c r="M1171" s="110">
        <v>41.95</v>
      </c>
      <c r="N1171" s="110">
        <v>42.44</v>
      </c>
      <c r="O1171" s="110">
        <v>39.11</v>
      </c>
      <c r="P1171" s="110">
        <v>41.4</v>
      </c>
      <c r="Q1171" s="110">
        <v>209.75</v>
      </c>
      <c r="R1171">
        <v>15645984</v>
      </c>
    </row>
    <row r="1172" spans="1:18" x14ac:dyDescent="0.25">
      <c r="A1172" s="133">
        <v>43732</v>
      </c>
      <c r="B1172" s="110">
        <v>42.3</v>
      </c>
      <c r="C1172" s="110">
        <v>40.65</v>
      </c>
      <c r="D1172" s="110">
        <v>40.24</v>
      </c>
      <c r="E1172" s="110">
        <v>42.3</v>
      </c>
      <c r="F1172" s="110">
        <v>203.25</v>
      </c>
      <c r="G1172">
        <v>482710</v>
      </c>
      <c r="H1172" s="110"/>
      <c r="I1172" s="110"/>
      <c r="L1172" s="133">
        <v>43732</v>
      </c>
      <c r="M1172" s="110">
        <v>40.65</v>
      </c>
      <c r="N1172" s="110">
        <v>42.14</v>
      </c>
      <c r="O1172" s="110">
        <v>40.24</v>
      </c>
      <c r="P1172" s="110">
        <v>42.14</v>
      </c>
      <c r="Q1172" s="110">
        <v>203.25</v>
      </c>
      <c r="R1172">
        <v>8709233</v>
      </c>
    </row>
    <row r="1173" spans="1:18" x14ac:dyDescent="0.25">
      <c r="A1173" s="133">
        <v>43733</v>
      </c>
      <c r="B1173" s="110">
        <v>40.54</v>
      </c>
      <c r="C1173" s="110">
        <v>38.369999999999997</v>
      </c>
      <c r="D1173" s="110">
        <v>38.1</v>
      </c>
      <c r="E1173" s="110">
        <v>40.54</v>
      </c>
      <c r="F1173" s="110">
        <v>191.85</v>
      </c>
      <c r="G1173">
        <v>429634</v>
      </c>
      <c r="H1173" s="110"/>
      <c r="I1173" s="110"/>
      <c r="L1173" s="133">
        <v>43733</v>
      </c>
      <c r="M1173" s="110">
        <v>38.35</v>
      </c>
      <c r="N1173" s="110">
        <v>40.4</v>
      </c>
      <c r="O1173" s="110">
        <v>38.08</v>
      </c>
      <c r="P1173" s="110">
        <v>40.4</v>
      </c>
      <c r="Q1173" s="110">
        <v>191.75</v>
      </c>
      <c r="R1173">
        <v>8344926</v>
      </c>
    </row>
    <row r="1174" spans="1:18" x14ac:dyDescent="0.25">
      <c r="A1174" s="133">
        <v>43734</v>
      </c>
      <c r="B1174" s="110">
        <v>39.65</v>
      </c>
      <c r="C1174" s="110">
        <v>38.549999999999997</v>
      </c>
      <c r="D1174" s="110">
        <v>38.32</v>
      </c>
      <c r="E1174" s="110">
        <v>39.4</v>
      </c>
      <c r="F1174" s="110">
        <v>192.75</v>
      </c>
      <c r="G1174">
        <v>483697</v>
      </c>
      <c r="H1174" s="110"/>
      <c r="I1174" s="110"/>
      <c r="L1174" s="133">
        <v>43734</v>
      </c>
      <c r="M1174" s="110">
        <v>38.54</v>
      </c>
      <c r="N1174" s="110">
        <v>39.64</v>
      </c>
      <c r="O1174" s="110">
        <v>38.299999999999997</v>
      </c>
      <c r="P1174" s="110">
        <v>38.61</v>
      </c>
      <c r="Q1174" s="110">
        <v>192.7</v>
      </c>
      <c r="R1174">
        <v>9451833</v>
      </c>
    </row>
    <row r="1175" spans="1:18" x14ac:dyDescent="0.25">
      <c r="A1175" s="133">
        <v>43735</v>
      </c>
      <c r="B1175" s="110">
        <v>38.92</v>
      </c>
      <c r="C1175" s="110">
        <v>37.93</v>
      </c>
      <c r="D1175" s="110">
        <v>37.72</v>
      </c>
      <c r="E1175" s="110">
        <v>38.69</v>
      </c>
      <c r="F1175" s="110">
        <v>189.65</v>
      </c>
      <c r="G1175">
        <v>531531</v>
      </c>
      <c r="H1175" s="110"/>
      <c r="I1175" s="110"/>
      <c r="L1175" s="133">
        <v>43735</v>
      </c>
      <c r="M1175" s="110">
        <v>37.92</v>
      </c>
      <c r="N1175" s="110">
        <v>38.93</v>
      </c>
      <c r="O1175" s="110">
        <v>37.700000000000003</v>
      </c>
      <c r="P1175" s="110">
        <v>38.6</v>
      </c>
      <c r="Q1175" s="110">
        <v>189.6</v>
      </c>
      <c r="R1175">
        <v>8621344</v>
      </c>
    </row>
    <row r="1176" spans="1:18" x14ac:dyDescent="0.25">
      <c r="A1176" s="133">
        <v>43738</v>
      </c>
      <c r="B1176" s="110">
        <v>38.36</v>
      </c>
      <c r="C1176" s="110">
        <v>36.46</v>
      </c>
      <c r="D1176" s="110">
        <v>36</v>
      </c>
      <c r="E1176" s="110">
        <v>38.36</v>
      </c>
      <c r="F1176" s="110">
        <v>182.3</v>
      </c>
      <c r="G1176">
        <v>597862</v>
      </c>
      <c r="H1176" s="110"/>
      <c r="I1176" s="110"/>
      <c r="L1176" s="133">
        <v>43738</v>
      </c>
      <c r="M1176" s="110">
        <v>36.479999999999997</v>
      </c>
      <c r="N1176" s="110">
        <v>38.14</v>
      </c>
      <c r="O1176" s="110">
        <v>36</v>
      </c>
      <c r="P1176" s="110">
        <v>38</v>
      </c>
      <c r="Q1176" s="110">
        <v>182.4</v>
      </c>
      <c r="R1176">
        <v>8821514</v>
      </c>
    </row>
    <row r="1177" spans="1:18" x14ac:dyDescent="0.25">
      <c r="A1177" s="133">
        <v>43739</v>
      </c>
      <c r="B1177" s="110">
        <v>37.14</v>
      </c>
      <c r="C1177" s="110">
        <v>35.58</v>
      </c>
      <c r="D1177" s="110">
        <v>34.11</v>
      </c>
      <c r="E1177" s="110">
        <v>36.5</v>
      </c>
      <c r="F1177" s="110">
        <v>177.9</v>
      </c>
      <c r="G1177">
        <v>664485</v>
      </c>
      <c r="H1177" s="110"/>
      <c r="I1177" s="110"/>
      <c r="L1177" s="133">
        <v>43739</v>
      </c>
      <c r="M1177" s="110">
        <v>35.619999999999997</v>
      </c>
      <c r="N1177" s="110">
        <v>37.15</v>
      </c>
      <c r="O1177" s="110">
        <v>34.119999999999997</v>
      </c>
      <c r="P1177" s="110">
        <v>36.700000000000003</v>
      </c>
      <c r="Q1177" s="110">
        <v>178.1</v>
      </c>
      <c r="R1177">
        <v>10789148</v>
      </c>
    </row>
    <row r="1178" spans="1:18" x14ac:dyDescent="0.25">
      <c r="A1178" s="133">
        <v>43741</v>
      </c>
      <c r="B1178" s="110">
        <v>36.75</v>
      </c>
      <c r="C1178" s="110">
        <v>36.28</v>
      </c>
      <c r="D1178" s="110">
        <v>35.04</v>
      </c>
      <c r="E1178" s="110">
        <v>35.65</v>
      </c>
      <c r="F1178" s="110">
        <v>181.4</v>
      </c>
      <c r="G1178">
        <v>418176</v>
      </c>
      <c r="H1178" s="110"/>
      <c r="I1178" s="110"/>
      <c r="L1178" s="133">
        <v>43741</v>
      </c>
      <c r="M1178" s="110">
        <v>36.28</v>
      </c>
      <c r="N1178" s="110">
        <v>36.75</v>
      </c>
      <c r="O1178" s="110">
        <v>35.020000000000003</v>
      </c>
      <c r="P1178" s="110">
        <v>35.26</v>
      </c>
      <c r="Q1178" s="110">
        <v>181.4</v>
      </c>
      <c r="R1178">
        <v>8064670</v>
      </c>
    </row>
    <row r="1179" spans="1:18" x14ac:dyDescent="0.25">
      <c r="A1179" s="133">
        <v>43742</v>
      </c>
      <c r="B1179" s="110">
        <v>37.14</v>
      </c>
      <c r="C1179" s="110">
        <v>36.01</v>
      </c>
      <c r="D1179" s="110">
        <v>35.659999999999997</v>
      </c>
      <c r="E1179" s="110">
        <v>36.89</v>
      </c>
      <c r="F1179" s="110">
        <v>180.05</v>
      </c>
      <c r="G1179">
        <v>504307</v>
      </c>
      <c r="H1179" s="110"/>
      <c r="I1179" s="110"/>
      <c r="L1179" s="133">
        <v>43742</v>
      </c>
      <c r="M1179" s="110">
        <v>36</v>
      </c>
      <c r="N1179" s="110">
        <v>37.14</v>
      </c>
      <c r="O1179" s="110">
        <v>35.65</v>
      </c>
      <c r="P1179" s="110">
        <v>36.6</v>
      </c>
      <c r="Q1179" s="110">
        <v>180</v>
      </c>
      <c r="R1179">
        <v>9213073</v>
      </c>
    </row>
    <row r="1180" spans="1:18" x14ac:dyDescent="0.25">
      <c r="A1180" s="133">
        <v>43745</v>
      </c>
      <c r="B1180" s="110">
        <v>36.520000000000003</v>
      </c>
      <c r="C1180" s="110">
        <v>35.86</v>
      </c>
      <c r="D1180" s="110">
        <v>35.590000000000003</v>
      </c>
      <c r="E1180" s="110">
        <v>36.4</v>
      </c>
      <c r="F1180" s="110">
        <v>179.3</v>
      </c>
      <c r="G1180">
        <v>371100</v>
      </c>
      <c r="H1180" s="110"/>
      <c r="I1180" s="110"/>
      <c r="L1180" s="133">
        <v>43745</v>
      </c>
      <c r="M1180" s="110">
        <v>35.880000000000003</v>
      </c>
      <c r="N1180" s="110">
        <v>36.53</v>
      </c>
      <c r="O1180" s="110">
        <v>35.6</v>
      </c>
      <c r="P1180" s="110">
        <v>36.229999999999997</v>
      </c>
      <c r="Q1180" s="110">
        <v>179.4</v>
      </c>
      <c r="R1180">
        <v>5630108</v>
      </c>
    </row>
    <row r="1181" spans="1:18" x14ac:dyDescent="0.25">
      <c r="A1181" s="133">
        <v>43747</v>
      </c>
      <c r="B1181" s="110">
        <v>37.11</v>
      </c>
      <c r="C1181" s="110">
        <v>36.81</v>
      </c>
      <c r="D1181" s="110">
        <v>34.880000000000003</v>
      </c>
      <c r="E1181" s="110">
        <v>35.92</v>
      </c>
      <c r="F1181" s="110">
        <v>184.05</v>
      </c>
      <c r="G1181">
        <v>514397</v>
      </c>
      <c r="H1181" s="110"/>
      <c r="I1181" s="110"/>
      <c r="L1181" s="133">
        <v>43747</v>
      </c>
      <c r="M1181" s="110">
        <v>36.85</v>
      </c>
      <c r="N1181" s="110">
        <v>37.14</v>
      </c>
      <c r="O1181" s="110">
        <v>34.86</v>
      </c>
      <c r="P1181" s="110">
        <v>35.72</v>
      </c>
      <c r="Q1181" s="110">
        <v>184.25</v>
      </c>
      <c r="R1181">
        <v>9177259</v>
      </c>
    </row>
    <row r="1182" spans="1:18" x14ac:dyDescent="0.25">
      <c r="A1182" s="133">
        <v>43748</v>
      </c>
      <c r="B1182" s="110">
        <v>36.76</v>
      </c>
      <c r="C1182" s="110">
        <v>35.61</v>
      </c>
      <c r="D1182" s="110">
        <v>35.36</v>
      </c>
      <c r="E1182" s="110">
        <v>36.76</v>
      </c>
      <c r="F1182" s="110">
        <v>178.05</v>
      </c>
      <c r="G1182">
        <v>309201</v>
      </c>
      <c r="H1182" s="110"/>
      <c r="I1182" s="110"/>
      <c r="L1182" s="133">
        <v>43748</v>
      </c>
      <c r="M1182" s="110">
        <v>35.619999999999997</v>
      </c>
      <c r="N1182" s="110">
        <v>36.74</v>
      </c>
      <c r="O1182" s="110">
        <v>35.33</v>
      </c>
      <c r="P1182" s="110">
        <v>36.6</v>
      </c>
      <c r="Q1182" s="110">
        <v>178.1</v>
      </c>
      <c r="R1182">
        <v>6430752</v>
      </c>
    </row>
    <row r="1183" spans="1:18" x14ac:dyDescent="0.25">
      <c r="A1183" s="133">
        <v>43749</v>
      </c>
      <c r="B1183" s="110">
        <v>36.35</v>
      </c>
      <c r="C1183" s="110">
        <v>35.799999999999997</v>
      </c>
      <c r="D1183" s="110">
        <v>35.11</v>
      </c>
      <c r="E1183" s="110">
        <v>35.799999999999997</v>
      </c>
      <c r="F1183" s="110">
        <v>179</v>
      </c>
      <c r="G1183">
        <v>323842</v>
      </c>
      <c r="H1183" s="110"/>
      <c r="I1183" s="110"/>
      <c r="L1183" s="133">
        <v>43749</v>
      </c>
      <c r="M1183" s="110">
        <v>35.81</v>
      </c>
      <c r="N1183" s="110">
        <v>36.35</v>
      </c>
      <c r="O1183" s="110">
        <v>35.119999999999997</v>
      </c>
      <c r="P1183" s="110">
        <v>35.799999999999997</v>
      </c>
      <c r="Q1183" s="110">
        <v>179.05</v>
      </c>
      <c r="R1183">
        <v>8450904</v>
      </c>
    </row>
    <row r="1184" spans="1:18" x14ac:dyDescent="0.25">
      <c r="A1184" s="133">
        <v>43752</v>
      </c>
      <c r="B1184" s="110">
        <v>36.72</v>
      </c>
      <c r="C1184" s="110">
        <v>35.85</v>
      </c>
      <c r="D1184" s="110">
        <v>35.65</v>
      </c>
      <c r="E1184" s="110">
        <v>36.200000000000003</v>
      </c>
      <c r="F1184" s="110">
        <v>179.25</v>
      </c>
      <c r="G1184">
        <v>247351</v>
      </c>
      <c r="H1184" s="110"/>
      <c r="I1184" s="110"/>
      <c r="L1184" s="133">
        <v>43752</v>
      </c>
      <c r="M1184" s="110">
        <v>35.840000000000003</v>
      </c>
      <c r="N1184" s="110">
        <v>36.74</v>
      </c>
      <c r="O1184" s="110">
        <v>35.619999999999997</v>
      </c>
      <c r="P1184" s="110">
        <v>36</v>
      </c>
      <c r="Q1184" s="110">
        <v>179.2</v>
      </c>
      <c r="R1184">
        <v>6580725</v>
      </c>
    </row>
    <row r="1185" spans="1:18" x14ac:dyDescent="0.25">
      <c r="A1185" s="133">
        <v>43753</v>
      </c>
      <c r="B1185" s="110">
        <v>36.36</v>
      </c>
      <c r="C1185" s="110">
        <v>36.119999999999997</v>
      </c>
      <c r="D1185" s="110">
        <v>35.380000000000003</v>
      </c>
      <c r="E1185" s="110">
        <v>35.950000000000003</v>
      </c>
      <c r="F1185" s="110">
        <v>180.6</v>
      </c>
      <c r="G1185">
        <v>327892</v>
      </c>
      <c r="H1185" s="110"/>
      <c r="I1185" s="110"/>
      <c r="L1185" s="133">
        <v>43753</v>
      </c>
      <c r="M1185" s="110">
        <v>36.119999999999997</v>
      </c>
      <c r="N1185" s="110">
        <v>36.369999999999997</v>
      </c>
      <c r="O1185" s="110">
        <v>35.36</v>
      </c>
      <c r="P1185" s="110">
        <v>35.9</v>
      </c>
      <c r="Q1185" s="110">
        <v>180.6</v>
      </c>
      <c r="R1185">
        <v>6716299</v>
      </c>
    </row>
    <row r="1186" spans="1:18" x14ac:dyDescent="0.25">
      <c r="A1186" s="133">
        <v>43754</v>
      </c>
      <c r="B1186" s="110">
        <v>36.54</v>
      </c>
      <c r="C1186" s="110">
        <v>36</v>
      </c>
      <c r="D1186" s="110">
        <v>35.71</v>
      </c>
      <c r="E1186" s="110">
        <v>36.32</v>
      </c>
      <c r="F1186" s="110">
        <v>180</v>
      </c>
      <c r="G1186">
        <v>206311</v>
      </c>
      <c r="H1186" s="110"/>
      <c r="I1186" s="110"/>
      <c r="L1186" s="133">
        <v>43754</v>
      </c>
      <c r="M1186" s="110">
        <v>36.020000000000003</v>
      </c>
      <c r="N1186" s="110">
        <v>36.56</v>
      </c>
      <c r="O1186" s="110">
        <v>35.71</v>
      </c>
      <c r="P1186" s="110">
        <v>36.35</v>
      </c>
      <c r="Q1186" s="110">
        <v>180.1</v>
      </c>
      <c r="R1186">
        <v>5930463</v>
      </c>
    </row>
    <row r="1187" spans="1:18" x14ac:dyDescent="0.25">
      <c r="A1187" s="133">
        <v>43755</v>
      </c>
      <c r="B1187" s="110">
        <v>37.42</v>
      </c>
      <c r="C1187" s="110">
        <v>37.299999999999997</v>
      </c>
      <c r="D1187" s="110">
        <v>35.799999999999997</v>
      </c>
      <c r="E1187" s="110">
        <v>36</v>
      </c>
      <c r="F1187" s="110">
        <v>186.5</v>
      </c>
      <c r="G1187">
        <v>267225</v>
      </c>
      <c r="H1187" s="110"/>
      <c r="I1187" s="110"/>
      <c r="L1187" s="133">
        <v>43755</v>
      </c>
      <c r="M1187" s="110">
        <v>37.299999999999997</v>
      </c>
      <c r="N1187" s="110">
        <v>37.450000000000003</v>
      </c>
      <c r="O1187" s="110">
        <v>35.76</v>
      </c>
      <c r="P1187" s="110">
        <v>35.979999999999997</v>
      </c>
      <c r="Q1187" s="110">
        <v>186.5</v>
      </c>
      <c r="R1187">
        <v>7640363</v>
      </c>
    </row>
    <row r="1188" spans="1:18" x14ac:dyDescent="0.25">
      <c r="A1188" s="133">
        <v>43756</v>
      </c>
      <c r="B1188" s="110">
        <v>37.99</v>
      </c>
      <c r="C1188" s="110">
        <v>37.770000000000003</v>
      </c>
      <c r="D1188" s="110">
        <v>37.049999999999997</v>
      </c>
      <c r="E1188" s="110">
        <v>37.31</v>
      </c>
      <c r="F1188" s="110">
        <v>188.85</v>
      </c>
      <c r="G1188">
        <v>271631</v>
      </c>
      <c r="H1188" s="110"/>
      <c r="I1188" s="110"/>
      <c r="L1188" s="133">
        <v>43756</v>
      </c>
      <c r="M1188" s="110">
        <v>37.770000000000003</v>
      </c>
      <c r="N1188" s="110">
        <v>38</v>
      </c>
      <c r="O1188" s="110">
        <v>37</v>
      </c>
      <c r="P1188" s="110">
        <v>37.200000000000003</v>
      </c>
      <c r="Q1188" s="110">
        <v>188.85</v>
      </c>
      <c r="R1188">
        <v>6751345</v>
      </c>
    </row>
    <row r="1189" spans="1:18" x14ac:dyDescent="0.25">
      <c r="A1189" s="133">
        <v>43760</v>
      </c>
      <c r="B1189" s="110">
        <v>39.04</v>
      </c>
      <c r="C1189" s="110">
        <v>37.93</v>
      </c>
      <c r="D1189" s="110">
        <v>37.57</v>
      </c>
      <c r="E1189" s="110">
        <v>37.770000000000003</v>
      </c>
      <c r="F1189" s="110">
        <v>189.65</v>
      </c>
      <c r="G1189">
        <v>276099</v>
      </c>
      <c r="H1189" s="110"/>
      <c r="I1189" s="110"/>
      <c r="L1189" s="133">
        <v>43760</v>
      </c>
      <c r="M1189" s="110">
        <v>37.94</v>
      </c>
      <c r="N1189" s="110">
        <v>39.04</v>
      </c>
      <c r="O1189" s="110">
        <v>37.54</v>
      </c>
      <c r="P1189" s="110">
        <v>37.700000000000003</v>
      </c>
      <c r="Q1189" s="110">
        <v>189.7</v>
      </c>
      <c r="R1189">
        <v>6362785</v>
      </c>
    </row>
    <row r="1190" spans="1:18" x14ac:dyDescent="0.25">
      <c r="A1190" s="133">
        <v>43761</v>
      </c>
      <c r="B1190" s="110">
        <v>38.72</v>
      </c>
      <c r="C1190" s="110">
        <v>38.299999999999997</v>
      </c>
      <c r="D1190" s="110">
        <v>37.479999999999997</v>
      </c>
      <c r="E1190" s="110">
        <v>37.979999999999997</v>
      </c>
      <c r="F1190" s="110">
        <v>191.5</v>
      </c>
      <c r="G1190">
        <v>717873</v>
      </c>
      <c r="H1190" s="110"/>
      <c r="I1190" s="110"/>
      <c r="L1190" s="133">
        <v>43761</v>
      </c>
      <c r="M1190" s="110">
        <v>38.31</v>
      </c>
      <c r="N1190" s="110">
        <v>38.75</v>
      </c>
      <c r="O1190" s="110">
        <v>37.46</v>
      </c>
      <c r="P1190" s="110">
        <v>38</v>
      </c>
      <c r="Q1190" s="110">
        <v>191.55</v>
      </c>
      <c r="R1190">
        <v>5857194</v>
      </c>
    </row>
    <row r="1191" spans="1:18" x14ac:dyDescent="0.25">
      <c r="A1191" s="133">
        <v>43762</v>
      </c>
      <c r="B1191" s="110">
        <v>38.94</v>
      </c>
      <c r="C1191" s="110">
        <v>37.53</v>
      </c>
      <c r="D1191" s="110">
        <v>36.86</v>
      </c>
      <c r="E1191" s="110">
        <v>38.94</v>
      </c>
      <c r="F1191" s="110">
        <v>187.65</v>
      </c>
      <c r="G1191">
        <v>313779</v>
      </c>
      <c r="H1191" s="110"/>
      <c r="I1191" s="110"/>
      <c r="L1191" s="133">
        <v>43762</v>
      </c>
      <c r="M1191" s="110">
        <v>37.520000000000003</v>
      </c>
      <c r="N1191" s="110">
        <v>38.57</v>
      </c>
      <c r="O1191" s="110">
        <v>36.840000000000003</v>
      </c>
      <c r="P1191" s="110">
        <v>38.57</v>
      </c>
      <c r="Q1191" s="110">
        <v>187.6</v>
      </c>
      <c r="R1191">
        <v>7641031</v>
      </c>
    </row>
    <row r="1192" spans="1:18" x14ac:dyDescent="0.25">
      <c r="A1192" s="133">
        <v>43763</v>
      </c>
      <c r="B1192" s="110">
        <v>38.770000000000003</v>
      </c>
      <c r="C1192" s="110">
        <v>38.51</v>
      </c>
      <c r="D1192" s="110">
        <v>37.14</v>
      </c>
      <c r="E1192" s="110">
        <v>37.6</v>
      </c>
      <c r="F1192" s="110">
        <v>192.55</v>
      </c>
      <c r="G1192">
        <v>432427</v>
      </c>
      <c r="H1192" s="110"/>
      <c r="I1192" s="110"/>
      <c r="L1192" s="133">
        <v>43763</v>
      </c>
      <c r="M1192" s="110">
        <v>38.54</v>
      </c>
      <c r="N1192" s="110">
        <v>38.78</v>
      </c>
      <c r="O1192" s="110">
        <v>37.130000000000003</v>
      </c>
      <c r="P1192" s="110">
        <v>37.700000000000003</v>
      </c>
      <c r="Q1192" s="110">
        <v>192.7</v>
      </c>
      <c r="R1192">
        <v>7565309</v>
      </c>
    </row>
    <row r="1193" spans="1:18" x14ac:dyDescent="0.25">
      <c r="A1193" s="133">
        <v>43765</v>
      </c>
      <c r="B1193" s="110">
        <v>39</v>
      </c>
      <c r="C1193" s="110">
        <v>38.53</v>
      </c>
      <c r="D1193" s="110">
        <v>38.4</v>
      </c>
      <c r="E1193" s="110">
        <v>39</v>
      </c>
      <c r="F1193" s="110">
        <v>192.65</v>
      </c>
      <c r="G1193">
        <v>9164</v>
      </c>
      <c r="H1193" s="110"/>
      <c r="I1193" s="110"/>
      <c r="L1193" s="133">
        <v>43765</v>
      </c>
      <c r="M1193" s="110">
        <v>38.5</v>
      </c>
      <c r="N1193" s="110">
        <v>38.799999999999997</v>
      </c>
      <c r="O1193" s="110">
        <v>38.369999999999997</v>
      </c>
      <c r="P1193" s="110">
        <v>38.799999999999997</v>
      </c>
      <c r="Q1193" s="110">
        <v>192.5</v>
      </c>
      <c r="R1193">
        <v>521706</v>
      </c>
    </row>
    <row r="1194" spans="1:18" x14ac:dyDescent="0.25">
      <c r="A1194" s="133">
        <v>43767</v>
      </c>
      <c r="B1194" s="110">
        <v>39.69</v>
      </c>
      <c r="C1194" s="110">
        <v>39.020000000000003</v>
      </c>
      <c r="D1194" s="110">
        <v>38.28</v>
      </c>
      <c r="E1194" s="110">
        <v>38.42</v>
      </c>
      <c r="F1194" s="110">
        <v>195.1</v>
      </c>
      <c r="G1194">
        <v>231411</v>
      </c>
      <c r="H1194" s="110"/>
      <c r="I1194" s="110"/>
      <c r="L1194" s="133">
        <v>43767</v>
      </c>
      <c r="M1194" s="110">
        <v>39.049999999999997</v>
      </c>
      <c r="N1194" s="110">
        <v>39.68</v>
      </c>
      <c r="O1194" s="110">
        <v>38.299999999999997</v>
      </c>
      <c r="P1194" s="110">
        <v>38.4</v>
      </c>
      <c r="Q1194" s="110">
        <v>195.25</v>
      </c>
      <c r="R1194">
        <v>5772432</v>
      </c>
    </row>
    <row r="1195" spans="1:18" x14ac:dyDescent="0.25">
      <c r="A1195" s="133">
        <v>43768</v>
      </c>
      <c r="B1195" s="110">
        <v>40.43</v>
      </c>
      <c r="C1195" s="110">
        <v>40.03</v>
      </c>
      <c r="D1195" s="110">
        <v>38.82</v>
      </c>
      <c r="E1195" s="110">
        <v>39.200000000000003</v>
      </c>
      <c r="F1195" s="110">
        <v>200.15</v>
      </c>
      <c r="G1195">
        <v>391400</v>
      </c>
      <c r="H1195" s="110"/>
      <c r="I1195" s="110"/>
      <c r="L1195" s="133">
        <v>43768</v>
      </c>
      <c r="M1195" s="110">
        <v>40.01</v>
      </c>
      <c r="N1195" s="110">
        <v>40.42</v>
      </c>
      <c r="O1195" s="110">
        <v>38.83</v>
      </c>
      <c r="P1195" s="110">
        <v>39.200000000000003</v>
      </c>
      <c r="Q1195" s="110">
        <v>200.05</v>
      </c>
      <c r="R1195">
        <v>7626092</v>
      </c>
    </row>
    <row r="1196" spans="1:18" x14ac:dyDescent="0.25">
      <c r="A1196" s="133">
        <v>43769</v>
      </c>
      <c r="B1196" s="110">
        <v>41.81</v>
      </c>
      <c r="C1196" s="110">
        <v>40.729999999999997</v>
      </c>
      <c r="D1196" s="110">
        <v>40.03</v>
      </c>
      <c r="E1196" s="110">
        <v>40.04</v>
      </c>
      <c r="F1196" s="110">
        <v>203.65</v>
      </c>
      <c r="G1196">
        <v>472948</v>
      </c>
      <c r="H1196" s="110"/>
      <c r="I1196" s="110"/>
      <c r="L1196" s="133">
        <v>43769</v>
      </c>
      <c r="M1196" s="110">
        <v>40.71</v>
      </c>
      <c r="N1196" s="110">
        <v>41.82</v>
      </c>
      <c r="O1196" s="110">
        <v>40.1</v>
      </c>
      <c r="P1196" s="110">
        <v>40.22</v>
      </c>
      <c r="Q1196" s="110">
        <v>203.55</v>
      </c>
      <c r="R1196">
        <v>11153307</v>
      </c>
    </row>
    <row r="1197" spans="1:18" x14ac:dyDescent="0.25">
      <c r="A1197" s="133">
        <v>43770</v>
      </c>
      <c r="B1197" s="110">
        <v>41.99</v>
      </c>
      <c r="C1197" s="110">
        <v>41.45</v>
      </c>
      <c r="D1197" s="110">
        <v>40.549999999999997</v>
      </c>
      <c r="E1197" s="110">
        <v>40.75</v>
      </c>
      <c r="F1197" s="110">
        <v>207.25</v>
      </c>
      <c r="G1197">
        <v>414033</v>
      </c>
      <c r="H1197" s="110"/>
      <c r="I1197" s="110"/>
      <c r="L1197" s="133">
        <v>43770</v>
      </c>
      <c r="M1197" s="110">
        <v>41.42</v>
      </c>
      <c r="N1197" s="110">
        <v>41.98</v>
      </c>
      <c r="O1197" s="110">
        <v>40.520000000000003</v>
      </c>
      <c r="P1197" s="110">
        <v>40.74</v>
      </c>
      <c r="Q1197" s="110">
        <v>207.1</v>
      </c>
      <c r="R1197">
        <v>8367769</v>
      </c>
    </row>
    <row r="1198" spans="1:18" x14ac:dyDescent="0.25">
      <c r="A1198" s="133">
        <v>43773</v>
      </c>
      <c r="B1198" s="110">
        <v>42.31</v>
      </c>
      <c r="C1198" s="110">
        <v>41.58</v>
      </c>
      <c r="D1198" s="110">
        <v>41.35</v>
      </c>
      <c r="E1198" s="110">
        <v>41.45</v>
      </c>
      <c r="F1198" s="110">
        <v>207.9</v>
      </c>
      <c r="G1198">
        <v>276204</v>
      </c>
      <c r="H1198" s="110"/>
      <c r="I1198" s="110"/>
      <c r="L1198" s="133">
        <v>43773</v>
      </c>
      <c r="M1198" s="110">
        <v>41.57</v>
      </c>
      <c r="N1198" s="110">
        <v>42.32</v>
      </c>
      <c r="O1198" s="110">
        <v>41.33</v>
      </c>
      <c r="P1198" s="110">
        <v>41.6</v>
      </c>
      <c r="Q1198" s="110">
        <v>207.85</v>
      </c>
      <c r="R1198">
        <v>6348189</v>
      </c>
    </row>
    <row r="1199" spans="1:18" x14ac:dyDescent="0.25">
      <c r="A1199" s="133">
        <v>43774</v>
      </c>
      <c r="B1199" s="110">
        <v>42.72</v>
      </c>
      <c r="C1199" s="110">
        <v>41.35</v>
      </c>
      <c r="D1199" s="110">
        <v>41.2</v>
      </c>
      <c r="E1199" s="110">
        <v>41.85</v>
      </c>
      <c r="F1199" s="110">
        <v>206.75</v>
      </c>
      <c r="G1199">
        <v>475896</v>
      </c>
      <c r="H1199" s="110"/>
      <c r="I1199" s="110"/>
      <c r="L1199" s="133">
        <v>43774</v>
      </c>
      <c r="M1199" s="110">
        <v>41.36</v>
      </c>
      <c r="N1199" s="110">
        <v>42.73</v>
      </c>
      <c r="O1199" s="110">
        <v>41.05</v>
      </c>
      <c r="P1199" s="110">
        <v>41.6</v>
      </c>
      <c r="Q1199" s="110">
        <v>206.8</v>
      </c>
      <c r="R1199">
        <v>10318146</v>
      </c>
    </row>
    <row r="1200" spans="1:18" x14ac:dyDescent="0.25">
      <c r="A1200" s="133">
        <v>43775</v>
      </c>
      <c r="B1200" s="110">
        <v>42.91</v>
      </c>
      <c r="C1200" s="110">
        <v>42.17</v>
      </c>
      <c r="D1200" s="110">
        <v>40.46</v>
      </c>
      <c r="E1200" s="110">
        <v>41.54</v>
      </c>
      <c r="F1200" s="110">
        <v>210.85</v>
      </c>
      <c r="G1200">
        <v>1118634</v>
      </c>
      <c r="H1200" s="110"/>
      <c r="I1200" s="110"/>
      <c r="L1200" s="133">
        <v>43775</v>
      </c>
      <c r="M1200" s="110">
        <v>42.18</v>
      </c>
      <c r="N1200" s="110">
        <v>42.9</v>
      </c>
      <c r="O1200" s="110">
        <v>40.450000000000003</v>
      </c>
      <c r="P1200" s="110">
        <v>41.36</v>
      </c>
      <c r="Q1200" s="110">
        <v>210.9</v>
      </c>
      <c r="R1200">
        <v>18828663</v>
      </c>
    </row>
    <row r="1201" spans="1:18" x14ac:dyDescent="0.25">
      <c r="A1201" s="133">
        <v>43776</v>
      </c>
      <c r="B1201" s="110">
        <v>43.02</v>
      </c>
      <c r="C1201" s="110">
        <v>41.9</v>
      </c>
      <c r="D1201" s="110">
        <v>41.69</v>
      </c>
      <c r="E1201" s="110">
        <v>42.78</v>
      </c>
      <c r="F1201" s="110">
        <v>209.5</v>
      </c>
      <c r="G1201">
        <v>339880</v>
      </c>
      <c r="H1201" s="110"/>
      <c r="I1201" s="110"/>
      <c r="L1201" s="133">
        <v>43776</v>
      </c>
      <c r="M1201" s="110">
        <v>41.92</v>
      </c>
      <c r="N1201" s="110">
        <v>43</v>
      </c>
      <c r="O1201" s="110">
        <v>41.67</v>
      </c>
      <c r="P1201" s="110">
        <v>42.79</v>
      </c>
      <c r="Q1201" s="110">
        <v>209.6</v>
      </c>
      <c r="R1201">
        <v>8214699</v>
      </c>
    </row>
    <row r="1202" spans="1:18" x14ac:dyDescent="0.25">
      <c r="A1202" s="133">
        <v>43777</v>
      </c>
      <c r="B1202" s="110">
        <v>41.81</v>
      </c>
      <c r="C1202" s="110">
        <v>40.270000000000003</v>
      </c>
      <c r="D1202" s="110">
        <v>40.06</v>
      </c>
      <c r="E1202" s="110">
        <v>41.61</v>
      </c>
      <c r="F1202" s="110">
        <v>201.35</v>
      </c>
      <c r="G1202">
        <v>1541892</v>
      </c>
      <c r="H1202" s="110"/>
      <c r="I1202" s="110"/>
      <c r="L1202" s="133">
        <v>43777</v>
      </c>
      <c r="M1202" s="110">
        <v>40.270000000000003</v>
      </c>
      <c r="N1202" s="110">
        <v>41.85</v>
      </c>
      <c r="O1202" s="110">
        <v>40.08</v>
      </c>
      <c r="P1202" s="110">
        <v>41.7</v>
      </c>
      <c r="Q1202" s="110">
        <v>201.35</v>
      </c>
      <c r="R1202">
        <v>7691214</v>
      </c>
    </row>
    <row r="1203" spans="1:18" x14ac:dyDescent="0.25">
      <c r="A1203" s="133">
        <v>43780</v>
      </c>
      <c r="B1203" s="110">
        <v>40.799999999999997</v>
      </c>
      <c r="C1203" s="110">
        <v>40.72</v>
      </c>
      <c r="D1203" s="110">
        <v>39.83</v>
      </c>
      <c r="E1203" s="110">
        <v>40.32</v>
      </c>
      <c r="F1203" s="110">
        <v>203.6</v>
      </c>
      <c r="G1203">
        <v>199485</v>
      </c>
      <c r="H1203" s="110"/>
      <c r="I1203" s="110"/>
      <c r="L1203" s="133">
        <v>43780</v>
      </c>
      <c r="M1203" s="110">
        <v>40.68</v>
      </c>
      <c r="N1203" s="110">
        <v>40.82</v>
      </c>
      <c r="O1203" s="110">
        <v>39.799999999999997</v>
      </c>
      <c r="P1203" s="110">
        <v>40.17</v>
      </c>
      <c r="Q1203" s="110">
        <v>203.4</v>
      </c>
      <c r="R1203">
        <v>6452868</v>
      </c>
    </row>
    <row r="1204" spans="1:18" x14ac:dyDescent="0.25">
      <c r="A1204" s="133">
        <v>43782</v>
      </c>
      <c r="B1204" s="110">
        <v>40.94</v>
      </c>
      <c r="C1204" s="110">
        <v>39.369999999999997</v>
      </c>
      <c r="D1204" s="110">
        <v>39.19</v>
      </c>
      <c r="E1204" s="110">
        <v>40.5</v>
      </c>
      <c r="F1204" s="110">
        <v>196.85</v>
      </c>
      <c r="G1204">
        <v>189005</v>
      </c>
      <c r="H1204" s="110"/>
      <c r="I1204" s="110"/>
      <c r="L1204" s="133">
        <v>43782</v>
      </c>
      <c r="M1204" s="110">
        <v>39.39</v>
      </c>
      <c r="N1204" s="110">
        <v>40.93</v>
      </c>
      <c r="O1204" s="110">
        <v>39.21</v>
      </c>
      <c r="P1204" s="110">
        <v>40.68</v>
      </c>
      <c r="Q1204" s="110">
        <v>196.95</v>
      </c>
      <c r="R1204">
        <v>5466935</v>
      </c>
    </row>
    <row r="1205" spans="1:18" x14ac:dyDescent="0.25">
      <c r="A1205" s="133">
        <v>43783</v>
      </c>
      <c r="B1205" s="110">
        <v>40.28</v>
      </c>
      <c r="C1205" s="110">
        <v>40.03</v>
      </c>
      <c r="D1205" s="110">
        <v>38.76</v>
      </c>
      <c r="E1205" s="110">
        <v>39.869999999999997</v>
      </c>
      <c r="F1205" s="110">
        <v>200.15</v>
      </c>
      <c r="G1205">
        <v>304901</v>
      </c>
      <c r="H1205" s="110"/>
      <c r="I1205" s="110"/>
      <c r="L1205" s="133">
        <v>43783</v>
      </c>
      <c r="M1205" s="110">
        <v>40.020000000000003</v>
      </c>
      <c r="N1205" s="110">
        <v>40.29</v>
      </c>
      <c r="O1205" s="110">
        <v>38.74</v>
      </c>
      <c r="P1205" s="110">
        <v>39.58</v>
      </c>
      <c r="Q1205" s="110">
        <v>200.1</v>
      </c>
      <c r="R1205">
        <v>6630768</v>
      </c>
    </row>
    <row r="1206" spans="1:18" x14ac:dyDescent="0.25">
      <c r="A1206" s="133">
        <v>43784</v>
      </c>
      <c r="B1206" s="110">
        <v>42.82</v>
      </c>
      <c r="C1206" s="110">
        <v>41.04</v>
      </c>
      <c r="D1206" s="110">
        <v>40.6</v>
      </c>
      <c r="E1206" s="110">
        <v>40.76</v>
      </c>
      <c r="F1206" s="110">
        <v>205.2</v>
      </c>
      <c r="G1206">
        <v>2005075</v>
      </c>
      <c r="H1206" s="110"/>
      <c r="I1206" s="110"/>
      <c r="L1206" s="133">
        <v>43784</v>
      </c>
      <c r="M1206" s="110">
        <v>41.04</v>
      </c>
      <c r="N1206" s="110">
        <v>42.88</v>
      </c>
      <c r="O1206" s="110">
        <v>40.51</v>
      </c>
      <c r="P1206" s="110">
        <v>40.700000000000003</v>
      </c>
      <c r="Q1206" s="110">
        <v>205.2</v>
      </c>
      <c r="R1206">
        <v>21438479</v>
      </c>
    </row>
    <row r="1207" spans="1:18" x14ac:dyDescent="0.25">
      <c r="A1207" s="133">
        <v>43787</v>
      </c>
      <c r="B1207" s="110">
        <v>42.28</v>
      </c>
      <c r="C1207" s="110">
        <v>42.17</v>
      </c>
      <c r="D1207" s="110">
        <v>41.08</v>
      </c>
      <c r="E1207" s="110">
        <v>41.6</v>
      </c>
      <c r="F1207" s="110">
        <v>210.85</v>
      </c>
      <c r="G1207">
        <v>290642</v>
      </c>
      <c r="H1207" s="110"/>
      <c r="I1207" s="110"/>
      <c r="L1207" s="133">
        <v>43787</v>
      </c>
      <c r="M1207" s="110">
        <v>42.16</v>
      </c>
      <c r="N1207" s="110">
        <v>42.29</v>
      </c>
      <c r="O1207" s="110">
        <v>41.06</v>
      </c>
      <c r="P1207" s="110">
        <v>41.36</v>
      </c>
      <c r="Q1207" s="110">
        <v>210.8</v>
      </c>
      <c r="R1207">
        <v>9063595</v>
      </c>
    </row>
    <row r="1208" spans="1:18" x14ac:dyDescent="0.25">
      <c r="A1208" s="133">
        <v>43788</v>
      </c>
      <c r="B1208" s="110">
        <v>44.58</v>
      </c>
      <c r="C1208" s="110">
        <v>44.22</v>
      </c>
      <c r="D1208" s="110">
        <v>41.91</v>
      </c>
      <c r="E1208" s="110">
        <v>42.6</v>
      </c>
      <c r="F1208" s="110">
        <v>221.1</v>
      </c>
      <c r="G1208">
        <v>728920</v>
      </c>
      <c r="H1208" s="110"/>
      <c r="I1208" s="110"/>
      <c r="L1208" s="133">
        <v>43788</v>
      </c>
      <c r="M1208" s="110">
        <v>44.23</v>
      </c>
      <c r="N1208" s="110">
        <v>44.6</v>
      </c>
      <c r="O1208" s="110">
        <v>41.88</v>
      </c>
      <c r="P1208" s="110">
        <v>42.18</v>
      </c>
      <c r="Q1208" s="110">
        <v>221.15</v>
      </c>
      <c r="R1208">
        <v>16903143</v>
      </c>
    </row>
    <row r="1209" spans="1:18" x14ac:dyDescent="0.25">
      <c r="A1209" s="133">
        <v>43789</v>
      </c>
      <c r="B1209" s="110">
        <v>45.63</v>
      </c>
      <c r="C1209" s="110">
        <v>44.5</v>
      </c>
      <c r="D1209" s="110">
        <v>44.09</v>
      </c>
      <c r="E1209" s="110">
        <v>44.93</v>
      </c>
      <c r="F1209" s="110">
        <v>222.5</v>
      </c>
      <c r="G1209">
        <v>619333</v>
      </c>
      <c r="H1209" s="110"/>
      <c r="I1209" s="110"/>
      <c r="L1209" s="133">
        <v>43789</v>
      </c>
      <c r="M1209" s="110">
        <v>44.5</v>
      </c>
      <c r="N1209" s="110">
        <v>45.63</v>
      </c>
      <c r="O1209" s="110">
        <v>44.04</v>
      </c>
      <c r="P1209" s="110">
        <v>44.8</v>
      </c>
      <c r="Q1209" s="110">
        <v>222.5</v>
      </c>
      <c r="R1209">
        <v>16373708</v>
      </c>
    </row>
    <row r="1210" spans="1:18" x14ac:dyDescent="0.25">
      <c r="A1210" s="133">
        <v>43790</v>
      </c>
      <c r="B1210" s="110">
        <v>45.3</v>
      </c>
      <c r="C1210" s="110">
        <v>44.36</v>
      </c>
      <c r="D1210" s="110">
        <v>44.17</v>
      </c>
      <c r="E1210" s="110">
        <v>45.18</v>
      </c>
      <c r="F1210" s="110">
        <v>221.8</v>
      </c>
      <c r="G1210">
        <v>409827</v>
      </c>
      <c r="H1210" s="110"/>
      <c r="I1210" s="110"/>
      <c r="L1210" s="133">
        <v>43790</v>
      </c>
      <c r="M1210" s="110">
        <v>44.37</v>
      </c>
      <c r="N1210" s="110">
        <v>45.31</v>
      </c>
      <c r="O1210" s="110">
        <v>44.17</v>
      </c>
      <c r="P1210" s="110">
        <v>45</v>
      </c>
      <c r="Q1210" s="110">
        <v>221.85</v>
      </c>
      <c r="R1210">
        <v>8721292</v>
      </c>
    </row>
    <row r="1211" spans="1:18" x14ac:dyDescent="0.25">
      <c r="A1211" s="133">
        <v>43791</v>
      </c>
      <c r="B1211" s="110">
        <v>45.2</v>
      </c>
      <c r="C1211" s="110">
        <v>44.25</v>
      </c>
      <c r="D1211" s="110">
        <v>44.08</v>
      </c>
      <c r="E1211" s="110">
        <v>44.9</v>
      </c>
      <c r="F1211" s="110">
        <v>221.25</v>
      </c>
      <c r="G1211">
        <v>355700</v>
      </c>
      <c r="H1211" s="110"/>
      <c r="I1211" s="110"/>
      <c r="L1211" s="133">
        <v>43791</v>
      </c>
      <c r="M1211" s="110">
        <v>44.24</v>
      </c>
      <c r="N1211" s="110">
        <v>45.2</v>
      </c>
      <c r="O1211" s="110">
        <v>44.06</v>
      </c>
      <c r="P1211" s="110">
        <v>44.36</v>
      </c>
      <c r="Q1211" s="110">
        <v>221.2</v>
      </c>
      <c r="R1211">
        <v>8416415</v>
      </c>
    </row>
    <row r="1212" spans="1:18" x14ac:dyDescent="0.25">
      <c r="A1212" s="133">
        <v>43794</v>
      </c>
      <c r="B1212" s="110">
        <v>45.46</v>
      </c>
      <c r="C1212" s="110">
        <v>45.3</v>
      </c>
      <c r="D1212" s="110">
        <v>44.22</v>
      </c>
      <c r="E1212" s="110">
        <v>44.54</v>
      </c>
      <c r="F1212" s="110">
        <v>226.5</v>
      </c>
      <c r="G1212">
        <v>284958</v>
      </c>
      <c r="H1212" s="110"/>
      <c r="I1212" s="110"/>
      <c r="L1212" s="133">
        <v>43794</v>
      </c>
      <c r="M1212" s="110">
        <v>45.3</v>
      </c>
      <c r="N1212" s="110">
        <v>45.49</v>
      </c>
      <c r="O1212" s="110">
        <v>44.16</v>
      </c>
      <c r="P1212" s="110">
        <v>44.16</v>
      </c>
      <c r="Q1212" s="110">
        <v>226.5</v>
      </c>
      <c r="R1212">
        <v>7954576</v>
      </c>
    </row>
    <row r="1213" spans="1:18" x14ac:dyDescent="0.25">
      <c r="A1213" s="133">
        <v>43795</v>
      </c>
      <c r="B1213" s="110">
        <v>45.9</v>
      </c>
      <c r="C1213" s="110">
        <v>44.58</v>
      </c>
      <c r="D1213" s="110">
        <v>43.66</v>
      </c>
      <c r="E1213" s="110">
        <v>45.25</v>
      </c>
      <c r="F1213" s="110">
        <v>222.9</v>
      </c>
      <c r="G1213">
        <v>347249</v>
      </c>
      <c r="H1213" s="110"/>
      <c r="I1213" s="110"/>
      <c r="L1213" s="133">
        <v>43795</v>
      </c>
      <c r="M1213" s="110">
        <v>44.54</v>
      </c>
      <c r="N1213" s="110">
        <v>45.91</v>
      </c>
      <c r="O1213" s="110">
        <v>43.6</v>
      </c>
      <c r="P1213" s="110">
        <v>45.4</v>
      </c>
      <c r="Q1213" s="110">
        <v>222.7</v>
      </c>
      <c r="R1213">
        <v>8944967</v>
      </c>
    </row>
    <row r="1214" spans="1:18" x14ac:dyDescent="0.25">
      <c r="A1214" s="133">
        <v>43796</v>
      </c>
      <c r="B1214" s="110">
        <v>45.58</v>
      </c>
      <c r="C1214" s="110">
        <v>45.42</v>
      </c>
      <c r="D1214" s="110">
        <v>44.53</v>
      </c>
      <c r="E1214" s="110">
        <v>44.73</v>
      </c>
      <c r="F1214" s="110">
        <v>227.1</v>
      </c>
      <c r="G1214">
        <v>275367</v>
      </c>
      <c r="H1214" s="110"/>
      <c r="I1214" s="110"/>
      <c r="L1214" s="133">
        <v>43796</v>
      </c>
      <c r="M1214" s="110">
        <v>45.43</v>
      </c>
      <c r="N1214" s="110">
        <v>45.6</v>
      </c>
      <c r="O1214" s="110">
        <v>44.54</v>
      </c>
      <c r="P1214" s="110">
        <v>44.6</v>
      </c>
      <c r="Q1214" s="110">
        <v>227.15</v>
      </c>
      <c r="R1214">
        <v>5962956</v>
      </c>
    </row>
    <row r="1215" spans="1:18" x14ac:dyDescent="0.25">
      <c r="A1215" s="133">
        <v>43797</v>
      </c>
      <c r="B1215" s="110">
        <v>46.59</v>
      </c>
      <c r="C1215" s="110">
        <v>46.42</v>
      </c>
      <c r="D1215" s="110">
        <v>45.53</v>
      </c>
      <c r="E1215" s="110">
        <v>45.66</v>
      </c>
      <c r="F1215" s="110">
        <v>232.1</v>
      </c>
      <c r="G1215">
        <v>661511</v>
      </c>
      <c r="H1215" s="110"/>
      <c r="I1215" s="110"/>
      <c r="L1215" s="133">
        <v>43797</v>
      </c>
      <c r="M1215" s="110">
        <v>46.43</v>
      </c>
      <c r="N1215" s="110">
        <v>46.58</v>
      </c>
      <c r="O1215" s="110">
        <v>45.48</v>
      </c>
      <c r="P1215" s="110">
        <v>45.71</v>
      </c>
      <c r="Q1215" s="110">
        <v>232.15</v>
      </c>
      <c r="R1215">
        <v>11256998</v>
      </c>
    </row>
    <row r="1216" spans="1:18" x14ac:dyDescent="0.25">
      <c r="A1216" s="133">
        <v>43798</v>
      </c>
      <c r="B1216" s="110">
        <v>46.86</v>
      </c>
      <c r="C1216" s="110">
        <v>45.44</v>
      </c>
      <c r="D1216" s="110">
        <v>45.25</v>
      </c>
      <c r="E1216" s="110">
        <v>46.42</v>
      </c>
      <c r="F1216" s="110">
        <v>227.2</v>
      </c>
      <c r="G1216">
        <v>366414</v>
      </c>
      <c r="H1216" s="110"/>
      <c r="I1216" s="110"/>
      <c r="L1216" s="133">
        <v>43798</v>
      </c>
      <c r="M1216" s="110">
        <v>45.43</v>
      </c>
      <c r="N1216" s="110">
        <v>46.85</v>
      </c>
      <c r="O1216" s="110">
        <v>45.23</v>
      </c>
      <c r="P1216" s="110">
        <v>46.35</v>
      </c>
      <c r="Q1216" s="110">
        <v>227.15</v>
      </c>
      <c r="R1216">
        <v>7775704</v>
      </c>
    </row>
    <row r="1217" spans="1:18" x14ac:dyDescent="0.25">
      <c r="A1217" s="133">
        <v>43801</v>
      </c>
      <c r="B1217" s="110">
        <v>45.59</v>
      </c>
      <c r="C1217" s="110">
        <v>45.31</v>
      </c>
      <c r="D1217" s="110">
        <v>44.54</v>
      </c>
      <c r="E1217" s="110">
        <v>45.59</v>
      </c>
      <c r="F1217" s="110">
        <v>226.55</v>
      </c>
      <c r="G1217">
        <v>229401</v>
      </c>
      <c r="H1217" s="110"/>
      <c r="I1217" s="110"/>
      <c r="L1217" s="133">
        <v>43801</v>
      </c>
      <c r="M1217" s="110">
        <v>45.29</v>
      </c>
      <c r="N1217" s="110">
        <v>45.57</v>
      </c>
      <c r="O1217" s="110">
        <v>44.55</v>
      </c>
      <c r="P1217" s="110">
        <v>45.26</v>
      </c>
      <c r="Q1217" s="110">
        <v>226.45</v>
      </c>
      <c r="R1217">
        <v>4813097</v>
      </c>
    </row>
    <row r="1218" spans="1:18" x14ac:dyDescent="0.25">
      <c r="A1218" s="133">
        <v>43802</v>
      </c>
      <c r="B1218" s="110">
        <v>45.48</v>
      </c>
      <c r="C1218" s="110">
        <v>43.42</v>
      </c>
      <c r="D1218" s="110">
        <v>43.29</v>
      </c>
      <c r="E1218" s="110">
        <v>45.26</v>
      </c>
      <c r="F1218" s="110">
        <v>217.1</v>
      </c>
      <c r="G1218">
        <v>413432</v>
      </c>
      <c r="H1218" s="110"/>
      <c r="I1218" s="110"/>
      <c r="L1218" s="133">
        <v>43802</v>
      </c>
      <c r="M1218" s="110">
        <v>43.42</v>
      </c>
      <c r="N1218" s="110">
        <v>45.47</v>
      </c>
      <c r="O1218" s="110">
        <v>43.24</v>
      </c>
      <c r="P1218" s="110">
        <v>45.36</v>
      </c>
      <c r="Q1218" s="110">
        <v>217.1</v>
      </c>
      <c r="R1218">
        <v>6583727</v>
      </c>
    </row>
    <row r="1219" spans="1:18" x14ac:dyDescent="0.25">
      <c r="A1219" s="133">
        <v>43803</v>
      </c>
      <c r="B1219" s="110">
        <v>44.98</v>
      </c>
      <c r="C1219" s="110">
        <v>44.79</v>
      </c>
      <c r="D1219" s="110">
        <v>43.21</v>
      </c>
      <c r="E1219" s="110">
        <v>43.97</v>
      </c>
      <c r="F1219" s="110">
        <v>223.95</v>
      </c>
      <c r="G1219">
        <v>371220</v>
      </c>
      <c r="H1219" s="110"/>
      <c r="I1219" s="110"/>
      <c r="L1219" s="133">
        <v>43803</v>
      </c>
      <c r="M1219" s="110">
        <v>44.81</v>
      </c>
      <c r="N1219" s="110">
        <v>44.98</v>
      </c>
      <c r="O1219" s="110">
        <v>43.25</v>
      </c>
      <c r="P1219" s="110">
        <v>43.5</v>
      </c>
      <c r="Q1219" s="110">
        <v>224.05</v>
      </c>
      <c r="R1219">
        <v>7211833</v>
      </c>
    </row>
    <row r="1220" spans="1:18" x14ac:dyDescent="0.25">
      <c r="A1220" s="133">
        <v>43804</v>
      </c>
      <c r="B1220" s="110">
        <v>45.06</v>
      </c>
      <c r="C1220" s="110">
        <v>43.5</v>
      </c>
      <c r="D1220" s="110">
        <v>43.34</v>
      </c>
      <c r="E1220" s="110">
        <v>44.8</v>
      </c>
      <c r="F1220" s="110">
        <v>217.5</v>
      </c>
      <c r="G1220">
        <v>327432</v>
      </c>
      <c r="H1220" s="110"/>
      <c r="I1220" s="110"/>
      <c r="L1220" s="133">
        <v>43804</v>
      </c>
      <c r="M1220" s="110">
        <v>43.52</v>
      </c>
      <c r="N1220" s="110">
        <v>45.07</v>
      </c>
      <c r="O1220" s="110">
        <v>43.34</v>
      </c>
      <c r="P1220" s="110">
        <v>44.8</v>
      </c>
      <c r="Q1220" s="110">
        <v>217.6</v>
      </c>
      <c r="R1220">
        <v>6768279</v>
      </c>
    </row>
    <row r="1221" spans="1:18" x14ac:dyDescent="0.25">
      <c r="A1221" s="133">
        <v>43805</v>
      </c>
      <c r="B1221" s="110">
        <v>43.96</v>
      </c>
      <c r="C1221" s="110">
        <v>41.64</v>
      </c>
      <c r="D1221" s="110">
        <v>41.28</v>
      </c>
      <c r="E1221" s="110">
        <v>43.68</v>
      </c>
      <c r="F1221" s="110">
        <v>208.2</v>
      </c>
      <c r="G1221">
        <v>336146</v>
      </c>
      <c r="H1221" s="110"/>
      <c r="I1221" s="110"/>
      <c r="L1221" s="133">
        <v>43805</v>
      </c>
      <c r="M1221" s="110">
        <v>41.64</v>
      </c>
      <c r="N1221" s="110">
        <v>43.95</v>
      </c>
      <c r="O1221" s="110">
        <v>41.22</v>
      </c>
      <c r="P1221" s="110">
        <v>43.73</v>
      </c>
      <c r="Q1221" s="110">
        <v>208.2</v>
      </c>
      <c r="R1221">
        <v>8243684</v>
      </c>
    </row>
    <row r="1222" spans="1:18" x14ac:dyDescent="0.25">
      <c r="A1222" s="133">
        <v>43808</v>
      </c>
      <c r="B1222" s="110">
        <v>43.3</v>
      </c>
      <c r="C1222" s="110">
        <v>42.61</v>
      </c>
      <c r="D1222" s="110">
        <v>41.29</v>
      </c>
      <c r="E1222" s="110">
        <v>41.45</v>
      </c>
      <c r="F1222" s="110">
        <v>213.05</v>
      </c>
      <c r="G1222">
        <v>467311</v>
      </c>
      <c r="H1222" s="110"/>
      <c r="I1222" s="110"/>
      <c r="L1222" s="133">
        <v>43808</v>
      </c>
      <c r="M1222" s="110">
        <v>42.6</v>
      </c>
      <c r="N1222" s="110">
        <v>43.3</v>
      </c>
      <c r="O1222" s="110">
        <v>41.27</v>
      </c>
      <c r="P1222" s="110">
        <v>41.6</v>
      </c>
      <c r="Q1222" s="110">
        <v>213</v>
      </c>
      <c r="R1222">
        <v>12158261</v>
      </c>
    </row>
    <row r="1223" spans="1:18" x14ac:dyDescent="0.25">
      <c r="A1223" s="133">
        <v>43809</v>
      </c>
      <c r="B1223" s="110">
        <v>43.16</v>
      </c>
      <c r="C1223" s="110">
        <v>42.22</v>
      </c>
      <c r="D1223" s="110">
        <v>41.94</v>
      </c>
      <c r="E1223" s="110">
        <v>42.64</v>
      </c>
      <c r="F1223" s="110">
        <v>211.1</v>
      </c>
      <c r="G1223">
        <v>379597</v>
      </c>
      <c r="H1223" s="110"/>
      <c r="I1223" s="110"/>
      <c r="L1223" s="133">
        <v>43809</v>
      </c>
      <c r="M1223" s="110">
        <v>42.13</v>
      </c>
      <c r="N1223" s="110">
        <v>43.16</v>
      </c>
      <c r="O1223" s="110">
        <v>41.92</v>
      </c>
      <c r="P1223" s="110">
        <v>42.62</v>
      </c>
      <c r="Q1223" s="110">
        <v>210.65</v>
      </c>
      <c r="R1223">
        <v>7647308</v>
      </c>
    </row>
    <row r="1224" spans="1:18" x14ac:dyDescent="0.25">
      <c r="A1224" s="133">
        <v>43810</v>
      </c>
      <c r="B1224" s="110">
        <v>42.79</v>
      </c>
      <c r="C1224" s="110">
        <v>42.54</v>
      </c>
      <c r="D1224" s="110">
        <v>41.7</v>
      </c>
      <c r="E1224" s="110">
        <v>42.4</v>
      </c>
      <c r="F1224" s="110">
        <v>212.7</v>
      </c>
      <c r="G1224">
        <v>261755</v>
      </c>
      <c r="H1224" s="110"/>
      <c r="I1224" s="110"/>
      <c r="L1224" s="133">
        <v>43810</v>
      </c>
      <c r="M1224" s="110">
        <v>42.57</v>
      </c>
      <c r="N1224" s="110">
        <v>42.8</v>
      </c>
      <c r="O1224" s="110">
        <v>41.68</v>
      </c>
      <c r="P1224" s="110">
        <v>42.22</v>
      </c>
      <c r="Q1224" s="110">
        <v>212.85</v>
      </c>
      <c r="R1224">
        <v>5239272</v>
      </c>
    </row>
    <row r="1225" spans="1:18" x14ac:dyDescent="0.25">
      <c r="A1225" s="133">
        <v>43811</v>
      </c>
      <c r="B1225" s="110">
        <v>43.77</v>
      </c>
      <c r="C1225" s="110">
        <v>43.59</v>
      </c>
      <c r="D1225" s="110">
        <v>42.65</v>
      </c>
      <c r="E1225" s="110">
        <v>42.8</v>
      </c>
      <c r="F1225" s="110">
        <v>217.95</v>
      </c>
      <c r="G1225">
        <v>204533</v>
      </c>
      <c r="H1225" s="110"/>
      <c r="I1225" s="110"/>
      <c r="L1225" s="133">
        <v>43811</v>
      </c>
      <c r="M1225" s="110">
        <v>43.57</v>
      </c>
      <c r="N1225" s="110">
        <v>43.78</v>
      </c>
      <c r="O1225" s="110">
        <v>42.64</v>
      </c>
      <c r="P1225" s="110">
        <v>42.8</v>
      </c>
      <c r="Q1225" s="110">
        <v>217.85</v>
      </c>
      <c r="R1225">
        <v>5919797</v>
      </c>
    </row>
    <row r="1226" spans="1:18" x14ac:dyDescent="0.25">
      <c r="A1226" s="133">
        <v>43812</v>
      </c>
      <c r="B1226" s="110">
        <v>45.74</v>
      </c>
      <c r="C1226" s="110">
        <v>45.6</v>
      </c>
      <c r="D1226" s="110">
        <v>43.72</v>
      </c>
      <c r="E1226" s="110">
        <v>43.72</v>
      </c>
      <c r="F1226" s="110">
        <v>228</v>
      </c>
      <c r="G1226">
        <v>298642</v>
      </c>
      <c r="H1226" s="110"/>
      <c r="I1226" s="110"/>
      <c r="L1226" s="133">
        <v>43812</v>
      </c>
      <c r="M1226" s="110">
        <v>45.57</v>
      </c>
      <c r="N1226" s="110">
        <v>45.73</v>
      </c>
      <c r="O1226" s="110">
        <v>43.8</v>
      </c>
      <c r="P1226" s="110">
        <v>43.8</v>
      </c>
      <c r="Q1226" s="110">
        <v>227.85</v>
      </c>
      <c r="R1226">
        <v>10184097</v>
      </c>
    </row>
    <row r="1227" spans="1:18" x14ac:dyDescent="0.25">
      <c r="A1227" s="133">
        <v>43815</v>
      </c>
      <c r="B1227" s="110">
        <v>46.13</v>
      </c>
      <c r="C1227" s="110">
        <v>45.5</v>
      </c>
      <c r="D1227" s="110">
        <v>45.17</v>
      </c>
      <c r="E1227" s="110">
        <v>46.06</v>
      </c>
      <c r="F1227" s="110">
        <v>227.5</v>
      </c>
      <c r="G1227">
        <v>382817</v>
      </c>
      <c r="H1227" s="110"/>
      <c r="I1227" s="110"/>
      <c r="L1227" s="133">
        <v>43815</v>
      </c>
      <c r="M1227" s="110">
        <v>45.51</v>
      </c>
      <c r="N1227" s="110">
        <v>46.1</v>
      </c>
      <c r="O1227" s="110">
        <v>45.13</v>
      </c>
      <c r="P1227" s="110">
        <v>46.1</v>
      </c>
      <c r="Q1227" s="110">
        <v>227.55</v>
      </c>
      <c r="R1227">
        <v>6646066</v>
      </c>
    </row>
    <row r="1228" spans="1:18" x14ac:dyDescent="0.25">
      <c r="A1228" s="133">
        <v>43816</v>
      </c>
      <c r="B1228" s="110">
        <v>46.39</v>
      </c>
      <c r="C1228" s="110">
        <v>45.81</v>
      </c>
      <c r="D1228" s="110">
        <v>45.4</v>
      </c>
      <c r="E1228" s="110">
        <v>45.4</v>
      </c>
      <c r="F1228" s="110">
        <v>229.05</v>
      </c>
      <c r="G1228">
        <v>221097</v>
      </c>
      <c r="H1228" s="110"/>
      <c r="I1228" s="110"/>
      <c r="L1228" s="133">
        <v>43816</v>
      </c>
      <c r="M1228" s="110">
        <v>45.82</v>
      </c>
      <c r="N1228" s="110">
        <v>46.39</v>
      </c>
      <c r="O1228" s="110">
        <v>45.4</v>
      </c>
      <c r="P1228" s="110">
        <v>45.6</v>
      </c>
      <c r="Q1228" s="110">
        <v>229.1</v>
      </c>
      <c r="R1228">
        <v>5940943</v>
      </c>
    </row>
    <row r="1229" spans="1:18" x14ac:dyDescent="0.25">
      <c r="A1229" s="133">
        <v>43817</v>
      </c>
      <c r="B1229" s="110">
        <v>45.82</v>
      </c>
      <c r="C1229" s="110">
        <v>44.65</v>
      </c>
      <c r="D1229" s="110">
        <v>44.21</v>
      </c>
      <c r="E1229" s="110">
        <v>45.8</v>
      </c>
      <c r="F1229" s="110">
        <v>223.25</v>
      </c>
      <c r="G1229">
        <v>389338</v>
      </c>
      <c r="H1229" s="110"/>
      <c r="I1229" s="110"/>
      <c r="L1229" s="133">
        <v>43817</v>
      </c>
      <c r="M1229" s="110">
        <v>44.65</v>
      </c>
      <c r="N1229" s="110">
        <v>45.88</v>
      </c>
      <c r="O1229" s="110">
        <v>44.21</v>
      </c>
      <c r="P1229" s="110">
        <v>45.8</v>
      </c>
      <c r="Q1229" s="110">
        <v>223.25</v>
      </c>
      <c r="R1229">
        <v>7291009</v>
      </c>
    </row>
    <row r="1230" spans="1:18" x14ac:dyDescent="0.25">
      <c r="A1230" s="133">
        <v>43818</v>
      </c>
      <c r="B1230" s="110">
        <v>45.02</v>
      </c>
      <c r="C1230" s="110">
        <v>44.59</v>
      </c>
      <c r="D1230" s="110">
        <v>44.36</v>
      </c>
      <c r="E1230" s="110">
        <v>44.7</v>
      </c>
      <c r="F1230" s="110">
        <v>222.95</v>
      </c>
      <c r="G1230">
        <v>152917</v>
      </c>
      <c r="H1230" s="110"/>
      <c r="I1230" s="110"/>
      <c r="L1230" s="133">
        <v>43818</v>
      </c>
      <c r="M1230" s="110">
        <v>44.6</v>
      </c>
      <c r="N1230" s="110">
        <v>45.05</v>
      </c>
      <c r="O1230" s="110">
        <v>44.34</v>
      </c>
      <c r="P1230" s="110">
        <v>44.58</v>
      </c>
      <c r="Q1230" s="110">
        <v>223</v>
      </c>
      <c r="R1230">
        <v>4755689</v>
      </c>
    </row>
    <row r="1231" spans="1:18" x14ac:dyDescent="0.25">
      <c r="A1231" s="133">
        <v>43819</v>
      </c>
      <c r="B1231" s="110">
        <v>46.31</v>
      </c>
      <c r="C1231" s="110">
        <v>45.98</v>
      </c>
      <c r="D1231" s="110">
        <v>44.8</v>
      </c>
      <c r="E1231" s="110">
        <v>45</v>
      </c>
      <c r="F1231" s="110">
        <v>229.9</v>
      </c>
      <c r="G1231">
        <v>268421</v>
      </c>
      <c r="H1231" s="110"/>
      <c r="I1231" s="110"/>
      <c r="L1231" s="133">
        <v>43819</v>
      </c>
      <c r="M1231" s="110">
        <v>46</v>
      </c>
      <c r="N1231" s="110">
        <v>46.33</v>
      </c>
      <c r="O1231" s="110">
        <v>44.79</v>
      </c>
      <c r="P1231" s="110">
        <v>44.8</v>
      </c>
      <c r="Q1231" s="110">
        <v>230</v>
      </c>
      <c r="R1231">
        <v>8954834</v>
      </c>
    </row>
    <row r="1232" spans="1:18" x14ac:dyDescent="0.25">
      <c r="A1232" s="133">
        <v>43822</v>
      </c>
      <c r="B1232" s="110">
        <v>46.58</v>
      </c>
      <c r="C1232" s="110">
        <v>45.18</v>
      </c>
      <c r="D1232" s="110">
        <v>44.88</v>
      </c>
      <c r="E1232" s="110">
        <v>46</v>
      </c>
      <c r="F1232" s="110">
        <v>225.9</v>
      </c>
      <c r="G1232">
        <v>239506</v>
      </c>
      <c r="H1232" s="110"/>
      <c r="I1232" s="110"/>
      <c r="L1232" s="133">
        <v>43822</v>
      </c>
      <c r="M1232" s="110">
        <v>45.19</v>
      </c>
      <c r="N1232" s="110">
        <v>46.57</v>
      </c>
      <c r="O1232" s="110">
        <v>44.86</v>
      </c>
      <c r="P1232" s="110">
        <v>45.84</v>
      </c>
      <c r="Q1232" s="110">
        <v>225.95</v>
      </c>
      <c r="R1232">
        <v>7841796</v>
      </c>
    </row>
    <row r="1233" spans="1:18" x14ac:dyDescent="0.25">
      <c r="A1233" s="133">
        <v>43823</v>
      </c>
      <c r="B1233" s="110">
        <v>45.57</v>
      </c>
      <c r="C1233" s="110">
        <v>45.16</v>
      </c>
      <c r="D1233" s="110">
        <v>44.95</v>
      </c>
      <c r="E1233" s="110">
        <v>45.31</v>
      </c>
      <c r="F1233" s="110">
        <v>225.8</v>
      </c>
      <c r="G1233">
        <v>154643</v>
      </c>
      <c r="H1233" s="110"/>
      <c r="I1233" s="110"/>
      <c r="L1233" s="133">
        <v>43823</v>
      </c>
      <c r="M1233" s="110">
        <v>45.15</v>
      </c>
      <c r="N1233" s="110">
        <v>45.59</v>
      </c>
      <c r="O1233" s="110">
        <v>44.96</v>
      </c>
      <c r="P1233" s="110">
        <v>45.36</v>
      </c>
      <c r="Q1233" s="110">
        <v>225.75</v>
      </c>
      <c r="R1233">
        <v>4828069</v>
      </c>
    </row>
    <row r="1234" spans="1:18" x14ac:dyDescent="0.25">
      <c r="A1234" s="133">
        <v>43825</v>
      </c>
      <c r="B1234" s="110">
        <v>45.06</v>
      </c>
      <c r="C1234" s="110">
        <v>44.06</v>
      </c>
      <c r="D1234" s="110">
        <v>43.94</v>
      </c>
      <c r="E1234" s="110">
        <v>45.02</v>
      </c>
      <c r="F1234" s="110">
        <v>220.3</v>
      </c>
      <c r="G1234">
        <v>218500</v>
      </c>
      <c r="H1234" s="110"/>
      <c r="I1234" s="110"/>
      <c r="L1234" s="133">
        <v>43825</v>
      </c>
      <c r="M1234" s="110">
        <v>44.05</v>
      </c>
      <c r="N1234" s="110">
        <v>45.17</v>
      </c>
      <c r="O1234" s="110">
        <v>43.91</v>
      </c>
      <c r="P1234" s="110">
        <v>45.14</v>
      </c>
      <c r="Q1234" s="110">
        <v>220.25</v>
      </c>
      <c r="R1234">
        <v>6670734</v>
      </c>
    </row>
    <row r="1235" spans="1:18" x14ac:dyDescent="0.25">
      <c r="A1235" s="133">
        <v>43826</v>
      </c>
      <c r="B1235" s="110">
        <v>45.67</v>
      </c>
      <c r="C1235" s="110">
        <v>44.84</v>
      </c>
      <c r="D1235" s="110">
        <v>44.47</v>
      </c>
      <c r="E1235" s="110">
        <v>44.78</v>
      </c>
      <c r="F1235" s="110">
        <v>224.2</v>
      </c>
      <c r="G1235">
        <v>358254</v>
      </c>
      <c r="H1235" s="110"/>
      <c r="I1235" s="110"/>
      <c r="L1235" s="133">
        <v>43826</v>
      </c>
      <c r="M1235" s="110">
        <v>44.84</v>
      </c>
      <c r="N1235" s="110">
        <v>45.65</v>
      </c>
      <c r="O1235" s="110">
        <v>44.4</v>
      </c>
      <c r="P1235" s="110">
        <v>44.4</v>
      </c>
      <c r="Q1235" s="110">
        <v>224.2</v>
      </c>
      <c r="R1235">
        <v>17184180</v>
      </c>
    </row>
    <row r="1236" spans="1:18" x14ac:dyDescent="0.25">
      <c r="A1236" s="133">
        <v>43829</v>
      </c>
      <c r="B1236" s="110">
        <v>44.99</v>
      </c>
      <c r="C1236" s="110">
        <v>44.34</v>
      </c>
      <c r="D1236" s="110">
        <v>44.01</v>
      </c>
      <c r="E1236" s="110">
        <v>44.86</v>
      </c>
      <c r="F1236" s="110">
        <v>221.7</v>
      </c>
      <c r="G1236">
        <v>159186</v>
      </c>
      <c r="H1236" s="110"/>
      <c r="I1236" s="110"/>
      <c r="L1236" s="133">
        <v>43829</v>
      </c>
      <c r="M1236" s="110">
        <v>44.35</v>
      </c>
      <c r="N1236" s="110">
        <v>45</v>
      </c>
      <c r="O1236" s="110">
        <v>44</v>
      </c>
      <c r="P1236" s="110">
        <v>44.94</v>
      </c>
      <c r="Q1236" s="110">
        <v>221.75</v>
      </c>
      <c r="R1236">
        <v>6056420</v>
      </c>
    </row>
    <row r="1237" spans="1:18" x14ac:dyDescent="0.25">
      <c r="A1237" s="133">
        <v>43830</v>
      </c>
      <c r="B1237" s="110">
        <v>44.7</v>
      </c>
      <c r="C1237" s="110">
        <v>44.26</v>
      </c>
      <c r="D1237" s="110">
        <v>44.19</v>
      </c>
      <c r="E1237" s="110">
        <v>44.4</v>
      </c>
      <c r="F1237" s="110">
        <v>221.3</v>
      </c>
      <c r="G1237">
        <v>143264</v>
      </c>
      <c r="H1237" s="110"/>
      <c r="I1237" s="110"/>
      <c r="L1237" s="133">
        <v>43830</v>
      </c>
      <c r="M1237" s="110">
        <v>44.27</v>
      </c>
      <c r="N1237" s="110">
        <v>44.7</v>
      </c>
      <c r="O1237" s="110">
        <v>44.14</v>
      </c>
      <c r="P1237" s="110">
        <v>44.33</v>
      </c>
      <c r="Q1237" s="110">
        <v>221.35</v>
      </c>
      <c r="R1237">
        <v>5156427</v>
      </c>
    </row>
    <row r="1238" spans="1:18" x14ac:dyDescent="0.25">
      <c r="A1238" s="133">
        <v>43831</v>
      </c>
      <c r="B1238" s="110">
        <v>44.64</v>
      </c>
      <c r="C1238" s="110">
        <v>44.31</v>
      </c>
      <c r="D1238" s="110">
        <v>44</v>
      </c>
      <c r="E1238" s="110">
        <v>44.55</v>
      </c>
      <c r="F1238" s="110">
        <v>221.55</v>
      </c>
      <c r="G1238">
        <v>102670</v>
      </c>
      <c r="H1238" s="110"/>
      <c r="I1238" s="110"/>
      <c r="L1238" s="133">
        <v>43831</v>
      </c>
      <c r="M1238" s="110">
        <v>44.33</v>
      </c>
      <c r="N1238" s="110">
        <v>44.67</v>
      </c>
      <c r="O1238" s="110">
        <v>43.96</v>
      </c>
      <c r="P1238" s="110">
        <v>44.42</v>
      </c>
      <c r="Q1238" s="110">
        <v>221.65</v>
      </c>
      <c r="R1238">
        <v>4215881</v>
      </c>
    </row>
    <row r="1239" spans="1:18" x14ac:dyDescent="0.25">
      <c r="A1239" s="133">
        <v>43832</v>
      </c>
      <c r="B1239" s="110">
        <v>45.89</v>
      </c>
      <c r="C1239" s="110">
        <v>45.76</v>
      </c>
      <c r="D1239" s="110">
        <v>44.2</v>
      </c>
      <c r="E1239" s="110">
        <v>44.49</v>
      </c>
      <c r="F1239" s="110">
        <v>228.8</v>
      </c>
      <c r="G1239">
        <v>220875</v>
      </c>
      <c r="H1239" s="110"/>
      <c r="I1239" s="110"/>
      <c r="L1239" s="133">
        <v>43832</v>
      </c>
      <c r="M1239" s="110">
        <v>45.77</v>
      </c>
      <c r="N1239" s="110">
        <v>45.96</v>
      </c>
      <c r="O1239" s="110">
        <v>44.19</v>
      </c>
      <c r="P1239" s="110">
        <v>44.48</v>
      </c>
      <c r="Q1239" s="110">
        <v>228.85</v>
      </c>
      <c r="R1239">
        <v>7033453</v>
      </c>
    </row>
    <row r="1240" spans="1:18" x14ac:dyDescent="0.25">
      <c r="A1240" s="133">
        <v>43833</v>
      </c>
      <c r="B1240" s="110">
        <v>46</v>
      </c>
      <c r="C1240" s="110">
        <v>44.33</v>
      </c>
      <c r="D1240" s="110">
        <v>44.17</v>
      </c>
      <c r="E1240" s="110">
        <v>46</v>
      </c>
      <c r="F1240" s="110">
        <v>221.65</v>
      </c>
      <c r="G1240">
        <v>220719</v>
      </c>
      <c r="H1240" s="110"/>
      <c r="I1240" s="110"/>
      <c r="L1240" s="133">
        <v>43833</v>
      </c>
      <c r="M1240" s="110">
        <v>44.33</v>
      </c>
      <c r="N1240" s="110">
        <v>45.7</v>
      </c>
      <c r="O1240" s="110">
        <v>44.13</v>
      </c>
      <c r="P1240" s="110">
        <v>45.56</v>
      </c>
      <c r="Q1240" s="110">
        <v>221.65</v>
      </c>
      <c r="R1240">
        <v>6646941</v>
      </c>
    </row>
    <row r="1241" spans="1:18" x14ac:dyDescent="0.25">
      <c r="A1241" s="133">
        <v>43836</v>
      </c>
      <c r="B1241" s="110">
        <v>44.33</v>
      </c>
      <c r="C1241" s="110">
        <v>41.47</v>
      </c>
      <c r="D1241" s="110">
        <v>41.15</v>
      </c>
      <c r="E1241" s="110">
        <v>44.33</v>
      </c>
      <c r="F1241" s="110">
        <v>207.35</v>
      </c>
      <c r="G1241">
        <v>516504</v>
      </c>
      <c r="H1241" s="110"/>
      <c r="I1241" s="110"/>
      <c r="L1241" s="133">
        <v>43836</v>
      </c>
      <c r="M1241" s="110">
        <v>41.49</v>
      </c>
      <c r="N1241" s="110">
        <v>44.15</v>
      </c>
      <c r="O1241" s="110">
        <v>41.12</v>
      </c>
      <c r="P1241" s="110">
        <v>44.11</v>
      </c>
      <c r="Q1241" s="110">
        <v>207.45</v>
      </c>
      <c r="R1241">
        <v>13650687</v>
      </c>
    </row>
    <row r="1242" spans="1:18" x14ac:dyDescent="0.25">
      <c r="A1242" s="133">
        <v>43837</v>
      </c>
      <c r="B1242" s="110">
        <v>42.84</v>
      </c>
      <c r="C1242" s="110">
        <v>41.59</v>
      </c>
      <c r="D1242" s="110">
        <v>40.950000000000003</v>
      </c>
      <c r="E1242" s="110">
        <v>42</v>
      </c>
      <c r="F1242" s="110">
        <v>207.95</v>
      </c>
      <c r="G1242">
        <v>463835</v>
      </c>
      <c r="H1242" s="110"/>
      <c r="I1242" s="110"/>
      <c r="L1242" s="133">
        <v>43837</v>
      </c>
      <c r="M1242" s="110">
        <v>41.61</v>
      </c>
      <c r="N1242" s="110">
        <v>42.86</v>
      </c>
      <c r="O1242" s="110">
        <v>40.94</v>
      </c>
      <c r="P1242" s="110">
        <v>42.68</v>
      </c>
      <c r="Q1242" s="110">
        <v>208.05</v>
      </c>
      <c r="R1242">
        <v>14222549</v>
      </c>
    </row>
    <row r="1243" spans="1:18" x14ac:dyDescent="0.25">
      <c r="A1243" s="133">
        <v>43838</v>
      </c>
      <c r="B1243" s="110">
        <v>41.86</v>
      </c>
      <c r="C1243" s="110">
        <v>41.57</v>
      </c>
      <c r="D1243" s="110">
        <v>40.119999999999997</v>
      </c>
      <c r="E1243" s="110">
        <v>40.78</v>
      </c>
      <c r="F1243" s="110">
        <v>207.85</v>
      </c>
      <c r="G1243">
        <v>465715</v>
      </c>
      <c r="H1243" s="110"/>
      <c r="I1243" s="110"/>
      <c r="L1243" s="133">
        <v>43838</v>
      </c>
      <c r="M1243" s="110">
        <v>41.56</v>
      </c>
      <c r="N1243" s="110">
        <v>41.88</v>
      </c>
      <c r="O1243" s="110">
        <v>40.090000000000003</v>
      </c>
      <c r="P1243" s="110">
        <v>40.5</v>
      </c>
      <c r="Q1243" s="110">
        <v>207.8</v>
      </c>
      <c r="R1243">
        <v>15141394</v>
      </c>
    </row>
    <row r="1244" spans="1:18" x14ac:dyDescent="0.25">
      <c r="A1244" s="133">
        <v>43839</v>
      </c>
      <c r="B1244" s="110">
        <v>43.14</v>
      </c>
      <c r="C1244" s="110">
        <v>42.66</v>
      </c>
      <c r="D1244" s="110">
        <v>42.18</v>
      </c>
      <c r="E1244" s="110">
        <v>42.6</v>
      </c>
      <c r="F1244" s="110">
        <v>213.3</v>
      </c>
      <c r="G1244">
        <v>195225</v>
      </c>
      <c r="H1244" s="110"/>
      <c r="I1244" s="110"/>
      <c r="L1244" s="133">
        <v>43839</v>
      </c>
      <c r="M1244" s="110">
        <v>42.69</v>
      </c>
      <c r="N1244" s="110">
        <v>43.15</v>
      </c>
      <c r="O1244" s="110">
        <v>42.15</v>
      </c>
      <c r="P1244" s="110">
        <v>42.72</v>
      </c>
      <c r="Q1244" s="110">
        <v>213.45</v>
      </c>
      <c r="R1244">
        <v>8668763</v>
      </c>
    </row>
    <row r="1245" spans="1:18" x14ac:dyDescent="0.25">
      <c r="A1245" s="133">
        <v>43840</v>
      </c>
      <c r="B1245" s="110">
        <v>43.72</v>
      </c>
      <c r="C1245" s="110">
        <v>42.83</v>
      </c>
      <c r="D1245" s="110">
        <v>42.45</v>
      </c>
      <c r="E1245" s="110">
        <v>42.71</v>
      </c>
      <c r="F1245" s="110">
        <v>214.15</v>
      </c>
      <c r="G1245">
        <v>310358</v>
      </c>
      <c r="H1245" s="110"/>
      <c r="I1245" s="110"/>
      <c r="L1245" s="133">
        <v>43840</v>
      </c>
      <c r="M1245" s="110">
        <v>42.83</v>
      </c>
      <c r="N1245" s="110">
        <v>43.72</v>
      </c>
      <c r="O1245" s="110">
        <v>42.44</v>
      </c>
      <c r="P1245" s="110">
        <v>42.82</v>
      </c>
      <c r="Q1245" s="110">
        <v>214.15</v>
      </c>
      <c r="R1245">
        <v>9320962</v>
      </c>
    </row>
    <row r="1246" spans="1:18" x14ac:dyDescent="0.25">
      <c r="A1246" s="133">
        <v>43843</v>
      </c>
      <c r="B1246" s="110">
        <v>43.39</v>
      </c>
      <c r="C1246" s="110">
        <v>43.25</v>
      </c>
      <c r="D1246" s="110">
        <v>42.75</v>
      </c>
      <c r="E1246" s="110">
        <v>43</v>
      </c>
      <c r="F1246" s="110">
        <v>216.25</v>
      </c>
      <c r="G1246">
        <v>146216</v>
      </c>
      <c r="H1246" s="110"/>
      <c r="I1246" s="110"/>
      <c r="L1246" s="133">
        <v>43843</v>
      </c>
      <c r="M1246" s="110">
        <v>43.23</v>
      </c>
      <c r="N1246" s="110">
        <v>43.36</v>
      </c>
      <c r="O1246" s="110">
        <v>42.72</v>
      </c>
      <c r="P1246" s="110">
        <v>43</v>
      </c>
      <c r="Q1246" s="110">
        <v>216.15</v>
      </c>
      <c r="R1246">
        <v>5888640</v>
      </c>
    </row>
    <row r="1247" spans="1:18" x14ac:dyDescent="0.25">
      <c r="A1247" s="133">
        <v>43844</v>
      </c>
      <c r="B1247" s="110">
        <v>43.6</v>
      </c>
      <c r="C1247" s="110">
        <v>43.09</v>
      </c>
      <c r="D1247" s="110">
        <v>42.85</v>
      </c>
      <c r="E1247" s="110">
        <v>43.25</v>
      </c>
      <c r="F1247" s="110">
        <v>215.45</v>
      </c>
      <c r="G1247">
        <v>188545</v>
      </c>
      <c r="H1247" s="110"/>
      <c r="I1247" s="110"/>
      <c r="L1247" s="133">
        <v>43844</v>
      </c>
      <c r="M1247" s="110">
        <v>43.11</v>
      </c>
      <c r="N1247" s="110">
        <v>43.61</v>
      </c>
      <c r="O1247" s="110">
        <v>42.82</v>
      </c>
      <c r="P1247" s="110">
        <v>43.24</v>
      </c>
      <c r="Q1247" s="110">
        <v>215.55</v>
      </c>
      <c r="R1247">
        <v>5884894</v>
      </c>
    </row>
    <row r="1248" spans="1:18" x14ac:dyDescent="0.25">
      <c r="A1248" s="133">
        <v>43845</v>
      </c>
      <c r="B1248" s="110">
        <v>43.84</v>
      </c>
      <c r="C1248" s="110">
        <v>43.62</v>
      </c>
      <c r="D1248" s="110">
        <v>41.82</v>
      </c>
      <c r="E1248" s="110">
        <v>42.6</v>
      </c>
      <c r="F1248" s="110">
        <v>218.1</v>
      </c>
      <c r="G1248">
        <v>614669</v>
      </c>
      <c r="H1248" s="110"/>
      <c r="I1248" s="110"/>
      <c r="L1248" s="133">
        <v>43845</v>
      </c>
      <c r="M1248" s="110">
        <v>43.63</v>
      </c>
      <c r="N1248" s="110">
        <v>43.88</v>
      </c>
      <c r="O1248" s="110">
        <v>41.81</v>
      </c>
      <c r="P1248" s="110">
        <v>42.61</v>
      </c>
      <c r="Q1248" s="110">
        <v>218.15</v>
      </c>
      <c r="R1248">
        <v>11669551</v>
      </c>
    </row>
    <row r="1249" spans="1:18" x14ac:dyDescent="0.25">
      <c r="A1249" s="133">
        <v>43846</v>
      </c>
      <c r="B1249" s="110">
        <v>44.54</v>
      </c>
      <c r="C1249" s="110">
        <v>43.83</v>
      </c>
      <c r="D1249" s="110">
        <v>43.13</v>
      </c>
      <c r="E1249" s="110">
        <v>43.62</v>
      </c>
      <c r="F1249" s="110">
        <v>219.15</v>
      </c>
      <c r="G1249">
        <v>252520</v>
      </c>
      <c r="H1249" s="110"/>
      <c r="I1249" s="110"/>
      <c r="L1249" s="133">
        <v>43846</v>
      </c>
      <c r="M1249" s="110">
        <v>43.82</v>
      </c>
      <c r="N1249" s="110">
        <v>44.56</v>
      </c>
      <c r="O1249" s="110">
        <v>43.1</v>
      </c>
      <c r="P1249" s="110">
        <v>43.74</v>
      </c>
      <c r="Q1249" s="110">
        <v>219.1</v>
      </c>
      <c r="R1249">
        <v>8313124</v>
      </c>
    </row>
    <row r="1250" spans="1:18" x14ac:dyDescent="0.25">
      <c r="A1250" s="133">
        <v>43847</v>
      </c>
      <c r="B1250" s="110">
        <v>44.74</v>
      </c>
      <c r="C1250" s="110">
        <v>44.31</v>
      </c>
      <c r="D1250" s="110">
        <v>43.2</v>
      </c>
      <c r="E1250" s="110">
        <v>43.6</v>
      </c>
      <c r="F1250" s="110">
        <v>221.55</v>
      </c>
      <c r="G1250">
        <v>278313</v>
      </c>
      <c r="H1250" s="110"/>
      <c r="I1250" s="110"/>
      <c r="L1250" s="133">
        <v>43847</v>
      </c>
      <c r="M1250" s="110">
        <v>44.32</v>
      </c>
      <c r="N1250" s="110">
        <v>44.74</v>
      </c>
      <c r="O1250" s="110">
        <v>43.16</v>
      </c>
      <c r="P1250" s="110">
        <v>43.22</v>
      </c>
      <c r="Q1250" s="110">
        <v>221.6</v>
      </c>
      <c r="R1250">
        <v>8369664</v>
      </c>
    </row>
    <row r="1251" spans="1:18" x14ac:dyDescent="0.25">
      <c r="A1251" s="133">
        <v>43850</v>
      </c>
      <c r="B1251" s="110">
        <v>44.78</v>
      </c>
      <c r="C1251" s="110">
        <v>43.74</v>
      </c>
      <c r="D1251" s="110">
        <v>43.35</v>
      </c>
      <c r="E1251" s="110">
        <v>44.78</v>
      </c>
      <c r="F1251" s="110">
        <v>218.7</v>
      </c>
      <c r="G1251">
        <v>240507</v>
      </c>
      <c r="H1251" s="110"/>
      <c r="I1251" s="110"/>
      <c r="L1251" s="133">
        <v>43850</v>
      </c>
      <c r="M1251" s="110">
        <v>43.77</v>
      </c>
      <c r="N1251" s="110">
        <v>44.73</v>
      </c>
      <c r="O1251" s="110">
        <v>43.33</v>
      </c>
      <c r="P1251" s="110">
        <v>44.45</v>
      </c>
      <c r="Q1251" s="110">
        <v>218.85</v>
      </c>
      <c r="R1251">
        <v>5635312</v>
      </c>
    </row>
    <row r="1252" spans="1:18" x14ac:dyDescent="0.25">
      <c r="A1252" s="133">
        <v>43851</v>
      </c>
      <c r="B1252" s="110">
        <v>44.27</v>
      </c>
      <c r="C1252" s="110">
        <v>43.83</v>
      </c>
      <c r="D1252" s="110">
        <v>43.46</v>
      </c>
      <c r="E1252" s="110">
        <v>43.47</v>
      </c>
      <c r="F1252" s="110">
        <v>219.15</v>
      </c>
      <c r="G1252">
        <v>341330</v>
      </c>
      <c r="H1252" s="110"/>
      <c r="I1252" s="110"/>
      <c r="L1252" s="133">
        <v>43851</v>
      </c>
      <c r="M1252" s="110">
        <v>43.83</v>
      </c>
      <c r="N1252" s="110">
        <v>44.26</v>
      </c>
      <c r="O1252" s="110">
        <v>43.2</v>
      </c>
      <c r="P1252" s="110">
        <v>43.46</v>
      </c>
      <c r="Q1252" s="110">
        <v>219.15</v>
      </c>
      <c r="R1252">
        <v>6067583</v>
      </c>
    </row>
    <row r="1253" spans="1:18" x14ac:dyDescent="0.25">
      <c r="A1253" s="133">
        <v>43852</v>
      </c>
      <c r="B1253" s="110">
        <v>44.25</v>
      </c>
      <c r="C1253" s="110">
        <v>43.77</v>
      </c>
      <c r="D1253" s="110">
        <v>43.33</v>
      </c>
      <c r="E1253" s="110">
        <v>44.16</v>
      </c>
      <c r="F1253" s="110">
        <v>218.85</v>
      </c>
      <c r="G1253">
        <v>161389</v>
      </c>
      <c r="H1253" s="110"/>
      <c r="I1253" s="110"/>
      <c r="L1253" s="133">
        <v>43852</v>
      </c>
      <c r="M1253" s="110">
        <v>43.78</v>
      </c>
      <c r="N1253" s="110">
        <v>44.3</v>
      </c>
      <c r="O1253" s="110">
        <v>43.32</v>
      </c>
      <c r="P1253" s="110">
        <v>44.07</v>
      </c>
      <c r="Q1253" s="110">
        <v>218.9</v>
      </c>
      <c r="R1253">
        <v>4521588</v>
      </c>
    </row>
    <row r="1254" spans="1:18" x14ac:dyDescent="0.25">
      <c r="A1254" s="133">
        <v>43853</v>
      </c>
      <c r="B1254" s="110">
        <v>45.33</v>
      </c>
      <c r="C1254" s="110">
        <v>44.14</v>
      </c>
      <c r="D1254" s="110">
        <v>43.42</v>
      </c>
      <c r="E1254" s="110">
        <v>44</v>
      </c>
      <c r="F1254" s="110">
        <v>220.7</v>
      </c>
      <c r="G1254">
        <v>532279</v>
      </c>
      <c r="H1254" s="110"/>
      <c r="I1254" s="110"/>
      <c r="L1254" s="133">
        <v>43853</v>
      </c>
      <c r="M1254" s="110">
        <v>44.14</v>
      </c>
      <c r="N1254" s="110">
        <v>45.35</v>
      </c>
      <c r="O1254" s="110">
        <v>43.42</v>
      </c>
      <c r="P1254" s="110">
        <v>43.81</v>
      </c>
      <c r="Q1254" s="110">
        <v>220.7</v>
      </c>
      <c r="R1254">
        <v>13910267</v>
      </c>
    </row>
    <row r="1255" spans="1:18" x14ac:dyDescent="0.25">
      <c r="A1255" s="133">
        <v>43854</v>
      </c>
      <c r="B1255" s="110">
        <v>44.8</v>
      </c>
      <c r="C1255" s="110">
        <v>43.72</v>
      </c>
      <c r="D1255" s="110">
        <v>43.49</v>
      </c>
      <c r="E1255" s="110">
        <v>44.48</v>
      </c>
      <c r="F1255" s="110">
        <v>218.6</v>
      </c>
      <c r="G1255">
        <v>240188</v>
      </c>
      <c r="H1255" s="110"/>
      <c r="I1255" s="110"/>
      <c r="L1255" s="133">
        <v>43854</v>
      </c>
      <c r="M1255" s="110">
        <v>43.76</v>
      </c>
      <c r="N1255" s="110">
        <v>44.84</v>
      </c>
      <c r="O1255" s="110">
        <v>43.5</v>
      </c>
      <c r="P1255" s="110">
        <v>44.38</v>
      </c>
      <c r="Q1255" s="110">
        <v>218.8</v>
      </c>
      <c r="R1255">
        <v>7294499</v>
      </c>
    </row>
    <row r="1256" spans="1:18" x14ac:dyDescent="0.25">
      <c r="A1256" s="133">
        <v>43857</v>
      </c>
      <c r="B1256" s="110">
        <v>43.49</v>
      </c>
      <c r="C1256" s="110">
        <v>42.13</v>
      </c>
      <c r="D1256" s="110">
        <v>41.85</v>
      </c>
      <c r="E1256" s="110">
        <v>43.49</v>
      </c>
      <c r="F1256" s="110">
        <v>210.65</v>
      </c>
      <c r="G1256">
        <v>146464</v>
      </c>
      <c r="H1256" s="110"/>
      <c r="I1256" s="110"/>
      <c r="L1256" s="133">
        <v>43857</v>
      </c>
      <c r="M1256" s="110">
        <v>42.07</v>
      </c>
      <c r="N1256" s="110">
        <v>43.43</v>
      </c>
      <c r="O1256" s="110">
        <v>41.79</v>
      </c>
      <c r="P1256" s="110">
        <v>43.18</v>
      </c>
      <c r="Q1256" s="110">
        <v>210.35</v>
      </c>
      <c r="R1256">
        <v>6494563</v>
      </c>
    </row>
    <row r="1257" spans="1:18" x14ac:dyDescent="0.25">
      <c r="A1257" s="133">
        <v>43858</v>
      </c>
      <c r="B1257" s="110">
        <v>42.38</v>
      </c>
      <c r="C1257" s="110">
        <v>40.74</v>
      </c>
      <c r="D1257" s="110">
        <v>40.549999999999997</v>
      </c>
      <c r="E1257" s="110">
        <v>42.01</v>
      </c>
      <c r="F1257" s="110">
        <v>203.7</v>
      </c>
      <c r="G1257">
        <v>333958</v>
      </c>
      <c r="H1257" s="110"/>
      <c r="I1257" s="110"/>
      <c r="L1257" s="133">
        <v>43858</v>
      </c>
      <c r="M1257" s="110">
        <v>40.72</v>
      </c>
      <c r="N1257" s="110">
        <v>42.39</v>
      </c>
      <c r="O1257" s="110">
        <v>40.53</v>
      </c>
      <c r="P1257" s="110">
        <v>42.2</v>
      </c>
      <c r="Q1257" s="110">
        <v>203.6</v>
      </c>
      <c r="R1257">
        <v>10799426</v>
      </c>
    </row>
    <row r="1258" spans="1:18" x14ac:dyDescent="0.25">
      <c r="A1258" s="133">
        <v>43859</v>
      </c>
      <c r="B1258" s="110">
        <v>41.54</v>
      </c>
      <c r="C1258" s="110">
        <v>40.81</v>
      </c>
      <c r="D1258" s="110">
        <v>40.71</v>
      </c>
      <c r="E1258" s="110">
        <v>41.5</v>
      </c>
      <c r="F1258" s="110">
        <v>204.05</v>
      </c>
      <c r="G1258">
        <v>143834</v>
      </c>
      <c r="H1258" s="110"/>
      <c r="I1258" s="110"/>
      <c r="L1258" s="133">
        <v>43859</v>
      </c>
      <c r="M1258" s="110">
        <v>40.82</v>
      </c>
      <c r="N1258" s="110">
        <v>41.58</v>
      </c>
      <c r="O1258" s="110">
        <v>40.71</v>
      </c>
      <c r="P1258" s="110">
        <v>41.17</v>
      </c>
      <c r="Q1258" s="110">
        <v>204.1</v>
      </c>
      <c r="R1258">
        <v>5800555</v>
      </c>
    </row>
    <row r="1259" spans="1:18" x14ac:dyDescent="0.25">
      <c r="A1259" s="133">
        <v>43860</v>
      </c>
      <c r="B1259" s="110">
        <v>40.909999999999997</v>
      </c>
      <c r="C1259" s="110">
        <v>40.42</v>
      </c>
      <c r="D1259" s="110">
        <v>40.04</v>
      </c>
      <c r="E1259" s="110">
        <v>40.79</v>
      </c>
      <c r="F1259" s="110">
        <v>202.1</v>
      </c>
      <c r="G1259">
        <v>214179</v>
      </c>
      <c r="H1259" s="110"/>
      <c r="I1259" s="110"/>
      <c r="L1259" s="133">
        <v>43860</v>
      </c>
      <c r="M1259" s="110">
        <v>40.450000000000003</v>
      </c>
      <c r="N1259" s="110">
        <v>40.94</v>
      </c>
      <c r="O1259" s="110">
        <v>40.03</v>
      </c>
      <c r="P1259" s="110">
        <v>40.700000000000003</v>
      </c>
      <c r="Q1259" s="110">
        <v>202.25</v>
      </c>
      <c r="R1259">
        <v>7099653</v>
      </c>
    </row>
    <row r="1260" spans="1:18" x14ac:dyDescent="0.25">
      <c r="A1260" s="133">
        <v>43861</v>
      </c>
      <c r="B1260" s="110">
        <v>41.05</v>
      </c>
      <c r="C1260" s="110">
        <v>40.5</v>
      </c>
      <c r="D1260" s="110">
        <v>40.1</v>
      </c>
      <c r="E1260" s="110">
        <v>41</v>
      </c>
      <c r="F1260" s="110">
        <v>202.5</v>
      </c>
      <c r="G1260">
        <v>220589</v>
      </c>
      <c r="H1260" s="110"/>
      <c r="I1260" s="110"/>
      <c r="L1260" s="133">
        <v>43861</v>
      </c>
      <c r="M1260" s="110">
        <v>40.53</v>
      </c>
      <c r="N1260" s="110">
        <v>41.07</v>
      </c>
      <c r="O1260" s="110">
        <v>40.08</v>
      </c>
      <c r="P1260" s="110">
        <v>40.799999999999997</v>
      </c>
      <c r="Q1260" s="110">
        <v>202.65</v>
      </c>
      <c r="R1260">
        <v>7014346</v>
      </c>
    </row>
    <row r="1261" spans="1:18" x14ac:dyDescent="0.25">
      <c r="A1261" s="133">
        <v>43862</v>
      </c>
      <c r="B1261" s="110">
        <v>41.09</v>
      </c>
      <c r="C1261" s="110">
        <v>38.36</v>
      </c>
      <c r="D1261" s="110">
        <v>37.86</v>
      </c>
      <c r="E1261" s="110">
        <v>40.229999999999997</v>
      </c>
      <c r="F1261" s="110">
        <v>191.8</v>
      </c>
      <c r="G1261">
        <v>320570</v>
      </c>
      <c r="H1261" s="110"/>
      <c r="I1261" s="110"/>
      <c r="L1261" s="133">
        <v>43862</v>
      </c>
      <c r="M1261" s="110">
        <v>38.409999999999997</v>
      </c>
      <c r="N1261" s="110">
        <v>41.11</v>
      </c>
      <c r="O1261" s="110">
        <v>37.799999999999997</v>
      </c>
      <c r="P1261" s="110">
        <v>40.200000000000003</v>
      </c>
      <c r="Q1261" s="110">
        <v>192.05</v>
      </c>
      <c r="R1261">
        <v>7507719</v>
      </c>
    </row>
    <row r="1262" spans="1:18" x14ac:dyDescent="0.25">
      <c r="A1262" s="133">
        <v>43864</v>
      </c>
      <c r="B1262" s="110">
        <v>38.71</v>
      </c>
      <c r="C1262" s="110">
        <v>37.39</v>
      </c>
      <c r="D1262" s="110">
        <v>37.22</v>
      </c>
      <c r="E1262" s="110">
        <v>38</v>
      </c>
      <c r="F1262" s="110">
        <v>186.95</v>
      </c>
      <c r="G1262">
        <v>242649</v>
      </c>
      <c r="H1262" s="110"/>
      <c r="I1262" s="110"/>
      <c r="L1262" s="133">
        <v>43864</v>
      </c>
      <c r="M1262" s="110">
        <v>37.39</v>
      </c>
      <c r="N1262" s="110">
        <v>38.79</v>
      </c>
      <c r="O1262" s="110">
        <v>37.200000000000003</v>
      </c>
      <c r="P1262" s="110">
        <v>38.4</v>
      </c>
      <c r="Q1262" s="110">
        <v>186.95</v>
      </c>
      <c r="R1262">
        <v>10159075</v>
      </c>
    </row>
    <row r="1263" spans="1:18" x14ac:dyDescent="0.25">
      <c r="A1263" s="133">
        <v>43865</v>
      </c>
      <c r="B1263" s="110">
        <v>38.6</v>
      </c>
      <c r="C1263" s="110">
        <v>37.159999999999997</v>
      </c>
      <c r="D1263" s="110">
        <v>36.96</v>
      </c>
      <c r="E1263" s="110">
        <v>38.6</v>
      </c>
      <c r="F1263" s="110">
        <v>185.8</v>
      </c>
      <c r="G1263">
        <v>266156</v>
      </c>
      <c r="H1263" s="110"/>
      <c r="I1263" s="110"/>
      <c r="L1263" s="133">
        <v>43865</v>
      </c>
      <c r="M1263" s="110">
        <v>37.14</v>
      </c>
      <c r="N1263" s="110">
        <v>38.53</v>
      </c>
      <c r="O1263" s="110">
        <v>36.96</v>
      </c>
      <c r="P1263" s="110">
        <v>38</v>
      </c>
      <c r="Q1263" s="110">
        <v>185.7</v>
      </c>
      <c r="R1263">
        <v>10704318</v>
      </c>
    </row>
    <row r="1264" spans="1:18" x14ac:dyDescent="0.25">
      <c r="A1264" s="133">
        <v>43866</v>
      </c>
      <c r="B1264" s="110">
        <v>37.590000000000003</v>
      </c>
      <c r="C1264" s="110">
        <v>36.83</v>
      </c>
      <c r="D1264" s="110">
        <v>36.6</v>
      </c>
      <c r="E1264" s="110">
        <v>37.4</v>
      </c>
      <c r="F1264" s="110">
        <v>184.15</v>
      </c>
      <c r="G1264">
        <v>278690</v>
      </c>
      <c r="H1264" s="110"/>
      <c r="I1264" s="110"/>
      <c r="L1264" s="133">
        <v>43866</v>
      </c>
      <c r="M1264" s="110">
        <v>36.799999999999997</v>
      </c>
      <c r="N1264" s="110">
        <v>37.6</v>
      </c>
      <c r="O1264" s="110">
        <v>36.58</v>
      </c>
      <c r="P1264" s="110">
        <v>37.200000000000003</v>
      </c>
      <c r="Q1264" s="110">
        <v>184</v>
      </c>
      <c r="R1264">
        <v>10154236</v>
      </c>
    </row>
    <row r="1265" spans="1:18" x14ac:dyDescent="0.25">
      <c r="A1265" s="133">
        <v>43867</v>
      </c>
      <c r="B1265" s="110">
        <v>38.880000000000003</v>
      </c>
      <c r="C1265" s="110">
        <v>37.92</v>
      </c>
      <c r="D1265" s="110">
        <v>36.82</v>
      </c>
      <c r="E1265" s="110">
        <v>36.92</v>
      </c>
      <c r="F1265" s="110">
        <v>189.6</v>
      </c>
      <c r="G1265">
        <v>714095</v>
      </c>
      <c r="H1265" s="110"/>
      <c r="I1265" s="110"/>
      <c r="L1265" s="133">
        <v>43867</v>
      </c>
      <c r="M1265" s="110">
        <v>37.909999999999997</v>
      </c>
      <c r="N1265" s="110">
        <v>38.880000000000003</v>
      </c>
      <c r="O1265" s="110">
        <v>36.82</v>
      </c>
      <c r="P1265" s="110">
        <v>37.03</v>
      </c>
      <c r="Q1265" s="110">
        <v>189.55</v>
      </c>
      <c r="R1265">
        <v>16772311</v>
      </c>
    </row>
    <row r="1266" spans="1:18" x14ac:dyDescent="0.25">
      <c r="A1266" s="133">
        <v>43868</v>
      </c>
      <c r="B1266" s="110">
        <v>38.6</v>
      </c>
      <c r="C1266" s="110">
        <v>37.97</v>
      </c>
      <c r="D1266" s="110">
        <v>37.409999999999997</v>
      </c>
      <c r="E1266" s="110">
        <v>38</v>
      </c>
      <c r="F1266" s="110">
        <v>189.85</v>
      </c>
      <c r="G1266">
        <v>386095</v>
      </c>
      <c r="H1266" s="110"/>
      <c r="I1266" s="110"/>
      <c r="L1266" s="133">
        <v>43868</v>
      </c>
      <c r="M1266" s="110">
        <v>38</v>
      </c>
      <c r="N1266" s="110">
        <v>38.630000000000003</v>
      </c>
      <c r="O1266" s="110">
        <v>37.380000000000003</v>
      </c>
      <c r="P1266" s="110">
        <v>37.99</v>
      </c>
      <c r="Q1266" s="110">
        <v>190</v>
      </c>
      <c r="R1266">
        <v>11219507</v>
      </c>
    </row>
    <row r="1267" spans="1:18" x14ac:dyDescent="0.25">
      <c r="A1267" s="133">
        <v>43871</v>
      </c>
      <c r="B1267" s="110">
        <v>38.32</v>
      </c>
      <c r="C1267" s="110">
        <v>37.43</v>
      </c>
      <c r="D1267" s="110">
        <v>37.21</v>
      </c>
      <c r="E1267" s="110">
        <v>38</v>
      </c>
      <c r="F1267" s="110">
        <v>187.15</v>
      </c>
      <c r="G1267">
        <v>211331</v>
      </c>
      <c r="H1267" s="110"/>
      <c r="I1267" s="110"/>
      <c r="L1267" s="133">
        <v>43871</v>
      </c>
      <c r="M1267" s="110">
        <v>37.43</v>
      </c>
      <c r="N1267" s="110">
        <v>38.36</v>
      </c>
      <c r="O1267" s="110">
        <v>37.19</v>
      </c>
      <c r="P1267" s="110">
        <v>37.99</v>
      </c>
      <c r="Q1267" s="110">
        <v>187.15</v>
      </c>
      <c r="R1267">
        <v>6623990</v>
      </c>
    </row>
    <row r="1268" spans="1:18" x14ac:dyDescent="0.25">
      <c r="A1268" s="133">
        <v>43872</v>
      </c>
      <c r="B1268" s="110">
        <v>38.299999999999997</v>
      </c>
      <c r="C1268" s="110">
        <v>37.51</v>
      </c>
      <c r="D1268" s="110">
        <v>37.36</v>
      </c>
      <c r="E1268" s="110">
        <v>37.770000000000003</v>
      </c>
      <c r="F1268" s="110">
        <v>187.55</v>
      </c>
      <c r="G1268">
        <v>216365</v>
      </c>
      <c r="H1268" s="110"/>
      <c r="I1268" s="110"/>
      <c r="L1268" s="133">
        <v>43872</v>
      </c>
      <c r="M1268" s="110">
        <v>37.520000000000003</v>
      </c>
      <c r="N1268" s="110">
        <v>38.29</v>
      </c>
      <c r="O1268" s="110">
        <v>37.33</v>
      </c>
      <c r="P1268" s="110">
        <v>37.78</v>
      </c>
      <c r="Q1268" s="110">
        <v>187.6</v>
      </c>
      <c r="R1268">
        <v>6490881</v>
      </c>
    </row>
    <row r="1269" spans="1:18" x14ac:dyDescent="0.25">
      <c r="A1269" s="133">
        <v>43873</v>
      </c>
      <c r="B1269" s="110">
        <v>37.97</v>
      </c>
      <c r="C1269" s="110">
        <v>36.950000000000003</v>
      </c>
      <c r="D1269" s="110">
        <v>36.6</v>
      </c>
      <c r="E1269" s="110">
        <v>37.78</v>
      </c>
      <c r="F1269" s="110">
        <v>184.75</v>
      </c>
      <c r="G1269">
        <v>482862</v>
      </c>
      <c r="H1269" s="110"/>
      <c r="I1269" s="110"/>
      <c r="L1269" s="133">
        <v>43873</v>
      </c>
      <c r="M1269" s="110">
        <v>36.94</v>
      </c>
      <c r="N1269" s="110">
        <v>37.950000000000003</v>
      </c>
      <c r="O1269" s="110">
        <v>36.57</v>
      </c>
      <c r="P1269" s="110">
        <v>37.79</v>
      </c>
      <c r="Q1269" s="110">
        <v>184.7</v>
      </c>
      <c r="R1269">
        <v>7932797</v>
      </c>
    </row>
    <row r="1270" spans="1:18" x14ac:dyDescent="0.25">
      <c r="A1270" s="133">
        <v>43874</v>
      </c>
      <c r="B1270" s="110">
        <v>37.5</v>
      </c>
      <c r="C1270" s="110">
        <v>36.6</v>
      </c>
      <c r="D1270" s="110">
        <v>36.53</v>
      </c>
      <c r="E1270" s="110">
        <v>37</v>
      </c>
      <c r="F1270" s="110">
        <v>183</v>
      </c>
      <c r="G1270">
        <v>654511</v>
      </c>
      <c r="H1270" s="110"/>
      <c r="I1270" s="110"/>
      <c r="L1270" s="133">
        <v>43874</v>
      </c>
      <c r="M1270" s="110">
        <v>36.6</v>
      </c>
      <c r="N1270" s="110">
        <v>37.51</v>
      </c>
      <c r="O1270" s="110">
        <v>36.520000000000003</v>
      </c>
      <c r="P1270" s="110">
        <v>37.1</v>
      </c>
      <c r="Q1270" s="110">
        <v>183</v>
      </c>
      <c r="R1270">
        <v>8338787</v>
      </c>
    </row>
    <row r="1271" spans="1:18" x14ac:dyDescent="0.25">
      <c r="A1271" s="133">
        <v>43875</v>
      </c>
      <c r="B1271" s="110">
        <v>37.08</v>
      </c>
      <c r="C1271" s="110">
        <v>36.03</v>
      </c>
      <c r="D1271" s="110">
        <v>35.909999999999997</v>
      </c>
      <c r="E1271" s="110">
        <v>36.6</v>
      </c>
      <c r="F1271" s="110">
        <v>180.15</v>
      </c>
      <c r="G1271">
        <v>586804</v>
      </c>
      <c r="H1271" s="110"/>
      <c r="I1271" s="110"/>
      <c r="L1271" s="133">
        <v>43875</v>
      </c>
      <c r="M1271" s="110">
        <v>36.06</v>
      </c>
      <c r="N1271" s="110">
        <v>37.1</v>
      </c>
      <c r="O1271" s="110">
        <v>35.909999999999997</v>
      </c>
      <c r="P1271" s="110">
        <v>36.659999999999997</v>
      </c>
      <c r="Q1271" s="110">
        <v>180.3</v>
      </c>
      <c r="R1271">
        <v>8605375</v>
      </c>
    </row>
    <row r="1272" spans="1:18" x14ac:dyDescent="0.25">
      <c r="A1272" s="133">
        <v>43878</v>
      </c>
      <c r="B1272" s="110">
        <v>36.26</v>
      </c>
      <c r="C1272" s="110">
        <v>34.96</v>
      </c>
      <c r="D1272" s="110">
        <v>34.85</v>
      </c>
      <c r="E1272" s="110">
        <v>36.200000000000003</v>
      </c>
      <c r="F1272" s="110">
        <v>174.8</v>
      </c>
      <c r="G1272">
        <v>225754</v>
      </c>
      <c r="H1272" s="110"/>
      <c r="I1272" s="110"/>
      <c r="L1272" s="133">
        <v>43878</v>
      </c>
      <c r="M1272" s="110">
        <v>34.96</v>
      </c>
      <c r="N1272" s="110">
        <v>36.26</v>
      </c>
      <c r="O1272" s="110">
        <v>34.840000000000003</v>
      </c>
      <c r="P1272" s="110">
        <v>36.159999999999997</v>
      </c>
      <c r="Q1272" s="110">
        <v>174.8</v>
      </c>
      <c r="R1272">
        <v>6859158</v>
      </c>
    </row>
    <row r="1273" spans="1:18" x14ac:dyDescent="0.25">
      <c r="A1273" s="133">
        <v>43879</v>
      </c>
      <c r="B1273" s="110">
        <v>34.96</v>
      </c>
      <c r="C1273" s="110">
        <v>34.58</v>
      </c>
      <c r="D1273" s="110">
        <v>33.53</v>
      </c>
      <c r="E1273" s="110">
        <v>34.96</v>
      </c>
      <c r="F1273" s="110">
        <v>172.9</v>
      </c>
      <c r="G1273">
        <v>324006</v>
      </c>
      <c r="H1273" s="110"/>
      <c r="I1273" s="110"/>
      <c r="L1273" s="133">
        <v>43879</v>
      </c>
      <c r="M1273" s="110">
        <v>34.56</v>
      </c>
      <c r="N1273" s="110">
        <v>35</v>
      </c>
      <c r="O1273" s="110">
        <v>33.51</v>
      </c>
      <c r="P1273" s="110">
        <v>35</v>
      </c>
      <c r="Q1273" s="110">
        <v>172.8</v>
      </c>
      <c r="R1273">
        <v>9137114</v>
      </c>
    </row>
    <row r="1274" spans="1:18" x14ac:dyDescent="0.25">
      <c r="A1274" s="133">
        <v>43880</v>
      </c>
      <c r="B1274" s="110">
        <v>35.200000000000003</v>
      </c>
      <c r="C1274" s="110">
        <v>34.74</v>
      </c>
      <c r="D1274" s="110">
        <v>34.32</v>
      </c>
      <c r="E1274" s="110">
        <v>35</v>
      </c>
      <c r="F1274" s="110">
        <v>173.7</v>
      </c>
      <c r="G1274">
        <v>205800</v>
      </c>
      <c r="H1274" s="110"/>
      <c r="I1274" s="110"/>
      <c r="L1274" s="133">
        <v>43880</v>
      </c>
      <c r="M1274" s="110">
        <v>34.729999999999997</v>
      </c>
      <c r="N1274" s="110">
        <v>35.270000000000003</v>
      </c>
      <c r="O1274" s="110">
        <v>34.299999999999997</v>
      </c>
      <c r="P1274" s="110">
        <v>34.880000000000003</v>
      </c>
      <c r="Q1274" s="110">
        <v>173.65</v>
      </c>
      <c r="R1274">
        <v>6706914</v>
      </c>
    </row>
    <row r="1275" spans="1:18" x14ac:dyDescent="0.25">
      <c r="A1275" s="133">
        <v>43881</v>
      </c>
      <c r="B1275" s="110">
        <v>35.479999999999997</v>
      </c>
      <c r="C1275" s="110">
        <v>34.549999999999997</v>
      </c>
      <c r="D1275" s="110">
        <v>34.26</v>
      </c>
      <c r="E1275" s="110">
        <v>34.700000000000003</v>
      </c>
      <c r="F1275" s="110">
        <v>172.75</v>
      </c>
      <c r="G1275">
        <v>288558</v>
      </c>
      <c r="H1275" s="110"/>
      <c r="I1275" s="110"/>
      <c r="L1275" s="133">
        <v>43881</v>
      </c>
      <c r="M1275" s="110">
        <v>34.53</v>
      </c>
      <c r="N1275" s="110">
        <v>35.479999999999997</v>
      </c>
      <c r="O1275" s="110">
        <v>34.229999999999997</v>
      </c>
      <c r="P1275" s="110">
        <v>34.68</v>
      </c>
      <c r="Q1275" s="110">
        <v>172.65</v>
      </c>
      <c r="R1275">
        <v>7289494</v>
      </c>
    </row>
    <row r="1276" spans="1:18" x14ac:dyDescent="0.25">
      <c r="A1276" s="133">
        <v>43885</v>
      </c>
      <c r="B1276" s="110">
        <v>34.4</v>
      </c>
      <c r="C1276" s="110">
        <v>33.1</v>
      </c>
      <c r="D1276" s="110">
        <v>32.9</v>
      </c>
      <c r="E1276" s="110">
        <v>34.39</v>
      </c>
      <c r="F1276" s="110">
        <v>165.5</v>
      </c>
      <c r="G1276">
        <v>203957</v>
      </c>
      <c r="H1276" s="110"/>
      <c r="I1276" s="110"/>
      <c r="L1276" s="133">
        <v>43885</v>
      </c>
      <c r="M1276" s="110">
        <v>33.11</v>
      </c>
      <c r="N1276" s="110">
        <v>34.340000000000003</v>
      </c>
      <c r="O1276" s="110">
        <v>32.89</v>
      </c>
      <c r="P1276" s="110">
        <v>34.200000000000003</v>
      </c>
      <c r="Q1276" s="110">
        <v>165.55</v>
      </c>
      <c r="R1276">
        <v>5910514</v>
      </c>
    </row>
    <row r="1277" spans="1:18" x14ac:dyDescent="0.25">
      <c r="A1277" s="133">
        <v>43886</v>
      </c>
      <c r="B1277" s="110">
        <v>33.380000000000003</v>
      </c>
      <c r="C1277" s="110">
        <v>32.57</v>
      </c>
      <c r="D1277" s="110">
        <v>32.47</v>
      </c>
      <c r="E1277" s="110">
        <v>33.380000000000003</v>
      </c>
      <c r="F1277" s="110">
        <v>162.85</v>
      </c>
      <c r="G1277">
        <v>200110</v>
      </c>
      <c r="H1277" s="110"/>
      <c r="I1277" s="110"/>
      <c r="L1277" s="133">
        <v>43886</v>
      </c>
      <c r="M1277" s="110">
        <v>32.58</v>
      </c>
      <c r="N1277" s="110">
        <v>33.33</v>
      </c>
      <c r="O1277" s="110">
        <v>32.47</v>
      </c>
      <c r="P1277" s="110">
        <v>33.31</v>
      </c>
      <c r="Q1277" s="110">
        <v>162.9</v>
      </c>
      <c r="R1277">
        <v>7344060</v>
      </c>
    </row>
    <row r="1278" spans="1:18" x14ac:dyDescent="0.25">
      <c r="A1278" s="133">
        <v>43887</v>
      </c>
      <c r="B1278" s="110">
        <v>32.619999999999997</v>
      </c>
      <c r="C1278" s="110">
        <v>31.98</v>
      </c>
      <c r="D1278" s="110">
        <v>31.84</v>
      </c>
      <c r="E1278" s="110">
        <v>32.54</v>
      </c>
      <c r="F1278" s="110">
        <v>159.9</v>
      </c>
      <c r="G1278">
        <v>239455</v>
      </c>
      <c r="H1278" s="110"/>
      <c r="I1278" s="110"/>
      <c r="L1278" s="133">
        <v>43887</v>
      </c>
      <c r="M1278" s="110">
        <v>31.98</v>
      </c>
      <c r="N1278" s="110">
        <v>32.619999999999997</v>
      </c>
      <c r="O1278" s="110">
        <v>31.82</v>
      </c>
      <c r="P1278" s="110">
        <v>32.299999999999997</v>
      </c>
      <c r="Q1278" s="110">
        <v>159.9</v>
      </c>
      <c r="R1278">
        <v>6950126</v>
      </c>
    </row>
    <row r="1279" spans="1:18" x14ac:dyDescent="0.25">
      <c r="A1279" s="133">
        <v>43888</v>
      </c>
      <c r="B1279" s="110">
        <v>32.04</v>
      </c>
      <c r="C1279" s="110">
        <v>31.09</v>
      </c>
      <c r="D1279" s="110">
        <v>30.84</v>
      </c>
      <c r="E1279" s="110">
        <v>31.95</v>
      </c>
      <c r="F1279" s="110">
        <v>155.44999999999999</v>
      </c>
      <c r="G1279">
        <v>358101</v>
      </c>
      <c r="H1279" s="110"/>
      <c r="I1279" s="110"/>
      <c r="L1279" s="133">
        <v>43888</v>
      </c>
      <c r="M1279" s="110">
        <v>31.11</v>
      </c>
      <c r="N1279" s="110">
        <v>32.090000000000003</v>
      </c>
      <c r="O1279" s="110">
        <v>30.85</v>
      </c>
      <c r="P1279" s="110">
        <v>31.88</v>
      </c>
      <c r="Q1279" s="110">
        <v>155.55000000000001</v>
      </c>
      <c r="R1279">
        <v>8498519</v>
      </c>
    </row>
    <row r="1280" spans="1:18" x14ac:dyDescent="0.25">
      <c r="A1280" s="133">
        <v>43889</v>
      </c>
      <c r="B1280" s="110">
        <v>30.2</v>
      </c>
      <c r="C1280" s="110">
        <v>28.81</v>
      </c>
      <c r="D1280" s="110">
        <v>28.22</v>
      </c>
      <c r="E1280" s="110">
        <v>30.2</v>
      </c>
      <c r="F1280" s="110">
        <v>144.05000000000001</v>
      </c>
      <c r="G1280">
        <v>461956</v>
      </c>
      <c r="H1280" s="110"/>
      <c r="I1280" s="110"/>
      <c r="L1280" s="133">
        <v>43889</v>
      </c>
      <c r="M1280" s="110">
        <v>28.74</v>
      </c>
      <c r="N1280" s="110">
        <v>30.14</v>
      </c>
      <c r="O1280" s="110">
        <v>28.03</v>
      </c>
      <c r="P1280" s="110">
        <v>30</v>
      </c>
      <c r="Q1280" s="110">
        <v>143.69999999999999</v>
      </c>
      <c r="R1280">
        <v>9479531</v>
      </c>
    </row>
    <row r="1281" spans="1:18" x14ac:dyDescent="0.25">
      <c r="A1281" s="133">
        <v>43892</v>
      </c>
      <c r="B1281" s="110">
        <v>29.58</v>
      </c>
      <c r="C1281" s="110">
        <v>27.62</v>
      </c>
      <c r="D1281" s="110">
        <v>27.25</v>
      </c>
      <c r="E1281" s="110">
        <v>29</v>
      </c>
      <c r="F1281" s="110">
        <v>138.1</v>
      </c>
      <c r="G1281">
        <v>514297</v>
      </c>
      <c r="H1281" s="110"/>
      <c r="I1281" s="110"/>
      <c r="L1281" s="133">
        <v>43892</v>
      </c>
      <c r="M1281" s="110">
        <v>27.63</v>
      </c>
      <c r="N1281" s="110">
        <v>29.58</v>
      </c>
      <c r="O1281" s="110">
        <v>27.24</v>
      </c>
      <c r="P1281" s="110">
        <v>29.26</v>
      </c>
      <c r="Q1281" s="110">
        <v>138.15</v>
      </c>
      <c r="R1281">
        <v>10112716</v>
      </c>
    </row>
    <row r="1282" spans="1:18" x14ac:dyDescent="0.25">
      <c r="A1282" s="133">
        <v>43893</v>
      </c>
      <c r="B1282" s="110">
        <v>28.58</v>
      </c>
      <c r="C1282" s="110">
        <v>28.34</v>
      </c>
      <c r="D1282" s="110">
        <v>27.56</v>
      </c>
      <c r="E1282" s="110">
        <v>28</v>
      </c>
      <c r="F1282" s="110">
        <v>141.69999999999999</v>
      </c>
      <c r="G1282">
        <v>391687</v>
      </c>
      <c r="H1282" s="110"/>
      <c r="I1282" s="110"/>
      <c r="L1282" s="133">
        <v>43893</v>
      </c>
      <c r="M1282" s="110">
        <v>28.35</v>
      </c>
      <c r="N1282" s="110">
        <v>28.7</v>
      </c>
      <c r="O1282" s="110">
        <v>27.56</v>
      </c>
      <c r="P1282" s="110">
        <v>27.95</v>
      </c>
      <c r="Q1282" s="110">
        <v>141.75</v>
      </c>
      <c r="R1282">
        <v>12866011</v>
      </c>
    </row>
    <row r="1283" spans="1:18" x14ac:dyDescent="0.25">
      <c r="A1283" s="133">
        <v>43894</v>
      </c>
      <c r="B1283" s="110">
        <v>28.44</v>
      </c>
      <c r="C1283" s="110">
        <v>27.78</v>
      </c>
      <c r="D1283" s="110">
        <v>27.05</v>
      </c>
      <c r="E1283" s="110">
        <v>28.31</v>
      </c>
      <c r="F1283" s="110">
        <v>138.9</v>
      </c>
      <c r="G1283">
        <v>501815</v>
      </c>
      <c r="H1283" s="110"/>
      <c r="I1283" s="110"/>
      <c r="L1283" s="133">
        <v>43894</v>
      </c>
      <c r="M1283" s="110">
        <v>27.78</v>
      </c>
      <c r="N1283" s="110">
        <v>28.44</v>
      </c>
      <c r="O1283" s="110">
        <v>27.04</v>
      </c>
      <c r="P1283" s="110">
        <v>28.4</v>
      </c>
      <c r="Q1283" s="110">
        <v>138.9</v>
      </c>
      <c r="R1283">
        <v>10602835</v>
      </c>
    </row>
    <row r="1284" spans="1:18" x14ac:dyDescent="0.25">
      <c r="A1284" s="133">
        <v>43895</v>
      </c>
      <c r="B1284" s="110">
        <v>28.66</v>
      </c>
      <c r="C1284" s="110">
        <v>27.89</v>
      </c>
      <c r="D1284" s="110">
        <v>26.8</v>
      </c>
      <c r="E1284" s="110">
        <v>27.98</v>
      </c>
      <c r="F1284" s="110">
        <v>139.44999999999999</v>
      </c>
      <c r="G1284">
        <v>570215</v>
      </c>
      <c r="H1284" s="110"/>
      <c r="I1284" s="110"/>
      <c r="L1284" s="133">
        <v>43895</v>
      </c>
      <c r="M1284" s="110">
        <v>27.82</v>
      </c>
      <c r="N1284" s="110">
        <v>28.67</v>
      </c>
      <c r="O1284" s="110">
        <v>26.79</v>
      </c>
      <c r="P1284" s="110">
        <v>27.95</v>
      </c>
      <c r="Q1284" s="110">
        <v>139.1</v>
      </c>
      <c r="R1284">
        <v>14180230</v>
      </c>
    </row>
    <row r="1285" spans="1:18" x14ac:dyDescent="0.25">
      <c r="A1285" s="133">
        <v>43896</v>
      </c>
      <c r="B1285" s="110">
        <v>26.52</v>
      </c>
      <c r="C1285" s="110">
        <v>26.09</v>
      </c>
      <c r="D1285" s="110">
        <v>25.6</v>
      </c>
      <c r="E1285" s="110">
        <v>26</v>
      </c>
      <c r="F1285" s="110">
        <v>130.44999999999999</v>
      </c>
      <c r="G1285">
        <v>388045</v>
      </c>
      <c r="H1285" s="110"/>
      <c r="I1285" s="110"/>
      <c r="L1285" s="133">
        <v>43896</v>
      </c>
      <c r="M1285" s="110">
        <v>26.1</v>
      </c>
      <c r="N1285" s="110">
        <v>26.54</v>
      </c>
      <c r="O1285" s="110">
        <v>25.48</v>
      </c>
      <c r="P1285" s="110">
        <v>26</v>
      </c>
      <c r="Q1285" s="110">
        <v>130.5</v>
      </c>
      <c r="R1285">
        <v>8274049</v>
      </c>
    </row>
    <row r="1286" spans="1:18" x14ac:dyDescent="0.25">
      <c r="A1286" s="133">
        <v>43899</v>
      </c>
      <c r="B1286" s="110">
        <v>25.55</v>
      </c>
      <c r="C1286" s="110">
        <v>24.27</v>
      </c>
      <c r="D1286" s="110">
        <v>24.02</v>
      </c>
      <c r="E1286" s="110">
        <v>25.2</v>
      </c>
      <c r="F1286" s="110">
        <v>121.35</v>
      </c>
      <c r="G1286">
        <v>423659</v>
      </c>
      <c r="H1286" s="110"/>
      <c r="I1286" s="110"/>
      <c r="L1286" s="133">
        <v>43899</v>
      </c>
      <c r="M1286" s="110">
        <v>24.33</v>
      </c>
      <c r="N1286" s="110">
        <v>25.57</v>
      </c>
      <c r="O1286" s="110">
        <v>24</v>
      </c>
      <c r="P1286" s="110">
        <v>25</v>
      </c>
      <c r="Q1286" s="110">
        <v>121.65</v>
      </c>
      <c r="R1286">
        <v>9425292</v>
      </c>
    </row>
    <row r="1287" spans="1:18" x14ac:dyDescent="0.25">
      <c r="A1287" s="133">
        <v>43901</v>
      </c>
      <c r="B1287" s="110">
        <v>24.8</v>
      </c>
      <c r="C1287" s="110">
        <v>23.33</v>
      </c>
      <c r="D1287" s="110">
        <v>23.05</v>
      </c>
      <c r="E1287" s="110">
        <v>24.8</v>
      </c>
      <c r="F1287" s="110">
        <v>116.65</v>
      </c>
      <c r="G1287">
        <v>346412</v>
      </c>
      <c r="H1287" s="110"/>
      <c r="I1287" s="110"/>
      <c r="L1287" s="133">
        <v>43901</v>
      </c>
      <c r="M1287" s="110">
        <v>23.33</v>
      </c>
      <c r="N1287" s="110">
        <v>24.76</v>
      </c>
      <c r="O1287" s="110">
        <v>23.06</v>
      </c>
      <c r="P1287" s="110">
        <v>24.33</v>
      </c>
      <c r="Q1287" s="110">
        <v>116.65</v>
      </c>
      <c r="R1287">
        <v>10041511</v>
      </c>
    </row>
    <row r="1288" spans="1:18" x14ac:dyDescent="0.25">
      <c r="A1288" s="133">
        <v>43902</v>
      </c>
      <c r="B1288" s="110">
        <v>21.8</v>
      </c>
      <c r="C1288" s="110">
        <v>19.7</v>
      </c>
      <c r="D1288" s="110">
        <v>19.45</v>
      </c>
      <c r="E1288" s="110">
        <v>21.8</v>
      </c>
      <c r="F1288" s="110">
        <v>98.5</v>
      </c>
      <c r="G1288">
        <v>710720</v>
      </c>
      <c r="H1288" s="110"/>
      <c r="I1288" s="110"/>
      <c r="L1288" s="133">
        <v>43902</v>
      </c>
      <c r="M1288" s="110">
        <v>19.7</v>
      </c>
      <c r="N1288" s="110">
        <v>21.94</v>
      </c>
      <c r="O1288" s="110">
        <v>19.41</v>
      </c>
      <c r="P1288" s="110">
        <v>21.6</v>
      </c>
      <c r="Q1288" s="110">
        <v>98.5</v>
      </c>
      <c r="R1288">
        <v>15182766</v>
      </c>
    </row>
    <row r="1289" spans="1:18" x14ac:dyDescent="0.25">
      <c r="A1289" s="133">
        <v>43903</v>
      </c>
      <c r="B1289" s="110">
        <v>21.7</v>
      </c>
      <c r="C1289" s="110">
        <v>21.48</v>
      </c>
      <c r="D1289" s="110">
        <v>16.75</v>
      </c>
      <c r="E1289" s="110">
        <v>18.38</v>
      </c>
      <c r="F1289" s="110">
        <v>107.4</v>
      </c>
      <c r="G1289">
        <v>1138681</v>
      </c>
      <c r="H1289" s="110"/>
      <c r="I1289" s="110"/>
      <c r="L1289" s="133">
        <v>43903</v>
      </c>
      <c r="M1289" s="110">
        <v>21.48</v>
      </c>
      <c r="N1289" s="110">
        <v>21.88</v>
      </c>
      <c r="O1289" s="110">
        <v>16.399999999999999</v>
      </c>
      <c r="P1289" s="110">
        <v>17.84</v>
      </c>
      <c r="Q1289" s="110">
        <v>107.4</v>
      </c>
      <c r="R1289">
        <v>18446393</v>
      </c>
    </row>
    <row r="1290" spans="1:18" x14ac:dyDescent="0.25">
      <c r="A1290" s="133">
        <v>43906</v>
      </c>
      <c r="B1290" s="110">
        <v>20.56</v>
      </c>
      <c r="C1290" s="110">
        <v>19.940000000000001</v>
      </c>
      <c r="D1290" s="110">
        <v>19.5</v>
      </c>
      <c r="E1290" s="110">
        <v>20.56</v>
      </c>
      <c r="F1290" s="110">
        <v>99.7</v>
      </c>
      <c r="G1290">
        <v>550856</v>
      </c>
      <c r="H1290" s="110"/>
      <c r="I1290" s="110"/>
      <c r="L1290" s="133">
        <v>43906</v>
      </c>
      <c r="M1290" s="110">
        <v>19.93</v>
      </c>
      <c r="N1290" s="110">
        <v>20.56</v>
      </c>
      <c r="O1290" s="110">
        <v>19.5</v>
      </c>
      <c r="P1290" s="110">
        <v>19.940000000000001</v>
      </c>
      <c r="Q1290" s="110">
        <v>99.65</v>
      </c>
      <c r="R1290">
        <v>11979773</v>
      </c>
    </row>
    <row r="1291" spans="1:18" x14ac:dyDescent="0.25">
      <c r="A1291" s="133">
        <v>43907</v>
      </c>
      <c r="B1291" s="110">
        <v>20.95</v>
      </c>
      <c r="C1291" s="110">
        <v>19.899999999999999</v>
      </c>
      <c r="D1291" s="110">
        <v>19.600000000000001</v>
      </c>
      <c r="E1291" s="110">
        <v>20.100000000000001</v>
      </c>
      <c r="F1291" s="110">
        <v>99.5</v>
      </c>
      <c r="G1291">
        <v>572769</v>
      </c>
      <c r="H1291" s="110"/>
      <c r="I1291" s="110"/>
      <c r="L1291" s="133">
        <v>43907</v>
      </c>
      <c r="M1291" s="110">
        <v>19.84</v>
      </c>
      <c r="N1291" s="110">
        <v>20.98</v>
      </c>
      <c r="O1291" s="110">
        <v>19.600000000000001</v>
      </c>
      <c r="P1291" s="110">
        <v>20.12</v>
      </c>
      <c r="Q1291" s="110">
        <v>99.2</v>
      </c>
      <c r="R1291">
        <v>12132213</v>
      </c>
    </row>
    <row r="1292" spans="1:18" x14ac:dyDescent="0.25">
      <c r="A1292" s="133">
        <v>43908</v>
      </c>
      <c r="B1292" s="110">
        <v>20.58</v>
      </c>
      <c r="C1292" s="110">
        <v>19.2</v>
      </c>
      <c r="D1292" s="110">
        <v>18.52</v>
      </c>
      <c r="E1292" s="110">
        <v>20.58</v>
      </c>
      <c r="F1292" s="110">
        <v>96</v>
      </c>
      <c r="G1292">
        <v>668089</v>
      </c>
      <c r="H1292" s="110"/>
      <c r="I1292" s="110"/>
      <c r="L1292" s="133">
        <v>43908</v>
      </c>
      <c r="M1292" s="110">
        <v>19.170000000000002</v>
      </c>
      <c r="N1292" s="110">
        <v>20.36</v>
      </c>
      <c r="O1292" s="110">
        <v>18.5</v>
      </c>
      <c r="P1292" s="110">
        <v>20.3</v>
      </c>
      <c r="Q1292" s="110">
        <v>95.85</v>
      </c>
      <c r="R1292">
        <v>12246334</v>
      </c>
    </row>
    <row r="1293" spans="1:18" x14ac:dyDescent="0.25">
      <c r="A1293" s="133">
        <v>43909</v>
      </c>
      <c r="B1293" s="110">
        <v>20.96</v>
      </c>
      <c r="C1293" s="110">
        <v>19.829999999999998</v>
      </c>
      <c r="D1293" s="110">
        <v>17.93</v>
      </c>
      <c r="E1293" s="110">
        <v>18.8</v>
      </c>
      <c r="F1293" s="110">
        <v>99.15</v>
      </c>
      <c r="G1293">
        <v>611975</v>
      </c>
      <c r="H1293" s="110"/>
      <c r="I1293" s="110"/>
      <c r="L1293" s="133">
        <v>43909</v>
      </c>
      <c r="M1293" s="110">
        <v>19.809999999999999</v>
      </c>
      <c r="N1293" s="110">
        <v>20.99</v>
      </c>
      <c r="O1293" s="110">
        <v>17.940000000000001</v>
      </c>
      <c r="P1293" s="110">
        <v>18.13</v>
      </c>
      <c r="Q1293" s="110">
        <v>99.05</v>
      </c>
      <c r="R1293">
        <v>16989456</v>
      </c>
    </row>
    <row r="1294" spans="1:18" x14ac:dyDescent="0.25">
      <c r="A1294" s="133">
        <v>43910</v>
      </c>
      <c r="B1294" s="110">
        <v>20.59</v>
      </c>
      <c r="C1294" s="110">
        <v>19.23</v>
      </c>
      <c r="D1294" s="110">
        <v>19.09</v>
      </c>
      <c r="E1294" s="110">
        <v>20.14</v>
      </c>
      <c r="F1294" s="110">
        <v>96.15</v>
      </c>
      <c r="G1294">
        <v>780020</v>
      </c>
      <c r="H1294" s="110"/>
      <c r="I1294" s="110"/>
      <c r="L1294" s="133">
        <v>43910</v>
      </c>
      <c r="M1294" s="110">
        <v>19.25</v>
      </c>
      <c r="N1294" s="110">
        <v>20.59</v>
      </c>
      <c r="O1294" s="110">
        <v>19.09</v>
      </c>
      <c r="P1294" s="110">
        <v>19.96</v>
      </c>
      <c r="Q1294" s="110">
        <v>96.25</v>
      </c>
      <c r="R1294">
        <v>20401525</v>
      </c>
    </row>
    <row r="1295" spans="1:18" x14ac:dyDescent="0.25">
      <c r="A1295" s="133">
        <v>43913</v>
      </c>
      <c r="B1295" s="110">
        <v>19.149999999999999</v>
      </c>
      <c r="C1295" s="110">
        <v>15.25</v>
      </c>
      <c r="D1295" s="110">
        <v>15</v>
      </c>
      <c r="E1295" s="110">
        <v>19.149999999999999</v>
      </c>
      <c r="F1295" s="110">
        <v>76.25</v>
      </c>
      <c r="G1295">
        <v>468882</v>
      </c>
      <c r="H1295" s="110"/>
      <c r="I1295" s="110"/>
      <c r="L1295" s="133">
        <v>43913</v>
      </c>
      <c r="M1295" s="110">
        <v>15.22</v>
      </c>
      <c r="N1295" s="110">
        <v>18.3</v>
      </c>
      <c r="O1295" s="110">
        <v>15</v>
      </c>
      <c r="P1295" s="110">
        <v>18.3</v>
      </c>
      <c r="Q1295" s="110">
        <v>76.099999999999994</v>
      </c>
      <c r="R1295">
        <v>6549130</v>
      </c>
    </row>
    <row r="1296" spans="1:18" x14ac:dyDescent="0.25">
      <c r="A1296" s="133">
        <v>43914</v>
      </c>
      <c r="B1296" s="110">
        <v>16.59</v>
      </c>
      <c r="C1296" s="110">
        <v>16.18</v>
      </c>
      <c r="D1296" s="110">
        <v>14.77</v>
      </c>
      <c r="E1296" s="110">
        <v>16</v>
      </c>
      <c r="F1296" s="110">
        <v>80.900000000000006</v>
      </c>
      <c r="G1296">
        <v>377707</v>
      </c>
      <c r="H1296" s="110"/>
      <c r="I1296" s="110"/>
      <c r="L1296" s="133">
        <v>43914</v>
      </c>
      <c r="M1296" s="110">
        <v>16.079999999999998</v>
      </c>
      <c r="N1296" s="110">
        <v>16.600000000000001</v>
      </c>
      <c r="O1296" s="110">
        <v>14.73</v>
      </c>
      <c r="P1296" s="110">
        <v>15.85</v>
      </c>
      <c r="Q1296" s="110">
        <v>80.400000000000006</v>
      </c>
      <c r="R1296">
        <v>11485068</v>
      </c>
    </row>
    <row r="1297" spans="1:18" x14ac:dyDescent="0.25">
      <c r="A1297" s="133">
        <v>43915</v>
      </c>
      <c r="B1297" s="110">
        <v>17.350000000000001</v>
      </c>
      <c r="C1297" s="110">
        <v>16.73</v>
      </c>
      <c r="D1297" s="110">
        <v>15.59</v>
      </c>
      <c r="E1297" s="110">
        <v>15.8</v>
      </c>
      <c r="F1297" s="110">
        <v>83.65</v>
      </c>
      <c r="G1297">
        <v>331355</v>
      </c>
      <c r="H1297" s="110"/>
      <c r="I1297" s="110"/>
      <c r="L1297" s="133">
        <v>43915</v>
      </c>
      <c r="M1297" s="110">
        <v>16.73</v>
      </c>
      <c r="N1297" s="110">
        <v>17.34</v>
      </c>
      <c r="O1297" s="110">
        <v>15.4</v>
      </c>
      <c r="P1297" s="110">
        <v>15.5</v>
      </c>
      <c r="Q1297" s="110">
        <v>83.65</v>
      </c>
      <c r="R1297">
        <v>7825483</v>
      </c>
    </row>
    <row r="1298" spans="1:18" x14ac:dyDescent="0.25">
      <c r="A1298" s="133">
        <v>43916</v>
      </c>
      <c r="B1298" s="110">
        <v>18.29</v>
      </c>
      <c r="C1298" s="110">
        <v>17.47</v>
      </c>
      <c r="D1298" s="110">
        <v>16.600000000000001</v>
      </c>
      <c r="E1298" s="110">
        <v>17.079999999999998</v>
      </c>
      <c r="F1298" s="110">
        <v>87.35</v>
      </c>
      <c r="G1298">
        <v>291867</v>
      </c>
      <c r="H1298" s="110"/>
      <c r="I1298" s="110"/>
      <c r="L1298" s="133">
        <v>43916</v>
      </c>
      <c r="M1298" s="110">
        <v>17.48</v>
      </c>
      <c r="N1298" s="110">
        <v>18.29</v>
      </c>
      <c r="O1298" s="110">
        <v>16.579999999999998</v>
      </c>
      <c r="P1298" s="110">
        <v>16.8</v>
      </c>
      <c r="Q1298" s="110">
        <v>87.4</v>
      </c>
      <c r="R1298">
        <v>9925410</v>
      </c>
    </row>
    <row r="1299" spans="1:18" x14ac:dyDescent="0.25">
      <c r="A1299" s="133">
        <v>43917</v>
      </c>
      <c r="B1299" s="110">
        <v>19.09</v>
      </c>
      <c r="C1299" s="110">
        <v>18.03</v>
      </c>
      <c r="D1299" s="110">
        <v>17.55</v>
      </c>
      <c r="E1299" s="110">
        <v>18</v>
      </c>
      <c r="F1299" s="110">
        <v>90.15</v>
      </c>
      <c r="G1299">
        <v>511325</v>
      </c>
      <c r="H1299" s="110"/>
      <c r="I1299" s="110"/>
      <c r="L1299" s="133">
        <v>43917</v>
      </c>
      <c r="M1299" s="110">
        <v>18.010000000000002</v>
      </c>
      <c r="N1299" s="110">
        <v>19.100000000000001</v>
      </c>
      <c r="O1299" s="110">
        <v>17.54</v>
      </c>
      <c r="P1299" s="110">
        <v>18.09</v>
      </c>
      <c r="Q1299" s="110">
        <v>90.05</v>
      </c>
      <c r="R1299">
        <v>12354848</v>
      </c>
    </row>
    <row r="1300" spans="1:18" x14ac:dyDescent="0.25">
      <c r="A1300" s="133">
        <v>43920</v>
      </c>
      <c r="B1300" s="110">
        <v>17.91</v>
      </c>
      <c r="C1300" s="110">
        <v>17.36</v>
      </c>
      <c r="D1300" s="110">
        <v>16.96</v>
      </c>
      <c r="E1300" s="110">
        <v>17.600000000000001</v>
      </c>
      <c r="F1300" s="110">
        <v>86.8</v>
      </c>
      <c r="G1300">
        <v>352553</v>
      </c>
      <c r="H1300" s="110"/>
      <c r="I1300" s="110"/>
      <c r="L1300" s="133">
        <v>43920</v>
      </c>
      <c r="M1300" s="110">
        <v>17.37</v>
      </c>
      <c r="N1300" s="110">
        <v>17.91</v>
      </c>
      <c r="O1300" s="110">
        <v>16.940000000000001</v>
      </c>
      <c r="P1300" s="110">
        <v>17.8</v>
      </c>
      <c r="Q1300" s="110">
        <v>86.85</v>
      </c>
      <c r="R1300">
        <v>5776266</v>
      </c>
    </row>
    <row r="1301" spans="1:18" x14ac:dyDescent="0.25">
      <c r="A1301" s="133">
        <v>43921</v>
      </c>
      <c r="B1301" s="110">
        <v>18.41</v>
      </c>
      <c r="C1301" s="110">
        <v>18.079999999999998</v>
      </c>
      <c r="D1301" s="110">
        <v>17.37</v>
      </c>
      <c r="E1301" s="110">
        <v>17.760000000000002</v>
      </c>
      <c r="F1301" s="110">
        <v>90.4</v>
      </c>
      <c r="G1301">
        <v>246616</v>
      </c>
      <c r="H1301" s="110"/>
      <c r="I1301" s="110"/>
      <c r="L1301" s="133">
        <v>43921</v>
      </c>
      <c r="M1301" s="110">
        <v>18.100000000000001</v>
      </c>
      <c r="N1301" s="110">
        <v>18.43</v>
      </c>
      <c r="O1301" s="110">
        <v>17.36</v>
      </c>
      <c r="P1301" s="110">
        <v>18</v>
      </c>
      <c r="Q1301" s="110">
        <v>90.5</v>
      </c>
      <c r="R1301">
        <v>6564255</v>
      </c>
    </row>
    <row r="1302" spans="1:18" x14ac:dyDescent="0.25">
      <c r="A1302" s="133">
        <v>43922</v>
      </c>
      <c r="B1302" s="110">
        <v>18.78</v>
      </c>
      <c r="C1302" s="110">
        <v>18.05</v>
      </c>
      <c r="D1302" s="110">
        <v>17.649999999999999</v>
      </c>
      <c r="E1302" s="110">
        <v>18.78</v>
      </c>
      <c r="F1302" s="110">
        <v>90.25</v>
      </c>
      <c r="G1302">
        <v>446233</v>
      </c>
      <c r="H1302" s="110"/>
      <c r="I1302" s="110"/>
      <c r="L1302" s="133">
        <v>43922</v>
      </c>
      <c r="M1302" s="110">
        <v>18.04</v>
      </c>
      <c r="N1302" s="110">
        <v>18.39</v>
      </c>
      <c r="O1302" s="110">
        <v>17.649999999999999</v>
      </c>
      <c r="P1302" s="110">
        <v>18.3</v>
      </c>
      <c r="Q1302" s="110">
        <v>90.2</v>
      </c>
      <c r="R1302">
        <v>6274718</v>
      </c>
    </row>
    <row r="1303" spans="1:18" x14ac:dyDescent="0.25">
      <c r="A1303" s="133">
        <v>43924</v>
      </c>
      <c r="B1303" s="110">
        <v>18</v>
      </c>
      <c r="C1303" s="110">
        <v>16.82</v>
      </c>
      <c r="D1303" s="110">
        <v>16.71</v>
      </c>
      <c r="E1303" s="110">
        <v>18</v>
      </c>
      <c r="F1303" s="110">
        <v>84.1</v>
      </c>
      <c r="G1303">
        <v>365314</v>
      </c>
      <c r="H1303" s="110"/>
      <c r="I1303" s="110"/>
      <c r="L1303" s="133">
        <v>43924</v>
      </c>
      <c r="M1303" s="110">
        <v>16.829999999999998</v>
      </c>
      <c r="N1303" s="110">
        <v>17.78</v>
      </c>
      <c r="O1303" s="110">
        <v>16.7</v>
      </c>
      <c r="P1303" s="110">
        <v>17.600000000000001</v>
      </c>
      <c r="Q1303" s="110">
        <v>84.15</v>
      </c>
      <c r="R1303">
        <v>5510785</v>
      </c>
    </row>
    <row r="1304" spans="1:18" x14ac:dyDescent="0.25">
      <c r="A1304" s="133">
        <v>43928</v>
      </c>
      <c r="B1304" s="110">
        <v>17.57</v>
      </c>
      <c r="C1304" s="110">
        <v>17.350000000000001</v>
      </c>
      <c r="D1304" s="110">
        <v>16.66</v>
      </c>
      <c r="E1304" s="110">
        <v>17.399999999999999</v>
      </c>
      <c r="F1304" s="110">
        <v>86.75</v>
      </c>
      <c r="G1304">
        <v>457453</v>
      </c>
      <c r="H1304" s="110"/>
      <c r="I1304" s="110"/>
      <c r="L1304" s="133">
        <v>43928</v>
      </c>
      <c r="M1304" s="110">
        <v>17.36</v>
      </c>
      <c r="N1304" s="110">
        <v>17.600000000000001</v>
      </c>
      <c r="O1304" s="110">
        <v>16.64</v>
      </c>
      <c r="P1304" s="110">
        <v>17.43</v>
      </c>
      <c r="Q1304" s="110">
        <v>86.8</v>
      </c>
      <c r="R1304">
        <v>7387687</v>
      </c>
    </row>
    <row r="1305" spans="1:18" x14ac:dyDescent="0.25">
      <c r="A1305" s="133">
        <v>43929</v>
      </c>
      <c r="B1305" s="110">
        <v>18.52</v>
      </c>
      <c r="C1305" s="110">
        <v>17.47</v>
      </c>
      <c r="D1305" s="110">
        <v>16.940000000000001</v>
      </c>
      <c r="E1305" s="110">
        <v>17.399999999999999</v>
      </c>
      <c r="F1305" s="110">
        <v>87.35</v>
      </c>
      <c r="G1305">
        <v>515378</v>
      </c>
      <c r="H1305" s="110"/>
      <c r="I1305" s="110"/>
      <c r="L1305" s="133">
        <v>43929</v>
      </c>
      <c r="M1305" s="110">
        <v>17.48</v>
      </c>
      <c r="N1305" s="110">
        <v>18.55</v>
      </c>
      <c r="O1305" s="110">
        <v>16.86</v>
      </c>
      <c r="P1305" s="110">
        <v>17.04</v>
      </c>
      <c r="Q1305" s="110">
        <v>87.4</v>
      </c>
      <c r="R1305">
        <v>8434667</v>
      </c>
    </row>
    <row r="1306" spans="1:18" x14ac:dyDescent="0.25">
      <c r="A1306" s="133">
        <v>43930</v>
      </c>
      <c r="B1306" s="110">
        <v>18.579999999999998</v>
      </c>
      <c r="C1306" s="110">
        <v>18.36</v>
      </c>
      <c r="D1306" s="110">
        <v>17.309999999999999</v>
      </c>
      <c r="E1306" s="110">
        <v>17.600000000000001</v>
      </c>
      <c r="F1306" s="110">
        <v>91.8</v>
      </c>
      <c r="G1306">
        <v>670944</v>
      </c>
      <c r="H1306" s="110"/>
      <c r="I1306" s="110"/>
      <c r="L1306" s="133">
        <v>43930</v>
      </c>
      <c r="M1306" s="110">
        <v>18.36</v>
      </c>
      <c r="N1306" s="110">
        <v>18.600000000000001</v>
      </c>
      <c r="O1306" s="110">
        <v>17.32</v>
      </c>
      <c r="P1306" s="110">
        <v>17.68</v>
      </c>
      <c r="Q1306" s="110">
        <v>91.8</v>
      </c>
      <c r="R1306">
        <v>11219835</v>
      </c>
    </row>
    <row r="1307" spans="1:18" x14ac:dyDescent="0.25">
      <c r="A1307" s="133">
        <v>43934</v>
      </c>
      <c r="B1307" s="110">
        <v>18.329999999999998</v>
      </c>
      <c r="C1307" s="110">
        <v>17.64</v>
      </c>
      <c r="D1307" s="110">
        <v>17.34</v>
      </c>
      <c r="E1307" s="110">
        <v>18.329999999999998</v>
      </c>
      <c r="F1307" s="110">
        <v>88.2</v>
      </c>
      <c r="G1307">
        <v>418775</v>
      </c>
      <c r="H1307" s="110"/>
      <c r="I1307" s="110"/>
      <c r="L1307" s="133">
        <v>43934</v>
      </c>
      <c r="M1307" s="110">
        <v>17.66</v>
      </c>
      <c r="N1307" s="110">
        <v>18.260000000000002</v>
      </c>
      <c r="O1307" s="110">
        <v>17.329999999999998</v>
      </c>
      <c r="P1307" s="110">
        <v>18.190000000000001</v>
      </c>
      <c r="Q1307" s="110">
        <v>88.3</v>
      </c>
      <c r="R1307">
        <v>6855898</v>
      </c>
    </row>
    <row r="1308" spans="1:18" x14ac:dyDescent="0.25">
      <c r="A1308" s="133">
        <v>43936</v>
      </c>
      <c r="B1308" s="110">
        <v>18.41</v>
      </c>
      <c r="C1308" s="110">
        <v>17.27</v>
      </c>
      <c r="D1308" s="110">
        <v>17.18</v>
      </c>
      <c r="E1308" s="110">
        <v>17.899999999999999</v>
      </c>
      <c r="F1308" s="110">
        <v>86.35</v>
      </c>
      <c r="G1308">
        <v>1792914</v>
      </c>
      <c r="H1308" s="110"/>
      <c r="I1308" s="110"/>
      <c r="L1308" s="133">
        <v>43936</v>
      </c>
      <c r="M1308" s="110">
        <v>17.29</v>
      </c>
      <c r="N1308" s="110">
        <v>18.399999999999999</v>
      </c>
      <c r="O1308" s="110">
        <v>17.170000000000002</v>
      </c>
      <c r="P1308" s="110">
        <v>17.79</v>
      </c>
      <c r="Q1308" s="110">
        <v>86.45</v>
      </c>
      <c r="R1308">
        <v>11008091</v>
      </c>
    </row>
    <row r="1309" spans="1:18" x14ac:dyDescent="0.25">
      <c r="A1309" s="133">
        <v>43937</v>
      </c>
      <c r="B1309" s="110">
        <v>17.8</v>
      </c>
      <c r="C1309" s="110">
        <v>17.18</v>
      </c>
      <c r="D1309" s="110">
        <v>16.98</v>
      </c>
      <c r="E1309" s="110">
        <v>17.8</v>
      </c>
      <c r="F1309" s="110">
        <v>85.9</v>
      </c>
      <c r="G1309">
        <v>1293759</v>
      </c>
      <c r="H1309" s="110"/>
      <c r="I1309" s="110"/>
      <c r="L1309" s="133">
        <v>43937</v>
      </c>
      <c r="M1309" s="110">
        <v>17.170000000000002</v>
      </c>
      <c r="N1309" s="110">
        <v>17.52</v>
      </c>
      <c r="O1309" s="110">
        <v>16.96</v>
      </c>
      <c r="P1309" s="110">
        <v>17.399999999999999</v>
      </c>
      <c r="Q1309" s="110">
        <v>85.85</v>
      </c>
      <c r="R1309">
        <v>11292993</v>
      </c>
    </row>
    <row r="1310" spans="1:18" x14ac:dyDescent="0.25">
      <c r="A1310" s="133">
        <v>43938</v>
      </c>
      <c r="B1310" s="110">
        <v>17.98</v>
      </c>
      <c r="C1310" s="110">
        <v>17.37</v>
      </c>
      <c r="D1310" s="110">
        <v>16.71</v>
      </c>
      <c r="E1310" s="110">
        <v>17.8</v>
      </c>
      <c r="F1310" s="110">
        <v>86.85</v>
      </c>
      <c r="G1310">
        <v>1826497</v>
      </c>
      <c r="H1310" s="110"/>
      <c r="I1310" s="110"/>
      <c r="L1310" s="133">
        <v>43938</v>
      </c>
      <c r="M1310" s="110">
        <v>17.37</v>
      </c>
      <c r="N1310" s="110">
        <v>18.03</v>
      </c>
      <c r="O1310" s="110">
        <v>16.7</v>
      </c>
      <c r="P1310" s="110">
        <v>17.8</v>
      </c>
      <c r="Q1310" s="110">
        <v>86.85</v>
      </c>
      <c r="R1310">
        <v>16638116</v>
      </c>
    </row>
    <row r="1311" spans="1:18" x14ac:dyDescent="0.25">
      <c r="A1311" s="133">
        <v>43941</v>
      </c>
      <c r="B1311" s="110">
        <v>18.82</v>
      </c>
      <c r="C1311" s="110">
        <v>18.399999999999999</v>
      </c>
      <c r="D1311" s="110">
        <v>17.239999999999998</v>
      </c>
      <c r="E1311" s="110">
        <v>17.7</v>
      </c>
      <c r="F1311" s="110">
        <v>92</v>
      </c>
      <c r="G1311">
        <v>1476717</v>
      </c>
      <c r="H1311" s="110"/>
      <c r="I1311" s="110"/>
      <c r="L1311" s="133">
        <v>43941</v>
      </c>
      <c r="M1311" s="110">
        <v>18.399999999999999</v>
      </c>
      <c r="N1311" s="110">
        <v>18.829999999999998</v>
      </c>
      <c r="O1311" s="110">
        <v>17.22</v>
      </c>
      <c r="P1311" s="110">
        <v>17.600000000000001</v>
      </c>
      <c r="Q1311" s="110">
        <v>92</v>
      </c>
      <c r="R1311">
        <v>23385044</v>
      </c>
    </row>
    <row r="1312" spans="1:18" x14ac:dyDescent="0.25">
      <c r="A1312" s="133">
        <v>43942</v>
      </c>
      <c r="B1312" s="110">
        <v>18</v>
      </c>
      <c r="C1312" s="110">
        <v>16.850000000000001</v>
      </c>
      <c r="D1312" s="110">
        <v>16.78</v>
      </c>
      <c r="E1312" s="110">
        <v>18</v>
      </c>
      <c r="F1312" s="110">
        <v>84.25</v>
      </c>
      <c r="G1312">
        <v>830048</v>
      </c>
      <c r="H1312" s="110"/>
      <c r="I1312" s="110"/>
      <c r="L1312" s="133">
        <v>43942</v>
      </c>
      <c r="M1312" s="110">
        <v>16.84</v>
      </c>
      <c r="N1312" s="110">
        <v>17.96</v>
      </c>
      <c r="O1312" s="110">
        <v>16.78</v>
      </c>
      <c r="P1312" s="110">
        <v>17.96</v>
      </c>
      <c r="Q1312" s="110">
        <v>84.2</v>
      </c>
      <c r="R1312">
        <v>13216464</v>
      </c>
    </row>
    <row r="1313" spans="1:18" x14ac:dyDescent="0.25">
      <c r="A1313" s="133">
        <v>43943</v>
      </c>
      <c r="B1313" s="110">
        <v>16.86</v>
      </c>
      <c r="C1313" s="110">
        <v>16.579999999999998</v>
      </c>
      <c r="D1313" s="110">
        <v>15.92</v>
      </c>
      <c r="E1313" s="110">
        <v>16.850000000000001</v>
      </c>
      <c r="F1313" s="110">
        <v>82.9</v>
      </c>
      <c r="G1313">
        <v>2007334</v>
      </c>
      <c r="H1313" s="110"/>
      <c r="I1313" s="110"/>
      <c r="L1313" s="133">
        <v>43943</v>
      </c>
      <c r="M1313" s="110">
        <v>16.579999999999998</v>
      </c>
      <c r="N1313" s="110">
        <v>16.899999999999999</v>
      </c>
      <c r="O1313" s="110">
        <v>15.91</v>
      </c>
      <c r="P1313" s="110">
        <v>16.829999999999998</v>
      </c>
      <c r="Q1313" s="110">
        <v>82.9</v>
      </c>
      <c r="R1313">
        <v>20489220</v>
      </c>
    </row>
    <row r="1314" spans="1:18" x14ac:dyDescent="0.25">
      <c r="A1314" s="133">
        <v>43944</v>
      </c>
      <c r="B1314" s="110">
        <v>17.12</v>
      </c>
      <c r="C1314" s="110">
        <v>16.73</v>
      </c>
      <c r="D1314" s="110">
        <v>16.559999999999999</v>
      </c>
      <c r="E1314" s="110">
        <v>16.78</v>
      </c>
      <c r="F1314" s="110">
        <v>83.65</v>
      </c>
      <c r="G1314">
        <v>371258</v>
      </c>
      <c r="H1314" s="110"/>
      <c r="I1314" s="110"/>
      <c r="L1314" s="133">
        <v>43944</v>
      </c>
      <c r="M1314" s="110">
        <v>16.73</v>
      </c>
      <c r="N1314" s="110">
        <v>17.14</v>
      </c>
      <c r="O1314" s="110">
        <v>16.55</v>
      </c>
      <c r="P1314" s="110">
        <v>16.78</v>
      </c>
      <c r="Q1314" s="110">
        <v>83.65</v>
      </c>
      <c r="R1314">
        <v>8950970</v>
      </c>
    </row>
    <row r="1315" spans="1:18" x14ac:dyDescent="0.25">
      <c r="A1315" s="133">
        <v>43945</v>
      </c>
      <c r="B1315" s="110">
        <v>16.93</v>
      </c>
      <c r="C1315" s="110">
        <v>16.27</v>
      </c>
      <c r="D1315" s="110">
        <v>16.22</v>
      </c>
      <c r="E1315" s="110">
        <v>16.600000000000001</v>
      </c>
      <c r="F1315" s="110">
        <v>81.349999999999994</v>
      </c>
      <c r="G1315">
        <v>525474</v>
      </c>
      <c r="H1315" s="110"/>
      <c r="I1315" s="110"/>
      <c r="L1315" s="133">
        <v>43945</v>
      </c>
      <c r="M1315" s="110">
        <v>16.27</v>
      </c>
      <c r="N1315" s="110">
        <v>16.940000000000001</v>
      </c>
      <c r="O1315" s="110">
        <v>16.21</v>
      </c>
      <c r="P1315" s="110">
        <v>16.510000000000002</v>
      </c>
      <c r="Q1315" s="110">
        <v>81.349999999999994</v>
      </c>
      <c r="R1315">
        <v>7662626</v>
      </c>
    </row>
    <row r="1316" spans="1:18" x14ac:dyDescent="0.25">
      <c r="A1316" s="133">
        <v>43948</v>
      </c>
      <c r="B1316" s="110">
        <v>16.7</v>
      </c>
      <c r="C1316" s="110">
        <v>16.29</v>
      </c>
      <c r="D1316" s="110">
        <v>16.12</v>
      </c>
      <c r="E1316" s="110">
        <v>16.37</v>
      </c>
      <c r="F1316" s="110">
        <v>81.45</v>
      </c>
      <c r="G1316">
        <v>291087</v>
      </c>
      <c r="H1316" s="110"/>
      <c r="I1316" s="110"/>
      <c r="L1316" s="133">
        <v>43948</v>
      </c>
      <c r="M1316" s="110">
        <v>16.29</v>
      </c>
      <c r="N1316" s="110">
        <v>16.690000000000001</v>
      </c>
      <c r="O1316" s="110">
        <v>16.100000000000001</v>
      </c>
      <c r="P1316" s="110">
        <v>16.5</v>
      </c>
      <c r="Q1316" s="110">
        <v>81.45</v>
      </c>
      <c r="R1316">
        <v>6953759</v>
      </c>
    </row>
    <row r="1317" spans="1:18" x14ac:dyDescent="0.25">
      <c r="A1317" s="133">
        <v>43949</v>
      </c>
      <c r="B1317" s="110">
        <v>17.190000000000001</v>
      </c>
      <c r="C1317" s="110">
        <v>16.79</v>
      </c>
      <c r="D1317" s="110">
        <v>16.239999999999998</v>
      </c>
      <c r="E1317" s="110">
        <v>16.399999999999999</v>
      </c>
      <c r="F1317" s="110">
        <v>83.95</v>
      </c>
      <c r="G1317">
        <v>1344719</v>
      </c>
      <c r="H1317" s="110"/>
      <c r="I1317" s="110"/>
      <c r="L1317" s="133">
        <v>43949</v>
      </c>
      <c r="M1317" s="110">
        <v>16.79</v>
      </c>
      <c r="N1317" s="110">
        <v>17.2</v>
      </c>
      <c r="O1317" s="110">
        <v>16.23</v>
      </c>
      <c r="P1317" s="110">
        <v>16.54</v>
      </c>
      <c r="Q1317" s="110">
        <v>83.95</v>
      </c>
      <c r="R1317">
        <v>11708692</v>
      </c>
    </row>
    <row r="1318" spans="1:18" x14ac:dyDescent="0.25">
      <c r="A1318" s="133">
        <v>43950</v>
      </c>
      <c r="B1318" s="110">
        <v>17.64</v>
      </c>
      <c r="C1318" s="110">
        <v>17.48</v>
      </c>
      <c r="D1318" s="110">
        <v>16.87</v>
      </c>
      <c r="E1318" s="110">
        <v>17.04</v>
      </c>
      <c r="F1318" s="110">
        <v>87.4</v>
      </c>
      <c r="G1318">
        <v>768972</v>
      </c>
      <c r="H1318" s="110"/>
      <c r="I1318" s="110"/>
      <c r="L1318" s="133">
        <v>43950</v>
      </c>
      <c r="M1318" s="110">
        <v>17.48</v>
      </c>
      <c r="N1318" s="110">
        <v>17.64</v>
      </c>
      <c r="O1318" s="110">
        <v>16.86</v>
      </c>
      <c r="P1318" s="110">
        <v>17</v>
      </c>
      <c r="Q1318" s="110">
        <v>87.4</v>
      </c>
      <c r="R1318">
        <v>16106194</v>
      </c>
    </row>
    <row r="1319" spans="1:18" x14ac:dyDescent="0.25">
      <c r="A1319" s="133">
        <v>43951</v>
      </c>
      <c r="B1319" s="110">
        <v>18.22</v>
      </c>
      <c r="C1319" s="110">
        <v>17.579999999999998</v>
      </c>
      <c r="D1319" s="110">
        <v>17.48</v>
      </c>
      <c r="E1319" s="110">
        <v>17.98</v>
      </c>
      <c r="F1319" s="110">
        <v>87.9</v>
      </c>
      <c r="G1319">
        <v>640754</v>
      </c>
      <c r="H1319" s="110"/>
      <c r="I1319" s="110"/>
      <c r="L1319" s="133">
        <v>43951</v>
      </c>
      <c r="M1319" s="110">
        <v>17.579999999999998</v>
      </c>
      <c r="N1319" s="110">
        <v>18.239999999999998</v>
      </c>
      <c r="O1319" s="110">
        <v>17.48</v>
      </c>
      <c r="P1319" s="110">
        <v>17.690000000000001</v>
      </c>
      <c r="Q1319" s="110">
        <v>87.9</v>
      </c>
      <c r="R1319">
        <v>14278203</v>
      </c>
    </row>
    <row r="1320" spans="1:18" x14ac:dyDescent="0.25">
      <c r="A1320" s="133">
        <v>43955</v>
      </c>
      <c r="B1320" s="110">
        <v>17.2</v>
      </c>
      <c r="C1320" s="110">
        <v>16.3</v>
      </c>
      <c r="D1320" s="110">
        <v>16.03</v>
      </c>
      <c r="E1320" s="110">
        <v>17.2</v>
      </c>
      <c r="F1320" s="110">
        <v>81.5</v>
      </c>
      <c r="G1320">
        <v>588479</v>
      </c>
      <c r="H1320" s="110"/>
      <c r="I1320" s="110"/>
      <c r="L1320" s="133">
        <v>43955</v>
      </c>
      <c r="M1320" s="110">
        <v>16.28</v>
      </c>
      <c r="N1320" s="110">
        <v>17.12</v>
      </c>
      <c r="O1320" s="110">
        <v>16.03</v>
      </c>
      <c r="P1320" s="110">
        <v>17.100000000000001</v>
      </c>
      <c r="Q1320" s="110">
        <v>81.400000000000006</v>
      </c>
      <c r="R1320">
        <v>12023059</v>
      </c>
    </row>
    <row r="1321" spans="1:18" x14ac:dyDescent="0.25">
      <c r="A1321" s="133">
        <v>43956</v>
      </c>
      <c r="B1321" s="110">
        <v>16.64</v>
      </c>
      <c r="C1321" s="110">
        <v>15.96</v>
      </c>
      <c r="D1321" s="110">
        <v>15.92</v>
      </c>
      <c r="E1321" s="110">
        <v>16.45</v>
      </c>
      <c r="F1321" s="110">
        <v>79.8</v>
      </c>
      <c r="G1321">
        <v>667485</v>
      </c>
      <c r="H1321" s="110"/>
      <c r="I1321" s="110"/>
      <c r="L1321" s="133">
        <v>43956</v>
      </c>
      <c r="M1321" s="110">
        <v>15.96</v>
      </c>
      <c r="N1321" s="110">
        <v>16.690000000000001</v>
      </c>
      <c r="O1321" s="110">
        <v>15.9</v>
      </c>
      <c r="P1321" s="110">
        <v>16.600000000000001</v>
      </c>
      <c r="Q1321" s="110">
        <v>79.8</v>
      </c>
      <c r="R1321">
        <v>10302950</v>
      </c>
    </row>
    <row r="1322" spans="1:18" x14ac:dyDescent="0.25">
      <c r="A1322" s="133">
        <v>43957</v>
      </c>
      <c r="B1322" s="110">
        <v>16.34</v>
      </c>
      <c r="C1322" s="110">
        <v>16.23</v>
      </c>
      <c r="D1322" s="110">
        <v>15.42</v>
      </c>
      <c r="E1322" s="110">
        <v>16.18</v>
      </c>
      <c r="F1322" s="110">
        <v>81.150000000000006</v>
      </c>
      <c r="G1322">
        <v>460956</v>
      </c>
      <c r="H1322" s="110"/>
      <c r="I1322" s="110"/>
      <c r="L1322" s="133">
        <v>43957</v>
      </c>
      <c r="M1322" s="110">
        <v>16.23</v>
      </c>
      <c r="N1322" s="110">
        <v>16.34</v>
      </c>
      <c r="O1322" s="110">
        <v>15.41</v>
      </c>
      <c r="P1322" s="110">
        <v>16.100000000000001</v>
      </c>
      <c r="Q1322" s="110">
        <v>81.150000000000006</v>
      </c>
      <c r="R1322">
        <v>10041123</v>
      </c>
    </row>
    <row r="1323" spans="1:18" x14ac:dyDescent="0.25">
      <c r="A1323" s="133">
        <v>43958</v>
      </c>
      <c r="B1323" s="110">
        <v>16.55</v>
      </c>
      <c r="C1323" s="110">
        <v>16.27</v>
      </c>
      <c r="D1323" s="110">
        <v>16</v>
      </c>
      <c r="E1323" s="110">
        <v>16.36</v>
      </c>
      <c r="F1323" s="110">
        <v>81.349999999999994</v>
      </c>
      <c r="G1323">
        <v>291393</v>
      </c>
      <c r="H1323" s="110"/>
      <c r="I1323" s="110"/>
      <c r="L1323" s="133">
        <v>43958</v>
      </c>
      <c r="M1323" s="110">
        <v>16.27</v>
      </c>
      <c r="N1323" s="110">
        <v>16.54</v>
      </c>
      <c r="O1323" s="110">
        <v>15.97</v>
      </c>
      <c r="P1323" s="110">
        <v>16.03</v>
      </c>
      <c r="Q1323" s="110">
        <v>81.349999999999994</v>
      </c>
      <c r="R1323">
        <v>5821026</v>
      </c>
    </row>
    <row r="1324" spans="1:18" x14ac:dyDescent="0.25">
      <c r="A1324" s="133">
        <v>43959</v>
      </c>
      <c r="B1324" s="110">
        <v>16.600000000000001</v>
      </c>
      <c r="C1324" s="110">
        <v>15.97</v>
      </c>
      <c r="D1324" s="110">
        <v>15.9</v>
      </c>
      <c r="E1324" s="110">
        <v>16.399999999999999</v>
      </c>
      <c r="F1324" s="110">
        <v>79.849999999999994</v>
      </c>
      <c r="G1324">
        <v>680315</v>
      </c>
      <c r="H1324" s="110"/>
      <c r="I1324" s="110"/>
      <c r="L1324" s="133">
        <v>43959</v>
      </c>
      <c r="M1324" s="110">
        <v>15.97</v>
      </c>
      <c r="N1324" s="110">
        <v>16.62</v>
      </c>
      <c r="O1324" s="110">
        <v>15.9</v>
      </c>
      <c r="P1324" s="110">
        <v>16.399999999999999</v>
      </c>
      <c r="Q1324" s="110">
        <v>79.849999999999994</v>
      </c>
      <c r="R1324">
        <v>7597829</v>
      </c>
    </row>
    <row r="1325" spans="1:18" x14ac:dyDescent="0.25">
      <c r="A1325" s="133">
        <v>43962</v>
      </c>
      <c r="B1325" s="110">
        <v>16.2</v>
      </c>
      <c r="C1325" s="110">
        <v>15.75</v>
      </c>
      <c r="D1325" s="110">
        <v>15.71</v>
      </c>
      <c r="E1325" s="110">
        <v>16.16</v>
      </c>
      <c r="F1325" s="110">
        <v>78.75</v>
      </c>
      <c r="G1325">
        <v>342403</v>
      </c>
      <c r="H1325" s="110"/>
      <c r="I1325" s="110"/>
      <c r="L1325" s="133">
        <v>43962</v>
      </c>
      <c r="M1325" s="110">
        <v>15.77</v>
      </c>
      <c r="N1325" s="110">
        <v>16.18</v>
      </c>
      <c r="O1325" s="110">
        <v>15.7</v>
      </c>
      <c r="P1325" s="110">
        <v>16.02</v>
      </c>
      <c r="Q1325" s="110">
        <v>78.849999999999994</v>
      </c>
      <c r="R1325">
        <v>7176455</v>
      </c>
    </row>
    <row r="1326" spans="1:18" x14ac:dyDescent="0.25">
      <c r="A1326" s="133">
        <v>43963</v>
      </c>
      <c r="B1326" s="110">
        <v>16.11</v>
      </c>
      <c r="C1326" s="110">
        <v>15.98</v>
      </c>
      <c r="D1326" s="110">
        <v>15.2</v>
      </c>
      <c r="E1326" s="110">
        <v>15.88</v>
      </c>
      <c r="F1326" s="110">
        <v>79.900000000000006</v>
      </c>
      <c r="G1326">
        <v>473903</v>
      </c>
      <c r="H1326" s="110"/>
      <c r="I1326" s="110"/>
      <c r="L1326" s="133">
        <v>43963</v>
      </c>
      <c r="M1326" s="110">
        <v>15.96</v>
      </c>
      <c r="N1326" s="110">
        <v>16.12</v>
      </c>
      <c r="O1326" s="110">
        <v>15.2</v>
      </c>
      <c r="P1326" s="110">
        <v>15.79</v>
      </c>
      <c r="Q1326" s="110">
        <v>79.8</v>
      </c>
      <c r="R1326">
        <v>9185494</v>
      </c>
    </row>
    <row r="1327" spans="1:18" x14ac:dyDescent="0.25">
      <c r="A1327" s="133">
        <v>43964</v>
      </c>
      <c r="B1327" s="110">
        <v>18.05</v>
      </c>
      <c r="C1327" s="110">
        <v>17.78</v>
      </c>
      <c r="D1327" s="110">
        <v>16.34</v>
      </c>
      <c r="E1327" s="110">
        <v>16.7</v>
      </c>
      <c r="F1327" s="110">
        <v>88.9</v>
      </c>
      <c r="G1327">
        <v>960218</v>
      </c>
      <c r="H1327" s="110"/>
      <c r="I1327" s="110"/>
      <c r="L1327" s="133">
        <v>43964</v>
      </c>
      <c r="M1327" s="110">
        <v>17.809999999999999</v>
      </c>
      <c r="N1327" s="110">
        <v>18.05</v>
      </c>
      <c r="O1327" s="110">
        <v>16.309999999999999</v>
      </c>
      <c r="P1327" s="110">
        <v>16.600000000000001</v>
      </c>
      <c r="Q1327" s="110">
        <v>89.05</v>
      </c>
      <c r="R1327">
        <v>22217447</v>
      </c>
    </row>
    <row r="1328" spans="1:18" x14ac:dyDescent="0.25">
      <c r="A1328" s="133">
        <v>43965</v>
      </c>
      <c r="B1328" s="110">
        <v>18</v>
      </c>
      <c r="C1328" s="110">
        <v>17.260000000000002</v>
      </c>
      <c r="D1328" s="110">
        <v>17.12</v>
      </c>
      <c r="E1328" s="110">
        <v>17.5</v>
      </c>
      <c r="F1328" s="110">
        <v>86.3</v>
      </c>
      <c r="G1328">
        <v>581751</v>
      </c>
      <c r="H1328" s="110"/>
      <c r="I1328" s="110"/>
      <c r="L1328" s="133">
        <v>43965</v>
      </c>
      <c r="M1328" s="110">
        <v>17.260000000000002</v>
      </c>
      <c r="N1328" s="110">
        <v>18</v>
      </c>
      <c r="O1328" s="110">
        <v>17.13</v>
      </c>
      <c r="P1328" s="110">
        <v>17.399999999999999</v>
      </c>
      <c r="Q1328" s="110">
        <v>86.3</v>
      </c>
      <c r="R1328">
        <v>13561874</v>
      </c>
    </row>
    <row r="1329" spans="1:18" x14ac:dyDescent="0.25">
      <c r="A1329" s="133">
        <v>43966</v>
      </c>
      <c r="B1329" s="110">
        <v>17.5</v>
      </c>
      <c r="C1329" s="110">
        <v>16.8</v>
      </c>
      <c r="D1329" s="110">
        <v>16.64</v>
      </c>
      <c r="E1329" s="110">
        <v>17.5</v>
      </c>
      <c r="F1329" s="110">
        <v>84</v>
      </c>
      <c r="G1329">
        <v>402696</v>
      </c>
      <c r="H1329" s="110"/>
      <c r="I1329" s="110"/>
      <c r="L1329" s="133">
        <v>43966</v>
      </c>
      <c r="M1329" s="110">
        <v>16.79</v>
      </c>
      <c r="N1329" s="110">
        <v>17.510000000000002</v>
      </c>
      <c r="O1329" s="110">
        <v>16.63</v>
      </c>
      <c r="P1329" s="110">
        <v>17.39</v>
      </c>
      <c r="Q1329" s="110">
        <v>83.95</v>
      </c>
      <c r="R1329">
        <v>10066061</v>
      </c>
    </row>
    <row r="1330" spans="1:18" x14ac:dyDescent="0.25">
      <c r="A1330" s="133">
        <v>43969</v>
      </c>
      <c r="B1330" s="110">
        <v>17.059999999999999</v>
      </c>
      <c r="C1330" s="110">
        <v>15.53</v>
      </c>
      <c r="D1330" s="110">
        <v>15.31</v>
      </c>
      <c r="E1330" s="110">
        <v>17.059999999999999</v>
      </c>
      <c r="F1330" s="110">
        <v>77.650000000000006</v>
      </c>
      <c r="G1330">
        <v>712626</v>
      </c>
      <c r="H1330" s="110"/>
      <c r="I1330" s="110"/>
      <c r="L1330" s="133">
        <v>43969</v>
      </c>
      <c r="M1330" s="110">
        <v>15.52</v>
      </c>
      <c r="N1330" s="110">
        <v>16.940000000000001</v>
      </c>
      <c r="O1330" s="110">
        <v>15.3</v>
      </c>
      <c r="P1330" s="110">
        <v>16.920000000000002</v>
      </c>
      <c r="Q1330" s="110">
        <v>77.599999999999994</v>
      </c>
      <c r="R1330">
        <v>13412110</v>
      </c>
    </row>
    <row r="1331" spans="1:18" x14ac:dyDescent="0.25">
      <c r="A1331" s="133">
        <v>43970</v>
      </c>
      <c r="B1331" s="110">
        <v>15.88</v>
      </c>
      <c r="C1331" s="110">
        <v>15.29</v>
      </c>
      <c r="D1331" s="110">
        <v>15.2</v>
      </c>
      <c r="E1331" s="110">
        <v>15.88</v>
      </c>
      <c r="F1331" s="110">
        <v>76.45</v>
      </c>
      <c r="G1331">
        <v>523677</v>
      </c>
      <c r="H1331" s="110"/>
      <c r="I1331" s="110"/>
      <c r="L1331" s="133">
        <v>43970</v>
      </c>
      <c r="M1331" s="110">
        <v>15.28</v>
      </c>
      <c r="N1331" s="110">
        <v>15.88</v>
      </c>
      <c r="O1331" s="110">
        <v>15.18</v>
      </c>
      <c r="P1331" s="110">
        <v>15.82</v>
      </c>
      <c r="Q1331" s="110">
        <v>76.400000000000006</v>
      </c>
      <c r="R1331">
        <v>10117728</v>
      </c>
    </row>
    <row r="1332" spans="1:18" x14ac:dyDescent="0.25">
      <c r="A1332" s="133">
        <v>43971</v>
      </c>
      <c r="B1332" s="110">
        <v>15.64</v>
      </c>
      <c r="C1332" s="110">
        <v>15.46</v>
      </c>
      <c r="D1332" s="110">
        <v>15.16</v>
      </c>
      <c r="E1332" s="110">
        <v>15.32</v>
      </c>
      <c r="F1332" s="110">
        <v>77.3</v>
      </c>
      <c r="G1332">
        <v>507620</v>
      </c>
      <c r="H1332" s="110"/>
      <c r="I1332" s="110"/>
      <c r="L1332" s="133">
        <v>43971</v>
      </c>
      <c r="M1332" s="110">
        <v>15.47</v>
      </c>
      <c r="N1332" s="110">
        <v>15.66</v>
      </c>
      <c r="O1332" s="110">
        <v>15.15</v>
      </c>
      <c r="P1332" s="110">
        <v>15.28</v>
      </c>
      <c r="Q1332" s="110">
        <v>77.349999999999994</v>
      </c>
      <c r="R1332">
        <v>8440420</v>
      </c>
    </row>
    <row r="1333" spans="1:18" x14ac:dyDescent="0.25">
      <c r="A1333" s="133">
        <v>43972</v>
      </c>
      <c r="B1333" s="110">
        <v>16.13</v>
      </c>
      <c r="C1333" s="110">
        <v>15.53</v>
      </c>
      <c r="D1333" s="110">
        <v>15.45</v>
      </c>
      <c r="E1333" s="110">
        <v>15.61</v>
      </c>
      <c r="F1333" s="110">
        <v>77.650000000000006</v>
      </c>
      <c r="G1333">
        <v>569604</v>
      </c>
      <c r="H1333" s="110"/>
      <c r="I1333" s="110"/>
      <c r="L1333" s="133">
        <v>43972</v>
      </c>
      <c r="M1333" s="110">
        <v>15.54</v>
      </c>
      <c r="N1333" s="110">
        <v>16.13</v>
      </c>
      <c r="O1333" s="110">
        <v>15.42</v>
      </c>
      <c r="P1333" s="110">
        <v>15.6</v>
      </c>
      <c r="Q1333" s="110">
        <v>77.7</v>
      </c>
      <c r="R1333">
        <v>10973792</v>
      </c>
    </row>
    <row r="1334" spans="1:18" x14ac:dyDescent="0.25">
      <c r="A1334" s="133">
        <v>43973</v>
      </c>
      <c r="B1334" s="110">
        <v>16.02</v>
      </c>
      <c r="C1334" s="110">
        <v>15.44</v>
      </c>
      <c r="D1334" s="110">
        <v>15.31</v>
      </c>
      <c r="E1334" s="110">
        <v>15.57</v>
      </c>
      <c r="F1334" s="110">
        <v>77.2</v>
      </c>
      <c r="G1334">
        <v>685757</v>
      </c>
      <c r="H1334" s="110"/>
      <c r="I1334" s="110"/>
      <c r="L1334" s="133">
        <v>43973</v>
      </c>
      <c r="M1334" s="110">
        <v>15.45</v>
      </c>
      <c r="N1334" s="110">
        <v>16</v>
      </c>
      <c r="O1334" s="110">
        <v>15.31</v>
      </c>
      <c r="P1334" s="110">
        <v>15.45</v>
      </c>
      <c r="Q1334" s="110">
        <v>77.25</v>
      </c>
      <c r="R1334">
        <v>12424368</v>
      </c>
    </row>
    <row r="1335" spans="1:18" x14ac:dyDescent="0.25">
      <c r="A1335" s="133">
        <v>43977</v>
      </c>
      <c r="B1335" s="110">
        <v>15.84</v>
      </c>
      <c r="C1335" s="110">
        <v>15.76</v>
      </c>
      <c r="D1335" s="110">
        <v>15.46</v>
      </c>
      <c r="E1335" s="110">
        <v>15.76</v>
      </c>
      <c r="F1335" s="110">
        <v>78.8</v>
      </c>
      <c r="G1335">
        <v>470581</v>
      </c>
      <c r="H1335" s="110"/>
      <c r="I1335" s="110"/>
      <c r="L1335" s="133">
        <v>43977</v>
      </c>
      <c r="M1335" s="110">
        <v>15.76</v>
      </c>
      <c r="N1335" s="110">
        <v>15.85</v>
      </c>
      <c r="O1335" s="110">
        <v>15.45</v>
      </c>
      <c r="P1335" s="110">
        <v>15.66</v>
      </c>
      <c r="Q1335" s="110">
        <v>78.8</v>
      </c>
      <c r="R1335">
        <v>7043735</v>
      </c>
    </row>
    <row r="1336" spans="1:18" x14ac:dyDescent="0.25">
      <c r="A1336" s="133">
        <v>43978</v>
      </c>
      <c r="B1336" s="110">
        <v>16.809999999999999</v>
      </c>
      <c r="C1336" s="110">
        <v>16.73</v>
      </c>
      <c r="D1336" s="110">
        <v>15.75</v>
      </c>
      <c r="E1336" s="110">
        <v>15.89</v>
      </c>
      <c r="F1336" s="110">
        <v>83.65</v>
      </c>
      <c r="G1336">
        <v>625105</v>
      </c>
      <c r="H1336" s="110"/>
      <c r="I1336" s="110"/>
      <c r="L1336" s="133">
        <v>43978</v>
      </c>
      <c r="M1336" s="110">
        <v>16.73</v>
      </c>
      <c r="N1336" s="110">
        <v>16.829999999999998</v>
      </c>
      <c r="O1336" s="110">
        <v>15.74</v>
      </c>
      <c r="P1336" s="110">
        <v>15.82</v>
      </c>
      <c r="Q1336" s="110">
        <v>83.65</v>
      </c>
      <c r="R1336">
        <v>13476076</v>
      </c>
    </row>
    <row r="1337" spans="1:18" x14ac:dyDescent="0.25">
      <c r="A1337" s="133">
        <v>43979</v>
      </c>
      <c r="B1337" s="110">
        <v>17.100000000000001</v>
      </c>
      <c r="C1337" s="110">
        <v>16.649999999999999</v>
      </c>
      <c r="D1337" s="110">
        <v>16.54</v>
      </c>
      <c r="E1337" s="110">
        <v>16.8</v>
      </c>
      <c r="F1337" s="110">
        <v>83.25</v>
      </c>
      <c r="G1337">
        <v>532271</v>
      </c>
      <c r="H1337" s="110"/>
      <c r="I1337" s="110"/>
      <c r="L1337" s="133">
        <v>43979</v>
      </c>
      <c r="M1337" s="110">
        <v>16.66</v>
      </c>
      <c r="N1337" s="110">
        <v>17.12</v>
      </c>
      <c r="O1337" s="110">
        <v>16.559999999999999</v>
      </c>
      <c r="P1337" s="110">
        <v>16.829999999999998</v>
      </c>
      <c r="Q1337" s="110">
        <v>83.3</v>
      </c>
      <c r="R1337">
        <v>12459864</v>
      </c>
    </row>
    <row r="1338" spans="1:18" x14ac:dyDescent="0.25">
      <c r="A1338" s="133">
        <v>43980</v>
      </c>
      <c r="B1338" s="110">
        <v>16.84</v>
      </c>
      <c r="C1338" s="110">
        <v>16.75</v>
      </c>
      <c r="D1338" s="110">
        <v>16.09</v>
      </c>
      <c r="E1338" s="110">
        <v>16.48</v>
      </c>
      <c r="F1338" s="110">
        <v>83.75</v>
      </c>
      <c r="G1338">
        <v>421341</v>
      </c>
      <c r="H1338" s="110"/>
      <c r="I1338" s="110"/>
      <c r="L1338" s="133">
        <v>43980</v>
      </c>
      <c r="M1338" s="110">
        <v>16.760000000000002</v>
      </c>
      <c r="N1338" s="110">
        <v>16.86</v>
      </c>
      <c r="O1338" s="110">
        <v>16.079999999999998</v>
      </c>
      <c r="P1338" s="110">
        <v>16.399999999999999</v>
      </c>
      <c r="Q1338" s="110">
        <v>83.8</v>
      </c>
      <c r="R1338">
        <v>11410929</v>
      </c>
    </row>
    <row r="1339" spans="1:18" x14ac:dyDescent="0.25">
      <c r="A1339" s="133">
        <v>43983</v>
      </c>
      <c r="B1339" s="110">
        <v>18.48</v>
      </c>
      <c r="C1339" s="110">
        <v>18.39</v>
      </c>
      <c r="D1339" s="110">
        <v>17.03</v>
      </c>
      <c r="E1339" s="110">
        <v>17.190000000000001</v>
      </c>
      <c r="F1339" s="110">
        <v>91.95</v>
      </c>
      <c r="G1339">
        <v>1153957</v>
      </c>
      <c r="H1339" s="110"/>
      <c r="I1339" s="110"/>
      <c r="L1339" s="133">
        <v>43983</v>
      </c>
      <c r="M1339" s="110">
        <v>18.39</v>
      </c>
      <c r="N1339" s="110">
        <v>18.5</v>
      </c>
      <c r="O1339" s="110">
        <v>17</v>
      </c>
      <c r="P1339" s="110">
        <v>17.03</v>
      </c>
      <c r="Q1339" s="110">
        <v>91.95</v>
      </c>
      <c r="R1339">
        <v>22509090</v>
      </c>
    </row>
    <row r="1340" spans="1:18" x14ac:dyDescent="0.25">
      <c r="A1340" s="133">
        <v>43984</v>
      </c>
      <c r="B1340" s="110">
        <v>18.920000000000002</v>
      </c>
      <c r="C1340" s="110">
        <v>18.43</v>
      </c>
      <c r="D1340" s="110">
        <v>18.16</v>
      </c>
      <c r="E1340" s="110">
        <v>18.5</v>
      </c>
      <c r="F1340" s="110">
        <v>92.15</v>
      </c>
      <c r="G1340">
        <v>826669</v>
      </c>
      <c r="H1340" s="110"/>
      <c r="I1340" s="110"/>
      <c r="L1340" s="133">
        <v>43984</v>
      </c>
      <c r="M1340" s="110">
        <v>18.43</v>
      </c>
      <c r="N1340" s="110">
        <v>18.93</v>
      </c>
      <c r="O1340" s="110">
        <v>18.14</v>
      </c>
      <c r="P1340" s="110">
        <v>18.649999999999999</v>
      </c>
      <c r="Q1340" s="110">
        <v>92.15</v>
      </c>
      <c r="R1340">
        <v>17198274</v>
      </c>
    </row>
    <row r="1341" spans="1:18" x14ac:dyDescent="0.25">
      <c r="A1341" s="133">
        <v>43985</v>
      </c>
      <c r="B1341" s="110">
        <v>20.260000000000002</v>
      </c>
      <c r="C1341" s="110">
        <v>19.399999999999999</v>
      </c>
      <c r="D1341" s="110">
        <v>18.41</v>
      </c>
      <c r="E1341" s="110">
        <v>18.600000000000001</v>
      </c>
      <c r="F1341" s="110">
        <v>97</v>
      </c>
      <c r="G1341">
        <v>1660369</v>
      </c>
      <c r="H1341" s="110"/>
      <c r="I1341" s="110"/>
      <c r="L1341" s="133">
        <v>43985</v>
      </c>
      <c r="M1341" s="110">
        <v>19.43</v>
      </c>
      <c r="N1341" s="110">
        <v>20.260000000000002</v>
      </c>
      <c r="O1341" s="110">
        <v>18.41</v>
      </c>
      <c r="P1341" s="110">
        <v>18.57</v>
      </c>
      <c r="Q1341" s="110">
        <v>97.15</v>
      </c>
      <c r="R1341">
        <v>33751977</v>
      </c>
    </row>
    <row r="1342" spans="1:18" x14ac:dyDescent="0.25">
      <c r="A1342" s="133">
        <v>43986</v>
      </c>
      <c r="B1342" s="110">
        <v>20.16</v>
      </c>
      <c r="C1342" s="110">
        <v>19.440000000000001</v>
      </c>
      <c r="D1342" s="110">
        <v>19.12</v>
      </c>
      <c r="E1342" s="110">
        <v>19.399999999999999</v>
      </c>
      <c r="F1342" s="110">
        <v>97.2</v>
      </c>
      <c r="G1342">
        <v>1822849</v>
      </c>
      <c r="H1342" s="110"/>
      <c r="I1342" s="110"/>
      <c r="L1342" s="133">
        <v>43986</v>
      </c>
      <c r="M1342" s="110">
        <v>19.47</v>
      </c>
      <c r="N1342" s="110">
        <v>20.170000000000002</v>
      </c>
      <c r="O1342" s="110">
        <v>19.03</v>
      </c>
      <c r="P1342" s="110">
        <v>19.34</v>
      </c>
      <c r="Q1342" s="110">
        <v>97.35</v>
      </c>
      <c r="R1342">
        <v>26854235</v>
      </c>
    </row>
    <row r="1343" spans="1:18" x14ac:dyDescent="0.25">
      <c r="A1343" s="133">
        <v>43987</v>
      </c>
      <c r="B1343" s="110">
        <v>21.22</v>
      </c>
      <c r="C1343" s="110">
        <v>20.87</v>
      </c>
      <c r="D1343" s="110">
        <v>19.600000000000001</v>
      </c>
      <c r="E1343" s="110">
        <v>19.75</v>
      </c>
      <c r="F1343" s="110">
        <v>104.35</v>
      </c>
      <c r="G1343">
        <v>1434953</v>
      </c>
      <c r="H1343" s="110"/>
      <c r="I1343" s="110"/>
      <c r="L1343" s="133">
        <v>43987</v>
      </c>
      <c r="M1343" s="110">
        <v>20.86</v>
      </c>
      <c r="N1343" s="110">
        <v>21.23</v>
      </c>
      <c r="O1343" s="110">
        <v>19.600000000000001</v>
      </c>
      <c r="P1343" s="110">
        <v>19.72</v>
      </c>
      <c r="Q1343" s="110">
        <v>104.3</v>
      </c>
      <c r="R1343">
        <v>30016516</v>
      </c>
    </row>
    <row r="1344" spans="1:18" x14ac:dyDescent="0.25">
      <c r="A1344" s="133">
        <v>43990</v>
      </c>
      <c r="B1344" s="110">
        <v>21.6</v>
      </c>
      <c r="C1344" s="110">
        <v>20.13</v>
      </c>
      <c r="D1344" s="110">
        <v>19.96</v>
      </c>
      <c r="E1344" s="110">
        <v>21.42</v>
      </c>
      <c r="F1344" s="110">
        <v>100.65</v>
      </c>
      <c r="G1344">
        <v>1349029</v>
      </c>
      <c r="H1344" s="110"/>
      <c r="I1344" s="110"/>
      <c r="L1344" s="133">
        <v>43990</v>
      </c>
      <c r="M1344" s="110">
        <v>20.12</v>
      </c>
      <c r="N1344" s="110">
        <v>21.58</v>
      </c>
      <c r="O1344" s="110">
        <v>19.920000000000002</v>
      </c>
      <c r="P1344" s="110">
        <v>21.58</v>
      </c>
      <c r="Q1344" s="110">
        <v>100.6</v>
      </c>
      <c r="R1344">
        <v>25343351</v>
      </c>
    </row>
    <row r="1345" spans="1:18" x14ac:dyDescent="0.25">
      <c r="A1345" s="133">
        <v>43991</v>
      </c>
      <c r="B1345" s="110">
        <v>21.08</v>
      </c>
      <c r="C1345" s="110">
        <v>20.100000000000001</v>
      </c>
      <c r="D1345" s="110">
        <v>19.84</v>
      </c>
      <c r="E1345" s="110">
        <v>20.3</v>
      </c>
      <c r="F1345" s="110">
        <v>100.5</v>
      </c>
      <c r="G1345">
        <v>1093141</v>
      </c>
      <c r="H1345" s="110"/>
      <c r="I1345" s="110"/>
      <c r="L1345" s="133">
        <v>43991</v>
      </c>
      <c r="M1345" s="110">
        <v>20.11</v>
      </c>
      <c r="N1345" s="110">
        <v>21.09</v>
      </c>
      <c r="O1345" s="110">
        <v>19.84</v>
      </c>
      <c r="P1345" s="110">
        <v>20.22</v>
      </c>
      <c r="Q1345" s="110">
        <v>100.55</v>
      </c>
      <c r="R1345">
        <v>21711040</v>
      </c>
    </row>
    <row r="1346" spans="1:18" x14ac:dyDescent="0.25">
      <c r="A1346" s="133">
        <v>43992</v>
      </c>
      <c r="B1346" s="110">
        <v>21.15</v>
      </c>
      <c r="C1346" s="110">
        <v>20.99</v>
      </c>
      <c r="D1346" s="110">
        <v>19.95</v>
      </c>
      <c r="E1346" s="110">
        <v>20.22</v>
      </c>
      <c r="F1346" s="110">
        <v>104.95</v>
      </c>
      <c r="G1346">
        <v>1255495</v>
      </c>
      <c r="H1346" s="110"/>
      <c r="I1346" s="110"/>
      <c r="L1346" s="133">
        <v>43992</v>
      </c>
      <c r="M1346" s="110">
        <v>20.97</v>
      </c>
      <c r="N1346" s="110">
        <v>21.16</v>
      </c>
      <c r="O1346" s="110">
        <v>19.95</v>
      </c>
      <c r="P1346" s="110">
        <v>20.149999999999999</v>
      </c>
      <c r="Q1346" s="110">
        <v>104.85</v>
      </c>
      <c r="R1346">
        <v>19185078</v>
      </c>
    </row>
    <row r="1347" spans="1:18" x14ac:dyDescent="0.25">
      <c r="A1347" s="133">
        <v>43993</v>
      </c>
      <c r="B1347" s="110">
        <v>21.84</v>
      </c>
      <c r="C1347" s="110">
        <v>20.190000000000001</v>
      </c>
      <c r="D1347" s="110">
        <v>20.11</v>
      </c>
      <c r="E1347" s="110">
        <v>21.01</v>
      </c>
      <c r="F1347" s="110">
        <v>100.95</v>
      </c>
      <c r="G1347">
        <v>1749459</v>
      </c>
      <c r="H1347" s="110"/>
      <c r="I1347" s="110"/>
      <c r="L1347" s="133">
        <v>43993</v>
      </c>
      <c r="M1347" s="110">
        <v>20.2</v>
      </c>
      <c r="N1347" s="110">
        <v>21.86</v>
      </c>
      <c r="O1347" s="110">
        <v>20.100000000000001</v>
      </c>
      <c r="P1347" s="110">
        <v>21.04</v>
      </c>
      <c r="Q1347" s="110">
        <v>101</v>
      </c>
      <c r="R1347">
        <v>32548630</v>
      </c>
    </row>
    <row r="1348" spans="1:18" x14ac:dyDescent="0.25">
      <c r="A1348" s="133">
        <v>43994</v>
      </c>
      <c r="B1348" s="110">
        <v>20.92</v>
      </c>
      <c r="C1348" s="110">
        <v>20.75</v>
      </c>
      <c r="D1348" s="110">
        <v>18.72</v>
      </c>
      <c r="E1348" s="110">
        <v>19.2</v>
      </c>
      <c r="F1348" s="110">
        <v>103.75</v>
      </c>
      <c r="G1348">
        <v>1235300</v>
      </c>
      <c r="H1348" s="110"/>
      <c r="I1348" s="110"/>
      <c r="L1348" s="133">
        <v>43994</v>
      </c>
      <c r="M1348" s="110">
        <v>20.75</v>
      </c>
      <c r="N1348" s="110">
        <v>20.92</v>
      </c>
      <c r="O1348" s="110">
        <v>18.899999999999999</v>
      </c>
      <c r="P1348" s="110">
        <v>18.899999999999999</v>
      </c>
      <c r="Q1348" s="110">
        <v>103.75</v>
      </c>
      <c r="R1348">
        <v>22978290</v>
      </c>
    </row>
    <row r="1349" spans="1:18" x14ac:dyDescent="0.25">
      <c r="A1349" s="133">
        <v>43997</v>
      </c>
      <c r="B1349" s="110">
        <v>20.8</v>
      </c>
      <c r="C1349" s="110">
        <v>20.53</v>
      </c>
      <c r="D1349" s="110">
        <v>19.850000000000001</v>
      </c>
      <c r="E1349" s="110">
        <v>20.23</v>
      </c>
      <c r="F1349" s="110">
        <v>102.65</v>
      </c>
      <c r="G1349">
        <v>1046069</v>
      </c>
      <c r="H1349" s="110"/>
      <c r="I1349" s="110"/>
      <c r="L1349" s="133">
        <v>43997</v>
      </c>
      <c r="M1349" s="110">
        <v>20.54</v>
      </c>
      <c r="N1349" s="110">
        <v>20.8</v>
      </c>
      <c r="O1349" s="110">
        <v>19.84</v>
      </c>
      <c r="P1349" s="110">
        <v>20.7</v>
      </c>
      <c r="Q1349" s="110">
        <v>102.7</v>
      </c>
      <c r="R1349">
        <v>18549189</v>
      </c>
    </row>
    <row r="1350" spans="1:18" x14ac:dyDescent="0.25">
      <c r="A1350" s="133">
        <v>43998</v>
      </c>
      <c r="B1350" s="110">
        <v>21.3</v>
      </c>
      <c r="C1350" s="110">
        <v>20.27</v>
      </c>
      <c r="D1350" s="110">
        <v>19.760000000000002</v>
      </c>
      <c r="E1350" s="110">
        <v>21.1</v>
      </c>
      <c r="F1350" s="110">
        <v>101.35</v>
      </c>
      <c r="G1350">
        <v>1041698</v>
      </c>
      <c r="H1350" s="110"/>
      <c r="I1350" s="110"/>
      <c r="L1350" s="133">
        <v>43998</v>
      </c>
      <c r="M1350" s="110">
        <v>20.29</v>
      </c>
      <c r="N1350" s="110">
        <v>21.3</v>
      </c>
      <c r="O1350" s="110">
        <v>19.739999999999998</v>
      </c>
      <c r="P1350" s="110">
        <v>21.2</v>
      </c>
      <c r="Q1350" s="110">
        <v>101.45</v>
      </c>
      <c r="R1350">
        <v>20302757</v>
      </c>
    </row>
    <row r="1351" spans="1:18" x14ac:dyDescent="0.25">
      <c r="A1351" s="133">
        <v>43999</v>
      </c>
      <c r="B1351" s="110">
        <v>20.61</v>
      </c>
      <c r="C1351" s="110">
        <v>20.14</v>
      </c>
      <c r="D1351" s="110">
        <v>19.899999999999999</v>
      </c>
      <c r="E1351" s="110">
        <v>20</v>
      </c>
      <c r="F1351" s="110">
        <v>100.7</v>
      </c>
      <c r="G1351">
        <v>1181410</v>
      </c>
      <c r="H1351" s="110"/>
      <c r="I1351" s="110"/>
      <c r="L1351" s="133">
        <v>43999</v>
      </c>
      <c r="M1351" s="110">
        <v>20.149999999999999</v>
      </c>
      <c r="N1351" s="110">
        <v>20.62</v>
      </c>
      <c r="O1351" s="110">
        <v>19.88</v>
      </c>
      <c r="P1351" s="110">
        <v>20.2</v>
      </c>
      <c r="Q1351" s="110">
        <v>100.75</v>
      </c>
      <c r="R1351">
        <v>21599362</v>
      </c>
    </row>
    <row r="1352" spans="1:18" x14ac:dyDescent="0.25">
      <c r="A1352" s="133">
        <v>44000</v>
      </c>
      <c r="B1352" s="110">
        <v>20.78</v>
      </c>
      <c r="C1352" s="110">
        <v>20.68</v>
      </c>
      <c r="D1352" s="110">
        <v>19.91</v>
      </c>
      <c r="E1352" s="110">
        <v>19.97</v>
      </c>
      <c r="F1352" s="110">
        <v>103.4</v>
      </c>
      <c r="G1352">
        <v>1375038</v>
      </c>
      <c r="H1352" s="110"/>
      <c r="I1352" s="110"/>
      <c r="L1352" s="133">
        <v>44000</v>
      </c>
      <c r="M1352" s="110">
        <v>20.68</v>
      </c>
      <c r="N1352" s="110">
        <v>20.8</v>
      </c>
      <c r="O1352" s="110">
        <v>19.899999999999999</v>
      </c>
      <c r="P1352" s="110">
        <v>19.899999999999999</v>
      </c>
      <c r="Q1352" s="110">
        <v>103.4</v>
      </c>
      <c r="R1352">
        <v>13743375</v>
      </c>
    </row>
    <row r="1353" spans="1:18" x14ac:dyDescent="0.25">
      <c r="A1353" s="133">
        <v>44001</v>
      </c>
      <c r="B1353" s="110">
        <v>21.69</v>
      </c>
      <c r="C1353" s="110">
        <v>21.48</v>
      </c>
      <c r="D1353" s="110">
        <v>20.68</v>
      </c>
      <c r="E1353" s="110">
        <v>20.68</v>
      </c>
      <c r="F1353" s="110">
        <v>107.4</v>
      </c>
      <c r="G1353">
        <v>2018393</v>
      </c>
      <c r="H1353" s="110"/>
      <c r="I1353" s="110"/>
      <c r="L1353" s="133">
        <v>44001</v>
      </c>
      <c r="M1353" s="110">
        <v>21.47</v>
      </c>
      <c r="N1353" s="110">
        <v>21.7</v>
      </c>
      <c r="O1353" s="110">
        <v>20.72</v>
      </c>
      <c r="P1353" s="110">
        <v>20.86</v>
      </c>
      <c r="Q1353" s="110">
        <v>107.35</v>
      </c>
      <c r="R1353">
        <v>29210643</v>
      </c>
    </row>
    <row r="1354" spans="1:18" x14ac:dyDescent="0.25">
      <c r="A1354" s="133">
        <v>44004</v>
      </c>
      <c r="B1354" s="110">
        <v>22.85</v>
      </c>
      <c r="C1354" s="110">
        <v>22.34</v>
      </c>
      <c r="D1354" s="110">
        <v>21.51</v>
      </c>
      <c r="E1354" s="110">
        <v>21.6</v>
      </c>
      <c r="F1354" s="110">
        <v>111.7</v>
      </c>
      <c r="G1354">
        <v>2036320</v>
      </c>
      <c r="H1354" s="110"/>
      <c r="I1354" s="110"/>
      <c r="L1354" s="133">
        <v>44004</v>
      </c>
      <c r="M1354" s="110">
        <v>22.37</v>
      </c>
      <c r="N1354" s="110">
        <v>22.85</v>
      </c>
      <c r="O1354" s="110">
        <v>21.49</v>
      </c>
      <c r="P1354" s="110">
        <v>21.59</v>
      </c>
      <c r="Q1354" s="110">
        <v>111.85</v>
      </c>
      <c r="R1354">
        <v>31492611</v>
      </c>
    </row>
    <row r="1355" spans="1:18" x14ac:dyDescent="0.25">
      <c r="A1355" s="133">
        <v>44005</v>
      </c>
      <c r="B1355" s="110">
        <v>23.14</v>
      </c>
      <c r="C1355" s="110">
        <v>22.79</v>
      </c>
      <c r="D1355" s="110">
        <v>22.43</v>
      </c>
      <c r="E1355" s="110">
        <v>22.8</v>
      </c>
      <c r="F1355" s="110">
        <v>113.95</v>
      </c>
      <c r="G1355">
        <v>991796</v>
      </c>
      <c r="H1355" s="110"/>
      <c r="I1355" s="110"/>
      <c r="L1355" s="133">
        <v>44005</v>
      </c>
      <c r="M1355" s="110">
        <v>22.75</v>
      </c>
      <c r="N1355" s="110">
        <v>23.15</v>
      </c>
      <c r="O1355" s="110">
        <v>22.41</v>
      </c>
      <c r="P1355" s="110">
        <v>22.74</v>
      </c>
      <c r="Q1355" s="110">
        <v>113.75</v>
      </c>
      <c r="R1355">
        <v>19628925</v>
      </c>
    </row>
    <row r="1356" spans="1:18" x14ac:dyDescent="0.25">
      <c r="A1356" s="133">
        <v>44006</v>
      </c>
      <c r="B1356" s="110">
        <v>23.65</v>
      </c>
      <c r="C1356" s="110">
        <v>21.89</v>
      </c>
      <c r="D1356" s="110">
        <v>21.59</v>
      </c>
      <c r="E1356" s="110">
        <v>23.1</v>
      </c>
      <c r="F1356" s="110">
        <v>109.45</v>
      </c>
      <c r="G1356">
        <v>2061878</v>
      </c>
      <c r="H1356" s="110"/>
      <c r="I1356" s="110"/>
      <c r="L1356" s="133">
        <v>44006</v>
      </c>
      <c r="M1356" s="110">
        <v>21.9</v>
      </c>
      <c r="N1356" s="110">
        <v>23.66</v>
      </c>
      <c r="O1356" s="110">
        <v>21.6</v>
      </c>
      <c r="P1356" s="110">
        <v>23.18</v>
      </c>
      <c r="Q1356" s="110">
        <v>109.5</v>
      </c>
      <c r="R1356">
        <v>29620430</v>
      </c>
    </row>
    <row r="1357" spans="1:18" x14ac:dyDescent="0.25">
      <c r="A1357" s="133">
        <v>44007</v>
      </c>
      <c r="B1357" s="110">
        <v>21.26</v>
      </c>
      <c r="C1357" s="110">
        <v>20.97</v>
      </c>
      <c r="D1357" s="110">
        <v>20.41</v>
      </c>
      <c r="E1357" s="110">
        <v>20.6</v>
      </c>
      <c r="F1357" s="110">
        <v>104.85</v>
      </c>
      <c r="G1357">
        <v>1791420</v>
      </c>
      <c r="H1357" s="110"/>
      <c r="I1357" s="110"/>
      <c r="L1357" s="133">
        <v>44007</v>
      </c>
      <c r="M1357" s="110">
        <v>20.96</v>
      </c>
      <c r="N1357" s="110">
        <v>21.27</v>
      </c>
      <c r="O1357" s="110">
        <v>20.399999999999999</v>
      </c>
      <c r="P1357" s="110">
        <v>20.46</v>
      </c>
      <c r="Q1357" s="110">
        <v>104.8</v>
      </c>
      <c r="R1357">
        <v>36462853</v>
      </c>
    </row>
    <row r="1358" spans="1:18" x14ac:dyDescent="0.25">
      <c r="A1358" s="133">
        <v>44008</v>
      </c>
      <c r="B1358" s="110">
        <v>21.5</v>
      </c>
      <c r="C1358" s="110">
        <v>20.89</v>
      </c>
      <c r="D1358" s="110">
        <v>20.63</v>
      </c>
      <c r="E1358" s="110">
        <v>21.36</v>
      </c>
      <c r="F1358" s="110">
        <v>104.45</v>
      </c>
      <c r="G1358">
        <v>1346278</v>
      </c>
      <c r="H1358" s="110"/>
      <c r="I1358" s="110"/>
      <c r="L1358" s="133">
        <v>44008</v>
      </c>
      <c r="M1358" s="110">
        <v>20.9</v>
      </c>
      <c r="N1358" s="110">
        <v>21.49</v>
      </c>
      <c r="O1358" s="110">
        <v>20.62</v>
      </c>
      <c r="P1358" s="110">
        <v>21.2</v>
      </c>
      <c r="Q1358" s="110">
        <v>104.5</v>
      </c>
      <c r="R1358">
        <v>18383138</v>
      </c>
    </row>
    <row r="1359" spans="1:18" x14ac:dyDescent="0.25">
      <c r="A1359" s="133">
        <v>44011</v>
      </c>
      <c r="B1359" s="110">
        <v>20.9</v>
      </c>
      <c r="C1359" s="110">
        <v>20.39</v>
      </c>
      <c r="D1359" s="110">
        <v>20.04</v>
      </c>
      <c r="E1359" s="110">
        <v>20.9</v>
      </c>
      <c r="F1359" s="110">
        <v>101.95</v>
      </c>
      <c r="G1359">
        <v>586585</v>
      </c>
      <c r="H1359" s="110"/>
      <c r="I1359" s="110"/>
      <c r="L1359" s="133">
        <v>44011</v>
      </c>
      <c r="M1359" s="110">
        <v>20.399999999999999</v>
      </c>
      <c r="N1359" s="110">
        <v>20.83</v>
      </c>
      <c r="O1359" s="110">
        <v>20.04</v>
      </c>
      <c r="P1359" s="110">
        <v>20.79</v>
      </c>
      <c r="Q1359" s="110">
        <v>102</v>
      </c>
      <c r="R1359">
        <v>12747001</v>
      </c>
    </row>
    <row r="1360" spans="1:18" x14ac:dyDescent="0.25">
      <c r="A1360" s="133">
        <v>44012</v>
      </c>
      <c r="B1360" s="110">
        <v>20.93</v>
      </c>
      <c r="C1360" s="110">
        <v>20.12</v>
      </c>
      <c r="D1360" s="110">
        <v>20.02</v>
      </c>
      <c r="E1360" s="110">
        <v>20.56</v>
      </c>
      <c r="F1360" s="110">
        <v>100.6</v>
      </c>
      <c r="G1360">
        <v>528773</v>
      </c>
      <c r="H1360" s="110"/>
      <c r="I1360" s="110"/>
      <c r="L1360" s="133">
        <v>44012</v>
      </c>
      <c r="M1360" s="110">
        <v>20.11</v>
      </c>
      <c r="N1360" s="110">
        <v>20.9</v>
      </c>
      <c r="O1360" s="110">
        <v>20.010000000000002</v>
      </c>
      <c r="P1360" s="110">
        <v>20.7</v>
      </c>
      <c r="Q1360" s="110">
        <v>100.55</v>
      </c>
      <c r="R1360">
        <v>11296149</v>
      </c>
    </row>
    <row r="1361" spans="1:18" x14ac:dyDescent="0.25">
      <c r="A1361" s="133">
        <v>44013</v>
      </c>
      <c r="B1361" s="110">
        <v>21.2</v>
      </c>
      <c r="C1361" s="110">
        <v>21.11</v>
      </c>
      <c r="D1361" s="110">
        <v>19.899999999999999</v>
      </c>
      <c r="E1361" s="110">
        <v>20</v>
      </c>
      <c r="F1361" s="110">
        <v>105.55</v>
      </c>
      <c r="G1361">
        <v>1275721</v>
      </c>
      <c r="H1361" s="110"/>
      <c r="I1361" s="110"/>
      <c r="L1361" s="133">
        <v>44013</v>
      </c>
      <c r="M1361" s="110">
        <v>21.1</v>
      </c>
      <c r="N1361" s="110">
        <v>21.2</v>
      </c>
      <c r="O1361" s="110">
        <v>19.899999999999999</v>
      </c>
      <c r="P1361" s="110">
        <v>20.12</v>
      </c>
      <c r="Q1361" s="110">
        <v>105.5</v>
      </c>
      <c r="R1361">
        <v>18404445</v>
      </c>
    </row>
    <row r="1362" spans="1:18" x14ac:dyDescent="0.25">
      <c r="A1362" s="133">
        <v>44014</v>
      </c>
      <c r="B1362" s="110">
        <v>21.34</v>
      </c>
      <c r="C1362" s="110">
        <v>20.91</v>
      </c>
      <c r="D1362" s="110">
        <v>20.7</v>
      </c>
      <c r="E1362" s="110">
        <v>21.2</v>
      </c>
      <c r="F1362" s="110">
        <v>104.55</v>
      </c>
      <c r="G1362">
        <v>649765</v>
      </c>
      <c r="H1362" s="110"/>
      <c r="I1362" s="110"/>
      <c r="L1362" s="133">
        <v>44014</v>
      </c>
      <c r="M1362" s="110">
        <v>20.91</v>
      </c>
      <c r="N1362" s="110">
        <v>21.35</v>
      </c>
      <c r="O1362" s="110">
        <v>20.7</v>
      </c>
      <c r="P1362" s="110">
        <v>21.15</v>
      </c>
      <c r="Q1362" s="110">
        <v>104.55</v>
      </c>
      <c r="R1362">
        <v>11795493</v>
      </c>
    </row>
    <row r="1363" spans="1:18" x14ac:dyDescent="0.25">
      <c r="A1363" s="133">
        <v>44015</v>
      </c>
      <c r="B1363" s="110">
        <v>21.1</v>
      </c>
      <c r="C1363" s="110">
        <v>20.6</v>
      </c>
      <c r="D1363" s="110">
        <v>20.47</v>
      </c>
      <c r="E1363" s="110">
        <v>21.01</v>
      </c>
      <c r="F1363" s="110">
        <v>103</v>
      </c>
      <c r="G1363">
        <v>435497</v>
      </c>
      <c r="H1363" s="110"/>
      <c r="I1363" s="110"/>
      <c r="L1363" s="133">
        <v>44015</v>
      </c>
      <c r="M1363" s="110">
        <v>20.6</v>
      </c>
      <c r="N1363" s="110">
        <v>21.08</v>
      </c>
      <c r="O1363" s="110">
        <v>20.46</v>
      </c>
      <c r="P1363" s="110">
        <v>21.07</v>
      </c>
      <c r="Q1363" s="110">
        <v>103</v>
      </c>
      <c r="R1363">
        <v>9025626</v>
      </c>
    </row>
    <row r="1364" spans="1:18" x14ac:dyDescent="0.25">
      <c r="A1364" s="133">
        <v>44018</v>
      </c>
      <c r="B1364" s="110">
        <v>21.13</v>
      </c>
      <c r="C1364" s="110">
        <v>20.97</v>
      </c>
      <c r="D1364" s="110">
        <v>20.7</v>
      </c>
      <c r="E1364" s="110">
        <v>20.94</v>
      </c>
      <c r="F1364" s="110">
        <v>104.85</v>
      </c>
      <c r="G1364">
        <v>1334372</v>
      </c>
      <c r="H1364" s="110"/>
      <c r="I1364" s="110"/>
      <c r="L1364" s="133">
        <v>44018</v>
      </c>
      <c r="M1364" s="110">
        <v>20.98</v>
      </c>
      <c r="N1364" s="110">
        <v>21.13</v>
      </c>
      <c r="O1364" s="110">
        <v>20.68</v>
      </c>
      <c r="P1364" s="110">
        <v>20.82</v>
      </c>
      <c r="Q1364" s="110">
        <v>104.9</v>
      </c>
      <c r="R1364">
        <v>14554223</v>
      </c>
    </row>
    <row r="1365" spans="1:18" x14ac:dyDescent="0.25">
      <c r="A1365" s="133">
        <v>44019</v>
      </c>
      <c r="B1365" s="110">
        <v>21</v>
      </c>
      <c r="C1365" s="110">
        <v>20.88</v>
      </c>
      <c r="D1365" s="110">
        <v>20.36</v>
      </c>
      <c r="E1365" s="110">
        <v>20.99</v>
      </c>
      <c r="F1365" s="110">
        <v>104.4</v>
      </c>
      <c r="G1365">
        <v>564957</v>
      </c>
      <c r="H1365" s="110"/>
      <c r="I1365" s="110"/>
      <c r="L1365" s="133">
        <v>44019</v>
      </c>
      <c r="M1365" s="110">
        <v>20.9</v>
      </c>
      <c r="N1365" s="110">
        <v>21.04</v>
      </c>
      <c r="O1365" s="110">
        <v>20.36</v>
      </c>
      <c r="P1365" s="110">
        <v>21</v>
      </c>
      <c r="Q1365" s="110">
        <v>104.5</v>
      </c>
      <c r="R1365">
        <v>15859957</v>
      </c>
    </row>
    <row r="1366" spans="1:18" x14ac:dyDescent="0.25">
      <c r="A1366" s="133">
        <v>44020</v>
      </c>
      <c r="B1366" s="110">
        <v>22.69</v>
      </c>
      <c r="C1366" s="110">
        <v>21.78</v>
      </c>
      <c r="D1366" s="110">
        <v>20.88</v>
      </c>
      <c r="E1366" s="110">
        <v>21</v>
      </c>
      <c r="F1366" s="110">
        <v>108.9</v>
      </c>
      <c r="G1366">
        <v>1785301</v>
      </c>
      <c r="H1366" s="110"/>
      <c r="I1366" s="110"/>
      <c r="L1366" s="133">
        <v>44020</v>
      </c>
      <c r="M1366" s="110">
        <v>21.8</v>
      </c>
      <c r="N1366" s="110">
        <v>22.7</v>
      </c>
      <c r="O1366" s="110">
        <v>20.9</v>
      </c>
      <c r="P1366" s="110">
        <v>20.96</v>
      </c>
      <c r="Q1366" s="110">
        <v>109</v>
      </c>
      <c r="R1366">
        <v>48569715</v>
      </c>
    </row>
    <row r="1367" spans="1:18" x14ac:dyDescent="0.25">
      <c r="A1367" s="133">
        <v>44021</v>
      </c>
      <c r="B1367" s="110">
        <v>22.26</v>
      </c>
      <c r="C1367" s="110">
        <v>21.73</v>
      </c>
      <c r="D1367" s="110">
        <v>21.28</v>
      </c>
      <c r="E1367" s="110">
        <v>22.08</v>
      </c>
      <c r="F1367" s="110">
        <v>108.65</v>
      </c>
      <c r="G1367">
        <v>861332</v>
      </c>
      <c r="H1367" s="110"/>
      <c r="I1367" s="110"/>
      <c r="L1367" s="133">
        <v>44021</v>
      </c>
      <c r="M1367" s="110">
        <v>21.73</v>
      </c>
      <c r="N1367" s="110">
        <v>22.26</v>
      </c>
      <c r="O1367" s="110">
        <v>21.27</v>
      </c>
      <c r="P1367" s="110">
        <v>21.95</v>
      </c>
      <c r="Q1367" s="110">
        <v>108.65</v>
      </c>
      <c r="R1367">
        <v>23048126</v>
      </c>
    </row>
    <row r="1368" spans="1:18" x14ac:dyDescent="0.25">
      <c r="A1368" s="133">
        <v>44022</v>
      </c>
      <c r="B1368" s="110">
        <v>21.67</v>
      </c>
      <c r="C1368" s="110">
        <v>20.91</v>
      </c>
      <c r="D1368" s="110">
        <v>20.7</v>
      </c>
      <c r="E1368" s="110">
        <v>21.6</v>
      </c>
      <c r="F1368" s="110">
        <v>104.55</v>
      </c>
      <c r="G1368">
        <v>678017</v>
      </c>
      <c r="H1368" s="110"/>
      <c r="I1368" s="110"/>
      <c r="L1368" s="133">
        <v>44022</v>
      </c>
      <c r="M1368" s="110">
        <v>20.92</v>
      </c>
      <c r="N1368" s="110">
        <v>21.68</v>
      </c>
      <c r="O1368" s="110">
        <v>20.7</v>
      </c>
      <c r="P1368" s="110">
        <v>21.5</v>
      </c>
      <c r="Q1368" s="110">
        <v>104.6</v>
      </c>
      <c r="R1368">
        <v>22294286</v>
      </c>
    </row>
    <row r="1369" spans="1:18" x14ac:dyDescent="0.25">
      <c r="A1369" s="133">
        <v>44025</v>
      </c>
      <c r="B1369" s="110">
        <v>21.29</v>
      </c>
      <c r="C1369" s="110">
        <v>20.67</v>
      </c>
      <c r="D1369" s="110">
        <v>20.56</v>
      </c>
      <c r="E1369" s="110">
        <v>21.29</v>
      </c>
      <c r="F1369" s="110">
        <v>103.35</v>
      </c>
      <c r="G1369">
        <v>594017</v>
      </c>
      <c r="H1369" s="110"/>
      <c r="I1369" s="110"/>
      <c r="L1369" s="133">
        <v>44025</v>
      </c>
      <c r="M1369" s="110">
        <v>20.68</v>
      </c>
      <c r="N1369" s="110">
        <v>21.23</v>
      </c>
      <c r="O1369" s="110">
        <v>20.55</v>
      </c>
      <c r="P1369" s="110">
        <v>21</v>
      </c>
      <c r="Q1369" s="110">
        <v>103.4</v>
      </c>
      <c r="R1369">
        <v>15607691</v>
      </c>
    </row>
    <row r="1370" spans="1:18" x14ac:dyDescent="0.25">
      <c r="A1370" s="133">
        <v>44026</v>
      </c>
      <c r="B1370" s="110">
        <v>20.6</v>
      </c>
      <c r="C1370" s="110">
        <v>20.149999999999999</v>
      </c>
      <c r="D1370" s="110">
        <v>19.96</v>
      </c>
      <c r="E1370" s="110">
        <v>20.47</v>
      </c>
      <c r="F1370" s="110">
        <v>100.75</v>
      </c>
      <c r="G1370">
        <v>1106398</v>
      </c>
      <c r="H1370" s="110"/>
      <c r="I1370" s="110"/>
      <c r="L1370" s="133">
        <v>44026</v>
      </c>
      <c r="M1370" s="110">
        <v>20.18</v>
      </c>
      <c r="N1370" s="110">
        <v>20.66</v>
      </c>
      <c r="O1370" s="110">
        <v>19.96</v>
      </c>
      <c r="P1370" s="110">
        <v>20.62</v>
      </c>
      <c r="Q1370" s="110">
        <v>100.9</v>
      </c>
      <c r="R1370">
        <v>14906702</v>
      </c>
    </row>
    <row r="1371" spans="1:18" x14ac:dyDescent="0.25">
      <c r="A1371" s="133">
        <v>44027</v>
      </c>
      <c r="B1371" s="110">
        <v>20.67</v>
      </c>
      <c r="C1371" s="110">
        <v>20.28</v>
      </c>
      <c r="D1371" s="110">
        <v>20.2</v>
      </c>
      <c r="E1371" s="110">
        <v>20.3</v>
      </c>
      <c r="F1371" s="110">
        <v>101.4</v>
      </c>
      <c r="G1371">
        <v>846392</v>
      </c>
      <c r="H1371" s="110"/>
      <c r="I1371" s="110"/>
      <c r="L1371" s="133">
        <v>44027</v>
      </c>
      <c r="M1371" s="110">
        <v>20.28</v>
      </c>
      <c r="N1371" s="110">
        <v>20.67</v>
      </c>
      <c r="O1371" s="110">
        <v>20.190000000000001</v>
      </c>
      <c r="P1371" s="110">
        <v>20.37</v>
      </c>
      <c r="Q1371" s="110">
        <v>101.4</v>
      </c>
      <c r="R1371">
        <v>9773192</v>
      </c>
    </row>
    <row r="1372" spans="1:18" x14ac:dyDescent="0.25">
      <c r="A1372" s="133">
        <v>44028</v>
      </c>
      <c r="B1372" s="110">
        <v>20.399999999999999</v>
      </c>
      <c r="C1372" s="110">
        <v>20.29</v>
      </c>
      <c r="D1372" s="110">
        <v>19.78</v>
      </c>
      <c r="E1372" s="110">
        <v>20.329999999999998</v>
      </c>
      <c r="F1372" s="110">
        <v>101.45</v>
      </c>
      <c r="G1372">
        <v>421080</v>
      </c>
      <c r="H1372" s="110"/>
      <c r="I1372" s="110"/>
      <c r="L1372" s="133">
        <v>44028</v>
      </c>
      <c r="M1372" s="110">
        <v>20.28</v>
      </c>
      <c r="N1372" s="110">
        <v>20.440000000000001</v>
      </c>
      <c r="O1372" s="110">
        <v>19.77</v>
      </c>
      <c r="P1372" s="110">
        <v>20.440000000000001</v>
      </c>
      <c r="Q1372" s="110">
        <v>101.4</v>
      </c>
      <c r="R1372">
        <v>6278184</v>
      </c>
    </row>
    <row r="1373" spans="1:18" x14ac:dyDescent="0.25">
      <c r="A1373" s="133">
        <v>44029</v>
      </c>
      <c r="B1373" s="110">
        <v>20.58</v>
      </c>
      <c r="C1373" s="110">
        <v>20.45</v>
      </c>
      <c r="D1373" s="110">
        <v>20.21</v>
      </c>
      <c r="E1373" s="110">
        <v>20.34</v>
      </c>
      <c r="F1373" s="110">
        <v>102.25</v>
      </c>
      <c r="G1373">
        <v>370110</v>
      </c>
      <c r="H1373" s="110"/>
      <c r="I1373" s="110"/>
      <c r="L1373" s="133">
        <v>44029</v>
      </c>
      <c r="M1373" s="110">
        <v>20.45</v>
      </c>
      <c r="N1373" s="110">
        <v>20.57</v>
      </c>
      <c r="O1373" s="110">
        <v>20.22</v>
      </c>
      <c r="P1373" s="110">
        <v>20.3</v>
      </c>
      <c r="Q1373" s="110">
        <v>102.25</v>
      </c>
      <c r="R1373">
        <v>4151465</v>
      </c>
    </row>
    <row r="1374" spans="1:18" x14ac:dyDescent="0.25">
      <c r="A1374" s="133">
        <v>44032</v>
      </c>
      <c r="B1374" s="110">
        <v>20.8</v>
      </c>
      <c r="C1374" s="110">
        <v>20.6</v>
      </c>
      <c r="D1374" s="110">
        <v>20.46</v>
      </c>
      <c r="E1374" s="110">
        <v>20.64</v>
      </c>
      <c r="F1374" s="110">
        <v>103</v>
      </c>
      <c r="G1374">
        <v>605148</v>
      </c>
      <c r="H1374" s="110"/>
      <c r="I1374" s="110"/>
      <c r="L1374" s="133">
        <v>44032</v>
      </c>
      <c r="M1374" s="110">
        <v>20.6</v>
      </c>
      <c r="N1374" s="110">
        <v>20.8</v>
      </c>
      <c r="O1374" s="110">
        <v>20.47</v>
      </c>
      <c r="P1374" s="110">
        <v>20.6</v>
      </c>
      <c r="Q1374" s="110">
        <v>103</v>
      </c>
      <c r="R1374">
        <v>5179617</v>
      </c>
    </row>
    <row r="1375" spans="1:18" x14ac:dyDescent="0.25">
      <c r="A1375" s="133">
        <v>44033</v>
      </c>
      <c r="B1375" s="110">
        <v>20.92</v>
      </c>
      <c r="C1375" s="110">
        <v>20.8</v>
      </c>
      <c r="D1375" s="110">
        <v>20.55</v>
      </c>
      <c r="E1375" s="110">
        <v>20.8</v>
      </c>
      <c r="F1375" s="110">
        <v>104</v>
      </c>
      <c r="G1375">
        <v>417921</v>
      </c>
      <c r="H1375" s="110"/>
      <c r="I1375" s="110"/>
      <c r="L1375" s="133">
        <v>44033</v>
      </c>
      <c r="M1375" s="110">
        <v>20.8</v>
      </c>
      <c r="N1375" s="110">
        <v>20.9</v>
      </c>
      <c r="O1375" s="110">
        <v>20.55</v>
      </c>
      <c r="P1375" s="110">
        <v>20.8</v>
      </c>
      <c r="Q1375" s="110">
        <v>104</v>
      </c>
      <c r="R1375">
        <v>6825040</v>
      </c>
    </row>
    <row r="1376" spans="1:18" x14ac:dyDescent="0.25">
      <c r="A1376" s="133">
        <v>44034</v>
      </c>
      <c r="B1376" s="110">
        <v>21.07</v>
      </c>
      <c r="C1376" s="110">
        <v>20.41</v>
      </c>
      <c r="D1376" s="110">
        <v>20.29</v>
      </c>
      <c r="E1376" s="110">
        <v>20.88</v>
      </c>
      <c r="F1376" s="110">
        <v>102.05</v>
      </c>
      <c r="G1376">
        <v>367980</v>
      </c>
      <c r="H1376" s="110"/>
      <c r="I1376" s="110"/>
      <c r="L1376" s="133">
        <v>44034</v>
      </c>
      <c r="M1376" s="110">
        <v>20.420000000000002</v>
      </c>
      <c r="N1376" s="110">
        <v>21.06</v>
      </c>
      <c r="O1376" s="110">
        <v>20.28</v>
      </c>
      <c r="P1376" s="110">
        <v>20.94</v>
      </c>
      <c r="Q1376" s="110">
        <v>102.1</v>
      </c>
      <c r="R1376">
        <v>12786523</v>
      </c>
    </row>
    <row r="1377" spans="1:18" x14ac:dyDescent="0.25">
      <c r="A1377" s="133">
        <v>44035</v>
      </c>
      <c r="B1377" s="110">
        <v>20.67</v>
      </c>
      <c r="C1377" s="110">
        <v>20.45</v>
      </c>
      <c r="D1377" s="110">
        <v>20.29</v>
      </c>
      <c r="E1377" s="110">
        <v>20.43</v>
      </c>
      <c r="F1377" s="110">
        <v>102.25</v>
      </c>
      <c r="G1377">
        <v>323208</v>
      </c>
      <c r="H1377" s="110"/>
      <c r="I1377" s="110"/>
      <c r="L1377" s="133">
        <v>44035</v>
      </c>
      <c r="M1377" s="110">
        <v>20.45</v>
      </c>
      <c r="N1377" s="110">
        <v>20.68</v>
      </c>
      <c r="O1377" s="110">
        <v>20.260000000000002</v>
      </c>
      <c r="P1377" s="110">
        <v>20.420000000000002</v>
      </c>
      <c r="Q1377" s="110">
        <v>102.25</v>
      </c>
      <c r="R1377">
        <v>8594371</v>
      </c>
    </row>
    <row r="1378" spans="1:18" x14ac:dyDescent="0.25">
      <c r="A1378" s="133">
        <v>44036</v>
      </c>
      <c r="B1378" s="110">
        <v>20.45</v>
      </c>
      <c r="C1378" s="110">
        <v>20.260000000000002</v>
      </c>
      <c r="D1378" s="110">
        <v>19.88</v>
      </c>
      <c r="E1378" s="110">
        <v>20.23</v>
      </c>
      <c r="F1378" s="110">
        <v>101.3</v>
      </c>
      <c r="G1378">
        <v>400370</v>
      </c>
      <c r="H1378" s="110"/>
      <c r="I1378" s="110"/>
      <c r="L1378" s="133">
        <v>44036</v>
      </c>
      <c r="M1378" s="110">
        <v>20.25</v>
      </c>
      <c r="N1378" s="110">
        <v>20.46</v>
      </c>
      <c r="O1378" s="110">
        <v>19.88</v>
      </c>
      <c r="P1378" s="110">
        <v>20.239999999999998</v>
      </c>
      <c r="Q1378" s="110">
        <v>101.25</v>
      </c>
      <c r="R1378">
        <v>10183465</v>
      </c>
    </row>
    <row r="1379" spans="1:18" x14ac:dyDescent="0.25">
      <c r="A1379" s="133">
        <v>44039</v>
      </c>
      <c r="B1379" s="110">
        <v>20.3</v>
      </c>
      <c r="C1379" s="110">
        <v>19.93</v>
      </c>
      <c r="D1379" s="110">
        <v>19.7</v>
      </c>
      <c r="E1379" s="110">
        <v>20.239999999999998</v>
      </c>
      <c r="F1379" s="110">
        <v>99.65</v>
      </c>
      <c r="G1379">
        <v>466280</v>
      </c>
      <c r="H1379" s="110"/>
      <c r="I1379" s="110"/>
      <c r="L1379" s="133">
        <v>44039</v>
      </c>
      <c r="M1379" s="110">
        <v>19.940000000000001</v>
      </c>
      <c r="N1379" s="110">
        <v>20.350000000000001</v>
      </c>
      <c r="O1379" s="110">
        <v>19.7</v>
      </c>
      <c r="P1379" s="110">
        <v>20.28</v>
      </c>
      <c r="Q1379" s="110">
        <v>99.7</v>
      </c>
      <c r="R1379">
        <v>9991216</v>
      </c>
    </row>
    <row r="1380" spans="1:18" x14ac:dyDescent="0.25">
      <c r="A1380" s="133">
        <v>44040</v>
      </c>
      <c r="B1380" s="110">
        <v>20.25</v>
      </c>
      <c r="C1380" s="110">
        <v>20.059999999999999</v>
      </c>
      <c r="D1380" s="110">
        <v>19.93</v>
      </c>
      <c r="E1380" s="110">
        <v>20</v>
      </c>
      <c r="F1380" s="110">
        <v>100.3</v>
      </c>
      <c r="G1380">
        <v>465402</v>
      </c>
      <c r="H1380" s="110"/>
      <c r="I1380" s="110"/>
      <c r="L1380" s="133">
        <v>44040</v>
      </c>
      <c r="M1380" s="110">
        <v>20.079999999999998</v>
      </c>
      <c r="N1380" s="110">
        <v>20.239999999999998</v>
      </c>
      <c r="O1380" s="110">
        <v>19.899999999999999</v>
      </c>
      <c r="P1380" s="110">
        <v>20.02</v>
      </c>
      <c r="Q1380" s="110">
        <v>100.4</v>
      </c>
      <c r="R1380">
        <v>6199807</v>
      </c>
    </row>
    <row r="1381" spans="1:18" x14ac:dyDescent="0.25">
      <c r="A1381" s="133">
        <v>44041</v>
      </c>
      <c r="B1381" s="110">
        <v>20.52</v>
      </c>
      <c r="C1381" s="110">
        <v>20.059999999999999</v>
      </c>
      <c r="D1381" s="110">
        <v>19.97</v>
      </c>
      <c r="E1381" s="110">
        <v>20.059999999999999</v>
      </c>
      <c r="F1381" s="110">
        <v>100.3</v>
      </c>
      <c r="G1381">
        <v>546934</v>
      </c>
      <c r="H1381" s="110"/>
      <c r="I1381" s="110"/>
      <c r="L1381" s="133">
        <v>44041</v>
      </c>
      <c r="M1381" s="110">
        <v>20.05</v>
      </c>
      <c r="N1381" s="110">
        <v>20.53</v>
      </c>
      <c r="O1381" s="110">
        <v>19.98</v>
      </c>
      <c r="P1381" s="110">
        <v>20.190000000000001</v>
      </c>
      <c r="Q1381" s="110">
        <v>100.25</v>
      </c>
      <c r="R1381">
        <v>7688431</v>
      </c>
    </row>
    <row r="1382" spans="1:18" x14ac:dyDescent="0.25">
      <c r="A1382" s="133">
        <v>44042</v>
      </c>
      <c r="B1382" s="110">
        <v>20.260000000000002</v>
      </c>
      <c r="C1382" s="110">
        <v>19.86</v>
      </c>
      <c r="D1382" s="110">
        <v>19.760000000000002</v>
      </c>
      <c r="E1382" s="110">
        <v>20.079999999999998</v>
      </c>
      <c r="F1382" s="110">
        <v>99.3</v>
      </c>
      <c r="G1382">
        <v>578026</v>
      </c>
      <c r="H1382" s="110"/>
      <c r="I1382" s="110"/>
      <c r="L1382" s="133">
        <v>44042</v>
      </c>
      <c r="M1382" s="110">
        <v>19.87</v>
      </c>
      <c r="N1382" s="110">
        <v>20.28</v>
      </c>
      <c r="O1382" s="110">
        <v>19.78</v>
      </c>
      <c r="P1382" s="110">
        <v>20.149999999999999</v>
      </c>
      <c r="Q1382" s="110">
        <v>99.35</v>
      </c>
      <c r="R1382">
        <v>9392519</v>
      </c>
    </row>
    <row r="1383" spans="1:18" x14ac:dyDescent="0.25">
      <c r="A1383" s="133">
        <v>44043</v>
      </c>
      <c r="B1383" s="110">
        <v>20.49</v>
      </c>
      <c r="C1383" s="110">
        <v>20.36</v>
      </c>
      <c r="D1383" s="110">
        <v>19.68</v>
      </c>
      <c r="E1383" s="110">
        <v>19.8</v>
      </c>
      <c r="F1383" s="110">
        <v>101.8</v>
      </c>
      <c r="G1383">
        <v>1243286</v>
      </c>
      <c r="H1383" s="110"/>
      <c r="I1383" s="110"/>
      <c r="L1383" s="133">
        <v>44043</v>
      </c>
      <c r="M1383" s="110">
        <v>20.37</v>
      </c>
      <c r="N1383" s="110">
        <v>20.49</v>
      </c>
      <c r="O1383" s="110">
        <v>19.670000000000002</v>
      </c>
      <c r="P1383" s="110">
        <v>19.84</v>
      </c>
      <c r="Q1383" s="110">
        <v>101.85</v>
      </c>
      <c r="R1383">
        <v>14254944</v>
      </c>
    </row>
    <row r="1384" spans="1:18" x14ac:dyDescent="0.25">
      <c r="A1384" s="133">
        <v>44046</v>
      </c>
      <c r="B1384" s="110">
        <v>20.67</v>
      </c>
      <c r="C1384" s="110">
        <v>20.350000000000001</v>
      </c>
      <c r="D1384" s="110">
        <v>20.16</v>
      </c>
      <c r="E1384" s="110">
        <v>20.36</v>
      </c>
      <c r="F1384" s="110">
        <v>101.75</v>
      </c>
      <c r="G1384">
        <v>366777</v>
      </c>
      <c r="H1384" s="110"/>
      <c r="I1384" s="110"/>
      <c r="L1384" s="133">
        <v>44046</v>
      </c>
      <c r="M1384" s="110">
        <v>20.36</v>
      </c>
      <c r="N1384" s="110">
        <v>20.65</v>
      </c>
      <c r="O1384" s="110">
        <v>20.16</v>
      </c>
      <c r="P1384" s="110">
        <v>20.36</v>
      </c>
      <c r="Q1384" s="110">
        <v>101.8</v>
      </c>
      <c r="R1384">
        <v>10602207</v>
      </c>
    </row>
    <row r="1385" spans="1:18" x14ac:dyDescent="0.25">
      <c r="A1385" s="133">
        <v>44047</v>
      </c>
      <c r="B1385" s="110">
        <v>20.99</v>
      </c>
      <c r="C1385" s="110">
        <v>20.89</v>
      </c>
      <c r="D1385" s="110">
        <v>20.28</v>
      </c>
      <c r="E1385" s="110">
        <v>20.43</v>
      </c>
      <c r="F1385" s="110">
        <v>104.45</v>
      </c>
      <c r="G1385">
        <v>564204</v>
      </c>
      <c r="H1385" s="110"/>
      <c r="I1385" s="110"/>
      <c r="L1385" s="133">
        <v>44047</v>
      </c>
      <c r="M1385" s="110">
        <v>20.89</v>
      </c>
      <c r="N1385" s="110">
        <v>21</v>
      </c>
      <c r="O1385" s="110">
        <v>20.27</v>
      </c>
      <c r="P1385" s="110">
        <v>20.420000000000002</v>
      </c>
      <c r="Q1385" s="110">
        <v>104.45</v>
      </c>
      <c r="R1385">
        <v>14785317</v>
      </c>
    </row>
    <row r="1386" spans="1:18" x14ac:dyDescent="0.25">
      <c r="A1386" s="133">
        <v>44048</v>
      </c>
      <c r="B1386" s="110">
        <v>21.17</v>
      </c>
      <c r="C1386" s="110">
        <v>20.63</v>
      </c>
      <c r="D1386" s="110">
        <v>20.48</v>
      </c>
      <c r="E1386" s="110">
        <v>21</v>
      </c>
      <c r="F1386" s="110">
        <v>103.15</v>
      </c>
      <c r="G1386">
        <v>355056</v>
      </c>
      <c r="H1386" s="110"/>
      <c r="I1386" s="110"/>
      <c r="L1386" s="133">
        <v>44048</v>
      </c>
      <c r="M1386" s="110">
        <v>20.63</v>
      </c>
      <c r="N1386" s="110">
        <v>21.17</v>
      </c>
      <c r="O1386" s="110">
        <v>20.48</v>
      </c>
      <c r="P1386" s="110">
        <v>20.99</v>
      </c>
      <c r="Q1386" s="110">
        <v>103.15</v>
      </c>
      <c r="R1386">
        <v>8532588</v>
      </c>
    </row>
    <row r="1387" spans="1:18" x14ac:dyDescent="0.25">
      <c r="A1387" s="133">
        <v>44049</v>
      </c>
      <c r="B1387" s="110">
        <v>21.2</v>
      </c>
      <c r="C1387" s="110">
        <v>20.48</v>
      </c>
      <c r="D1387" s="110">
        <v>20.309999999999999</v>
      </c>
      <c r="E1387" s="110">
        <v>21.2</v>
      </c>
      <c r="F1387" s="110">
        <v>102.4</v>
      </c>
      <c r="G1387">
        <v>655652</v>
      </c>
      <c r="H1387" s="110"/>
      <c r="I1387" s="110"/>
      <c r="L1387" s="133">
        <v>44049</v>
      </c>
      <c r="M1387" s="110">
        <v>20.49</v>
      </c>
      <c r="N1387" s="110">
        <v>21.08</v>
      </c>
      <c r="O1387" s="110">
        <v>20.3</v>
      </c>
      <c r="P1387" s="110">
        <v>21.03</v>
      </c>
      <c r="Q1387" s="110">
        <v>102.45</v>
      </c>
      <c r="R1387">
        <v>20728455</v>
      </c>
    </row>
    <row r="1388" spans="1:18" x14ac:dyDescent="0.25">
      <c r="A1388" s="133">
        <v>44050</v>
      </c>
      <c r="B1388" s="110">
        <v>20.56</v>
      </c>
      <c r="C1388" s="110">
        <v>20.39</v>
      </c>
      <c r="D1388" s="110">
        <v>20.3</v>
      </c>
      <c r="E1388" s="110">
        <v>20.48</v>
      </c>
      <c r="F1388" s="110">
        <v>101.95</v>
      </c>
      <c r="G1388">
        <v>295814</v>
      </c>
      <c r="H1388" s="110"/>
      <c r="I1388" s="110"/>
      <c r="L1388" s="133">
        <v>44050</v>
      </c>
      <c r="M1388" s="110">
        <v>20.38</v>
      </c>
      <c r="N1388" s="110">
        <v>20.55</v>
      </c>
      <c r="O1388" s="110">
        <v>20.3</v>
      </c>
      <c r="P1388" s="110">
        <v>20.399999999999999</v>
      </c>
      <c r="Q1388" s="110">
        <v>101.9</v>
      </c>
      <c r="R1388">
        <v>4603398</v>
      </c>
    </row>
    <row r="1389" spans="1:18" x14ac:dyDescent="0.25">
      <c r="A1389" s="133">
        <v>44053</v>
      </c>
      <c r="B1389" s="110">
        <v>20.52</v>
      </c>
      <c r="C1389" s="110">
        <v>20.37</v>
      </c>
      <c r="D1389" s="110">
        <v>20.32</v>
      </c>
      <c r="E1389" s="110">
        <v>20.39</v>
      </c>
      <c r="F1389" s="110">
        <v>101.85</v>
      </c>
      <c r="G1389">
        <v>525230</v>
      </c>
      <c r="H1389" s="110"/>
      <c r="I1389" s="110"/>
      <c r="L1389" s="133">
        <v>44053</v>
      </c>
      <c r="M1389" s="110">
        <v>20.37</v>
      </c>
      <c r="N1389" s="110">
        <v>20.53</v>
      </c>
      <c r="O1389" s="110">
        <v>20.309999999999999</v>
      </c>
      <c r="P1389" s="110">
        <v>20.38</v>
      </c>
      <c r="Q1389" s="110">
        <v>101.85</v>
      </c>
      <c r="R1389">
        <v>3534942</v>
      </c>
    </row>
    <row r="1390" spans="1:18" x14ac:dyDescent="0.25">
      <c r="A1390" s="133">
        <v>44054</v>
      </c>
      <c r="B1390" s="110">
        <v>20.52</v>
      </c>
      <c r="C1390" s="110">
        <v>20.27</v>
      </c>
      <c r="D1390" s="110">
        <v>20.13</v>
      </c>
      <c r="E1390" s="110">
        <v>20.440000000000001</v>
      </c>
      <c r="F1390" s="110">
        <v>101.35</v>
      </c>
      <c r="G1390">
        <v>269492</v>
      </c>
      <c r="H1390" s="110"/>
      <c r="I1390" s="110"/>
      <c r="L1390" s="133">
        <v>44054</v>
      </c>
      <c r="M1390" s="110">
        <v>20.27</v>
      </c>
      <c r="N1390" s="110">
        <v>20.52</v>
      </c>
      <c r="O1390" s="110">
        <v>20.11</v>
      </c>
      <c r="P1390" s="110">
        <v>20.420000000000002</v>
      </c>
      <c r="Q1390" s="110">
        <v>101.35</v>
      </c>
      <c r="R1390">
        <v>4217704</v>
      </c>
    </row>
    <row r="1391" spans="1:18" x14ac:dyDescent="0.25">
      <c r="A1391" s="133">
        <v>44055</v>
      </c>
      <c r="B1391" s="110">
        <v>20.88</v>
      </c>
      <c r="C1391" s="110">
        <v>20.43</v>
      </c>
      <c r="D1391" s="110">
        <v>20.3</v>
      </c>
      <c r="E1391" s="110">
        <v>20.440000000000001</v>
      </c>
      <c r="F1391" s="110">
        <v>102.15</v>
      </c>
      <c r="G1391">
        <v>788391</v>
      </c>
      <c r="H1391" s="110"/>
      <c r="I1391" s="110"/>
      <c r="L1391" s="133">
        <v>44055</v>
      </c>
      <c r="M1391" s="110">
        <v>20.45</v>
      </c>
      <c r="N1391" s="110">
        <v>20.88</v>
      </c>
      <c r="O1391" s="110">
        <v>20.3</v>
      </c>
      <c r="P1391" s="110">
        <v>20.399999999999999</v>
      </c>
      <c r="Q1391" s="110">
        <v>102.25</v>
      </c>
      <c r="R1391">
        <v>10614088</v>
      </c>
    </row>
    <row r="1392" spans="1:18" x14ac:dyDescent="0.25">
      <c r="A1392" s="133">
        <v>44056</v>
      </c>
      <c r="B1392" s="110">
        <v>20.67</v>
      </c>
      <c r="C1392" s="110">
        <v>20.43</v>
      </c>
      <c r="D1392" s="110">
        <v>20.32</v>
      </c>
      <c r="E1392" s="110">
        <v>20.5</v>
      </c>
      <c r="F1392" s="110">
        <v>102.15</v>
      </c>
      <c r="G1392">
        <v>246619</v>
      </c>
      <c r="H1392" s="110"/>
      <c r="I1392" s="110"/>
      <c r="L1392" s="133">
        <v>44056</v>
      </c>
      <c r="M1392" s="110">
        <v>20.43</v>
      </c>
      <c r="N1392" s="110">
        <v>20.65</v>
      </c>
      <c r="O1392" s="110">
        <v>20.32</v>
      </c>
      <c r="P1392" s="110">
        <v>20.54</v>
      </c>
      <c r="Q1392" s="110">
        <v>102.15</v>
      </c>
      <c r="R1392">
        <v>3380711</v>
      </c>
    </row>
    <row r="1393" spans="1:18" x14ac:dyDescent="0.25">
      <c r="A1393" s="133">
        <v>44057</v>
      </c>
      <c r="B1393" s="110">
        <v>20.69</v>
      </c>
      <c r="C1393" s="110">
        <v>20.28</v>
      </c>
      <c r="D1393" s="110">
        <v>20.14</v>
      </c>
      <c r="E1393" s="110">
        <v>20.69</v>
      </c>
      <c r="F1393" s="110">
        <v>101.4</v>
      </c>
      <c r="G1393">
        <v>241554</v>
      </c>
      <c r="H1393" s="110"/>
      <c r="I1393" s="110"/>
      <c r="L1393" s="133">
        <v>44057</v>
      </c>
      <c r="M1393" s="110">
        <v>20.260000000000002</v>
      </c>
      <c r="N1393" s="110">
        <v>20.64</v>
      </c>
      <c r="O1393" s="110">
        <v>20.12</v>
      </c>
      <c r="P1393" s="110">
        <v>20.57</v>
      </c>
      <c r="Q1393" s="110">
        <v>101.3</v>
      </c>
      <c r="R1393">
        <v>4167014</v>
      </c>
    </row>
    <row r="1394" spans="1:18" x14ac:dyDescent="0.25">
      <c r="A1394" s="133">
        <v>44060</v>
      </c>
      <c r="B1394" s="110">
        <v>20.37</v>
      </c>
      <c r="C1394" s="110">
        <v>20.02</v>
      </c>
      <c r="D1394" s="110">
        <v>19.79</v>
      </c>
      <c r="E1394" s="110">
        <v>20.3</v>
      </c>
      <c r="F1394" s="110">
        <v>100.1</v>
      </c>
      <c r="G1394">
        <v>915352</v>
      </c>
      <c r="H1394" s="110"/>
      <c r="I1394" s="110"/>
      <c r="L1394" s="133">
        <v>44060</v>
      </c>
      <c r="M1394" s="110">
        <v>20.010000000000002</v>
      </c>
      <c r="N1394" s="110">
        <v>20.38</v>
      </c>
      <c r="O1394" s="110">
        <v>19.78</v>
      </c>
      <c r="P1394" s="110">
        <v>20.38</v>
      </c>
      <c r="Q1394" s="110">
        <v>100.05</v>
      </c>
      <c r="R1394">
        <v>10210598</v>
      </c>
    </row>
    <row r="1395" spans="1:18" x14ac:dyDescent="0.25">
      <c r="A1395" s="133">
        <v>44061</v>
      </c>
      <c r="B1395" s="110">
        <v>20.53</v>
      </c>
      <c r="C1395" s="110">
        <v>20.399999999999999</v>
      </c>
      <c r="D1395" s="110">
        <v>19.98</v>
      </c>
      <c r="E1395" s="110">
        <v>20.02</v>
      </c>
      <c r="F1395" s="110">
        <v>102</v>
      </c>
      <c r="G1395">
        <v>863068</v>
      </c>
      <c r="H1395" s="110"/>
      <c r="I1395" s="110"/>
      <c r="L1395" s="133">
        <v>44061</v>
      </c>
      <c r="M1395" s="110">
        <v>20.41</v>
      </c>
      <c r="N1395" s="110">
        <v>20.53</v>
      </c>
      <c r="O1395" s="110">
        <v>19.97</v>
      </c>
      <c r="P1395" s="110">
        <v>20.09</v>
      </c>
      <c r="Q1395" s="110">
        <v>102.05</v>
      </c>
      <c r="R1395">
        <v>8094749</v>
      </c>
    </row>
    <row r="1396" spans="1:18" x14ac:dyDescent="0.25">
      <c r="A1396" s="133">
        <v>44062</v>
      </c>
      <c r="B1396" s="110">
        <v>21.82</v>
      </c>
      <c r="C1396" s="110">
        <v>21.11</v>
      </c>
      <c r="D1396" s="110">
        <v>20.57</v>
      </c>
      <c r="E1396" s="110">
        <v>20.59</v>
      </c>
      <c r="F1396" s="110">
        <v>105.55</v>
      </c>
      <c r="G1396">
        <v>1013560</v>
      </c>
      <c r="H1396" s="110"/>
      <c r="I1396" s="110"/>
      <c r="L1396" s="133">
        <v>44062</v>
      </c>
      <c r="M1396" s="110">
        <v>21.13</v>
      </c>
      <c r="N1396" s="110">
        <v>21.84</v>
      </c>
      <c r="O1396" s="110">
        <v>20.49</v>
      </c>
      <c r="P1396" s="110">
        <v>20.49</v>
      </c>
      <c r="Q1396" s="110">
        <v>105.65</v>
      </c>
      <c r="R1396">
        <v>33255006</v>
      </c>
    </row>
    <row r="1397" spans="1:18" x14ac:dyDescent="0.25">
      <c r="A1397" s="133">
        <v>44063</v>
      </c>
      <c r="B1397" s="110">
        <v>21.35</v>
      </c>
      <c r="C1397" s="110">
        <v>20.82</v>
      </c>
      <c r="D1397" s="110">
        <v>20.64</v>
      </c>
      <c r="E1397" s="110">
        <v>20.74</v>
      </c>
      <c r="F1397" s="110">
        <v>104.1</v>
      </c>
      <c r="G1397">
        <v>461075</v>
      </c>
      <c r="H1397" s="110"/>
      <c r="I1397" s="110"/>
      <c r="L1397" s="133">
        <v>44063</v>
      </c>
      <c r="M1397" s="110">
        <v>20.8</v>
      </c>
      <c r="N1397" s="110">
        <v>21.36</v>
      </c>
      <c r="O1397" s="110">
        <v>20.61</v>
      </c>
      <c r="P1397" s="110">
        <v>21</v>
      </c>
      <c r="Q1397" s="110">
        <v>104</v>
      </c>
      <c r="R1397">
        <v>8448910</v>
      </c>
    </row>
    <row r="1398" spans="1:18" x14ac:dyDescent="0.25">
      <c r="A1398" s="133">
        <v>44064</v>
      </c>
      <c r="B1398" s="110">
        <v>21.26</v>
      </c>
      <c r="C1398" s="110">
        <v>20.87</v>
      </c>
      <c r="D1398" s="110">
        <v>20.78</v>
      </c>
      <c r="E1398" s="110">
        <v>21</v>
      </c>
      <c r="F1398" s="110">
        <v>104.35</v>
      </c>
      <c r="G1398">
        <v>448453</v>
      </c>
      <c r="H1398" s="110"/>
      <c r="I1398" s="110"/>
      <c r="L1398" s="133">
        <v>44064</v>
      </c>
      <c r="M1398" s="110">
        <v>20.86</v>
      </c>
      <c r="N1398" s="110">
        <v>21.27</v>
      </c>
      <c r="O1398" s="110">
        <v>20.78</v>
      </c>
      <c r="P1398" s="110">
        <v>21.09</v>
      </c>
      <c r="Q1398" s="110">
        <v>104.3</v>
      </c>
      <c r="R1398">
        <v>4810317</v>
      </c>
    </row>
    <row r="1399" spans="1:18" x14ac:dyDescent="0.25">
      <c r="A1399" s="133">
        <v>44067</v>
      </c>
      <c r="B1399" s="110">
        <v>21.1</v>
      </c>
      <c r="C1399" s="110">
        <v>20.68</v>
      </c>
      <c r="D1399" s="110">
        <v>20.6</v>
      </c>
      <c r="E1399" s="110">
        <v>21</v>
      </c>
      <c r="F1399" s="110">
        <v>103.4</v>
      </c>
      <c r="G1399">
        <v>549412</v>
      </c>
      <c r="H1399" s="110"/>
      <c r="I1399" s="110"/>
      <c r="L1399" s="133">
        <v>44067</v>
      </c>
      <c r="M1399" s="110">
        <v>20.7</v>
      </c>
      <c r="N1399" s="110">
        <v>21.1</v>
      </c>
      <c r="O1399" s="110">
        <v>20.62</v>
      </c>
      <c r="P1399" s="110">
        <v>21.1</v>
      </c>
      <c r="Q1399" s="110">
        <v>103.5</v>
      </c>
      <c r="R1399">
        <v>4728842</v>
      </c>
    </row>
    <row r="1400" spans="1:18" x14ac:dyDescent="0.25">
      <c r="A1400" s="133">
        <v>44068</v>
      </c>
      <c r="B1400" s="110">
        <v>21.63</v>
      </c>
      <c r="C1400" s="110">
        <v>21.36</v>
      </c>
      <c r="D1400" s="110">
        <v>20.84</v>
      </c>
      <c r="E1400" s="110">
        <v>20.84</v>
      </c>
      <c r="F1400" s="110">
        <v>106.8</v>
      </c>
      <c r="G1400">
        <v>937870</v>
      </c>
      <c r="H1400" s="110"/>
      <c r="I1400" s="110"/>
      <c r="L1400" s="133">
        <v>44068</v>
      </c>
      <c r="M1400" s="110">
        <v>21.34</v>
      </c>
      <c r="N1400" s="110">
        <v>21.65</v>
      </c>
      <c r="O1400" s="110">
        <v>20.88</v>
      </c>
      <c r="P1400" s="110">
        <v>20.9</v>
      </c>
      <c r="Q1400" s="110">
        <v>106.7</v>
      </c>
      <c r="R1400">
        <v>21669722</v>
      </c>
    </row>
    <row r="1401" spans="1:18" x14ac:dyDescent="0.25">
      <c r="A1401" s="133">
        <v>44069</v>
      </c>
      <c r="B1401" s="110">
        <v>21.55</v>
      </c>
      <c r="C1401" s="110">
        <v>21.25</v>
      </c>
      <c r="D1401" s="110">
        <v>21.2</v>
      </c>
      <c r="E1401" s="110">
        <v>21.4</v>
      </c>
      <c r="F1401" s="110">
        <v>106.25</v>
      </c>
      <c r="G1401">
        <v>393846</v>
      </c>
      <c r="H1401" s="110"/>
      <c r="I1401" s="110"/>
      <c r="L1401" s="133">
        <v>44069</v>
      </c>
      <c r="M1401" s="110">
        <v>21.26</v>
      </c>
      <c r="N1401" s="110">
        <v>21.56</v>
      </c>
      <c r="O1401" s="110">
        <v>21.2</v>
      </c>
      <c r="P1401" s="110">
        <v>21.4</v>
      </c>
      <c r="Q1401" s="110">
        <v>106.3</v>
      </c>
      <c r="R1401">
        <v>5408878</v>
      </c>
    </row>
    <row r="1402" spans="1:18" x14ac:dyDescent="0.25">
      <c r="A1402" s="133">
        <v>44070</v>
      </c>
      <c r="B1402" s="110">
        <v>21.54</v>
      </c>
      <c r="C1402" s="110">
        <v>21.1</v>
      </c>
      <c r="D1402" s="110">
        <v>21</v>
      </c>
      <c r="E1402" s="110">
        <v>21.26</v>
      </c>
      <c r="F1402" s="110">
        <v>105.5</v>
      </c>
      <c r="G1402">
        <v>463703</v>
      </c>
      <c r="H1402" s="110"/>
      <c r="I1402" s="110"/>
      <c r="L1402" s="133">
        <v>44070</v>
      </c>
      <c r="M1402" s="110">
        <v>21.11</v>
      </c>
      <c r="N1402" s="110">
        <v>21.53</v>
      </c>
      <c r="O1402" s="110">
        <v>21</v>
      </c>
      <c r="P1402" s="110">
        <v>21.46</v>
      </c>
      <c r="Q1402" s="110">
        <v>105.55</v>
      </c>
      <c r="R1402">
        <v>7732121</v>
      </c>
    </row>
    <row r="1403" spans="1:18" x14ac:dyDescent="0.25">
      <c r="A1403" s="133">
        <v>44071</v>
      </c>
      <c r="B1403" s="110">
        <v>23.15</v>
      </c>
      <c r="C1403" s="110">
        <v>22.96</v>
      </c>
      <c r="D1403" s="110">
        <v>21.21</v>
      </c>
      <c r="E1403" s="110">
        <v>21.36</v>
      </c>
      <c r="F1403" s="110">
        <v>114.8</v>
      </c>
      <c r="G1403">
        <v>2051659</v>
      </c>
      <c r="H1403" s="110"/>
      <c r="I1403" s="110"/>
      <c r="L1403" s="133">
        <v>44071</v>
      </c>
      <c r="M1403" s="110">
        <v>22.96</v>
      </c>
      <c r="N1403" s="110">
        <v>23.18</v>
      </c>
      <c r="O1403" s="110">
        <v>21.26</v>
      </c>
      <c r="P1403" s="110">
        <v>21.26</v>
      </c>
      <c r="Q1403" s="110">
        <v>114.8</v>
      </c>
      <c r="R1403">
        <v>47367334</v>
      </c>
    </row>
    <row r="1404" spans="1:18" x14ac:dyDescent="0.25">
      <c r="A1404" s="133">
        <v>44074</v>
      </c>
      <c r="B1404" s="110">
        <v>23.86</v>
      </c>
      <c r="C1404" s="110">
        <v>21.53</v>
      </c>
      <c r="D1404" s="110">
        <v>21.26</v>
      </c>
      <c r="E1404" s="110">
        <v>23.56</v>
      </c>
      <c r="F1404" s="110">
        <v>107.65</v>
      </c>
      <c r="G1404">
        <v>1857367</v>
      </c>
      <c r="H1404" s="110"/>
      <c r="I1404" s="110"/>
      <c r="L1404" s="133">
        <v>44074</v>
      </c>
      <c r="M1404" s="110">
        <v>21.5</v>
      </c>
      <c r="N1404" s="110">
        <v>23.89</v>
      </c>
      <c r="O1404" s="110">
        <v>21.26</v>
      </c>
      <c r="P1404" s="110">
        <v>23.52</v>
      </c>
      <c r="Q1404" s="110">
        <v>107.5</v>
      </c>
      <c r="R1404">
        <v>30377935</v>
      </c>
    </row>
    <row r="1405" spans="1:18" x14ac:dyDescent="0.25">
      <c r="A1405" s="133">
        <v>44075</v>
      </c>
      <c r="B1405" s="110">
        <v>22.18</v>
      </c>
      <c r="C1405" s="110">
        <v>21.45</v>
      </c>
      <c r="D1405" s="110">
        <v>20.72</v>
      </c>
      <c r="E1405" s="110">
        <v>21.5</v>
      </c>
      <c r="F1405" s="110">
        <v>107.25</v>
      </c>
      <c r="G1405">
        <v>615006</v>
      </c>
      <c r="H1405" s="110"/>
      <c r="I1405" s="110"/>
      <c r="L1405" s="133">
        <v>44075</v>
      </c>
      <c r="M1405" s="110">
        <v>21.35</v>
      </c>
      <c r="N1405" s="110">
        <v>22.19</v>
      </c>
      <c r="O1405" s="110">
        <v>20.72</v>
      </c>
      <c r="P1405" s="110">
        <v>21.6</v>
      </c>
      <c r="Q1405" s="110">
        <v>106.75</v>
      </c>
      <c r="R1405">
        <v>17424847</v>
      </c>
    </row>
    <row r="1406" spans="1:18" x14ac:dyDescent="0.25">
      <c r="A1406" s="133">
        <v>44076</v>
      </c>
      <c r="B1406" s="110">
        <v>21.7</v>
      </c>
      <c r="C1406" s="110">
        <v>21.54</v>
      </c>
      <c r="D1406" s="110">
        <v>20.87</v>
      </c>
      <c r="E1406" s="110">
        <v>21.7</v>
      </c>
      <c r="F1406" s="110">
        <v>107.7</v>
      </c>
      <c r="G1406">
        <v>762455</v>
      </c>
      <c r="H1406" s="110"/>
      <c r="I1406" s="110"/>
      <c r="L1406" s="133">
        <v>44076</v>
      </c>
      <c r="M1406" s="110">
        <v>21.55</v>
      </c>
      <c r="N1406" s="110">
        <v>21.69</v>
      </c>
      <c r="O1406" s="110">
        <v>20.86</v>
      </c>
      <c r="P1406" s="110">
        <v>21.61</v>
      </c>
      <c r="Q1406" s="110">
        <v>107.75</v>
      </c>
      <c r="R1406">
        <v>13083576</v>
      </c>
    </row>
    <row r="1407" spans="1:18" x14ac:dyDescent="0.25">
      <c r="A1407" s="133">
        <v>44077</v>
      </c>
      <c r="B1407" s="110">
        <v>21.81</v>
      </c>
      <c r="C1407" s="110">
        <v>21.24</v>
      </c>
      <c r="D1407" s="110">
        <v>21.1</v>
      </c>
      <c r="E1407" s="110">
        <v>21.8</v>
      </c>
      <c r="F1407" s="110">
        <v>106.2</v>
      </c>
      <c r="G1407">
        <v>227263</v>
      </c>
      <c r="H1407" s="110"/>
      <c r="I1407" s="110"/>
      <c r="L1407" s="133">
        <v>44077</v>
      </c>
      <c r="M1407" s="110">
        <v>21.26</v>
      </c>
      <c r="N1407" s="110">
        <v>21.81</v>
      </c>
      <c r="O1407" s="110">
        <v>21.1</v>
      </c>
      <c r="P1407" s="110">
        <v>21.65</v>
      </c>
      <c r="Q1407" s="110">
        <v>106.3</v>
      </c>
      <c r="R1407">
        <v>10380040</v>
      </c>
    </row>
    <row r="1408" spans="1:18" x14ac:dyDescent="0.25">
      <c r="A1408" s="133">
        <v>44078</v>
      </c>
      <c r="B1408" s="110">
        <v>20.99</v>
      </c>
      <c r="C1408" s="110">
        <v>20.65</v>
      </c>
      <c r="D1408" s="110">
        <v>20.46</v>
      </c>
      <c r="E1408" s="110">
        <v>20.99</v>
      </c>
      <c r="F1408" s="110">
        <v>103.25</v>
      </c>
      <c r="G1408">
        <v>556774</v>
      </c>
      <c r="H1408" s="110"/>
      <c r="I1408" s="110"/>
      <c r="L1408" s="133">
        <v>44078</v>
      </c>
      <c r="M1408" s="110">
        <v>20.65</v>
      </c>
      <c r="N1408" s="110">
        <v>20.99</v>
      </c>
      <c r="O1408" s="110">
        <v>20.440000000000001</v>
      </c>
      <c r="P1408" s="110">
        <v>20.78</v>
      </c>
      <c r="Q1408" s="110">
        <v>103.25</v>
      </c>
      <c r="R1408">
        <v>8919713</v>
      </c>
    </row>
    <row r="1409" spans="1:18" x14ac:dyDescent="0.25">
      <c r="A1409" s="133">
        <v>44081</v>
      </c>
      <c r="B1409" s="110">
        <v>20.7</v>
      </c>
      <c r="C1409" s="110">
        <v>20.38</v>
      </c>
      <c r="D1409" s="110">
        <v>20.29</v>
      </c>
      <c r="E1409" s="110">
        <v>20.6</v>
      </c>
      <c r="F1409" s="110">
        <v>101.9</v>
      </c>
      <c r="G1409">
        <v>377647</v>
      </c>
      <c r="H1409" s="110"/>
      <c r="I1409" s="110"/>
      <c r="L1409" s="133">
        <v>44081</v>
      </c>
      <c r="M1409" s="110">
        <v>20.38</v>
      </c>
      <c r="N1409" s="110">
        <v>20.72</v>
      </c>
      <c r="O1409" s="110">
        <v>20.3</v>
      </c>
      <c r="P1409" s="110">
        <v>20.55</v>
      </c>
      <c r="Q1409" s="110">
        <v>101.9</v>
      </c>
      <c r="R1409">
        <v>5109018</v>
      </c>
    </row>
    <row r="1410" spans="1:18" x14ac:dyDescent="0.25">
      <c r="A1410" s="133">
        <v>44082</v>
      </c>
      <c r="B1410" s="110">
        <v>20.49</v>
      </c>
      <c r="C1410" s="110">
        <v>19.96</v>
      </c>
      <c r="D1410" s="110">
        <v>19.91</v>
      </c>
      <c r="E1410" s="110">
        <v>20.399999999999999</v>
      </c>
      <c r="F1410" s="110">
        <v>99.8</v>
      </c>
      <c r="G1410">
        <v>415210</v>
      </c>
      <c r="H1410" s="110"/>
      <c r="I1410" s="110"/>
      <c r="L1410" s="133">
        <v>44082</v>
      </c>
      <c r="M1410" s="110">
        <v>19.97</v>
      </c>
      <c r="N1410" s="110">
        <v>20.48</v>
      </c>
      <c r="O1410" s="110">
        <v>19.899999999999999</v>
      </c>
      <c r="P1410" s="110">
        <v>20.38</v>
      </c>
      <c r="Q1410" s="110">
        <v>99.85</v>
      </c>
      <c r="R1410">
        <v>5247469</v>
      </c>
    </row>
    <row r="1411" spans="1:18" x14ac:dyDescent="0.25">
      <c r="A1411" s="133">
        <v>44083</v>
      </c>
      <c r="B1411" s="110">
        <v>20</v>
      </c>
      <c r="C1411" s="110">
        <v>19.510000000000002</v>
      </c>
      <c r="D1411" s="110">
        <v>19.14</v>
      </c>
      <c r="E1411" s="110">
        <v>20</v>
      </c>
      <c r="F1411" s="110">
        <v>97.55</v>
      </c>
      <c r="G1411">
        <v>436495</v>
      </c>
      <c r="H1411" s="110"/>
      <c r="I1411" s="110"/>
      <c r="L1411" s="133">
        <v>44083</v>
      </c>
      <c r="M1411" s="110">
        <v>19.53</v>
      </c>
      <c r="N1411" s="110">
        <v>19.89</v>
      </c>
      <c r="O1411" s="110">
        <v>19.14</v>
      </c>
      <c r="P1411" s="110">
        <v>19.89</v>
      </c>
      <c r="Q1411" s="110">
        <v>97.65</v>
      </c>
      <c r="R1411">
        <v>6601391</v>
      </c>
    </row>
    <row r="1412" spans="1:18" x14ac:dyDescent="0.25">
      <c r="A1412" s="133">
        <v>44084</v>
      </c>
      <c r="B1412" s="110">
        <v>20.18</v>
      </c>
      <c r="C1412" s="110">
        <v>20.059999999999999</v>
      </c>
      <c r="D1412" s="110">
        <v>19.649999999999999</v>
      </c>
      <c r="E1412" s="110">
        <v>19.739999999999998</v>
      </c>
      <c r="F1412" s="110">
        <v>100.3</v>
      </c>
      <c r="G1412">
        <v>496292</v>
      </c>
      <c r="H1412" s="110"/>
      <c r="I1412" s="110"/>
      <c r="L1412" s="133">
        <v>44084</v>
      </c>
      <c r="M1412" s="110">
        <v>20.07</v>
      </c>
      <c r="N1412" s="110">
        <v>20.18</v>
      </c>
      <c r="O1412" s="110">
        <v>19.63</v>
      </c>
      <c r="P1412" s="110">
        <v>19.73</v>
      </c>
      <c r="Q1412" s="110">
        <v>100.35</v>
      </c>
      <c r="R1412">
        <v>5811823</v>
      </c>
    </row>
    <row r="1413" spans="1:18" x14ac:dyDescent="0.25">
      <c r="A1413" s="133">
        <v>44085</v>
      </c>
      <c r="B1413" s="110">
        <v>20.52</v>
      </c>
      <c r="C1413" s="110">
        <v>20.170000000000002</v>
      </c>
      <c r="D1413" s="110">
        <v>19.670000000000002</v>
      </c>
      <c r="E1413" s="110">
        <v>20.46</v>
      </c>
      <c r="F1413" s="110">
        <v>100.85</v>
      </c>
      <c r="G1413">
        <v>281050</v>
      </c>
      <c r="H1413" s="110"/>
      <c r="I1413" s="110"/>
      <c r="L1413" s="133">
        <v>44085</v>
      </c>
      <c r="M1413" s="110">
        <v>20.170000000000002</v>
      </c>
      <c r="N1413" s="110">
        <v>20.55</v>
      </c>
      <c r="O1413" s="110">
        <v>19.66</v>
      </c>
      <c r="P1413" s="110">
        <v>20.12</v>
      </c>
      <c r="Q1413" s="110">
        <v>100.85</v>
      </c>
      <c r="R1413">
        <v>12301964</v>
      </c>
    </row>
    <row r="1414" spans="1:18" x14ac:dyDescent="0.25">
      <c r="A1414" s="133">
        <v>44088</v>
      </c>
      <c r="B1414" s="110">
        <v>20.54</v>
      </c>
      <c r="C1414" s="110">
        <v>20.079999999999998</v>
      </c>
      <c r="D1414" s="110">
        <v>19.97</v>
      </c>
      <c r="E1414" s="110">
        <v>20.54</v>
      </c>
      <c r="F1414" s="110">
        <v>100.4</v>
      </c>
      <c r="G1414">
        <v>515130</v>
      </c>
      <c r="H1414" s="110"/>
      <c r="I1414" s="110"/>
      <c r="L1414" s="133">
        <v>44088</v>
      </c>
      <c r="M1414" s="110">
        <v>20.079999999999998</v>
      </c>
      <c r="N1414" s="110">
        <v>20.58</v>
      </c>
      <c r="O1414" s="110">
        <v>19.97</v>
      </c>
      <c r="P1414" s="110">
        <v>20.399999999999999</v>
      </c>
      <c r="Q1414" s="110">
        <v>100.4</v>
      </c>
      <c r="R1414">
        <v>5404409</v>
      </c>
    </row>
    <row r="1415" spans="1:18" x14ac:dyDescent="0.25">
      <c r="A1415" s="133">
        <v>44089</v>
      </c>
      <c r="B1415" s="110">
        <v>20.399999999999999</v>
      </c>
      <c r="C1415" s="110">
        <v>20.12</v>
      </c>
      <c r="D1415" s="110">
        <v>19.940000000000001</v>
      </c>
      <c r="E1415" s="110">
        <v>20.399999999999999</v>
      </c>
      <c r="F1415" s="110">
        <v>100.6</v>
      </c>
      <c r="G1415">
        <v>198232</v>
      </c>
      <c r="H1415" s="110"/>
      <c r="I1415" s="110"/>
      <c r="L1415" s="133">
        <v>44089</v>
      </c>
      <c r="M1415" s="110">
        <v>20.11</v>
      </c>
      <c r="N1415" s="110">
        <v>20.3</v>
      </c>
      <c r="O1415" s="110">
        <v>19.95</v>
      </c>
      <c r="P1415" s="110">
        <v>20.190000000000001</v>
      </c>
      <c r="Q1415" s="110">
        <v>100.55</v>
      </c>
      <c r="R1415">
        <v>4499994</v>
      </c>
    </row>
    <row r="1416" spans="1:18" x14ac:dyDescent="0.25">
      <c r="A1416" s="133">
        <v>44090</v>
      </c>
      <c r="B1416" s="110">
        <v>20.22</v>
      </c>
      <c r="C1416" s="110">
        <v>20.059999999999999</v>
      </c>
      <c r="D1416" s="110">
        <v>19.97</v>
      </c>
      <c r="E1416" s="110">
        <v>20.14</v>
      </c>
      <c r="F1416" s="110">
        <v>100.3</v>
      </c>
      <c r="G1416">
        <v>202125</v>
      </c>
      <c r="H1416" s="110"/>
      <c r="I1416" s="110"/>
      <c r="L1416" s="133">
        <v>44090</v>
      </c>
      <c r="M1416" s="110">
        <v>20.05</v>
      </c>
      <c r="N1416" s="110">
        <v>20.239999999999998</v>
      </c>
      <c r="O1416" s="110">
        <v>19.96</v>
      </c>
      <c r="P1416" s="110">
        <v>20.190000000000001</v>
      </c>
      <c r="Q1416" s="110">
        <v>100.25</v>
      </c>
      <c r="R1416">
        <v>3208112</v>
      </c>
    </row>
    <row r="1417" spans="1:18" x14ac:dyDescent="0.25">
      <c r="A1417" s="133">
        <v>44091</v>
      </c>
      <c r="B1417" s="110">
        <v>20.05</v>
      </c>
      <c r="C1417" s="110">
        <v>19.91</v>
      </c>
      <c r="D1417" s="110">
        <v>19.829999999999998</v>
      </c>
      <c r="E1417" s="110">
        <v>20</v>
      </c>
      <c r="F1417" s="110">
        <v>99.55</v>
      </c>
      <c r="G1417">
        <v>217867</v>
      </c>
      <c r="H1417" s="110"/>
      <c r="I1417" s="110"/>
      <c r="L1417" s="133">
        <v>44091</v>
      </c>
      <c r="M1417" s="110">
        <v>19.920000000000002</v>
      </c>
      <c r="N1417" s="110">
        <v>20.059999999999999</v>
      </c>
      <c r="O1417" s="110">
        <v>19.829999999999998</v>
      </c>
      <c r="P1417" s="110">
        <v>19.89</v>
      </c>
      <c r="Q1417" s="110">
        <v>99.6</v>
      </c>
      <c r="R1417">
        <v>1982162</v>
      </c>
    </row>
    <row r="1418" spans="1:18" x14ac:dyDescent="0.25">
      <c r="A1418" s="133">
        <v>44092</v>
      </c>
      <c r="B1418" s="110">
        <v>20.07</v>
      </c>
      <c r="C1418" s="110">
        <v>19.72</v>
      </c>
      <c r="D1418" s="110">
        <v>19.649999999999999</v>
      </c>
      <c r="E1418" s="110">
        <v>20</v>
      </c>
      <c r="F1418" s="110">
        <v>98.6</v>
      </c>
      <c r="G1418">
        <v>170388</v>
      </c>
      <c r="H1418" s="110"/>
      <c r="I1418" s="110"/>
      <c r="L1418" s="133">
        <v>44092</v>
      </c>
      <c r="M1418" s="110">
        <v>19.739999999999998</v>
      </c>
      <c r="N1418" s="110">
        <v>20.100000000000001</v>
      </c>
      <c r="O1418" s="110">
        <v>19.649999999999999</v>
      </c>
      <c r="P1418" s="110">
        <v>20</v>
      </c>
      <c r="Q1418" s="110">
        <v>98.7</v>
      </c>
      <c r="R1418">
        <v>3681449</v>
      </c>
    </row>
    <row r="1419" spans="1:18" x14ac:dyDescent="0.25">
      <c r="A1419" s="133">
        <v>44095</v>
      </c>
      <c r="B1419" s="110">
        <v>19.79</v>
      </c>
      <c r="C1419" s="110">
        <v>19.12</v>
      </c>
      <c r="D1419" s="110">
        <v>19.010000000000002</v>
      </c>
      <c r="E1419" s="110">
        <v>19.72</v>
      </c>
      <c r="F1419" s="110">
        <v>95.6</v>
      </c>
      <c r="G1419">
        <v>297517</v>
      </c>
      <c r="H1419" s="110"/>
      <c r="I1419" s="110"/>
      <c r="L1419" s="133">
        <v>44095</v>
      </c>
      <c r="M1419" s="110">
        <v>19.13</v>
      </c>
      <c r="N1419" s="110">
        <v>19.79</v>
      </c>
      <c r="O1419" s="110">
        <v>19</v>
      </c>
      <c r="P1419" s="110">
        <v>19.71</v>
      </c>
      <c r="Q1419" s="110">
        <v>95.65</v>
      </c>
      <c r="R1419">
        <v>5001426</v>
      </c>
    </row>
    <row r="1420" spans="1:18" x14ac:dyDescent="0.25">
      <c r="A1420" s="133">
        <v>44096</v>
      </c>
      <c r="B1420" s="110">
        <v>19.100000000000001</v>
      </c>
      <c r="C1420" s="110">
        <v>17.899999999999999</v>
      </c>
      <c r="D1420" s="110">
        <v>17.600000000000001</v>
      </c>
      <c r="E1420" s="110">
        <v>19.100000000000001</v>
      </c>
      <c r="F1420" s="110">
        <v>89.5</v>
      </c>
      <c r="G1420">
        <v>743406</v>
      </c>
      <c r="H1420" s="110"/>
      <c r="I1420" s="110"/>
      <c r="L1420" s="133">
        <v>44096</v>
      </c>
      <c r="M1420" s="110">
        <v>17.899999999999999</v>
      </c>
      <c r="N1420" s="110">
        <v>19.07</v>
      </c>
      <c r="O1420" s="110">
        <v>17.600000000000001</v>
      </c>
      <c r="P1420" s="110">
        <v>19.07</v>
      </c>
      <c r="Q1420" s="110">
        <v>89.5</v>
      </c>
      <c r="R1420">
        <v>16215961</v>
      </c>
    </row>
    <row r="1421" spans="1:18" x14ac:dyDescent="0.25">
      <c r="A1421" s="133">
        <v>44097</v>
      </c>
      <c r="B1421" s="110">
        <v>18.34</v>
      </c>
      <c r="C1421" s="110">
        <v>17.63</v>
      </c>
      <c r="D1421" s="110">
        <v>17.260000000000002</v>
      </c>
      <c r="E1421" s="110">
        <v>17.91</v>
      </c>
      <c r="F1421" s="110">
        <v>88.15</v>
      </c>
      <c r="G1421">
        <v>854504</v>
      </c>
      <c r="H1421" s="110"/>
      <c r="I1421" s="110"/>
      <c r="L1421" s="133">
        <v>44097</v>
      </c>
      <c r="M1421" s="110">
        <v>17.63</v>
      </c>
      <c r="N1421" s="110">
        <v>18.34</v>
      </c>
      <c r="O1421" s="110">
        <v>17.260000000000002</v>
      </c>
      <c r="P1421" s="110">
        <v>18.18</v>
      </c>
      <c r="Q1421" s="110">
        <v>88.15</v>
      </c>
      <c r="R1421">
        <v>11528205</v>
      </c>
    </row>
    <row r="1422" spans="1:18" x14ac:dyDescent="0.25">
      <c r="A1422" s="133">
        <v>44098</v>
      </c>
      <c r="B1422" s="110">
        <v>17.32</v>
      </c>
      <c r="C1422" s="110">
        <v>16.649999999999999</v>
      </c>
      <c r="D1422" s="110">
        <v>16.510000000000002</v>
      </c>
      <c r="E1422" s="110">
        <v>17.260000000000002</v>
      </c>
      <c r="F1422" s="110">
        <v>83.25</v>
      </c>
      <c r="G1422">
        <v>705113</v>
      </c>
      <c r="H1422" s="110"/>
      <c r="I1422" s="110"/>
      <c r="L1422" s="133">
        <v>44098</v>
      </c>
      <c r="M1422" s="110">
        <v>16.66</v>
      </c>
      <c r="N1422" s="110">
        <v>17.34</v>
      </c>
      <c r="O1422" s="110">
        <v>16.5</v>
      </c>
      <c r="P1422" s="110">
        <v>17.2</v>
      </c>
      <c r="Q1422" s="110">
        <v>83.3</v>
      </c>
      <c r="R1422">
        <v>9739947</v>
      </c>
    </row>
    <row r="1423" spans="1:18" x14ac:dyDescent="0.25">
      <c r="A1423" s="133">
        <v>44099</v>
      </c>
      <c r="B1423" s="110">
        <v>17.5</v>
      </c>
      <c r="C1423" s="110">
        <v>17.440000000000001</v>
      </c>
      <c r="D1423" s="110">
        <v>16.45</v>
      </c>
      <c r="E1423" s="110">
        <v>16.8</v>
      </c>
      <c r="F1423" s="110">
        <v>87.2</v>
      </c>
      <c r="G1423">
        <v>305723</v>
      </c>
      <c r="H1423" s="110"/>
      <c r="I1423" s="110"/>
      <c r="L1423" s="133">
        <v>44099</v>
      </c>
      <c r="M1423" s="110">
        <v>17.420000000000002</v>
      </c>
      <c r="N1423" s="110">
        <v>17.5</v>
      </c>
      <c r="O1423" s="110">
        <v>16.45</v>
      </c>
      <c r="P1423" s="110">
        <v>16.850000000000001</v>
      </c>
      <c r="Q1423" s="110">
        <v>87.1</v>
      </c>
      <c r="R1423">
        <v>8742494</v>
      </c>
    </row>
    <row r="1424" spans="1:18" x14ac:dyDescent="0.25">
      <c r="A1424" s="133">
        <v>44102</v>
      </c>
      <c r="B1424" s="110">
        <v>18.32</v>
      </c>
      <c r="C1424" s="110">
        <v>18.21</v>
      </c>
      <c r="D1424" s="110">
        <v>17.559999999999999</v>
      </c>
      <c r="E1424" s="110">
        <v>17.61</v>
      </c>
      <c r="F1424" s="110">
        <v>91.05</v>
      </c>
      <c r="G1424">
        <v>529646</v>
      </c>
      <c r="H1424" s="110"/>
      <c r="I1424" s="110"/>
      <c r="L1424" s="133">
        <v>44102</v>
      </c>
      <c r="M1424" s="110">
        <v>18.2</v>
      </c>
      <c r="N1424" s="110">
        <v>18.32</v>
      </c>
      <c r="O1424" s="110">
        <v>17.559999999999999</v>
      </c>
      <c r="P1424" s="110">
        <v>17.7</v>
      </c>
      <c r="Q1424" s="110">
        <v>91</v>
      </c>
      <c r="R1424">
        <v>7228221</v>
      </c>
    </row>
    <row r="1425" spans="1:18" x14ac:dyDescent="0.25">
      <c r="A1425" s="133">
        <v>44103</v>
      </c>
      <c r="B1425" s="110">
        <v>18.39</v>
      </c>
      <c r="C1425" s="110">
        <v>17.89</v>
      </c>
      <c r="D1425" s="110">
        <v>17.510000000000002</v>
      </c>
      <c r="E1425" s="110">
        <v>18.39</v>
      </c>
      <c r="F1425" s="110">
        <v>89.45</v>
      </c>
      <c r="G1425">
        <v>483893</v>
      </c>
      <c r="H1425" s="110"/>
      <c r="I1425" s="110"/>
      <c r="L1425" s="133">
        <v>44103</v>
      </c>
      <c r="M1425" s="110">
        <v>17.88</v>
      </c>
      <c r="N1425" s="110">
        <v>18.350000000000001</v>
      </c>
      <c r="O1425" s="110">
        <v>17.510000000000002</v>
      </c>
      <c r="P1425" s="110">
        <v>18.34</v>
      </c>
      <c r="Q1425" s="110">
        <v>89.4</v>
      </c>
      <c r="R1425">
        <v>7181574</v>
      </c>
    </row>
    <row r="1426" spans="1:18" x14ac:dyDescent="0.25">
      <c r="A1426" s="133">
        <v>44104</v>
      </c>
      <c r="B1426" s="110">
        <v>18</v>
      </c>
      <c r="C1426" s="110">
        <v>17.78</v>
      </c>
      <c r="D1426" s="110">
        <v>17.55</v>
      </c>
      <c r="E1426" s="110">
        <v>18</v>
      </c>
      <c r="F1426" s="110">
        <v>88.9</v>
      </c>
      <c r="G1426">
        <v>305704</v>
      </c>
      <c r="H1426" s="110"/>
      <c r="I1426" s="110"/>
      <c r="L1426" s="133">
        <v>44104</v>
      </c>
      <c r="M1426" s="110">
        <v>17.77</v>
      </c>
      <c r="N1426" s="110">
        <v>17.93</v>
      </c>
      <c r="O1426" s="110">
        <v>17.54</v>
      </c>
      <c r="P1426" s="110">
        <v>17.86</v>
      </c>
      <c r="Q1426" s="110">
        <v>88.85</v>
      </c>
      <c r="R1426">
        <v>5137762</v>
      </c>
    </row>
    <row r="1427" spans="1:18" x14ac:dyDescent="0.25">
      <c r="A1427" s="133">
        <v>44105</v>
      </c>
      <c r="B1427" s="110">
        <v>18.399999999999999</v>
      </c>
      <c r="C1427" s="110">
        <v>17.93</v>
      </c>
      <c r="D1427" s="110">
        <v>17.829999999999998</v>
      </c>
      <c r="E1427" s="110">
        <v>17.95</v>
      </c>
      <c r="F1427" s="110">
        <v>89.65</v>
      </c>
      <c r="G1427">
        <v>467246</v>
      </c>
      <c r="H1427" s="110"/>
      <c r="I1427" s="110"/>
      <c r="L1427" s="133">
        <v>44105</v>
      </c>
      <c r="M1427" s="110">
        <v>17.940000000000001</v>
      </c>
      <c r="N1427" s="110">
        <v>18.41</v>
      </c>
      <c r="O1427" s="110">
        <v>17.8</v>
      </c>
      <c r="P1427" s="110">
        <v>17.8</v>
      </c>
      <c r="Q1427" s="110">
        <v>89.7</v>
      </c>
      <c r="R1427">
        <v>6871468</v>
      </c>
    </row>
    <row r="1428" spans="1:18" x14ac:dyDescent="0.25">
      <c r="A1428" s="133">
        <v>44109</v>
      </c>
      <c r="B1428" s="110">
        <v>18.66</v>
      </c>
      <c r="C1428" s="110">
        <v>18.05</v>
      </c>
      <c r="D1428" s="110">
        <v>17.899999999999999</v>
      </c>
      <c r="E1428" s="110">
        <v>17.940000000000001</v>
      </c>
      <c r="F1428" s="110">
        <v>90.25</v>
      </c>
      <c r="G1428">
        <v>311451</v>
      </c>
      <c r="H1428" s="110"/>
      <c r="I1428" s="110"/>
      <c r="L1428" s="133">
        <v>44109</v>
      </c>
      <c r="M1428" s="110">
        <v>18.05</v>
      </c>
      <c r="N1428" s="110">
        <v>18.66</v>
      </c>
      <c r="O1428" s="110">
        <v>17.8</v>
      </c>
      <c r="P1428" s="110">
        <v>17.8</v>
      </c>
      <c r="Q1428" s="110">
        <v>90.25</v>
      </c>
      <c r="R1428">
        <v>11648857</v>
      </c>
    </row>
    <row r="1429" spans="1:18" x14ac:dyDescent="0.25">
      <c r="A1429" s="133">
        <v>44110</v>
      </c>
      <c r="B1429" s="110">
        <v>18.350000000000001</v>
      </c>
      <c r="C1429" s="110">
        <v>18.27</v>
      </c>
      <c r="D1429" s="110">
        <v>17.96</v>
      </c>
      <c r="E1429" s="110">
        <v>18.2</v>
      </c>
      <c r="F1429" s="110">
        <v>91.35</v>
      </c>
      <c r="G1429">
        <v>308800</v>
      </c>
      <c r="H1429" s="110"/>
      <c r="I1429" s="110"/>
      <c r="L1429" s="133">
        <v>44110</v>
      </c>
      <c r="M1429" s="110">
        <v>18.27</v>
      </c>
      <c r="N1429" s="110">
        <v>18.39</v>
      </c>
      <c r="O1429" s="110">
        <v>17.95</v>
      </c>
      <c r="P1429" s="110">
        <v>18.260000000000002</v>
      </c>
      <c r="Q1429" s="110">
        <v>91.35</v>
      </c>
      <c r="R1429">
        <v>4816137</v>
      </c>
    </row>
    <row r="1430" spans="1:18" x14ac:dyDescent="0.25">
      <c r="A1430" s="133">
        <v>44111</v>
      </c>
      <c r="B1430" s="110">
        <v>18.36</v>
      </c>
      <c r="C1430" s="110">
        <v>17.88</v>
      </c>
      <c r="D1430" s="110">
        <v>17.809999999999999</v>
      </c>
      <c r="E1430" s="110">
        <v>18</v>
      </c>
      <c r="F1430" s="110">
        <v>89.4</v>
      </c>
      <c r="G1430">
        <v>333629</v>
      </c>
      <c r="H1430" s="110"/>
      <c r="I1430" s="110"/>
      <c r="L1430" s="133">
        <v>44111</v>
      </c>
      <c r="M1430" s="110">
        <v>17.89</v>
      </c>
      <c r="N1430" s="110">
        <v>18.37</v>
      </c>
      <c r="O1430" s="110">
        <v>17.8</v>
      </c>
      <c r="P1430" s="110">
        <v>18.09</v>
      </c>
      <c r="Q1430" s="110">
        <v>89.45</v>
      </c>
      <c r="R1430">
        <v>7257700</v>
      </c>
    </row>
    <row r="1431" spans="1:18" x14ac:dyDescent="0.25">
      <c r="A1431" s="133">
        <v>44112</v>
      </c>
      <c r="B1431" s="110">
        <v>18.440000000000001</v>
      </c>
      <c r="C1431" s="110">
        <v>17.920000000000002</v>
      </c>
      <c r="D1431" s="110">
        <v>17.77</v>
      </c>
      <c r="E1431" s="110">
        <v>17.989999999999998</v>
      </c>
      <c r="F1431" s="110">
        <v>89.6</v>
      </c>
      <c r="G1431">
        <v>289442</v>
      </c>
      <c r="H1431" s="110"/>
      <c r="I1431" s="110"/>
      <c r="L1431" s="133">
        <v>44112</v>
      </c>
      <c r="M1431" s="110">
        <v>17.93</v>
      </c>
      <c r="N1431" s="110">
        <v>18.440000000000001</v>
      </c>
      <c r="O1431" s="110">
        <v>17.760000000000002</v>
      </c>
      <c r="P1431" s="110">
        <v>18.07</v>
      </c>
      <c r="Q1431" s="110">
        <v>89.65</v>
      </c>
      <c r="R1431">
        <v>9325450</v>
      </c>
    </row>
    <row r="1432" spans="1:18" x14ac:dyDescent="0.25">
      <c r="A1432" s="133">
        <v>44113</v>
      </c>
      <c r="B1432" s="110">
        <v>18.75</v>
      </c>
      <c r="C1432" s="110">
        <v>18.489999999999998</v>
      </c>
      <c r="D1432" s="110">
        <v>17.760000000000002</v>
      </c>
      <c r="E1432" s="110">
        <v>18.18</v>
      </c>
      <c r="F1432" s="110">
        <v>92.45</v>
      </c>
      <c r="G1432">
        <v>475151</v>
      </c>
      <c r="H1432" s="110"/>
      <c r="I1432" s="110"/>
      <c r="L1432" s="133">
        <v>44113</v>
      </c>
      <c r="M1432" s="110">
        <v>18.47</v>
      </c>
      <c r="N1432" s="110">
        <v>18.75</v>
      </c>
      <c r="O1432" s="110">
        <v>17.75</v>
      </c>
      <c r="P1432" s="110">
        <v>17.98</v>
      </c>
      <c r="Q1432" s="110">
        <v>92.35</v>
      </c>
      <c r="R1432">
        <v>14895526</v>
      </c>
    </row>
    <row r="1433" spans="1:18" x14ac:dyDescent="0.25">
      <c r="A1433" s="133">
        <v>44116</v>
      </c>
      <c r="B1433" s="110">
        <v>19</v>
      </c>
      <c r="C1433" s="110">
        <v>17.98</v>
      </c>
      <c r="D1433" s="110">
        <v>17.850000000000001</v>
      </c>
      <c r="E1433" s="110">
        <v>18.510000000000002</v>
      </c>
      <c r="F1433" s="110">
        <v>89.9</v>
      </c>
      <c r="G1433">
        <v>887326</v>
      </c>
      <c r="H1433" s="110"/>
      <c r="I1433" s="110"/>
      <c r="L1433" s="133">
        <v>44116</v>
      </c>
      <c r="M1433" s="110">
        <v>18.010000000000002</v>
      </c>
      <c r="N1433" s="110">
        <v>19.02</v>
      </c>
      <c r="O1433" s="110">
        <v>17.86</v>
      </c>
      <c r="P1433" s="110">
        <v>18.55</v>
      </c>
      <c r="Q1433" s="110">
        <v>90.05</v>
      </c>
      <c r="R1433">
        <v>13240878</v>
      </c>
    </row>
    <row r="1434" spans="1:18" x14ac:dyDescent="0.25">
      <c r="A1434" s="133">
        <v>44117</v>
      </c>
      <c r="B1434" s="110">
        <v>18.149999999999999</v>
      </c>
      <c r="C1434" s="110">
        <v>17.899999999999999</v>
      </c>
      <c r="D1434" s="110">
        <v>17.8</v>
      </c>
      <c r="E1434" s="110">
        <v>18.03</v>
      </c>
      <c r="F1434" s="110">
        <v>89.5</v>
      </c>
      <c r="G1434">
        <v>318684</v>
      </c>
      <c r="H1434" s="110"/>
      <c r="I1434" s="110"/>
      <c r="L1434" s="133">
        <v>44117</v>
      </c>
      <c r="M1434" s="110">
        <v>17.88</v>
      </c>
      <c r="N1434" s="110">
        <v>18.149999999999999</v>
      </c>
      <c r="O1434" s="110">
        <v>17.8</v>
      </c>
      <c r="P1434" s="110">
        <v>17.96</v>
      </c>
      <c r="Q1434" s="110">
        <v>89.4</v>
      </c>
      <c r="R1434">
        <v>4494014</v>
      </c>
    </row>
    <row r="1435" spans="1:18" x14ac:dyDescent="0.25">
      <c r="A1435" s="133">
        <v>44118</v>
      </c>
      <c r="B1435" s="110">
        <v>17.91</v>
      </c>
      <c r="C1435" s="110">
        <v>17.71</v>
      </c>
      <c r="D1435" s="110">
        <v>17.54</v>
      </c>
      <c r="E1435" s="110">
        <v>17.87</v>
      </c>
      <c r="F1435" s="110">
        <v>88.55</v>
      </c>
      <c r="G1435">
        <v>445091</v>
      </c>
      <c r="H1435" s="110"/>
      <c r="I1435" s="110"/>
      <c r="L1435" s="133">
        <v>44118</v>
      </c>
      <c r="M1435" s="110">
        <v>17.71</v>
      </c>
      <c r="N1435" s="110">
        <v>17.920000000000002</v>
      </c>
      <c r="O1435" s="110">
        <v>17.54</v>
      </c>
      <c r="P1435" s="110">
        <v>17.809999999999999</v>
      </c>
      <c r="Q1435" s="110">
        <v>88.55</v>
      </c>
      <c r="R1435">
        <v>5573157</v>
      </c>
    </row>
    <row r="1436" spans="1:18" x14ac:dyDescent="0.25">
      <c r="A1436" s="133">
        <v>44119</v>
      </c>
      <c r="B1436" s="110">
        <v>18.02</v>
      </c>
      <c r="C1436" s="110">
        <v>17.54</v>
      </c>
      <c r="D1436" s="110">
        <v>17.47</v>
      </c>
      <c r="E1436" s="110">
        <v>17.72</v>
      </c>
      <c r="F1436" s="110">
        <v>87.7</v>
      </c>
      <c r="G1436">
        <v>576106</v>
      </c>
      <c r="H1436" s="110"/>
      <c r="I1436" s="110"/>
      <c r="L1436" s="133">
        <v>44119</v>
      </c>
      <c r="M1436" s="110">
        <v>17.54</v>
      </c>
      <c r="N1436" s="110">
        <v>18.03</v>
      </c>
      <c r="O1436" s="110">
        <v>17.48</v>
      </c>
      <c r="P1436" s="110">
        <v>17.78</v>
      </c>
      <c r="Q1436" s="110">
        <v>87.7</v>
      </c>
      <c r="R1436">
        <v>4785842</v>
      </c>
    </row>
    <row r="1437" spans="1:18" x14ac:dyDescent="0.25">
      <c r="A1437" s="133">
        <v>44120</v>
      </c>
      <c r="B1437" s="110">
        <v>17.760000000000002</v>
      </c>
      <c r="C1437" s="110">
        <v>17.57</v>
      </c>
      <c r="D1437" s="110">
        <v>17.399999999999999</v>
      </c>
      <c r="E1437" s="110">
        <v>17.59</v>
      </c>
      <c r="F1437" s="110">
        <v>87.85</v>
      </c>
      <c r="G1437">
        <v>318056</v>
      </c>
      <c r="H1437" s="110"/>
      <c r="I1437" s="110"/>
      <c r="L1437" s="133">
        <v>44120</v>
      </c>
      <c r="M1437" s="110">
        <v>17.57</v>
      </c>
      <c r="N1437" s="110">
        <v>17.739999999999998</v>
      </c>
      <c r="O1437" s="110">
        <v>17.41</v>
      </c>
      <c r="P1437" s="110">
        <v>17.62</v>
      </c>
      <c r="Q1437" s="110">
        <v>87.85</v>
      </c>
      <c r="R1437">
        <v>3338675</v>
      </c>
    </row>
    <row r="1438" spans="1:18" x14ac:dyDescent="0.25">
      <c r="A1438" s="133">
        <v>44123</v>
      </c>
      <c r="B1438" s="110">
        <v>18.11</v>
      </c>
      <c r="C1438" s="110">
        <v>17.89</v>
      </c>
      <c r="D1438" s="110">
        <v>17.600000000000001</v>
      </c>
      <c r="E1438" s="110">
        <v>17.600000000000001</v>
      </c>
      <c r="F1438" s="110">
        <v>89.45</v>
      </c>
      <c r="G1438">
        <v>490690</v>
      </c>
      <c r="H1438" s="110"/>
      <c r="I1438" s="110"/>
      <c r="L1438" s="133">
        <v>44123</v>
      </c>
      <c r="M1438" s="110">
        <v>17.88</v>
      </c>
      <c r="N1438" s="110">
        <v>18.12</v>
      </c>
      <c r="O1438" s="110">
        <v>17.66</v>
      </c>
      <c r="P1438" s="110">
        <v>17.670000000000002</v>
      </c>
      <c r="Q1438" s="110">
        <v>89.4</v>
      </c>
      <c r="R1438">
        <v>5523301</v>
      </c>
    </row>
    <row r="1439" spans="1:18" x14ac:dyDescent="0.25">
      <c r="A1439" s="133">
        <v>44124</v>
      </c>
      <c r="B1439" s="110">
        <v>17.850000000000001</v>
      </c>
      <c r="C1439" s="110">
        <v>17.75</v>
      </c>
      <c r="D1439" s="110">
        <v>17.649999999999999</v>
      </c>
      <c r="E1439" s="110">
        <v>17.75</v>
      </c>
      <c r="F1439" s="110">
        <v>88.75</v>
      </c>
      <c r="G1439">
        <v>174195</v>
      </c>
      <c r="H1439" s="110"/>
      <c r="I1439" s="110"/>
      <c r="L1439" s="133">
        <v>44124</v>
      </c>
      <c r="M1439" s="110">
        <v>17.75</v>
      </c>
      <c r="N1439" s="110">
        <v>17.86</v>
      </c>
      <c r="O1439" s="110">
        <v>17.61</v>
      </c>
      <c r="P1439" s="110">
        <v>17.61</v>
      </c>
      <c r="Q1439" s="110">
        <v>88.75</v>
      </c>
      <c r="R1439">
        <v>2859477</v>
      </c>
    </row>
    <row r="1440" spans="1:18" x14ac:dyDescent="0.25">
      <c r="A1440" s="133">
        <v>44125</v>
      </c>
      <c r="B1440" s="110">
        <v>18.100000000000001</v>
      </c>
      <c r="C1440" s="110">
        <v>17.760000000000002</v>
      </c>
      <c r="D1440" s="110">
        <v>17.54</v>
      </c>
      <c r="E1440" s="110">
        <v>17.8</v>
      </c>
      <c r="F1440" s="110">
        <v>88.8</v>
      </c>
      <c r="G1440">
        <v>336117</v>
      </c>
      <c r="H1440" s="110"/>
      <c r="I1440" s="110"/>
      <c r="L1440" s="133">
        <v>44125</v>
      </c>
      <c r="M1440" s="110">
        <v>17.760000000000002</v>
      </c>
      <c r="N1440" s="110">
        <v>18.12</v>
      </c>
      <c r="O1440" s="110">
        <v>17.54</v>
      </c>
      <c r="P1440" s="110">
        <v>17.940000000000001</v>
      </c>
      <c r="Q1440" s="110">
        <v>88.8</v>
      </c>
      <c r="R1440">
        <v>4284007</v>
      </c>
    </row>
    <row r="1441" spans="1:18" x14ac:dyDescent="0.25">
      <c r="A1441" s="133">
        <v>44126</v>
      </c>
      <c r="B1441" s="110">
        <v>17.760000000000002</v>
      </c>
      <c r="C1441" s="110">
        <v>17.649999999999999</v>
      </c>
      <c r="D1441" s="110">
        <v>17.62</v>
      </c>
      <c r="E1441" s="110">
        <v>17.7</v>
      </c>
      <c r="F1441" s="110">
        <v>88.25</v>
      </c>
      <c r="G1441">
        <v>173655</v>
      </c>
      <c r="H1441" s="110"/>
      <c r="I1441" s="110"/>
      <c r="L1441" s="133">
        <v>44126</v>
      </c>
      <c r="M1441" s="110">
        <v>17.66</v>
      </c>
      <c r="N1441" s="110">
        <v>17.77</v>
      </c>
      <c r="O1441" s="110">
        <v>17.600000000000001</v>
      </c>
      <c r="P1441" s="110">
        <v>17.72</v>
      </c>
      <c r="Q1441" s="110">
        <v>88.3</v>
      </c>
      <c r="R1441">
        <v>2401615</v>
      </c>
    </row>
    <row r="1442" spans="1:18" x14ac:dyDescent="0.25">
      <c r="A1442" s="133">
        <v>44127</v>
      </c>
      <c r="B1442" s="110">
        <v>17.97</v>
      </c>
      <c r="C1442" s="110">
        <v>17.91</v>
      </c>
      <c r="D1442" s="110">
        <v>17.66</v>
      </c>
      <c r="E1442" s="110">
        <v>17.77</v>
      </c>
      <c r="F1442" s="110">
        <v>89.55</v>
      </c>
      <c r="G1442">
        <v>81697</v>
      </c>
      <c r="H1442" s="110"/>
      <c r="I1442" s="110"/>
      <c r="L1442" s="133">
        <v>44127</v>
      </c>
      <c r="M1442" s="110">
        <v>17.91</v>
      </c>
      <c r="N1442" s="110">
        <v>17.98</v>
      </c>
      <c r="O1442" s="110">
        <v>17.649999999999999</v>
      </c>
      <c r="P1442" s="110">
        <v>17.72</v>
      </c>
      <c r="Q1442" s="110">
        <v>89.55</v>
      </c>
      <c r="R1442">
        <v>3162724</v>
      </c>
    </row>
    <row r="1443" spans="1:18" x14ac:dyDescent="0.25">
      <c r="A1443" s="133">
        <v>44130</v>
      </c>
      <c r="B1443" s="110">
        <v>18.100000000000001</v>
      </c>
      <c r="C1443" s="110">
        <v>17.93</v>
      </c>
      <c r="D1443" s="110">
        <v>17.82</v>
      </c>
      <c r="E1443" s="110">
        <v>17.899999999999999</v>
      </c>
      <c r="F1443" s="110">
        <v>89.65</v>
      </c>
      <c r="G1443">
        <v>557242</v>
      </c>
      <c r="H1443" s="110"/>
      <c r="I1443" s="110"/>
      <c r="L1443" s="133">
        <v>44130</v>
      </c>
      <c r="M1443" s="110">
        <v>17.940000000000001</v>
      </c>
      <c r="N1443" s="110">
        <v>18.100000000000001</v>
      </c>
      <c r="O1443" s="110">
        <v>17.8</v>
      </c>
      <c r="P1443" s="110">
        <v>17.91</v>
      </c>
      <c r="Q1443" s="110">
        <v>89.7</v>
      </c>
      <c r="R1443">
        <v>6383987</v>
      </c>
    </row>
    <row r="1444" spans="1:18" x14ac:dyDescent="0.25">
      <c r="A1444" s="133">
        <v>44131</v>
      </c>
      <c r="B1444" s="110">
        <v>17.989999999999998</v>
      </c>
      <c r="C1444" s="110">
        <v>17.63</v>
      </c>
      <c r="D1444" s="110">
        <v>17.45</v>
      </c>
      <c r="E1444" s="110">
        <v>17.989999999999998</v>
      </c>
      <c r="F1444" s="110">
        <v>88.15</v>
      </c>
      <c r="G1444">
        <v>160074</v>
      </c>
      <c r="H1444" s="110"/>
      <c r="I1444" s="110"/>
      <c r="L1444" s="133">
        <v>44131</v>
      </c>
      <c r="M1444" s="110">
        <v>17.63</v>
      </c>
      <c r="N1444" s="110">
        <v>17.96</v>
      </c>
      <c r="O1444" s="110">
        <v>17.440000000000001</v>
      </c>
      <c r="P1444" s="110">
        <v>17.940000000000001</v>
      </c>
      <c r="Q1444" s="110">
        <v>88.15</v>
      </c>
      <c r="R1444">
        <v>5920640</v>
      </c>
    </row>
    <row r="1445" spans="1:18" x14ac:dyDescent="0.25">
      <c r="A1445" s="133">
        <v>44132</v>
      </c>
      <c r="B1445" s="110">
        <v>17.72</v>
      </c>
      <c r="C1445" s="110">
        <v>17.41</v>
      </c>
      <c r="D1445" s="110">
        <v>17.29</v>
      </c>
      <c r="E1445" s="110">
        <v>17.52</v>
      </c>
      <c r="F1445" s="110">
        <v>87.05</v>
      </c>
      <c r="G1445">
        <v>310466</v>
      </c>
      <c r="H1445" s="110"/>
      <c r="I1445" s="110"/>
      <c r="L1445" s="133">
        <v>44132</v>
      </c>
      <c r="M1445" s="110">
        <v>17.399999999999999</v>
      </c>
      <c r="N1445" s="110">
        <v>17.68</v>
      </c>
      <c r="O1445" s="110">
        <v>17.29</v>
      </c>
      <c r="P1445" s="110">
        <v>17.63</v>
      </c>
      <c r="Q1445" s="110">
        <v>87</v>
      </c>
      <c r="R1445">
        <v>5015258</v>
      </c>
    </row>
    <row r="1446" spans="1:18" x14ac:dyDescent="0.25">
      <c r="A1446" s="133">
        <v>44133</v>
      </c>
      <c r="B1446" s="110">
        <v>17.43</v>
      </c>
      <c r="C1446" s="110">
        <v>17.12</v>
      </c>
      <c r="D1446" s="110">
        <v>16.88</v>
      </c>
      <c r="E1446" s="110">
        <v>17.2</v>
      </c>
      <c r="F1446" s="110">
        <v>85.6</v>
      </c>
      <c r="G1446">
        <v>345539</v>
      </c>
      <c r="H1446" s="110"/>
      <c r="I1446" s="110"/>
      <c r="L1446" s="133">
        <v>44133</v>
      </c>
      <c r="M1446" s="110">
        <v>17.14</v>
      </c>
      <c r="N1446" s="110">
        <v>17.45</v>
      </c>
      <c r="O1446" s="110">
        <v>16.87</v>
      </c>
      <c r="P1446" s="110">
        <v>17.399999999999999</v>
      </c>
      <c r="Q1446" s="110">
        <v>85.7</v>
      </c>
      <c r="R1446">
        <v>7870134</v>
      </c>
    </row>
    <row r="1447" spans="1:18" x14ac:dyDescent="0.25">
      <c r="A1447" s="133">
        <v>44134</v>
      </c>
      <c r="B1447" s="110">
        <v>17.579999999999998</v>
      </c>
      <c r="C1447" s="110">
        <v>17.239999999999998</v>
      </c>
      <c r="D1447" s="110">
        <v>16.98</v>
      </c>
      <c r="E1447" s="110">
        <v>17.489999999999998</v>
      </c>
      <c r="F1447" s="110">
        <v>86.2</v>
      </c>
      <c r="G1447">
        <v>416775</v>
      </c>
      <c r="H1447" s="110"/>
      <c r="I1447" s="110"/>
      <c r="L1447" s="133">
        <v>44134</v>
      </c>
      <c r="M1447" s="110">
        <v>17.239999999999998</v>
      </c>
      <c r="N1447" s="110">
        <v>17.600000000000001</v>
      </c>
      <c r="O1447" s="110">
        <v>16.97</v>
      </c>
      <c r="P1447" s="110">
        <v>17.48</v>
      </c>
      <c r="Q1447" s="110">
        <v>86.2</v>
      </c>
      <c r="R1447">
        <v>12655457</v>
      </c>
    </row>
    <row r="1448" spans="1:18" x14ac:dyDescent="0.25">
      <c r="A1448" s="133">
        <v>44137</v>
      </c>
      <c r="B1448" s="110">
        <v>17.739999999999998</v>
      </c>
      <c r="C1448" s="110">
        <v>17.47</v>
      </c>
      <c r="D1448" s="110">
        <v>17.25</v>
      </c>
      <c r="E1448" s="110">
        <v>17.399999999999999</v>
      </c>
      <c r="F1448" s="110">
        <v>87.35</v>
      </c>
      <c r="G1448">
        <v>625237</v>
      </c>
      <c r="H1448" s="110"/>
      <c r="I1448" s="110"/>
      <c r="L1448" s="133">
        <v>44137</v>
      </c>
      <c r="M1448" s="110">
        <v>17.47</v>
      </c>
      <c r="N1448" s="110">
        <v>17.739999999999998</v>
      </c>
      <c r="O1448" s="110">
        <v>17.25</v>
      </c>
      <c r="P1448" s="110">
        <v>17.399999999999999</v>
      </c>
      <c r="Q1448" s="110">
        <v>87.35</v>
      </c>
      <c r="R1448">
        <v>9251459</v>
      </c>
    </row>
    <row r="1449" spans="1:18" x14ac:dyDescent="0.25">
      <c r="A1449" s="133">
        <v>44138</v>
      </c>
      <c r="B1449" s="110">
        <v>17.850000000000001</v>
      </c>
      <c r="C1449" s="110">
        <v>17.72</v>
      </c>
      <c r="D1449" s="110">
        <v>17.46</v>
      </c>
      <c r="E1449" s="110">
        <v>17.54</v>
      </c>
      <c r="F1449" s="110">
        <v>88.6</v>
      </c>
      <c r="G1449">
        <v>482516</v>
      </c>
      <c r="H1449" s="110"/>
      <c r="I1449" s="110"/>
      <c r="L1449" s="133">
        <v>44138</v>
      </c>
      <c r="M1449" s="110">
        <v>17.72</v>
      </c>
      <c r="N1449" s="110">
        <v>17.86</v>
      </c>
      <c r="O1449" s="110">
        <v>17.440000000000001</v>
      </c>
      <c r="P1449" s="110">
        <v>17.600000000000001</v>
      </c>
      <c r="Q1449" s="110">
        <v>88.6</v>
      </c>
      <c r="R1449">
        <v>6112490</v>
      </c>
    </row>
    <row r="1450" spans="1:18" x14ac:dyDescent="0.25">
      <c r="A1450" s="133">
        <v>44139</v>
      </c>
      <c r="B1450" s="110">
        <v>17.98</v>
      </c>
      <c r="C1450" s="110">
        <v>17.88</v>
      </c>
      <c r="D1450" s="110">
        <v>17.38</v>
      </c>
      <c r="E1450" s="110">
        <v>17.72</v>
      </c>
      <c r="F1450" s="110">
        <v>89.4</v>
      </c>
      <c r="G1450">
        <v>444378</v>
      </c>
      <c r="H1450" s="110"/>
      <c r="I1450" s="110"/>
      <c r="L1450" s="133">
        <v>44139</v>
      </c>
      <c r="M1450" s="110">
        <v>17.88</v>
      </c>
      <c r="N1450" s="110">
        <v>18</v>
      </c>
      <c r="O1450" s="110">
        <v>17.36</v>
      </c>
      <c r="P1450" s="110">
        <v>17.75</v>
      </c>
      <c r="Q1450" s="110">
        <v>89.4</v>
      </c>
      <c r="R1450">
        <v>6359478</v>
      </c>
    </row>
    <row r="1451" spans="1:18" x14ac:dyDescent="0.25">
      <c r="A1451" s="133">
        <v>44140</v>
      </c>
      <c r="B1451" s="110">
        <v>18.53</v>
      </c>
      <c r="C1451" s="110">
        <v>18.29</v>
      </c>
      <c r="D1451" s="110">
        <v>17.920000000000002</v>
      </c>
      <c r="E1451" s="110">
        <v>17.93</v>
      </c>
      <c r="F1451" s="110">
        <v>91.45</v>
      </c>
      <c r="G1451">
        <v>832242</v>
      </c>
      <c r="H1451" s="110"/>
      <c r="I1451" s="110"/>
      <c r="L1451" s="133">
        <v>44140</v>
      </c>
      <c r="M1451" s="110">
        <v>18.3</v>
      </c>
      <c r="N1451" s="110">
        <v>18.57</v>
      </c>
      <c r="O1451" s="110">
        <v>17.93</v>
      </c>
      <c r="P1451" s="110">
        <v>18.04</v>
      </c>
      <c r="Q1451" s="110">
        <v>91.5</v>
      </c>
      <c r="R1451">
        <v>12038116</v>
      </c>
    </row>
    <row r="1452" spans="1:18" x14ac:dyDescent="0.25">
      <c r="A1452" s="133">
        <v>44141</v>
      </c>
      <c r="B1452" s="110">
        <v>18.7</v>
      </c>
      <c r="C1452" s="110">
        <v>18.43</v>
      </c>
      <c r="D1452" s="110">
        <v>18.239999999999998</v>
      </c>
      <c r="E1452" s="110">
        <v>18.239999999999998</v>
      </c>
      <c r="F1452" s="110">
        <v>92.15</v>
      </c>
      <c r="G1452">
        <v>298965</v>
      </c>
      <c r="H1452" s="110"/>
      <c r="I1452" s="110"/>
      <c r="L1452" s="133">
        <v>44141</v>
      </c>
      <c r="M1452" s="110">
        <v>18.41</v>
      </c>
      <c r="N1452" s="110">
        <v>18.7</v>
      </c>
      <c r="O1452" s="110">
        <v>18.22</v>
      </c>
      <c r="P1452" s="110">
        <v>18.36</v>
      </c>
      <c r="Q1452" s="110">
        <v>92.05</v>
      </c>
      <c r="R1452">
        <v>9885220</v>
      </c>
    </row>
    <row r="1453" spans="1:18" x14ac:dyDescent="0.25">
      <c r="A1453" s="133">
        <v>44144</v>
      </c>
      <c r="B1453" s="110">
        <v>18.739999999999998</v>
      </c>
      <c r="C1453" s="110">
        <v>18.53</v>
      </c>
      <c r="D1453" s="110">
        <v>18.3</v>
      </c>
      <c r="E1453" s="110">
        <v>18.45</v>
      </c>
      <c r="F1453" s="110">
        <v>92.65</v>
      </c>
      <c r="G1453">
        <v>636111</v>
      </c>
      <c r="H1453" s="110"/>
      <c r="I1453" s="110"/>
      <c r="L1453" s="133">
        <v>44144</v>
      </c>
      <c r="M1453" s="110">
        <v>18.54</v>
      </c>
      <c r="N1453" s="110">
        <v>18.739999999999998</v>
      </c>
      <c r="O1453" s="110">
        <v>18.3</v>
      </c>
      <c r="P1453" s="110">
        <v>18.559999999999999</v>
      </c>
      <c r="Q1453" s="110">
        <v>92.7</v>
      </c>
      <c r="R1453">
        <v>7493276</v>
      </c>
    </row>
    <row r="1454" spans="1:18" x14ac:dyDescent="0.25">
      <c r="A1454" s="133">
        <v>44145</v>
      </c>
      <c r="B1454" s="110">
        <v>19.53</v>
      </c>
      <c r="C1454" s="110">
        <v>19.27</v>
      </c>
      <c r="D1454" s="110">
        <v>18.57</v>
      </c>
      <c r="E1454" s="110">
        <v>18.7</v>
      </c>
      <c r="F1454" s="110">
        <v>96.35</v>
      </c>
      <c r="G1454">
        <v>601741</v>
      </c>
      <c r="H1454" s="110"/>
      <c r="I1454" s="110"/>
      <c r="L1454" s="133">
        <v>44145</v>
      </c>
      <c r="M1454" s="110">
        <v>19.260000000000002</v>
      </c>
      <c r="N1454" s="110">
        <v>19.53</v>
      </c>
      <c r="O1454" s="110">
        <v>18.579999999999998</v>
      </c>
      <c r="P1454" s="110">
        <v>18.649999999999999</v>
      </c>
      <c r="Q1454" s="110">
        <v>96.3</v>
      </c>
      <c r="R1454">
        <v>19071739</v>
      </c>
    </row>
    <row r="1455" spans="1:18" x14ac:dyDescent="0.25">
      <c r="A1455" s="133">
        <v>44146</v>
      </c>
      <c r="B1455" s="110">
        <v>19.54</v>
      </c>
      <c r="C1455" s="110">
        <v>18.86</v>
      </c>
      <c r="D1455" s="110">
        <v>18.66</v>
      </c>
      <c r="E1455" s="110">
        <v>19.3</v>
      </c>
      <c r="F1455" s="110">
        <v>94.3</v>
      </c>
      <c r="G1455">
        <v>720246</v>
      </c>
      <c r="H1455" s="110"/>
      <c r="I1455" s="110"/>
      <c r="L1455" s="133">
        <v>44146</v>
      </c>
      <c r="M1455" s="110">
        <v>18.87</v>
      </c>
      <c r="N1455" s="110">
        <v>19.54</v>
      </c>
      <c r="O1455" s="110">
        <v>18.649999999999999</v>
      </c>
      <c r="P1455" s="110">
        <v>19.39</v>
      </c>
      <c r="Q1455" s="110">
        <v>94.35</v>
      </c>
      <c r="R1455">
        <v>10409973</v>
      </c>
    </row>
    <row r="1456" spans="1:18" x14ac:dyDescent="0.25">
      <c r="A1456" s="133">
        <v>44147</v>
      </c>
      <c r="B1456" s="110">
        <v>18.93</v>
      </c>
      <c r="C1456" s="110">
        <v>18.37</v>
      </c>
      <c r="D1456" s="110">
        <v>18.309999999999999</v>
      </c>
      <c r="E1456" s="110">
        <v>18.93</v>
      </c>
      <c r="F1456" s="110">
        <v>91.85</v>
      </c>
      <c r="G1456">
        <v>266628</v>
      </c>
      <c r="H1456" s="110"/>
      <c r="I1456" s="110"/>
      <c r="L1456" s="133">
        <v>44147</v>
      </c>
      <c r="M1456" s="110">
        <v>18.38</v>
      </c>
      <c r="N1456" s="110">
        <v>18.920000000000002</v>
      </c>
      <c r="O1456" s="110">
        <v>18.32</v>
      </c>
      <c r="P1456" s="110">
        <v>18.87</v>
      </c>
      <c r="Q1456" s="110">
        <v>91.9</v>
      </c>
      <c r="R1456">
        <v>10486741</v>
      </c>
    </row>
    <row r="1457" spans="1:18" x14ac:dyDescent="0.25">
      <c r="A1457" s="133">
        <v>44148</v>
      </c>
      <c r="B1457" s="110">
        <v>18.350000000000001</v>
      </c>
      <c r="C1457" s="110">
        <v>18.309999999999999</v>
      </c>
      <c r="D1457" s="110">
        <v>18.07</v>
      </c>
      <c r="E1457" s="110">
        <v>18.23</v>
      </c>
      <c r="F1457" s="110">
        <v>91.55</v>
      </c>
      <c r="G1457">
        <v>179271</v>
      </c>
      <c r="H1457" s="110"/>
      <c r="I1457" s="110"/>
      <c r="L1457" s="133">
        <v>44148</v>
      </c>
      <c r="M1457" s="110">
        <v>18.3</v>
      </c>
      <c r="N1457" s="110">
        <v>18.34</v>
      </c>
      <c r="O1457" s="110">
        <v>18.059999999999999</v>
      </c>
      <c r="P1457" s="110">
        <v>18.11</v>
      </c>
      <c r="Q1457" s="110">
        <v>91.5</v>
      </c>
      <c r="R1457">
        <v>5521158</v>
      </c>
    </row>
    <row r="1458" spans="1:18" x14ac:dyDescent="0.25">
      <c r="A1458" s="133">
        <v>44149</v>
      </c>
      <c r="B1458" s="110">
        <v>18.579999999999998</v>
      </c>
      <c r="C1458" s="110">
        <v>18.43</v>
      </c>
      <c r="D1458" s="110">
        <v>18.36</v>
      </c>
      <c r="E1458" s="110">
        <v>18.52</v>
      </c>
      <c r="F1458" s="110">
        <v>92.15</v>
      </c>
      <c r="G1458">
        <v>84035</v>
      </c>
      <c r="H1458" s="110"/>
      <c r="I1458" s="110"/>
      <c r="L1458" s="133">
        <v>44149</v>
      </c>
      <c r="M1458" s="110">
        <v>18.41</v>
      </c>
      <c r="N1458" s="110">
        <v>18.600000000000001</v>
      </c>
      <c r="O1458" s="110">
        <v>18.36</v>
      </c>
      <c r="P1458" s="110">
        <v>18.41</v>
      </c>
      <c r="Q1458" s="110">
        <v>92.05</v>
      </c>
      <c r="R1458">
        <v>739582</v>
      </c>
    </row>
    <row r="1459" spans="1:18" x14ac:dyDescent="0.25">
      <c r="A1459" s="133">
        <v>44152</v>
      </c>
      <c r="B1459" s="110">
        <v>18.75</v>
      </c>
      <c r="C1459" s="110">
        <v>18.489999999999998</v>
      </c>
      <c r="D1459" s="110">
        <v>18.399999999999999</v>
      </c>
      <c r="E1459" s="110">
        <v>18.41</v>
      </c>
      <c r="F1459" s="110">
        <v>92.45</v>
      </c>
      <c r="G1459">
        <v>524976</v>
      </c>
      <c r="H1459" s="110"/>
      <c r="I1459" s="110"/>
      <c r="L1459" s="133">
        <v>44152</v>
      </c>
      <c r="M1459" s="110">
        <v>18.489999999999998</v>
      </c>
      <c r="N1459" s="110">
        <v>18.75</v>
      </c>
      <c r="O1459" s="110">
        <v>18.41</v>
      </c>
      <c r="P1459" s="110">
        <v>18.52</v>
      </c>
      <c r="Q1459" s="110">
        <v>92.45</v>
      </c>
      <c r="R1459">
        <v>6169645</v>
      </c>
    </row>
    <row r="1460" spans="1:18" x14ac:dyDescent="0.25">
      <c r="A1460" s="133">
        <v>44153</v>
      </c>
      <c r="B1460" s="110">
        <v>18.920000000000002</v>
      </c>
      <c r="C1460" s="110">
        <v>18.87</v>
      </c>
      <c r="D1460" s="110">
        <v>18.41</v>
      </c>
      <c r="E1460" s="110">
        <v>18.48</v>
      </c>
      <c r="F1460" s="110">
        <v>94.35</v>
      </c>
      <c r="G1460">
        <v>800400</v>
      </c>
      <c r="H1460" s="110"/>
      <c r="I1460" s="110"/>
      <c r="L1460" s="133">
        <v>44153</v>
      </c>
      <c r="M1460" s="110">
        <v>18.87</v>
      </c>
      <c r="N1460" s="110">
        <v>18.940000000000001</v>
      </c>
      <c r="O1460" s="110">
        <v>18.43</v>
      </c>
      <c r="P1460" s="110">
        <v>18.48</v>
      </c>
      <c r="Q1460" s="110">
        <v>94.35</v>
      </c>
      <c r="R1460">
        <v>7769848</v>
      </c>
    </row>
    <row r="1461" spans="1:18" x14ac:dyDescent="0.25">
      <c r="A1461" s="133">
        <v>44154</v>
      </c>
      <c r="B1461" s="110">
        <v>19.05</v>
      </c>
      <c r="C1461" s="110">
        <v>18.670000000000002</v>
      </c>
      <c r="D1461" s="110">
        <v>18.59</v>
      </c>
      <c r="E1461" s="110">
        <v>18.78</v>
      </c>
      <c r="F1461" s="110">
        <v>93.35</v>
      </c>
      <c r="G1461">
        <v>570529</v>
      </c>
      <c r="H1461" s="110"/>
      <c r="I1461" s="110"/>
      <c r="L1461" s="133">
        <v>44154</v>
      </c>
      <c r="M1461" s="110">
        <v>18.66</v>
      </c>
      <c r="N1461" s="110">
        <v>19.059999999999999</v>
      </c>
      <c r="O1461" s="110">
        <v>18.600000000000001</v>
      </c>
      <c r="P1461" s="110">
        <v>18.79</v>
      </c>
      <c r="Q1461" s="110">
        <v>93.3</v>
      </c>
      <c r="R1461">
        <v>6887056</v>
      </c>
    </row>
    <row r="1462" spans="1:18" x14ac:dyDescent="0.25">
      <c r="A1462" s="133">
        <v>44155</v>
      </c>
      <c r="B1462" s="110">
        <v>18.8</v>
      </c>
      <c r="C1462" s="110">
        <v>18.649999999999999</v>
      </c>
      <c r="D1462" s="110">
        <v>18.489999999999998</v>
      </c>
      <c r="E1462" s="110">
        <v>18.760000000000002</v>
      </c>
      <c r="F1462" s="110">
        <v>93.25</v>
      </c>
      <c r="G1462">
        <v>371072</v>
      </c>
      <c r="H1462" s="110"/>
      <c r="I1462" s="110"/>
      <c r="L1462" s="133">
        <v>44155</v>
      </c>
      <c r="M1462" s="110">
        <v>18.66</v>
      </c>
      <c r="N1462" s="110">
        <v>18.8</v>
      </c>
      <c r="O1462" s="110">
        <v>18.48</v>
      </c>
      <c r="P1462" s="110">
        <v>18.75</v>
      </c>
      <c r="Q1462" s="110">
        <v>93.3</v>
      </c>
      <c r="R1462">
        <v>5017141</v>
      </c>
    </row>
    <row r="1463" spans="1:18" x14ac:dyDescent="0.25">
      <c r="A1463" s="133">
        <v>44158</v>
      </c>
      <c r="B1463" s="110">
        <v>18.899999999999999</v>
      </c>
      <c r="C1463" s="110">
        <v>18.78</v>
      </c>
      <c r="D1463" s="110">
        <v>18.53</v>
      </c>
      <c r="E1463" s="110">
        <v>18.899999999999999</v>
      </c>
      <c r="F1463" s="110">
        <v>93.9</v>
      </c>
      <c r="G1463">
        <v>256650</v>
      </c>
      <c r="H1463" s="110"/>
      <c r="I1463" s="110"/>
      <c r="L1463" s="133">
        <v>44158</v>
      </c>
      <c r="M1463" s="110">
        <v>18.77</v>
      </c>
      <c r="N1463" s="110">
        <v>18.89</v>
      </c>
      <c r="O1463" s="110">
        <v>18.53</v>
      </c>
      <c r="P1463" s="110">
        <v>18.88</v>
      </c>
      <c r="Q1463" s="110">
        <v>93.85</v>
      </c>
      <c r="R1463">
        <v>6089897</v>
      </c>
    </row>
    <row r="1464" spans="1:18" x14ac:dyDescent="0.25">
      <c r="A1464" s="133">
        <v>44159</v>
      </c>
      <c r="B1464" s="110">
        <v>18.940000000000001</v>
      </c>
      <c r="C1464" s="110">
        <v>18.64</v>
      </c>
      <c r="D1464" s="110">
        <v>18.52</v>
      </c>
      <c r="E1464" s="110">
        <v>18.86</v>
      </c>
      <c r="F1464" s="110">
        <v>93.2</v>
      </c>
      <c r="G1464">
        <v>536937</v>
      </c>
      <c r="H1464" s="110"/>
      <c r="I1464" s="110"/>
      <c r="L1464" s="133">
        <v>44159</v>
      </c>
      <c r="M1464" s="110">
        <v>18.649999999999999</v>
      </c>
      <c r="N1464" s="110">
        <v>18.96</v>
      </c>
      <c r="O1464" s="110">
        <v>18.5</v>
      </c>
      <c r="P1464" s="110">
        <v>18.93</v>
      </c>
      <c r="Q1464" s="110">
        <v>93.25</v>
      </c>
      <c r="R1464">
        <v>10086750</v>
      </c>
    </row>
    <row r="1465" spans="1:18" x14ac:dyDescent="0.25">
      <c r="A1465" s="133">
        <v>44160</v>
      </c>
      <c r="B1465" s="110">
        <v>20.16</v>
      </c>
      <c r="C1465" s="110">
        <v>19.3</v>
      </c>
      <c r="D1465" s="110">
        <v>18.8</v>
      </c>
      <c r="E1465" s="110">
        <v>18.8</v>
      </c>
      <c r="F1465" s="110">
        <v>96.5</v>
      </c>
      <c r="G1465">
        <v>1186761</v>
      </c>
      <c r="H1465" s="110"/>
      <c r="I1465" s="110"/>
      <c r="L1465" s="133">
        <v>44160</v>
      </c>
      <c r="M1465" s="110">
        <v>19.3</v>
      </c>
      <c r="N1465" s="110">
        <v>20.16</v>
      </c>
      <c r="O1465" s="110">
        <v>18.8</v>
      </c>
      <c r="P1465" s="110">
        <v>18.8</v>
      </c>
      <c r="Q1465" s="110">
        <v>96.5</v>
      </c>
      <c r="R1465">
        <v>36452648</v>
      </c>
    </row>
    <row r="1466" spans="1:18" x14ac:dyDescent="0.25">
      <c r="A1466" s="133">
        <v>44161</v>
      </c>
      <c r="B1466" s="110">
        <v>20.09</v>
      </c>
      <c r="C1466" s="110">
        <v>20</v>
      </c>
      <c r="D1466" s="110">
        <v>19.260000000000002</v>
      </c>
      <c r="E1466" s="110">
        <v>19.38</v>
      </c>
      <c r="F1466" s="110">
        <v>100</v>
      </c>
      <c r="G1466">
        <v>1125560</v>
      </c>
      <c r="H1466" s="110"/>
      <c r="I1466" s="110"/>
      <c r="L1466" s="133">
        <v>44161</v>
      </c>
      <c r="M1466" s="110">
        <v>20</v>
      </c>
      <c r="N1466" s="110">
        <v>20.079999999999998</v>
      </c>
      <c r="O1466" s="110">
        <v>19.25</v>
      </c>
      <c r="P1466" s="110">
        <v>19.32</v>
      </c>
      <c r="Q1466" s="110">
        <v>100</v>
      </c>
      <c r="R1466">
        <v>15391728</v>
      </c>
    </row>
    <row r="1467" spans="1:18" x14ac:dyDescent="0.25">
      <c r="A1467" s="133">
        <v>44162</v>
      </c>
      <c r="B1467" s="110">
        <v>21.12</v>
      </c>
      <c r="C1467" s="110">
        <v>20.75</v>
      </c>
      <c r="D1467" s="110">
        <v>20</v>
      </c>
      <c r="E1467" s="110">
        <v>20</v>
      </c>
      <c r="F1467" s="110">
        <v>103.75</v>
      </c>
      <c r="G1467">
        <v>1916185</v>
      </c>
      <c r="H1467" s="110"/>
      <c r="I1467" s="110"/>
      <c r="L1467" s="133">
        <v>44162</v>
      </c>
      <c r="M1467" s="110">
        <v>20.76</v>
      </c>
      <c r="N1467" s="110">
        <v>21.14</v>
      </c>
      <c r="O1467" s="110">
        <v>20.04</v>
      </c>
      <c r="P1467" s="110">
        <v>20.04</v>
      </c>
      <c r="Q1467" s="110">
        <v>103.8</v>
      </c>
      <c r="R1467">
        <v>29880608</v>
      </c>
    </row>
    <row r="1468" spans="1:18" x14ac:dyDescent="0.25">
      <c r="A1468" s="133">
        <v>44166</v>
      </c>
      <c r="B1468" s="110">
        <v>22.08</v>
      </c>
      <c r="C1468" s="110">
        <v>22</v>
      </c>
      <c r="D1468" s="110">
        <v>20.83</v>
      </c>
      <c r="E1468" s="110">
        <v>20.85</v>
      </c>
      <c r="F1468" s="110">
        <v>110</v>
      </c>
      <c r="G1468">
        <v>1112784</v>
      </c>
      <c r="H1468" s="110"/>
      <c r="I1468" s="110"/>
      <c r="L1468" s="133">
        <v>44166</v>
      </c>
      <c r="M1468" s="110">
        <v>21.98</v>
      </c>
      <c r="N1468" s="110">
        <v>22.11</v>
      </c>
      <c r="O1468" s="110">
        <v>20.77</v>
      </c>
      <c r="P1468" s="110">
        <v>20.99</v>
      </c>
      <c r="Q1468" s="110">
        <v>109.9</v>
      </c>
      <c r="R1468">
        <v>26157407</v>
      </c>
    </row>
    <row r="1469" spans="1:18" x14ac:dyDescent="0.25">
      <c r="A1469" s="133">
        <v>44167</v>
      </c>
      <c r="B1469" s="110">
        <v>22.09</v>
      </c>
      <c r="C1469" s="110">
        <v>21.14</v>
      </c>
      <c r="D1469" s="110">
        <v>20.83</v>
      </c>
      <c r="E1469" s="110">
        <v>22.02</v>
      </c>
      <c r="F1469" s="110">
        <v>105.7</v>
      </c>
      <c r="G1469">
        <v>1806625</v>
      </c>
      <c r="H1469" s="110"/>
      <c r="I1469" s="110"/>
      <c r="L1469" s="133">
        <v>44167</v>
      </c>
      <c r="M1469" s="110">
        <v>21.15</v>
      </c>
      <c r="N1469" s="110">
        <v>22.1</v>
      </c>
      <c r="O1469" s="110">
        <v>20.81</v>
      </c>
      <c r="P1469" s="110">
        <v>21.99</v>
      </c>
      <c r="Q1469" s="110">
        <v>105.75</v>
      </c>
      <c r="R1469">
        <v>29494304</v>
      </c>
    </row>
    <row r="1470" spans="1:18" x14ac:dyDescent="0.25">
      <c r="A1470" s="133">
        <v>44168</v>
      </c>
      <c r="B1470" s="110">
        <v>22.86</v>
      </c>
      <c r="C1470" s="110">
        <v>21.98</v>
      </c>
      <c r="D1470" s="110">
        <v>21.15</v>
      </c>
      <c r="E1470" s="110">
        <v>21.15</v>
      </c>
      <c r="F1470" s="110">
        <v>109.9</v>
      </c>
      <c r="G1470">
        <v>1872079</v>
      </c>
      <c r="H1470" s="110"/>
      <c r="I1470" s="110"/>
      <c r="L1470" s="133">
        <v>44168</v>
      </c>
      <c r="M1470" s="110">
        <v>21.99</v>
      </c>
      <c r="N1470" s="110">
        <v>22.88</v>
      </c>
      <c r="O1470" s="110">
        <v>21.3</v>
      </c>
      <c r="P1470" s="110">
        <v>21.32</v>
      </c>
      <c r="Q1470" s="110">
        <v>109.95</v>
      </c>
      <c r="R1470">
        <v>37656498</v>
      </c>
    </row>
    <row r="1471" spans="1:18" x14ac:dyDescent="0.25">
      <c r="A1471" s="133">
        <v>44169</v>
      </c>
      <c r="B1471" s="110">
        <v>22.79</v>
      </c>
      <c r="C1471" s="110">
        <v>22.26</v>
      </c>
      <c r="D1471" s="110">
        <v>21.15</v>
      </c>
      <c r="E1471" s="110">
        <v>22.22</v>
      </c>
      <c r="F1471" s="110">
        <v>111.3</v>
      </c>
      <c r="G1471">
        <v>1601075</v>
      </c>
      <c r="H1471" s="110"/>
      <c r="I1471" s="110"/>
      <c r="L1471" s="133">
        <v>44169</v>
      </c>
      <c r="M1471" s="110">
        <v>22.24</v>
      </c>
      <c r="N1471" s="110">
        <v>22.8</v>
      </c>
      <c r="O1471" s="110">
        <v>21.13</v>
      </c>
      <c r="P1471" s="110">
        <v>22.2</v>
      </c>
      <c r="Q1471" s="110">
        <v>111.2</v>
      </c>
      <c r="R1471">
        <v>46735941</v>
      </c>
    </row>
    <row r="1472" spans="1:18" x14ac:dyDescent="0.25">
      <c r="A1472" s="133">
        <v>44172</v>
      </c>
      <c r="B1472" s="110">
        <v>23.84</v>
      </c>
      <c r="C1472" s="110">
        <v>23.51</v>
      </c>
      <c r="D1472" s="110">
        <v>22.27</v>
      </c>
      <c r="E1472" s="110">
        <v>22.31</v>
      </c>
      <c r="F1472" s="110">
        <v>117.55</v>
      </c>
      <c r="G1472">
        <v>2418321</v>
      </c>
      <c r="H1472" s="110"/>
      <c r="I1472" s="110"/>
      <c r="L1472" s="133">
        <v>44172</v>
      </c>
      <c r="M1472" s="110">
        <v>23.48</v>
      </c>
      <c r="N1472" s="110">
        <v>23.86</v>
      </c>
      <c r="O1472" s="110">
        <v>22.27</v>
      </c>
      <c r="P1472" s="110">
        <v>22.39</v>
      </c>
      <c r="Q1472" s="110">
        <v>117.4</v>
      </c>
      <c r="R1472">
        <v>29066012</v>
      </c>
    </row>
    <row r="1473" spans="1:18" x14ac:dyDescent="0.25">
      <c r="A1473" s="133">
        <v>44173</v>
      </c>
      <c r="B1473" s="110">
        <v>28.21</v>
      </c>
      <c r="C1473" s="110">
        <v>27.36</v>
      </c>
      <c r="D1473" s="110">
        <v>23.53</v>
      </c>
      <c r="E1473" s="110">
        <v>23.62</v>
      </c>
      <c r="F1473" s="110">
        <v>136.80000000000001</v>
      </c>
      <c r="G1473">
        <v>3931540</v>
      </c>
      <c r="H1473" s="110"/>
      <c r="I1473" s="110"/>
      <c r="L1473" s="133">
        <v>44173</v>
      </c>
      <c r="M1473" s="110">
        <v>27.4</v>
      </c>
      <c r="N1473" s="110">
        <v>28.17</v>
      </c>
      <c r="O1473" s="110">
        <v>23.54</v>
      </c>
      <c r="P1473" s="110">
        <v>23.7</v>
      </c>
      <c r="Q1473" s="110">
        <v>137</v>
      </c>
      <c r="R1473">
        <v>72592455</v>
      </c>
    </row>
    <row r="1474" spans="1:18" x14ac:dyDescent="0.25">
      <c r="A1474" s="133">
        <v>44174</v>
      </c>
      <c r="B1474" s="110">
        <v>29.28</v>
      </c>
      <c r="C1474" s="110">
        <v>25.62</v>
      </c>
      <c r="D1474" s="110">
        <v>25.42</v>
      </c>
      <c r="E1474" s="110">
        <v>28.38</v>
      </c>
      <c r="F1474" s="110">
        <v>128.1</v>
      </c>
      <c r="G1474">
        <v>3282371</v>
      </c>
      <c r="H1474" s="110"/>
      <c r="I1474" s="110"/>
      <c r="L1474" s="133">
        <v>44174</v>
      </c>
      <c r="M1474" s="110">
        <v>25.63</v>
      </c>
      <c r="N1474" s="110">
        <v>29.33</v>
      </c>
      <c r="O1474" s="110">
        <v>25.4</v>
      </c>
      <c r="P1474" s="110">
        <v>28.25</v>
      </c>
      <c r="Q1474" s="110">
        <v>128.15</v>
      </c>
      <c r="R1474">
        <v>80493640</v>
      </c>
    </row>
    <row r="1475" spans="1:18" x14ac:dyDescent="0.25">
      <c r="A1475" s="133">
        <v>44175</v>
      </c>
      <c r="B1475" s="110">
        <v>25.08</v>
      </c>
      <c r="C1475" s="110">
        <v>24.5</v>
      </c>
      <c r="D1475" s="110">
        <v>24.06</v>
      </c>
      <c r="E1475" s="110">
        <v>24.76</v>
      </c>
      <c r="F1475" s="110">
        <v>122.5</v>
      </c>
      <c r="G1475">
        <v>1784173</v>
      </c>
      <c r="H1475" s="110"/>
      <c r="I1475" s="110"/>
      <c r="L1475" s="133">
        <v>44175</v>
      </c>
      <c r="M1475" s="110">
        <v>24.5</v>
      </c>
      <c r="N1475" s="110">
        <v>25.09</v>
      </c>
      <c r="O1475" s="110">
        <v>24.05</v>
      </c>
      <c r="P1475" s="110">
        <v>24.63</v>
      </c>
      <c r="Q1475" s="110">
        <v>122.5</v>
      </c>
      <c r="R1475">
        <v>50690580</v>
      </c>
    </row>
    <row r="1476" spans="1:18" x14ac:dyDescent="0.25">
      <c r="A1476" s="133">
        <v>44176</v>
      </c>
      <c r="B1476" s="110">
        <v>25.58</v>
      </c>
      <c r="C1476" s="110">
        <v>25.05</v>
      </c>
      <c r="D1476" s="110">
        <v>24.5</v>
      </c>
      <c r="E1476" s="110">
        <v>24.5</v>
      </c>
      <c r="F1476" s="110">
        <v>125.25</v>
      </c>
      <c r="G1476">
        <v>1712170</v>
      </c>
      <c r="H1476" s="110"/>
      <c r="I1476" s="110"/>
      <c r="L1476" s="133">
        <v>44176</v>
      </c>
      <c r="M1476" s="110">
        <v>25.05</v>
      </c>
      <c r="N1476" s="110">
        <v>25.58</v>
      </c>
      <c r="O1476" s="110">
        <v>24.6</v>
      </c>
      <c r="P1476" s="110">
        <v>24.6</v>
      </c>
      <c r="Q1476" s="110">
        <v>125.25</v>
      </c>
      <c r="R1476">
        <v>23875470</v>
      </c>
    </row>
    <row r="1477" spans="1:18" x14ac:dyDescent="0.25">
      <c r="A1477" s="133">
        <v>44179</v>
      </c>
      <c r="B1477" s="110">
        <v>25.6</v>
      </c>
      <c r="C1477" s="110">
        <v>25.48</v>
      </c>
      <c r="D1477" s="110">
        <v>25.1</v>
      </c>
      <c r="E1477" s="110">
        <v>25.41</v>
      </c>
      <c r="F1477" s="110">
        <v>127.4</v>
      </c>
      <c r="G1477">
        <v>1182296</v>
      </c>
      <c r="H1477" s="110"/>
      <c r="I1477" s="110"/>
      <c r="L1477" s="133">
        <v>44179</v>
      </c>
      <c r="M1477" s="110">
        <v>25.48</v>
      </c>
      <c r="N1477" s="110">
        <v>25.6</v>
      </c>
      <c r="O1477" s="110">
        <v>25.1</v>
      </c>
      <c r="P1477" s="110">
        <v>25.39</v>
      </c>
      <c r="Q1477" s="110">
        <v>127.4</v>
      </c>
      <c r="R1477">
        <v>11127677</v>
      </c>
    </row>
    <row r="1478" spans="1:18" x14ac:dyDescent="0.25">
      <c r="A1478" s="133">
        <v>44180</v>
      </c>
      <c r="B1478" s="110">
        <v>24.8</v>
      </c>
      <c r="C1478" s="110">
        <v>24.43</v>
      </c>
      <c r="D1478" s="110">
        <v>23.28</v>
      </c>
      <c r="E1478" s="110">
        <v>24.79</v>
      </c>
      <c r="F1478" s="110">
        <v>122.15</v>
      </c>
      <c r="G1478">
        <v>4408549</v>
      </c>
      <c r="H1478" s="110"/>
      <c r="I1478" s="110"/>
      <c r="L1478" s="133">
        <v>44180</v>
      </c>
      <c r="M1478" s="110">
        <v>24.4</v>
      </c>
      <c r="N1478" s="110">
        <v>24.8</v>
      </c>
      <c r="O1478" s="110">
        <v>23.28</v>
      </c>
      <c r="P1478" s="110">
        <v>24.7</v>
      </c>
      <c r="Q1478" s="110">
        <v>122</v>
      </c>
      <c r="R1478">
        <v>87386007</v>
      </c>
    </row>
    <row r="1479" spans="1:18" x14ac:dyDescent="0.25">
      <c r="A1479" s="133">
        <v>44181</v>
      </c>
      <c r="B1479" s="110">
        <v>25.16</v>
      </c>
      <c r="C1479" s="110">
        <v>23.98</v>
      </c>
      <c r="D1479" s="110">
        <v>23.75</v>
      </c>
      <c r="E1479" s="110">
        <v>24.75</v>
      </c>
      <c r="F1479" s="110">
        <v>119.9</v>
      </c>
      <c r="G1479">
        <v>2764016</v>
      </c>
      <c r="H1479" s="110"/>
      <c r="I1479" s="110"/>
      <c r="L1479" s="133">
        <v>44181</v>
      </c>
      <c r="M1479" s="110">
        <v>23.99</v>
      </c>
      <c r="N1479" s="110">
        <v>25.17</v>
      </c>
      <c r="O1479" s="110">
        <v>23.72</v>
      </c>
      <c r="P1479" s="110">
        <v>24.78</v>
      </c>
      <c r="Q1479" s="110">
        <v>119.95</v>
      </c>
      <c r="R1479">
        <v>39064487</v>
      </c>
    </row>
    <row r="1480" spans="1:18" x14ac:dyDescent="0.25">
      <c r="A1480" s="133">
        <v>44182</v>
      </c>
      <c r="B1480" s="110">
        <v>25.12</v>
      </c>
      <c r="C1480" s="110">
        <v>24.82</v>
      </c>
      <c r="D1480" s="110">
        <v>24.02</v>
      </c>
      <c r="E1480" s="110">
        <v>24.33</v>
      </c>
      <c r="F1480" s="110">
        <v>124.1</v>
      </c>
      <c r="G1480">
        <v>1967409</v>
      </c>
      <c r="H1480" s="110"/>
      <c r="I1480" s="110"/>
      <c r="L1480" s="133">
        <v>44182</v>
      </c>
      <c r="M1480" s="110">
        <v>24.82</v>
      </c>
      <c r="N1480" s="110">
        <v>25.14</v>
      </c>
      <c r="O1480" s="110">
        <v>24</v>
      </c>
      <c r="P1480" s="110">
        <v>24.2</v>
      </c>
      <c r="Q1480" s="110">
        <v>124.1</v>
      </c>
      <c r="R1480">
        <v>34184969</v>
      </c>
    </row>
    <row r="1481" spans="1:18" x14ac:dyDescent="0.25">
      <c r="A1481" s="133">
        <v>44183</v>
      </c>
      <c r="B1481" s="110">
        <v>25.2</v>
      </c>
      <c r="C1481" s="110">
        <v>24.34</v>
      </c>
      <c r="D1481" s="110">
        <v>23.71</v>
      </c>
      <c r="E1481" s="110">
        <v>25.05</v>
      </c>
      <c r="F1481" s="110">
        <v>121.7</v>
      </c>
      <c r="G1481">
        <v>1848250</v>
      </c>
      <c r="H1481" s="110"/>
      <c r="I1481" s="110"/>
      <c r="L1481" s="133">
        <v>44183</v>
      </c>
      <c r="M1481" s="110">
        <v>24.32</v>
      </c>
      <c r="N1481" s="110">
        <v>25.24</v>
      </c>
      <c r="O1481" s="110">
        <v>23.7</v>
      </c>
      <c r="P1481" s="110">
        <v>25.06</v>
      </c>
      <c r="Q1481" s="110">
        <v>121.6</v>
      </c>
      <c r="R1481">
        <v>22627299</v>
      </c>
    </row>
    <row r="1482" spans="1:18" x14ac:dyDescent="0.25">
      <c r="A1482" s="133">
        <v>44186</v>
      </c>
      <c r="B1482" s="110">
        <v>24.28</v>
      </c>
      <c r="C1482" s="110">
        <v>21.85</v>
      </c>
      <c r="D1482" s="110">
        <v>21.19</v>
      </c>
      <c r="E1482" s="110">
        <v>23</v>
      </c>
      <c r="F1482" s="110">
        <v>109.25</v>
      </c>
      <c r="G1482">
        <v>5454632</v>
      </c>
      <c r="H1482" s="110"/>
      <c r="I1482" s="110"/>
      <c r="L1482" s="133">
        <v>44186</v>
      </c>
      <c r="M1482" s="110">
        <v>21.83</v>
      </c>
      <c r="N1482" s="110">
        <v>24.28</v>
      </c>
      <c r="O1482" s="110">
        <v>21.04</v>
      </c>
      <c r="P1482" s="110">
        <v>23.4</v>
      </c>
      <c r="Q1482" s="110">
        <v>109.15</v>
      </c>
      <c r="R1482">
        <v>46211234</v>
      </c>
    </row>
    <row r="1483" spans="1:18" x14ac:dyDescent="0.25">
      <c r="A1483" s="133">
        <v>44187</v>
      </c>
      <c r="B1483" s="110">
        <v>23.48</v>
      </c>
      <c r="C1483" s="110">
        <v>23.05</v>
      </c>
      <c r="D1483" s="110">
        <v>21.11</v>
      </c>
      <c r="E1483" s="110">
        <v>21.92</v>
      </c>
      <c r="F1483" s="110">
        <v>115.25</v>
      </c>
      <c r="G1483">
        <v>4320536</v>
      </c>
      <c r="H1483" s="110"/>
      <c r="I1483" s="110"/>
      <c r="L1483" s="133">
        <v>44187</v>
      </c>
      <c r="M1483" s="110">
        <v>23.04</v>
      </c>
      <c r="N1483" s="110">
        <v>23.5</v>
      </c>
      <c r="O1483" s="110">
        <v>21.09</v>
      </c>
      <c r="P1483" s="110">
        <v>22.12</v>
      </c>
      <c r="Q1483" s="110">
        <v>115.2</v>
      </c>
      <c r="R1483">
        <v>58065426</v>
      </c>
    </row>
    <row r="1484" spans="1:18" x14ac:dyDescent="0.25">
      <c r="A1484" s="133">
        <v>44188</v>
      </c>
      <c r="B1484" s="110">
        <v>24.31</v>
      </c>
      <c r="C1484" s="110">
        <v>24.16</v>
      </c>
      <c r="D1484" s="110">
        <v>22.9</v>
      </c>
      <c r="E1484" s="110">
        <v>23.14</v>
      </c>
      <c r="F1484" s="110">
        <v>120.8</v>
      </c>
      <c r="G1484">
        <v>1531540</v>
      </c>
      <c r="H1484" s="110"/>
      <c r="I1484" s="110"/>
      <c r="L1484" s="133">
        <v>44188</v>
      </c>
      <c r="M1484" s="110">
        <v>24.14</v>
      </c>
      <c r="N1484" s="110">
        <v>24.36</v>
      </c>
      <c r="O1484" s="110">
        <v>22.89</v>
      </c>
      <c r="P1484" s="110">
        <v>23.08</v>
      </c>
      <c r="Q1484" s="110">
        <v>120.7</v>
      </c>
      <c r="R1484">
        <v>21024870</v>
      </c>
    </row>
    <row r="1485" spans="1:18" x14ac:dyDescent="0.25">
      <c r="A1485" s="133">
        <v>44189</v>
      </c>
      <c r="B1485" s="110">
        <v>24.52</v>
      </c>
      <c r="C1485" s="110">
        <v>24.12</v>
      </c>
      <c r="D1485" s="110">
        <v>23.72</v>
      </c>
      <c r="E1485" s="110">
        <v>24.42</v>
      </c>
      <c r="F1485" s="110">
        <v>120.6</v>
      </c>
      <c r="G1485">
        <v>1339778</v>
      </c>
      <c r="H1485" s="110"/>
      <c r="I1485" s="110"/>
      <c r="L1485" s="133">
        <v>44189</v>
      </c>
      <c r="M1485" s="110">
        <v>24.15</v>
      </c>
      <c r="N1485" s="110">
        <v>24.55</v>
      </c>
      <c r="O1485" s="110">
        <v>23.7</v>
      </c>
      <c r="P1485" s="110">
        <v>24.38</v>
      </c>
      <c r="Q1485" s="110">
        <v>120.75</v>
      </c>
      <c r="R1485">
        <v>16040047</v>
      </c>
    </row>
    <row r="1486" spans="1:18" x14ac:dyDescent="0.25">
      <c r="A1486" s="133">
        <v>44193</v>
      </c>
      <c r="B1486" s="110">
        <v>25.15</v>
      </c>
      <c r="C1486" s="110">
        <v>25.05</v>
      </c>
      <c r="D1486" s="110">
        <v>24.03</v>
      </c>
      <c r="E1486" s="110">
        <v>24.25</v>
      </c>
      <c r="F1486" s="110">
        <v>125.25</v>
      </c>
      <c r="G1486">
        <v>1013496</v>
      </c>
      <c r="H1486" s="110"/>
      <c r="I1486" s="110"/>
      <c r="L1486" s="133">
        <v>44193</v>
      </c>
      <c r="M1486" s="110">
        <v>25.05</v>
      </c>
      <c r="N1486" s="110">
        <v>25.15</v>
      </c>
      <c r="O1486" s="110">
        <v>24.03</v>
      </c>
      <c r="P1486" s="110">
        <v>24.16</v>
      </c>
      <c r="Q1486" s="110">
        <v>125.25</v>
      </c>
      <c r="R1486">
        <v>20995154</v>
      </c>
    </row>
    <row r="1487" spans="1:18" x14ac:dyDescent="0.25">
      <c r="A1487" s="133">
        <v>44194</v>
      </c>
      <c r="B1487" s="110">
        <v>25.65</v>
      </c>
      <c r="C1487" s="110">
        <v>25.27</v>
      </c>
      <c r="D1487" s="110">
        <v>24.59</v>
      </c>
      <c r="E1487" s="110">
        <v>25.25</v>
      </c>
      <c r="F1487" s="110">
        <v>126.35</v>
      </c>
      <c r="G1487">
        <v>1731137</v>
      </c>
      <c r="H1487" s="110"/>
      <c r="I1487" s="110"/>
      <c r="L1487" s="133">
        <v>44194</v>
      </c>
      <c r="M1487" s="110">
        <v>25.27</v>
      </c>
      <c r="N1487" s="110">
        <v>25.65</v>
      </c>
      <c r="O1487" s="110">
        <v>24.59</v>
      </c>
      <c r="P1487" s="110">
        <v>25.2</v>
      </c>
      <c r="Q1487" s="110">
        <v>126.35</v>
      </c>
      <c r="R1487">
        <v>21317833</v>
      </c>
    </row>
    <row r="1488" spans="1:18" x14ac:dyDescent="0.25">
      <c r="A1488" s="133">
        <v>44195</v>
      </c>
      <c r="B1488" s="110">
        <v>26.1</v>
      </c>
      <c r="C1488" s="110">
        <v>25.89</v>
      </c>
      <c r="D1488" s="110">
        <v>24.73</v>
      </c>
      <c r="E1488" s="110">
        <v>25.4</v>
      </c>
      <c r="F1488" s="110">
        <v>129.44999999999999</v>
      </c>
      <c r="G1488">
        <v>8742660</v>
      </c>
      <c r="H1488" s="110"/>
      <c r="I1488" s="110"/>
      <c r="L1488" s="133">
        <v>44195</v>
      </c>
      <c r="M1488" s="110">
        <v>25.87</v>
      </c>
      <c r="N1488" s="110">
        <v>26.14</v>
      </c>
      <c r="O1488" s="110">
        <v>24.72</v>
      </c>
      <c r="P1488" s="110">
        <v>25.4</v>
      </c>
      <c r="Q1488" s="110">
        <v>129.35</v>
      </c>
      <c r="R1488">
        <v>45699701</v>
      </c>
    </row>
    <row r="1489" spans="1:18" x14ac:dyDescent="0.25">
      <c r="A1489" s="133">
        <v>44196</v>
      </c>
      <c r="B1489" s="110">
        <v>26</v>
      </c>
      <c r="C1489" s="110">
        <v>25.79</v>
      </c>
      <c r="D1489" s="110">
        <v>25.5</v>
      </c>
      <c r="E1489" s="110">
        <v>25.87</v>
      </c>
      <c r="F1489" s="110">
        <v>128.94999999999999</v>
      </c>
      <c r="G1489">
        <v>842047</v>
      </c>
      <c r="H1489" s="110"/>
      <c r="I1489" s="110"/>
      <c r="L1489" s="133">
        <v>44196</v>
      </c>
      <c r="M1489" s="110">
        <v>25.79</v>
      </c>
      <c r="N1489" s="110">
        <v>26</v>
      </c>
      <c r="O1489" s="110">
        <v>25.53</v>
      </c>
      <c r="P1489" s="110">
        <v>25.94</v>
      </c>
      <c r="Q1489" s="110">
        <v>128.94999999999999</v>
      </c>
      <c r="R1489">
        <v>14137531</v>
      </c>
    </row>
    <row r="1490" spans="1:18" x14ac:dyDescent="0.25">
      <c r="A1490" s="133">
        <v>44197</v>
      </c>
      <c r="B1490" s="110">
        <v>26.87</v>
      </c>
      <c r="C1490" s="110">
        <v>26.66</v>
      </c>
      <c r="D1490" s="110">
        <v>25.68</v>
      </c>
      <c r="E1490" s="110">
        <v>25.72</v>
      </c>
      <c r="F1490" s="110">
        <v>133.30000000000001</v>
      </c>
      <c r="G1490">
        <v>1998494</v>
      </c>
      <c r="H1490" s="110"/>
      <c r="I1490" s="110"/>
      <c r="L1490" s="133">
        <v>44197</v>
      </c>
      <c r="M1490" s="110">
        <v>26.66</v>
      </c>
      <c r="N1490" s="110">
        <v>26.89</v>
      </c>
      <c r="O1490" s="110">
        <v>25.6</v>
      </c>
      <c r="P1490" s="110">
        <v>25.78</v>
      </c>
      <c r="Q1490" s="110">
        <v>133.30000000000001</v>
      </c>
      <c r="R1490">
        <v>33056834</v>
      </c>
    </row>
    <row r="1491" spans="1:18" x14ac:dyDescent="0.25">
      <c r="A1491" s="133">
        <v>44200</v>
      </c>
      <c r="B1491" s="110">
        <v>27.18</v>
      </c>
      <c r="C1491" s="110">
        <v>26.8</v>
      </c>
      <c r="D1491" s="110">
        <v>26.09</v>
      </c>
      <c r="E1491" s="110">
        <v>26.8</v>
      </c>
      <c r="F1491" s="110">
        <v>134</v>
      </c>
      <c r="G1491">
        <v>1727948</v>
      </c>
      <c r="H1491" s="110"/>
      <c r="I1491" s="110"/>
      <c r="L1491" s="133">
        <v>44200</v>
      </c>
      <c r="M1491" s="110">
        <v>26.8</v>
      </c>
      <c r="N1491" s="110">
        <v>27.2</v>
      </c>
      <c r="O1491" s="110">
        <v>26.08</v>
      </c>
      <c r="P1491" s="110">
        <v>27</v>
      </c>
      <c r="Q1491" s="110">
        <v>134</v>
      </c>
      <c r="R1491">
        <v>28899189</v>
      </c>
    </row>
    <row r="1492" spans="1:18" x14ac:dyDescent="0.25">
      <c r="A1492" s="133">
        <v>44201</v>
      </c>
      <c r="B1492" s="110">
        <v>27.33</v>
      </c>
      <c r="C1492" s="110">
        <v>27.07</v>
      </c>
      <c r="D1492" s="110">
        <v>25</v>
      </c>
      <c r="E1492" s="110">
        <v>25</v>
      </c>
      <c r="F1492" s="110">
        <v>135.35</v>
      </c>
      <c r="G1492">
        <v>2365392</v>
      </c>
      <c r="H1492" s="110"/>
      <c r="I1492" s="110"/>
      <c r="L1492" s="133">
        <v>44201</v>
      </c>
      <c r="M1492" s="110">
        <v>27.08</v>
      </c>
      <c r="N1492" s="110">
        <v>27.35</v>
      </c>
      <c r="O1492" s="110">
        <v>26.06</v>
      </c>
      <c r="P1492" s="110">
        <v>26.6</v>
      </c>
      <c r="Q1492" s="110">
        <v>135.4</v>
      </c>
      <c r="R1492">
        <v>33387047</v>
      </c>
    </row>
    <row r="1493" spans="1:18" x14ac:dyDescent="0.25">
      <c r="A1493" s="133">
        <v>44202</v>
      </c>
      <c r="B1493" s="110">
        <v>27.46</v>
      </c>
      <c r="C1493" s="110">
        <v>26.41</v>
      </c>
      <c r="D1493" s="110">
        <v>25.62</v>
      </c>
      <c r="E1493" s="110">
        <v>27</v>
      </c>
      <c r="F1493" s="110">
        <v>132.05000000000001</v>
      </c>
      <c r="G1493">
        <v>1846230</v>
      </c>
      <c r="H1493" s="110"/>
      <c r="I1493" s="110"/>
      <c r="L1493" s="133">
        <v>44202</v>
      </c>
      <c r="M1493" s="110">
        <v>26.42</v>
      </c>
      <c r="N1493" s="110">
        <v>27.46</v>
      </c>
      <c r="O1493" s="110">
        <v>25.62</v>
      </c>
      <c r="P1493" s="110">
        <v>27.2</v>
      </c>
      <c r="Q1493" s="110">
        <v>132.1</v>
      </c>
      <c r="R1493">
        <v>39737720</v>
      </c>
    </row>
    <row r="1494" spans="1:18" x14ac:dyDescent="0.25">
      <c r="A1494" s="133">
        <v>44203</v>
      </c>
      <c r="B1494" s="110">
        <v>27</v>
      </c>
      <c r="C1494" s="110">
        <v>26.6</v>
      </c>
      <c r="D1494" s="110">
        <v>26.36</v>
      </c>
      <c r="E1494" s="110">
        <v>26.97</v>
      </c>
      <c r="F1494" s="110">
        <v>133</v>
      </c>
      <c r="G1494">
        <v>639226</v>
      </c>
      <c r="H1494" s="110"/>
      <c r="I1494" s="110"/>
      <c r="L1494" s="133">
        <v>44203</v>
      </c>
      <c r="M1494" s="110">
        <v>26.6</v>
      </c>
      <c r="N1494" s="110">
        <v>27</v>
      </c>
      <c r="O1494" s="110">
        <v>26.36</v>
      </c>
      <c r="P1494" s="110">
        <v>26.8</v>
      </c>
      <c r="Q1494" s="110">
        <v>133</v>
      </c>
      <c r="R1494">
        <v>18963857</v>
      </c>
    </row>
    <row r="1495" spans="1:18" x14ac:dyDescent="0.25">
      <c r="A1495" s="133">
        <v>44204</v>
      </c>
      <c r="B1495" s="110">
        <v>26.94</v>
      </c>
      <c r="C1495" s="110">
        <v>26.19</v>
      </c>
      <c r="D1495" s="110">
        <v>26.11</v>
      </c>
      <c r="E1495" s="110">
        <v>26.83</v>
      </c>
      <c r="F1495" s="110">
        <v>130.94999999999999</v>
      </c>
      <c r="G1495">
        <v>1395689</v>
      </c>
      <c r="H1495" s="110"/>
      <c r="I1495" s="110"/>
      <c r="L1495" s="133">
        <v>44204</v>
      </c>
      <c r="M1495" s="110">
        <v>26.2</v>
      </c>
      <c r="N1495" s="110">
        <v>26.98</v>
      </c>
      <c r="O1495" s="110">
        <v>26.13</v>
      </c>
      <c r="P1495" s="110">
        <v>26.8</v>
      </c>
      <c r="Q1495" s="110">
        <v>131</v>
      </c>
      <c r="R1495">
        <v>20197579</v>
      </c>
    </row>
    <row r="1496" spans="1:18" x14ac:dyDescent="0.25">
      <c r="A1496" s="133">
        <v>44207</v>
      </c>
      <c r="B1496" s="110">
        <v>26.54</v>
      </c>
      <c r="C1496" s="110">
        <v>25.78</v>
      </c>
      <c r="D1496" s="110">
        <v>25.63</v>
      </c>
      <c r="E1496" s="110">
        <v>26.54</v>
      </c>
      <c r="F1496" s="110">
        <v>128.9</v>
      </c>
      <c r="G1496">
        <v>960300</v>
      </c>
      <c r="H1496" s="110"/>
      <c r="I1496" s="110"/>
      <c r="L1496" s="133">
        <v>44207</v>
      </c>
      <c r="M1496" s="110">
        <v>25.78</v>
      </c>
      <c r="N1496" s="110">
        <v>26.46</v>
      </c>
      <c r="O1496" s="110">
        <v>25.63</v>
      </c>
      <c r="P1496" s="110">
        <v>26.2</v>
      </c>
      <c r="Q1496" s="110">
        <v>128.9</v>
      </c>
      <c r="R1496">
        <v>20171445</v>
      </c>
    </row>
    <row r="1497" spans="1:18" x14ac:dyDescent="0.25">
      <c r="A1497" s="133">
        <v>44208</v>
      </c>
      <c r="B1497" s="110">
        <v>28.15</v>
      </c>
      <c r="C1497" s="110">
        <v>27.84</v>
      </c>
      <c r="D1497" s="110">
        <v>25.43</v>
      </c>
      <c r="E1497" s="110">
        <v>25.76</v>
      </c>
      <c r="F1497" s="110">
        <v>139.19999999999999</v>
      </c>
      <c r="G1497">
        <v>4179591</v>
      </c>
      <c r="H1497" s="110"/>
      <c r="I1497" s="110"/>
      <c r="L1497" s="133">
        <v>44208</v>
      </c>
      <c r="M1497" s="110">
        <v>27.83</v>
      </c>
      <c r="N1497" s="110">
        <v>28.17</v>
      </c>
      <c r="O1497" s="110">
        <v>25.46</v>
      </c>
      <c r="P1497" s="110">
        <v>25.76</v>
      </c>
      <c r="Q1497" s="110">
        <v>139.15</v>
      </c>
      <c r="R1497">
        <v>44886668</v>
      </c>
    </row>
    <row r="1498" spans="1:18" x14ac:dyDescent="0.25">
      <c r="A1498" s="133">
        <v>44209</v>
      </c>
      <c r="B1498" s="110">
        <v>29.17</v>
      </c>
      <c r="C1498" s="110">
        <v>28.94</v>
      </c>
      <c r="D1498" s="110">
        <v>27.2</v>
      </c>
      <c r="E1498" s="110">
        <v>27.86</v>
      </c>
      <c r="F1498" s="110">
        <v>144.69999999999999</v>
      </c>
      <c r="G1498">
        <v>5221658</v>
      </c>
      <c r="H1498" s="110"/>
      <c r="I1498" s="110"/>
      <c r="L1498" s="133">
        <v>44209</v>
      </c>
      <c r="M1498" s="110">
        <v>28.96</v>
      </c>
      <c r="N1498" s="110">
        <v>29.18</v>
      </c>
      <c r="O1498" s="110">
        <v>27.2</v>
      </c>
      <c r="P1498" s="110">
        <v>27.98</v>
      </c>
      <c r="Q1498" s="110">
        <v>144.80000000000001</v>
      </c>
      <c r="R1498">
        <v>64892458</v>
      </c>
    </row>
    <row r="1499" spans="1:18" x14ac:dyDescent="0.25">
      <c r="A1499" s="133">
        <v>44210</v>
      </c>
      <c r="B1499" s="110">
        <v>29.48</v>
      </c>
      <c r="C1499" s="110">
        <v>28.62</v>
      </c>
      <c r="D1499" s="110">
        <v>28.43</v>
      </c>
      <c r="E1499" s="110">
        <v>28.94</v>
      </c>
      <c r="F1499" s="110">
        <v>143.1</v>
      </c>
      <c r="G1499">
        <v>1734697</v>
      </c>
      <c r="H1499" s="110"/>
      <c r="I1499" s="110"/>
      <c r="L1499" s="133">
        <v>44210</v>
      </c>
      <c r="M1499" s="110">
        <v>28.61</v>
      </c>
      <c r="N1499" s="110">
        <v>29.44</v>
      </c>
      <c r="O1499" s="110">
        <v>28.43</v>
      </c>
      <c r="P1499" s="110">
        <v>28.61</v>
      </c>
      <c r="Q1499" s="110">
        <v>143.05000000000001</v>
      </c>
      <c r="R1499">
        <v>33679698</v>
      </c>
    </row>
    <row r="1500" spans="1:18" x14ac:dyDescent="0.25">
      <c r="A1500" s="133">
        <v>44211</v>
      </c>
      <c r="B1500" s="110">
        <v>28.99</v>
      </c>
      <c r="C1500" s="110">
        <v>27.47</v>
      </c>
      <c r="D1500" s="110">
        <v>27.08</v>
      </c>
      <c r="E1500" s="110">
        <v>28.64</v>
      </c>
      <c r="F1500" s="110">
        <v>137.35</v>
      </c>
      <c r="G1500">
        <v>2217445</v>
      </c>
      <c r="H1500" s="110"/>
      <c r="I1500" s="110"/>
      <c r="L1500" s="133">
        <v>44211</v>
      </c>
      <c r="M1500" s="110">
        <v>27.46</v>
      </c>
      <c r="N1500" s="110">
        <v>29</v>
      </c>
      <c r="O1500" s="110">
        <v>27.1</v>
      </c>
      <c r="P1500" s="110">
        <v>28.72</v>
      </c>
      <c r="Q1500" s="110">
        <v>137.30000000000001</v>
      </c>
      <c r="R1500">
        <v>32354218</v>
      </c>
    </row>
    <row r="1501" spans="1:18" x14ac:dyDescent="0.25">
      <c r="A1501" s="133">
        <v>44214</v>
      </c>
      <c r="B1501" s="110">
        <v>28.32</v>
      </c>
      <c r="C1501" s="110">
        <v>26.55</v>
      </c>
      <c r="D1501" s="110">
        <v>26.2</v>
      </c>
      <c r="E1501" s="110">
        <v>27.82</v>
      </c>
      <c r="F1501" s="110">
        <v>132.75</v>
      </c>
      <c r="G1501">
        <v>2072320</v>
      </c>
      <c r="H1501" s="110"/>
      <c r="I1501" s="110"/>
      <c r="L1501" s="133">
        <v>44214</v>
      </c>
      <c r="M1501" s="110">
        <v>26.58</v>
      </c>
      <c r="N1501" s="110">
        <v>28.35</v>
      </c>
      <c r="O1501" s="110">
        <v>26.2</v>
      </c>
      <c r="P1501" s="110">
        <v>27.74</v>
      </c>
      <c r="Q1501" s="110">
        <v>132.9</v>
      </c>
      <c r="R1501">
        <v>33590149</v>
      </c>
    </row>
    <row r="1502" spans="1:18" x14ac:dyDescent="0.25">
      <c r="A1502" s="133">
        <v>44215</v>
      </c>
      <c r="B1502" s="110">
        <v>27.98</v>
      </c>
      <c r="C1502" s="110">
        <v>27.73</v>
      </c>
      <c r="D1502" s="110">
        <v>26.77</v>
      </c>
      <c r="E1502" s="110">
        <v>26.9</v>
      </c>
      <c r="F1502" s="110">
        <v>138.65</v>
      </c>
      <c r="G1502">
        <v>749519</v>
      </c>
      <c r="H1502" s="110"/>
      <c r="I1502" s="110"/>
      <c r="L1502" s="133">
        <v>44215</v>
      </c>
      <c r="M1502" s="110">
        <v>27.71</v>
      </c>
      <c r="N1502" s="110">
        <v>27.99</v>
      </c>
      <c r="O1502" s="110">
        <v>26.77</v>
      </c>
      <c r="P1502" s="110">
        <v>26.9</v>
      </c>
      <c r="Q1502" s="110">
        <v>138.55000000000001</v>
      </c>
      <c r="R1502">
        <v>21459963</v>
      </c>
    </row>
    <row r="1503" spans="1:18" x14ac:dyDescent="0.25">
      <c r="A1503" s="133">
        <v>44216</v>
      </c>
      <c r="B1503" s="110">
        <v>28.7</v>
      </c>
      <c r="C1503" s="110">
        <v>28.38</v>
      </c>
      <c r="D1503" s="110">
        <v>27.5</v>
      </c>
      <c r="E1503" s="110">
        <v>27.76</v>
      </c>
      <c r="F1503" s="110">
        <v>141.9</v>
      </c>
      <c r="G1503">
        <v>3029172</v>
      </c>
      <c r="H1503" s="110"/>
      <c r="I1503" s="110"/>
      <c r="L1503" s="133">
        <v>44216</v>
      </c>
      <c r="M1503" s="110">
        <v>28.39</v>
      </c>
      <c r="N1503" s="110">
        <v>28.72</v>
      </c>
      <c r="O1503" s="110">
        <v>27.5</v>
      </c>
      <c r="P1503" s="110">
        <v>27.7</v>
      </c>
      <c r="Q1503" s="110">
        <v>141.94999999999999</v>
      </c>
      <c r="R1503">
        <v>28003124</v>
      </c>
    </row>
    <row r="1504" spans="1:18" x14ac:dyDescent="0.25">
      <c r="A1504" s="133">
        <v>44217</v>
      </c>
      <c r="B1504" s="110">
        <v>29</v>
      </c>
      <c r="C1504" s="110">
        <v>27.21</v>
      </c>
      <c r="D1504" s="110">
        <v>26.82</v>
      </c>
      <c r="E1504" s="110">
        <v>28.43</v>
      </c>
      <c r="F1504" s="110">
        <v>136.05000000000001</v>
      </c>
      <c r="G1504">
        <v>1659490</v>
      </c>
      <c r="H1504" s="110"/>
      <c r="I1504" s="110"/>
      <c r="L1504" s="133">
        <v>44217</v>
      </c>
      <c r="M1504" s="110">
        <v>27.22</v>
      </c>
      <c r="N1504" s="110">
        <v>29</v>
      </c>
      <c r="O1504" s="110">
        <v>26.8</v>
      </c>
      <c r="P1504" s="110">
        <v>28.6</v>
      </c>
      <c r="Q1504" s="110">
        <v>136.1</v>
      </c>
      <c r="R1504">
        <v>29672599</v>
      </c>
    </row>
    <row r="1505" spans="1:18" x14ac:dyDescent="0.25">
      <c r="A1505" s="133">
        <v>44218</v>
      </c>
      <c r="B1505" s="110">
        <v>27.66</v>
      </c>
      <c r="C1505" s="110">
        <v>26.66</v>
      </c>
      <c r="D1505" s="110">
        <v>26.22</v>
      </c>
      <c r="E1505" s="110">
        <v>27.3</v>
      </c>
      <c r="F1505" s="110">
        <v>133.30000000000001</v>
      </c>
      <c r="G1505">
        <v>1224427</v>
      </c>
      <c r="H1505" s="110"/>
      <c r="I1505" s="110"/>
      <c r="L1505" s="133">
        <v>44218</v>
      </c>
      <c r="M1505" s="110">
        <v>26.64</v>
      </c>
      <c r="N1505" s="110">
        <v>27.7</v>
      </c>
      <c r="O1505" s="110">
        <v>26.2</v>
      </c>
      <c r="P1505" s="110">
        <v>27.4</v>
      </c>
      <c r="Q1505" s="110">
        <v>133.19999999999999</v>
      </c>
      <c r="R1505">
        <v>29372244</v>
      </c>
    </row>
    <row r="1506" spans="1:18" x14ac:dyDescent="0.25">
      <c r="A1506" s="133">
        <v>44221</v>
      </c>
      <c r="B1506" s="110">
        <v>27.65</v>
      </c>
      <c r="C1506" s="110">
        <v>26.72</v>
      </c>
      <c r="D1506" s="110">
        <v>26.36</v>
      </c>
      <c r="E1506" s="110">
        <v>26.9</v>
      </c>
      <c r="F1506" s="110">
        <v>133.6</v>
      </c>
      <c r="G1506">
        <v>1561684</v>
      </c>
      <c r="H1506" s="110"/>
      <c r="I1506" s="110"/>
      <c r="L1506" s="133">
        <v>44221</v>
      </c>
      <c r="M1506" s="110">
        <v>26.73</v>
      </c>
      <c r="N1506" s="110">
        <v>27.68</v>
      </c>
      <c r="O1506" s="110">
        <v>26.37</v>
      </c>
      <c r="P1506" s="110">
        <v>26.98</v>
      </c>
      <c r="Q1506" s="110">
        <v>133.65</v>
      </c>
      <c r="R1506">
        <v>26445988</v>
      </c>
    </row>
    <row r="1507" spans="1:18" x14ac:dyDescent="0.25">
      <c r="A1507" s="133">
        <v>44223</v>
      </c>
      <c r="B1507" s="110">
        <v>27.75</v>
      </c>
      <c r="C1507" s="110">
        <v>26.23</v>
      </c>
      <c r="D1507" s="110">
        <v>26.04</v>
      </c>
      <c r="E1507" s="110">
        <v>26.8</v>
      </c>
      <c r="F1507" s="110">
        <v>131.15</v>
      </c>
      <c r="G1507">
        <v>2447958</v>
      </c>
      <c r="H1507" s="110"/>
      <c r="I1507" s="110"/>
      <c r="L1507" s="133">
        <v>44223</v>
      </c>
      <c r="M1507" s="110">
        <v>26.24</v>
      </c>
      <c r="N1507" s="110">
        <v>27.75</v>
      </c>
      <c r="O1507" s="110">
        <v>26.02</v>
      </c>
      <c r="P1507" s="110">
        <v>26.79</v>
      </c>
      <c r="Q1507" s="110">
        <v>131.19999999999999</v>
      </c>
      <c r="R1507">
        <v>49601962</v>
      </c>
    </row>
    <row r="1508" spans="1:18" x14ac:dyDescent="0.25">
      <c r="A1508" s="133">
        <v>44224</v>
      </c>
      <c r="B1508" s="110">
        <v>25.96</v>
      </c>
      <c r="C1508" s="110">
        <v>25.6</v>
      </c>
      <c r="D1508" s="110">
        <v>24.77</v>
      </c>
      <c r="E1508" s="110">
        <v>25.96</v>
      </c>
      <c r="F1508" s="110">
        <v>128</v>
      </c>
      <c r="G1508">
        <v>1633500</v>
      </c>
      <c r="H1508" s="110"/>
      <c r="I1508" s="110"/>
      <c r="L1508" s="133">
        <v>44224</v>
      </c>
      <c r="M1508" s="110">
        <v>25.59</v>
      </c>
      <c r="N1508" s="110">
        <v>25.94</v>
      </c>
      <c r="O1508" s="110">
        <v>24.74</v>
      </c>
      <c r="P1508" s="110">
        <v>25.94</v>
      </c>
      <c r="Q1508" s="110">
        <v>127.95</v>
      </c>
      <c r="R1508">
        <v>47756578</v>
      </c>
    </row>
    <row r="1509" spans="1:18" x14ac:dyDescent="0.25">
      <c r="A1509" s="133">
        <v>44225</v>
      </c>
      <c r="B1509" s="110">
        <v>27.2</v>
      </c>
      <c r="C1509" s="110">
        <v>26.4</v>
      </c>
      <c r="D1509" s="110">
        <v>25.56</v>
      </c>
      <c r="E1509" s="110">
        <v>26</v>
      </c>
      <c r="F1509" s="110">
        <v>132</v>
      </c>
      <c r="G1509">
        <v>2182023</v>
      </c>
      <c r="H1509" s="110"/>
      <c r="I1509" s="110"/>
      <c r="L1509" s="133">
        <v>44225</v>
      </c>
      <c r="M1509" s="110">
        <v>26.4</v>
      </c>
      <c r="N1509" s="110">
        <v>27.19</v>
      </c>
      <c r="O1509" s="110">
        <v>25.55</v>
      </c>
      <c r="P1509" s="110">
        <v>26.01</v>
      </c>
      <c r="Q1509" s="110">
        <v>132</v>
      </c>
      <c r="R1509">
        <v>36309236</v>
      </c>
    </row>
    <row r="1510" spans="1:18" x14ac:dyDescent="0.25">
      <c r="A1510" s="133">
        <v>44228</v>
      </c>
      <c r="B1510" s="110">
        <v>28.66</v>
      </c>
      <c r="C1510" s="110">
        <v>28.43</v>
      </c>
      <c r="D1510" s="110">
        <v>26.4</v>
      </c>
      <c r="E1510" s="110">
        <v>26.96</v>
      </c>
      <c r="F1510" s="110">
        <v>142.15</v>
      </c>
      <c r="G1510">
        <v>2822826</v>
      </c>
      <c r="H1510" s="110"/>
      <c r="I1510" s="110"/>
      <c r="L1510" s="133">
        <v>44228</v>
      </c>
      <c r="M1510" s="110">
        <v>28.45</v>
      </c>
      <c r="N1510" s="110">
        <v>28.66</v>
      </c>
      <c r="O1510" s="110">
        <v>26.4</v>
      </c>
      <c r="P1510" s="110">
        <v>26.83</v>
      </c>
      <c r="Q1510" s="110">
        <v>142.25</v>
      </c>
      <c r="R1510">
        <v>55609442</v>
      </c>
    </row>
    <row r="1511" spans="1:18" x14ac:dyDescent="0.25">
      <c r="A1511" s="133">
        <v>44229</v>
      </c>
      <c r="B1511" s="110">
        <v>30.14</v>
      </c>
      <c r="C1511" s="110">
        <v>29.3</v>
      </c>
      <c r="D1511" s="110">
        <v>28.23</v>
      </c>
      <c r="E1511" s="110">
        <v>29</v>
      </c>
      <c r="F1511" s="110">
        <v>146.5</v>
      </c>
      <c r="G1511">
        <v>2569074</v>
      </c>
      <c r="H1511" s="110"/>
      <c r="I1511" s="110"/>
      <c r="L1511" s="133">
        <v>44229</v>
      </c>
      <c r="M1511" s="110">
        <v>29.31</v>
      </c>
      <c r="N1511" s="110">
        <v>30.13</v>
      </c>
      <c r="O1511" s="110">
        <v>28.21</v>
      </c>
      <c r="P1511" s="110">
        <v>28.8</v>
      </c>
      <c r="Q1511" s="110">
        <v>146.55000000000001</v>
      </c>
      <c r="R1511">
        <v>49809570</v>
      </c>
    </row>
    <row r="1512" spans="1:18" x14ac:dyDescent="0.25">
      <c r="A1512" s="133">
        <v>44230</v>
      </c>
      <c r="B1512" s="110">
        <v>31.23</v>
      </c>
      <c r="C1512" s="110">
        <v>30.61</v>
      </c>
      <c r="D1512" s="110">
        <v>29.08</v>
      </c>
      <c r="E1512" s="110">
        <v>29.76</v>
      </c>
      <c r="F1512" s="110">
        <v>153.05000000000001</v>
      </c>
      <c r="G1512">
        <v>3238560</v>
      </c>
      <c r="H1512" s="110"/>
      <c r="I1512" s="110"/>
      <c r="L1512" s="133">
        <v>44230</v>
      </c>
      <c r="M1512" s="110">
        <v>30.61</v>
      </c>
      <c r="N1512" s="110">
        <v>31.24</v>
      </c>
      <c r="O1512" s="110">
        <v>29.04</v>
      </c>
      <c r="P1512" s="110">
        <v>29.6</v>
      </c>
      <c r="Q1512" s="110">
        <v>153.05000000000001</v>
      </c>
      <c r="R1512">
        <v>57336621</v>
      </c>
    </row>
    <row r="1513" spans="1:18" x14ac:dyDescent="0.25">
      <c r="A1513" s="133">
        <v>44231</v>
      </c>
      <c r="B1513" s="110">
        <v>32.76</v>
      </c>
      <c r="C1513" s="110">
        <v>32.44</v>
      </c>
      <c r="D1513" s="110">
        <v>30.24</v>
      </c>
      <c r="E1513" s="110">
        <v>30.61</v>
      </c>
      <c r="F1513" s="110">
        <v>162.19999999999999</v>
      </c>
      <c r="G1513">
        <v>3555943</v>
      </c>
      <c r="H1513" s="110"/>
      <c r="I1513" s="110"/>
      <c r="L1513" s="133">
        <v>44231</v>
      </c>
      <c r="M1513" s="110">
        <v>32.43</v>
      </c>
      <c r="N1513" s="110">
        <v>32.75</v>
      </c>
      <c r="O1513" s="110">
        <v>30.27</v>
      </c>
      <c r="P1513" s="110">
        <v>30.64</v>
      </c>
      <c r="Q1513" s="110">
        <v>162.15</v>
      </c>
      <c r="R1513">
        <v>62137703</v>
      </c>
    </row>
    <row r="1514" spans="1:18" x14ac:dyDescent="0.25">
      <c r="A1514" s="133">
        <v>44232</v>
      </c>
      <c r="B1514" s="110">
        <v>34.42</v>
      </c>
      <c r="C1514" s="110">
        <v>32.159999999999997</v>
      </c>
      <c r="D1514" s="110">
        <v>31.6</v>
      </c>
      <c r="E1514" s="110">
        <v>33</v>
      </c>
      <c r="F1514" s="110">
        <v>160.80000000000001</v>
      </c>
      <c r="G1514">
        <v>4630389</v>
      </c>
      <c r="H1514" s="110"/>
      <c r="I1514" s="110"/>
      <c r="L1514" s="133">
        <v>44232</v>
      </c>
      <c r="M1514" s="110">
        <v>32.17</v>
      </c>
      <c r="N1514" s="110">
        <v>34.44</v>
      </c>
      <c r="O1514" s="110">
        <v>31.6</v>
      </c>
      <c r="P1514" s="110">
        <v>33.340000000000003</v>
      </c>
      <c r="Q1514" s="110">
        <v>160.85</v>
      </c>
      <c r="R1514">
        <v>69090863</v>
      </c>
    </row>
    <row r="1515" spans="1:18" x14ac:dyDescent="0.25">
      <c r="A1515" s="133">
        <v>44235</v>
      </c>
      <c r="B1515" s="110">
        <v>32.76</v>
      </c>
      <c r="C1515" s="110">
        <v>31.68</v>
      </c>
      <c r="D1515" s="110">
        <v>31.53</v>
      </c>
      <c r="E1515" s="110">
        <v>32.700000000000003</v>
      </c>
      <c r="F1515" s="110">
        <v>158.4</v>
      </c>
      <c r="G1515">
        <v>1089539</v>
      </c>
      <c r="H1515" s="110"/>
      <c r="I1515" s="110"/>
      <c r="L1515" s="133">
        <v>44235</v>
      </c>
      <c r="M1515" s="110">
        <v>31.69</v>
      </c>
      <c r="N1515" s="110">
        <v>32.75</v>
      </c>
      <c r="O1515" s="110">
        <v>31.51</v>
      </c>
      <c r="P1515" s="110">
        <v>32.479999999999997</v>
      </c>
      <c r="Q1515" s="110">
        <v>158.44999999999999</v>
      </c>
      <c r="R1515">
        <v>21530215</v>
      </c>
    </row>
    <row r="1516" spans="1:18" x14ac:dyDescent="0.25">
      <c r="A1516" s="133">
        <v>44236</v>
      </c>
      <c r="B1516" s="110">
        <v>32.46</v>
      </c>
      <c r="C1516" s="110">
        <v>31.13</v>
      </c>
      <c r="D1516" s="110">
        <v>30.96</v>
      </c>
      <c r="E1516" s="110">
        <v>31.95</v>
      </c>
      <c r="F1516" s="110">
        <v>155.65</v>
      </c>
      <c r="G1516">
        <v>1422395</v>
      </c>
      <c r="H1516" s="110"/>
      <c r="I1516" s="110"/>
      <c r="L1516" s="133">
        <v>44236</v>
      </c>
      <c r="M1516" s="110">
        <v>31.13</v>
      </c>
      <c r="N1516" s="110">
        <v>32.47</v>
      </c>
      <c r="O1516" s="110">
        <v>30.9</v>
      </c>
      <c r="P1516" s="110">
        <v>31.69</v>
      </c>
      <c r="Q1516" s="110">
        <v>155.65</v>
      </c>
      <c r="R1516">
        <v>30125060</v>
      </c>
    </row>
    <row r="1517" spans="1:18" x14ac:dyDescent="0.25">
      <c r="A1517" s="133">
        <v>44237</v>
      </c>
      <c r="B1517" s="110">
        <v>32.29</v>
      </c>
      <c r="C1517" s="110">
        <v>32.119999999999997</v>
      </c>
      <c r="D1517" s="110">
        <v>30.77</v>
      </c>
      <c r="E1517" s="110">
        <v>31.2</v>
      </c>
      <c r="F1517" s="110">
        <v>160.6</v>
      </c>
      <c r="G1517">
        <v>1555961</v>
      </c>
      <c r="H1517" s="110"/>
      <c r="I1517" s="110"/>
      <c r="L1517" s="133">
        <v>44237</v>
      </c>
      <c r="M1517" s="110">
        <v>32.130000000000003</v>
      </c>
      <c r="N1517" s="110">
        <v>32.29</v>
      </c>
      <c r="O1517" s="110">
        <v>30.76</v>
      </c>
      <c r="P1517" s="110">
        <v>31.3</v>
      </c>
      <c r="Q1517" s="110">
        <v>160.65</v>
      </c>
      <c r="R1517">
        <v>32676392</v>
      </c>
    </row>
    <row r="1518" spans="1:18" x14ac:dyDescent="0.25">
      <c r="A1518" s="133">
        <v>44238</v>
      </c>
      <c r="B1518" s="110">
        <v>32.28</v>
      </c>
      <c r="C1518" s="110">
        <v>31.53</v>
      </c>
      <c r="D1518" s="110">
        <v>31.42</v>
      </c>
      <c r="E1518" s="110">
        <v>32.119999999999997</v>
      </c>
      <c r="F1518" s="110">
        <v>157.65</v>
      </c>
      <c r="G1518">
        <v>928834</v>
      </c>
      <c r="H1518" s="110"/>
      <c r="I1518" s="110"/>
      <c r="L1518" s="133">
        <v>44238</v>
      </c>
      <c r="M1518" s="110">
        <v>31.56</v>
      </c>
      <c r="N1518" s="110">
        <v>32.270000000000003</v>
      </c>
      <c r="O1518" s="110">
        <v>31.41</v>
      </c>
      <c r="P1518" s="110">
        <v>32</v>
      </c>
      <c r="Q1518" s="110">
        <v>157.80000000000001</v>
      </c>
      <c r="R1518">
        <v>17602651</v>
      </c>
    </row>
    <row r="1519" spans="1:18" x14ac:dyDescent="0.25">
      <c r="A1519" s="133">
        <v>44239</v>
      </c>
      <c r="B1519" s="110">
        <v>32.32</v>
      </c>
      <c r="C1519" s="110">
        <v>31.41</v>
      </c>
      <c r="D1519" s="110">
        <v>31.25</v>
      </c>
      <c r="E1519" s="110">
        <v>31.64</v>
      </c>
      <c r="F1519" s="110">
        <v>157.05000000000001</v>
      </c>
      <c r="G1519">
        <v>967340</v>
      </c>
      <c r="H1519" s="110"/>
      <c r="I1519" s="110"/>
      <c r="L1519" s="133">
        <v>44239</v>
      </c>
      <c r="M1519" s="110">
        <v>31.42</v>
      </c>
      <c r="N1519" s="110">
        <v>32.340000000000003</v>
      </c>
      <c r="O1519" s="110">
        <v>31.23</v>
      </c>
      <c r="P1519" s="110">
        <v>31.72</v>
      </c>
      <c r="Q1519" s="110">
        <v>157.1</v>
      </c>
      <c r="R1519">
        <v>21225229</v>
      </c>
    </row>
    <row r="1520" spans="1:18" x14ac:dyDescent="0.25">
      <c r="A1520" s="133">
        <v>44242</v>
      </c>
      <c r="B1520" s="110">
        <v>32.86</v>
      </c>
      <c r="C1520" s="110">
        <v>32.520000000000003</v>
      </c>
      <c r="D1520" s="110">
        <v>31.51</v>
      </c>
      <c r="E1520" s="110">
        <v>31.55</v>
      </c>
      <c r="F1520" s="110">
        <v>162.6</v>
      </c>
      <c r="G1520">
        <v>1063121</v>
      </c>
      <c r="H1520" s="110"/>
      <c r="I1520" s="110"/>
      <c r="L1520" s="133">
        <v>44242</v>
      </c>
      <c r="M1520" s="110">
        <v>32.51</v>
      </c>
      <c r="N1520" s="110">
        <v>32.86</v>
      </c>
      <c r="O1520" s="110">
        <v>31.5</v>
      </c>
      <c r="P1520" s="110">
        <v>31.77</v>
      </c>
      <c r="Q1520" s="110">
        <v>162.55000000000001</v>
      </c>
      <c r="R1520">
        <v>22985109</v>
      </c>
    </row>
    <row r="1521" spans="1:18" x14ac:dyDescent="0.25">
      <c r="A1521" s="133">
        <v>44243</v>
      </c>
      <c r="B1521" s="110">
        <v>33.19</v>
      </c>
      <c r="C1521" s="110">
        <v>32.51</v>
      </c>
      <c r="D1521" s="110">
        <v>32.04</v>
      </c>
      <c r="E1521" s="110">
        <v>32.950000000000003</v>
      </c>
      <c r="F1521" s="110">
        <v>162.55000000000001</v>
      </c>
      <c r="G1521">
        <v>1832910</v>
      </c>
      <c r="H1521" s="110"/>
      <c r="I1521" s="110"/>
      <c r="L1521" s="133">
        <v>44243</v>
      </c>
      <c r="M1521" s="110">
        <v>32.520000000000003</v>
      </c>
      <c r="N1521" s="110">
        <v>33.19</v>
      </c>
      <c r="O1521" s="110">
        <v>32.020000000000003</v>
      </c>
      <c r="P1521" s="110">
        <v>32.92</v>
      </c>
      <c r="Q1521" s="110">
        <v>162.6</v>
      </c>
      <c r="R1521">
        <v>28711074</v>
      </c>
    </row>
    <row r="1522" spans="1:18" x14ac:dyDescent="0.25">
      <c r="A1522" s="133">
        <v>44244</v>
      </c>
      <c r="B1522" s="110">
        <v>33.69</v>
      </c>
      <c r="C1522" s="110">
        <v>33.25</v>
      </c>
      <c r="D1522" s="110">
        <v>32.4</v>
      </c>
      <c r="E1522" s="110">
        <v>32.51</v>
      </c>
      <c r="F1522" s="110">
        <v>166.25</v>
      </c>
      <c r="G1522">
        <v>1855254</v>
      </c>
      <c r="H1522" s="110"/>
      <c r="I1522" s="110"/>
      <c r="L1522" s="133">
        <v>44244</v>
      </c>
      <c r="M1522" s="110">
        <v>33.25</v>
      </c>
      <c r="N1522" s="110">
        <v>33.69</v>
      </c>
      <c r="O1522" s="110">
        <v>32.4</v>
      </c>
      <c r="P1522" s="110">
        <v>32.49</v>
      </c>
      <c r="Q1522" s="110">
        <v>166.25</v>
      </c>
      <c r="R1522">
        <v>47451852</v>
      </c>
    </row>
    <row r="1523" spans="1:18" x14ac:dyDescent="0.25">
      <c r="A1523" s="133">
        <v>44245</v>
      </c>
      <c r="B1523" s="110">
        <v>34.880000000000003</v>
      </c>
      <c r="C1523" s="110">
        <v>33.69</v>
      </c>
      <c r="D1523" s="110">
        <v>33.08</v>
      </c>
      <c r="E1523" s="110">
        <v>33.590000000000003</v>
      </c>
      <c r="F1523" s="110">
        <v>168.45</v>
      </c>
      <c r="G1523">
        <v>2466619</v>
      </c>
      <c r="H1523" s="110"/>
      <c r="I1523" s="110"/>
      <c r="L1523" s="133">
        <v>44245</v>
      </c>
      <c r="M1523" s="110">
        <v>33.68</v>
      </c>
      <c r="N1523" s="110">
        <v>34.92</v>
      </c>
      <c r="O1523" s="110">
        <v>33.07</v>
      </c>
      <c r="P1523" s="110">
        <v>33.6</v>
      </c>
      <c r="Q1523" s="110">
        <v>168.4</v>
      </c>
      <c r="R1523">
        <v>56552975</v>
      </c>
    </row>
    <row r="1524" spans="1:18" x14ac:dyDescent="0.25">
      <c r="A1524" s="133">
        <v>44246</v>
      </c>
      <c r="B1524" s="110">
        <v>33.83</v>
      </c>
      <c r="C1524" s="110">
        <v>31.97</v>
      </c>
      <c r="D1524" s="110">
        <v>31.66</v>
      </c>
      <c r="E1524" s="110">
        <v>33.590000000000003</v>
      </c>
      <c r="F1524" s="110">
        <v>159.85</v>
      </c>
      <c r="G1524">
        <v>2257177</v>
      </c>
      <c r="H1524" s="110"/>
      <c r="I1524" s="110"/>
      <c r="L1524" s="133">
        <v>44246</v>
      </c>
      <c r="M1524" s="110">
        <v>32</v>
      </c>
      <c r="N1524" s="110">
        <v>33.840000000000003</v>
      </c>
      <c r="O1524" s="110">
        <v>31.65</v>
      </c>
      <c r="P1524" s="110">
        <v>33.4</v>
      </c>
      <c r="Q1524" s="110">
        <v>160</v>
      </c>
      <c r="R1524">
        <v>32282645</v>
      </c>
    </row>
    <row r="1525" spans="1:18" x14ac:dyDescent="0.25">
      <c r="A1525" s="133">
        <v>44249</v>
      </c>
      <c r="B1525" s="110">
        <v>32.21</v>
      </c>
      <c r="C1525" s="110">
        <v>30.89</v>
      </c>
      <c r="D1525" s="110">
        <v>30.71</v>
      </c>
      <c r="E1525" s="110">
        <v>31.97</v>
      </c>
      <c r="F1525" s="110">
        <v>154.44999999999999</v>
      </c>
      <c r="G1525">
        <v>1059067</v>
      </c>
      <c r="H1525" s="110"/>
      <c r="I1525" s="110"/>
      <c r="L1525" s="133">
        <v>44249</v>
      </c>
      <c r="M1525" s="110">
        <v>30.94</v>
      </c>
      <c r="N1525" s="110">
        <v>32.200000000000003</v>
      </c>
      <c r="O1525" s="110">
        <v>30.7</v>
      </c>
      <c r="P1525" s="110">
        <v>32</v>
      </c>
      <c r="Q1525" s="110">
        <v>154.69999999999999</v>
      </c>
      <c r="R1525">
        <v>16543568</v>
      </c>
    </row>
    <row r="1526" spans="1:18" x14ac:dyDescent="0.25">
      <c r="A1526" s="133">
        <v>44250</v>
      </c>
      <c r="B1526" s="110">
        <v>32.14</v>
      </c>
      <c r="C1526" s="110">
        <v>31.83</v>
      </c>
      <c r="D1526" s="110">
        <v>30.99</v>
      </c>
      <c r="E1526" s="110">
        <v>31</v>
      </c>
      <c r="F1526" s="110">
        <v>159.15</v>
      </c>
      <c r="G1526">
        <v>1137494</v>
      </c>
      <c r="H1526" s="110"/>
      <c r="I1526" s="110"/>
      <c r="L1526" s="133">
        <v>44250</v>
      </c>
      <c r="M1526" s="110">
        <v>31.86</v>
      </c>
      <c r="N1526" s="110">
        <v>32.14</v>
      </c>
      <c r="O1526" s="110">
        <v>31</v>
      </c>
      <c r="P1526" s="110">
        <v>31</v>
      </c>
      <c r="Q1526" s="110">
        <v>159.30000000000001</v>
      </c>
      <c r="R1526">
        <v>20224578</v>
      </c>
    </row>
    <row r="1527" spans="1:18" x14ac:dyDescent="0.25">
      <c r="A1527" s="133">
        <v>44251</v>
      </c>
      <c r="B1527" s="110">
        <v>33</v>
      </c>
      <c r="C1527" s="110">
        <v>32.29</v>
      </c>
      <c r="D1527" s="110">
        <v>30.2</v>
      </c>
      <c r="E1527" s="110">
        <v>31.9</v>
      </c>
      <c r="F1527" s="110">
        <v>161.44999999999999</v>
      </c>
      <c r="G1527">
        <v>2658781</v>
      </c>
      <c r="H1527" s="110"/>
      <c r="I1527" s="110"/>
      <c r="L1527" s="133">
        <v>44251</v>
      </c>
      <c r="M1527" s="110">
        <v>32.17</v>
      </c>
      <c r="N1527" s="110">
        <v>32.74</v>
      </c>
      <c r="O1527" s="110">
        <v>31.07</v>
      </c>
      <c r="P1527" s="110">
        <v>31.88</v>
      </c>
      <c r="Q1527" s="110">
        <v>160.85</v>
      </c>
      <c r="R1527">
        <v>17241100</v>
      </c>
    </row>
    <row r="1528" spans="1:18" x14ac:dyDescent="0.25">
      <c r="A1528" s="133">
        <v>44252</v>
      </c>
      <c r="B1528" s="110">
        <v>33.17</v>
      </c>
      <c r="C1528" s="110">
        <v>32.72</v>
      </c>
      <c r="D1528" s="110">
        <v>32.44</v>
      </c>
      <c r="E1528" s="110">
        <v>32.51</v>
      </c>
      <c r="F1528" s="110">
        <v>163.6</v>
      </c>
      <c r="G1528">
        <v>1322762</v>
      </c>
      <c r="H1528" s="110"/>
      <c r="I1528" s="110"/>
      <c r="L1528" s="133">
        <v>44252</v>
      </c>
      <c r="M1528" s="110">
        <v>32.700000000000003</v>
      </c>
      <c r="N1528" s="110">
        <v>33.18</v>
      </c>
      <c r="O1528" s="110">
        <v>32.479999999999997</v>
      </c>
      <c r="P1528" s="110">
        <v>32.6</v>
      </c>
      <c r="Q1528" s="110">
        <v>163.5</v>
      </c>
      <c r="R1528">
        <v>16849604</v>
      </c>
    </row>
    <row r="1529" spans="1:18" x14ac:dyDescent="0.25">
      <c r="A1529" s="133">
        <v>44253</v>
      </c>
      <c r="B1529" s="110">
        <v>32.119999999999997</v>
      </c>
      <c r="C1529" s="110">
        <v>31.4</v>
      </c>
      <c r="D1529" s="110">
        <v>31.04</v>
      </c>
      <c r="E1529" s="110">
        <v>31.81</v>
      </c>
      <c r="F1529" s="110">
        <v>157</v>
      </c>
      <c r="G1529">
        <v>1757054</v>
      </c>
      <c r="H1529" s="110"/>
      <c r="I1529" s="110"/>
      <c r="L1529" s="133">
        <v>44253</v>
      </c>
      <c r="M1529" s="110">
        <v>31.44</v>
      </c>
      <c r="N1529" s="110">
        <v>32.14</v>
      </c>
      <c r="O1529" s="110">
        <v>31</v>
      </c>
      <c r="P1529" s="110">
        <v>32</v>
      </c>
      <c r="Q1529" s="110">
        <v>157.19999999999999</v>
      </c>
      <c r="R1529">
        <v>20458137</v>
      </c>
    </row>
    <row r="1530" spans="1:18" x14ac:dyDescent="0.25">
      <c r="A1530" s="133">
        <v>44256</v>
      </c>
      <c r="B1530" s="110">
        <v>31.97</v>
      </c>
      <c r="C1530" s="110">
        <v>31.36</v>
      </c>
      <c r="D1530" s="110">
        <v>31.01</v>
      </c>
      <c r="E1530" s="110">
        <v>31.9</v>
      </c>
      <c r="F1530" s="110">
        <v>156.80000000000001</v>
      </c>
      <c r="G1530">
        <v>753105</v>
      </c>
      <c r="H1530" s="110"/>
      <c r="I1530" s="110"/>
      <c r="L1530" s="133">
        <v>44256</v>
      </c>
      <c r="M1530" s="110">
        <v>31.35</v>
      </c>
      <c r="N1530" s="110">
        <v>32</v>
      </c>
      <c r="O1530" s="110">
        <v>31.02</v>
      </c>
      <c r="P1530" s="110">
        <v>31.85</v>
      </c>
      <c r="Q1530" s="110">
        <v>156.75</v>
      </c>
      <c r="R1530">
        <v>13581503</v>
      </c>
    </row>
    <row r="1531" spans="1:18" x14ac:dyDescent="0.25">
      <c r="A1531" s="133">
        <v>44257</v>
      </c>
      <c r="B1531" s="110">
        <v>32.409999999999997</v>
      </c>
      <c r="C1531" s="110">
        <v>31.74</v>
      </c>
      <c r="D1531" s="110">
        <v>31.37</v>
      </c>
      <c r="E1531" s="110">
        <v>31.41</v>
      </c>
      <c r="F1531" s="110">
        <v>158.69999999999999</v>
      </c>
      <c r="G1531">
        <v>1338668</v>
      </c>
      <c r="H1531" s="110"/>
      <c r="I1531" s="110"/>
      <c r="L1531" s="133">
        <v>44257</v>
      </c>
      <c r="M1531" s="110">
        <v>31.75</v>
      </c>
      <c r="N1531" s="110">
        <v>32.44</v>
      </c>
      <c r="O1531" s="110">
        <v>31.38</v>
      </c>
      <c r="P1531" s="110">
        <v>31.58</v>
      </c>
      <c r="Q1531" s="110">
        <v>158.75</v>
      </c>
      <c r="R1531">
        <v>17816299</v>
      </c>
    </row>
    <row r="1532" spans="1:18" x14ac:dyDescent="0.25">
      <c r="A1532" s="133">
        <v>44258</v>
      </c>
      <c r="B1532" s="110">
        <v>33.4</v>
      </c>
      <c r="C1532" s="110">
        <v>33.159999999999997</v>
      </c>
      <c r="D1532" s="110">
        <v>32</v>
      </c>
      <c r="E1532" s="110">
        <v>32.07</v>
      </c>
      <c r="F1532" s="110">
        <v>165.8</v>
      </c>
      <c r="G1532">
        <v>1134190</v>
      </c>
      <c r="H1532" s="110"/>
      <c r="I1532" s="110"/>
      <c r="L1532" s="133">
        <v>44258</v>
      </c>
      <c r="M1532" s="110">
        <v>33.159999999999997</v>
      </c>
      <c r="N1532" s="110">
        <v>33.4</v>
      </c>
      <c r="O1532" s="110">
        <v>31.94</v>
      </c>
      <c r="P1532" s="110">
        <v>32</v>
      </c>
      <c r="Q1532" s="110">
        <v>165.8</v>
      </c>
      <c r="R1532">
        <v>26964801</v>
      </c>
    </row>
    <row r="1533" spans="1:18" x14ac:dyDescent="0.25">
      <c r="A1533" s="133">
        <v>44259</v>
      </c>
      <c r="B1533" s="110">
        <v>34.479999999999997</v>
      </c>
      <c r="C1533" s="110">
        <v>33.71</v>
      </c>
      <c r="D1533" s="110">
        <v>32.33</v>
      </c>
      <c r="E1533" s="110">
        <v>32.92</v>
      </c>
      <c r="F1533" s="110">
        <v>168.55</v>
      </c>
      <c r="G1533">
        <v>2157977</v>
      </c>
      <c r="H1533" s="110"/>
      <c r="I1533" s="110"/>
      <c r="L1533" s="133">
        <v>44259</v>
      </c>
      <c r="M1533" s="110">
        <v>33.71</v>
      </c>
      <c r="N1533" s="110">
        <v>34.49</v>
      </c>
      <c r="O1533" s="110">
        <v>32.36</v>
      </c>
      <c r="P1533" s="110">
        <v>32.700000000000003</v>
      </c>
      <c r="Q1533" s="110">
        <v>168.55</v>
      </c>
      <c r="R1533">
        <v>31614453</v>
      </c>
    </row>
    <row r="1534" spans="1:18" x14ac:dyDescent="0.25">
      <c r="A1534" s="133">
        <v>44260</v>
      </c>
      <c r="B1534" s="110">
        <v>33.58</v>
      </c>
      <c r="C1534" s="110">
        <v>31.91</v>
      </c>
      <c r="D1534" s="110">
        <v>31.44</v>
      </c>
      <c r="E1534" s="110">
        <v>33.58</v>
      </c>
      <c r="F1534" s="110">
        <v>159.55000000000001</v>
      </c>
      <c r="G1534">
        <v>1861483</v>
      </c>
      <c r="H1534" s="110"/>
      <c r="I1534" s="110"/>
      <c r="L1534" s="133">
        <v>44260</v>
      </c>
      <c r="M1534" s="110">
        <v>31.92</v>
      </c>
      <c r="N1534" s="110">
        <v>33.44</v>
      </c>
      <c r="O1534" s="110">
        <v>31.45</v>
      </c>
      <c r="P1534" s="110">
        <v>33.4</v>
      </c>
      <c r="Q1534" s="110">
        <v>159.6</v>
      </c>
      <c r="R1534">
        <v>31144582</v>
      </c>
    </row>
    <row r="1535" spans="1:18" x14ac:dyDescent="0.25">
      <c r="A1535" s="133">
        <v>44263</v>
      </c>
      <c r="B1535" s="110">
        <v>32.950000000000003</v>
      </c>
      <c r="C1535" s="110">
        <v>32.26</v>
      </c>
      <c r="D1535" s="110">
        <v>32.01</v>
      </c>
      <c r="E1535" s="110">
        <v>32.549999999999997</v>
      </c>
      <c r="F1535" s="110">
        <v>161.30000000000001</v>
      </c>
      <c r="G1535">
        <v>780526</v>
      </c>
      <c r="H1535" s="110"/>
      <c r="I1535" s="110"/>
      <c r="L1535" s="133">
        <v>44263</v>
      </c>
      <c r="M1535" s="110">
        <v>32.270000000000003</v>
      </c>
      <c r="N1535" s="110">
        <v>32.96</v>
      </c>
      <c r="O1535" s="110">
        <v>32</v>
      </c>
      <c r="P1535" s="110">
        <v>32.4</v>
      </c>
      <c r="Q1535" s="110">
        <v>161.35</v>
      </c>
      <c r="R1535">
        <v>16272959</v>
      </c>
    </row>
    <row r="1536" spans="1:18" x14ac:dyDescent="0.25">
      <c r="A1536" s="133">
        <v>44264</v>
      </c>
      <c r="B1536" s="110">
        <v>32.840000000000003</v>
      </c>
      <c r="C1536" s="110">
        <v>31.98</v>
      </c>
      <c r="D1536" s="110">
        <v>31.5</v>
      </c>
      <c r="E1536" s="110">
        <v>32.49</v>
      </c>
      <c r="F1536" s="110">
        <v>159.9</v>
      </c>
      <c r="G1536">
        <v>573909</v>
      </c>
      <c r="H1536" s="110"/>
      <c r="I1536" s="110"/>
      <c r="L1536" s="133">
        <v>44264</v>
      </c>
      <c r="M1536" s="110">
        <v>31.99</v>
      </c>
      <c r="N1536" s="110">
        <v>32.85</v>
      </c>
      <c r="O1536" s="110">
        <v>31.51</v>
      </c>
      <c r="P1536" s="110">
        <v>32.56</v>
      </c>
      <c r="Q1536" s="110">
        <v>159.94999999999999</v>
      </c>
      <c r="R1536">
        <v>15122459</v>
      </c>
    </row>
    <row r="1537" spans="1:18" x14ac:dyDescent="0.25">
      <c r="A1537" s="133">
        <v>44265</v>
      </c>
      <c r="B1537" s="110">
        <v>32.56</v>
      </c>
      <c r="C1537" s="110">
        <v>32.24</v>
      </c>
      <c r="D1537" s="110">
        <v>31.95</v>
      </c>
      <c r="E1537" s="110">
        <v>32.28</v>
      </c>
      <c r="F1537" s="110">
        <v>161.19999999999999</v>
      </c>
      <c r="G1537">
        <v>441483</v>
      </c>
      <c r="H1537" s="110"/>
      <c r="I1537" s="110"/>
      <c r="L1537" s="133">
        <v>44265</v>
      </c>
      <c r="M1537" s="110">
        <v>32.24</v>
      </c>
      <c r="N1537" s="110">
        <v>32.549999999999997</v>
      </c>
      <c r="O1537" s="110">
        <v>31.95</v>
      </c>
      <c r="P1537" s="110">
        <v>32.28</v>
      </c>
      <c r="Q1537" s="110">
        <v>161.19999999999999</v>
      </c>
      <c r="R1537">
        <v>9826429</v>
      </c>
    </row>
    <row r="1538" spans="1:18" x14ac:dyDescent="0.25">
      <c r="A1538" s="133">
        <v>44267</v>
      </c>
      <c r="B1538" s="110">
        <v>32.840000000000003</v>
      </c>
      <c r="C1538" s="110">
        <v>31.4</v>
      </c>
      <c r="D1538" s="110">
        <v>31.14</v>
      </c>
      <c r="E1538" s="110">
        <v>32.42</v>
      </c>
      <c r="F1538" s="110">
        <v>157</v>
      </c>
      <c r="G1538">
        <v>885924</v>
      </c>
      <c r="H1538" s="110"/>
      <c r="I1538" s="110"/>
      <c r="L1538" s="133">
        <v>44267</v>
      </c>
      <c r="M1538" s="110">
        <v>31.4</v>
      </c>
      <c r="N1538" s="110">
        <v>32.840000000000003</v>
      </c>
      <c r="O1538" s="110">
        <v>31.11</v>
      </c>
      <c r="P1538" s="110">
        <v>32.549999999999997</v>
      </c>
      <c r="Q1538" s="110">
        <v>157</v>
      </c>
      <c r="R1538">
        <v>15901414</v>
      </c>
    </row>
    <row r="1539" spans="1:18" x14ac:dyDescent="0.25">
      <c r="A1539" s="133">
        <v>44270</v>
      </c>
      <c r="B1539" s="110">
        <v>31.8</v>
      </c>
      <c r="C1539" s="110">
        <v>31.66</v>
      </c>
      <c r="D1539" s="110">
        <v>30.35</v>
      </c>
      <c r="E1539" s="110">
        <v>31.58</v>
      </c>
      <c r="F1539" s="110">
        <v>158.30000000000001</v>
      </c>
      <c r="G1539">
        <v>1022271</v>
      </c>
      <c r="H1539" s="110"/>
      <c r="I1539" s="110"/>
      <c r="L1539" s="133">
        <v>44270</v>
      </c>
      <c r="M1539" s="110">
        <v>31.66</v>
      </c>
      <c r="N1539" s="110">
        <v>31.8</v>
      </c>
      <c r="O1539" s="110">
        <v>30.35</v>
      </c>
      <c r="P1539" s="110">
        <v>31.5</v>
      </c>
      <c r="Q1539" s="110">
        <v>158.30000000000001</v>
      </c>
      <c r="R1539">
        <v>15611839</v>
      </c>
    </row>
    <row r="1540" spans="1:18" x14ac:dyDescent="0.25">
      <c r="A1540" s="133">
        <v>44271</v>
      </c>
      <c r="B1540" s="110">
        <v>31.97</v>
      </c>
      <c r="C1540" s="110">
        <v>31.52</v>
      </c>
      <c r="D1540" s="110">
        <v>30.86</v>
      </c>
      <c r="E1540" s="110">
        <v>31.78</v>
      </c>
      <c r="F1540" s="110">
        <v>157.6</v>
      </c>
      <c r="G1540">
        <v>796453</v>
      </c>
      <c r="H1540" s="110"/>
      <c r="I1540" s="110"/>
      <c r="L1540" s="133">
        <v>44271</v>
      </c>
      <c r="M1540" s="110">
        <v>31.51</v>
      </c>
      <c r="N1540" s="110">
        <v>31.98</v>
      </c>
      <c r="O1540" s="110">
        <v>30.85</v>
      </c>
      <c r="P1540" s="110">
        <v>31.8</v>
      </c>
      <c r="Q1540" s="110">
        <v>157.55000000000001</v>
      </c>
      <c r="R1540">
        <v>15486161</v>
      </c>
    </row>
    <row r="1541" spans="1:18" x14ac:dyDescent="0.25">
      <c r="A1541" s="133">
        <v>44272</v>
      </c>
      <c r="B1541" s="110">
        <v>31.64</v>
      </c>
      <c r="C1541" s="110">
        <v>30.05</v>
      </c>
      <c r="D1541" s="110">
        <v>29.86</v>
      </c>
      <c r="E1541" s="110">
        <v>31.43</v>
      </c>
      <c r="F1541" s="110">
        <v>150.25</v>
      </c>
      <c r="G1541">
        <v>1512713</v>
      </c>
      <c r="H1541" s="110"/>
      <c r="I1541" s="110"/>
      <c r="L1541" s="133">
        <v>44272</v>
      </c>
      <c r="M1541" s="110">
        <v>30.05</v>
      </c>
      <c r="N1541" s="110">
        <v>31.63</v>
      </c>
      <c r="O1541" s="110">
        <v>29.84</v>
      </c>
      <c r="P1541" s="110">
        <v>31.42</v>
      </c>
      <c r="Q1541" s="110">
        <v>150.25</v>
      </c>
      <c r="R1541">
        <v>17552475</v>
      </c>
    </row>
    <row r="1542" spans="1:18" x14ac:dyDescent="0.25">
      <c r="A1542" s="133">
        <v>44273</v>
      </c>
      <c r="B1542" s="110">
        <v>30.96</v>
      </c>
      <c r="C1542" s="110">
        <v>29.13</v>
      </c>
      <c r="D1542" s="110">
        <v>28.62</v>
      </c>
      <c r="E1542" s="110">
        <v>30.4</v>
      </c>
      <c r="F1542" s="110">
        <v>145.65</v>
      </c>
      <c r="G1542">
        <v>2088716</v>
      </c>
      <c r="H1542" s="110"/>
      <c r="I1542" s="110"/>
      <c r="L1542" s="133">
        <v>44273</v>
      </c>
      <c r="M1542" s="110">
        <v>29.32</v>
      </c>
      <c r="N1542" s="110">
        <v>30.96</v>
      </c>
      <c r="O1542" s="110">
        <v>28.62</v>
      </c>
      <c r="P1542" s="110">
        <v>30.56</v>
      </c>
      <c r="Q1542" s="110">
        <v>146.6</v>
      </c>
      <c r="R1542">
        <v>20262104</v>
      </c>
    </row>
    <row r="1543" spans="1:18" x14ac:dyDescent="0.25">
      <c r="A1543" s="133">
        <v>44274</v>
      </c>
      <c r="B1543" s="110">
        <v>30.52</v>
      </c>
      <c r="C1543" s="110">
        <v>30.27</v>
      </c>
      <c r="D1543" s="110">
        <v>28.3</v>
      </c>
      <c r="E1543" s="110">
        <v>28.98</v>
      </c>
      <c r="F1543" s="110">
        <v>151.35</v>
      </c>
      <c r="G1543">
        <v>1316316</v>
      </c>
      <c r="H1543" s="110"/>
      <c r="I1543" s="110"/>
      <c r="L1543" s="133">
        <v>44274</v>
      </c>
      <c r="M1543" s="110">
        <v>30.2</v>
      </c>
      <c r="N1543" s="110">
        <v>30.48</v>
      </c>
      <c r="O1543" s="110">
        <v>28.28</v>
      </c>
      <c r="P1543" s="110">
        <v>28.9</v>
      </c>
      <c r="Q1543" s="110">
        <v>151</v>
      </c>
      <c r="R1543">
        <v>23896696</v>
      </c>
    </row>
    <row r="1544" spans="1:18" x14ac:dyDescent="0.25">
      <c r="A1544" s="133">
        <v>44277</v>
      </c>
      <c r="B1544" s="110">
        <v>30.85</v>
      </c>
      <c r="C1544" s="110">
        <v>29.98</v>
      </c>
      <c r="D1544" s="110">
        <v>29.5</v>
      </c>
      <c r="E1544" s="110">
        <v>30.2</v>
      </c>
      <c r="F1544" s="110">
        <v>149.9</v>
      </c>
      <c r="G1544">
        <v>1052654</v>
      </c>
      <c r="H1544" s="110"/>
      <c r="I1544" s="110"/>
      <c r="L1544" s="133">
        <v>44277</v>
      </c>
      <c r="M1544" s="110">
        <v>30</v>
      </c>
      <c r="N1544" s="110">
        <v>30.85</v>
      </c>
      <c r="O1544" s="110">
        <v>29.5</v>
      </c>
      <c r="P1544" s="110">
        <v>30.2</v>
      </c>
      <c r="Q1544" s="110">
        <v>150</v>
      </c>
      <c r="R1544">
        <v>19111354</v>
      </c>
    </row>
    <row r="1545" spans="1:18" x14ac:dyDescent="0.25">
      <c r="A1545" s="133">
        <v>44278</v>
      </c>
      <c r="B1545" s="110">
        <v>31.27</v>
      </c>
      <c r="C1545" s="110">
        <v>30.78</v>
      </c>
      <c r="D1545" s="110">
        <v>29.8</v>
      </c>
      <c r="E1545" s="110">
        <v>30.24</v>
      </c>
      <c r="F1545" s="110">
        <v>153.9</v>
      </c>
      <c r="G1545">
        <v>788168</v>
      </c>
      <c r="H1545" s="110"/>
      <c r="I1545" s="110"/>
      <c r="L1545" s="133">
        <v>44278</v>
      </c>
      <c r="M1545" s="110">
        <v>30.77</v>
      </c>
      <c r="N1545" s="110">
        <v>31.29</v>
      </c>
      <c r="O1545" s="110">
        <v>29.72</v>
      </c>
      <c r="P1545" s="110">
        <v>30.19</v>
      </c>
      <c r="Q1545" s="110">
        <v>153.85</v>
      </c>
      <c r="R1545">
        <v>21421629</v>
      </c>
    </row>
    <row r="1546" spans="1:18" x14ac:dyDescent="0.25">
      <c r="A1546" s="133">
        <v>44279</v>
      </c>
      <c r="B1546" s="110">
        <v>30.94</v>
      </c>
      <c r="C1546" s="110">
        <v>29.67</v>
      </c>
      <c r="D1546" s="110">
        <v>29.52</v>
      </c>
      <c r="E1546" s="110">
        <v>30.64</v>
      </c>
      <c r="F1546" s="110">
        <v>148.35</v>
      </c>
      <c r="G1546">
        <v>630150</v>
      </c>
      <c r="H1546" s="110"/>
      <c r="I1546" s="110"/>
      <c r="L1546" s="133">
        <v>44279</v>
      </c>
      <c r="M1546" s="110">
        <v>29.67</v>
      </c>
      <c r="N1546" s="110">
        <v>30.93</v>
      </c>
      <c r="O1546" s="110">
        <v>29.51</v>
      </c>
      <c r="P1546" s="110">
        <v>30.53</v>
      </c>
      <c r="Q1546" s="110">
        <v>148.35</v>
      </c>
      <c r="R1546">
        <v>13974005</v>
      </c>
    </row>
    <row r="1547" spans="1:18" x14ac:dyDescent="0.25">
      <c r="A1547" s="133">
        <v>44280</v>
      </c>
      <c r="B1547" s="110">
        <v>30.04</v>
      </c>
      <c r="C1547" s="110">
        <v>28.69</v>
      </c>
      <c r="D1547" s="110">
        <v>27.41</v>
      </c>
      <c r="E1547" s="110">
        <v>29.9</v>
      </c>
      <c r="F1547" s="110">
        <v>143.44999999999999</v>
      </c>
      <c r="G1547">
        <v>1059422</v>
      </c>
      <c r="H1547" s="110"/>
      <c r="I1547" s="110"/>
      <c r="L1547" s="133">
        <v>44280</v>
      </c>
      <c r="M1547" s="110">
        <v>28.68</v>
      </c>
      <c r="N1547" s="110">
        <v>30.1</v>
      </c>
      <c r="O1547" s="110">
        <v>27.41</v>
      </c>
      <c r="P1547" s="110">
        <v>29.72</v>
      </c>
      <c r="Q1547" s="110">
        <v>143.4</v>
      </c>
      <c r="R1547">
        <v>33493070</v>
      </c>
    </row>
    <row r="1548" spans="1:18" x14ac:dyDescent="0.25">
      <c r="A1548" s="133">
        <v>44281</v>
      </c>
      <c r="B1548" s="110">
        <v>29.7</v>
      </c>
      <c r="C1548" s="110">
        <v>29.23</v>
      </c>
      <c r="D1548" s="110">
        <v>28.86</v>
      </c>
      <c r="E1548" s="110">
        <v>29.09</v>
      </c>
      <c r="F1548" s="110">
        <v>146.15</v>
      </c>
      <c r="G1548">
        <v>862760</v>
      </c>
      <c r="H1548" s="110"/>
      <c r="I1548" s="110"/>
      <c r="L1548" s="133">
        <v>44281</v>
      </c>
      <c r="M1548" s="110">
        <v>29.23</v>
      </c>
      <c r="N1548" s="110">
        <v>29.7</v>
      </c>
      <c r="O1548" s="110">
        <v>28.86</v>
      </c>
      <c r="P1548" s="110">
        <v>29.4</v>
      </c>
      <c r="Q1548" s="110">
        <v>146.15</v>
      </c>
      <c r="R1548">
        <v>16574855</v>
      </c>
    </row>
    <row r="1549" spans="1:18" x14ac:dyDescent="0.25">
      <c r="A1549" s="133">
        <v>44285</v>
      </c>
      <c r="B1549" s="110">
        <v>29.89</v>
      </c>
      <c r="C1549" s="110">
        <v>29.37</v>
      </c>
      <c r="D1549" s="110">
        <v>28.96</v>
      </c>
      <c r="E1549" s="110">
        <v>29.64</v>
      </c>
      <c r="F1549" s="110">
        <v>146.85</v>
      </c>
      <c r="G1549">
        <v>572052</v>
      </c>
      <c r="H1549" s="110"/>
      <c r="I1549" s="110"/>
      <c r="L1549" s="133">
        <v>44285</v>
      </c>
      <c r="M1549" s="110">
        <v>29.41</v>
      </c>
      <c r="N1549" s="110">
        <v>29.9</v>
      </c>
      <c r="O1549" s="110">
        <v>28.96</v>
      </c>
      <c r="P1549" s="110">
        <v>29.6</v>
      </c>
      <c r="Q1549" s="110">
        <v>147.05000000000001</v>
      </c>
      <c r="R1549">
        <v>13091155</v>
      </c>
    </row>
    <row r="1550" spans="1:18" x14ac:dyDescent="0.25">
      <c r="A1550" s="133">
        <v>44286</v>
      </c>
      <c r="B1550" s="110">
        <v>31.09</v>
      </c>
      <c r="C1550" s="110">
        <v>30.45</v>
      </c>
      <c r="D1550" s="110">
        <v>29.11</v>
      </c>
      <c r="E1550" s="110">
        <v>29.46</v>
      </c>
      <c r="F1550" s="110">
        <v>152.25</v>
      </c>
      <c r="G1550">
        <v>1020659</v>
      </c>
      <c r="H1550" s="110"/>
      <c r="I1550" s="110"/>
      <c r="L1550" s="133">
        <v>44286</v>
      </c>
      <c r="M1550" s="110">
        <v>30.44</v>
      </c>
      <c r="N1550" s="110">
        <v>31.08</v>
      </c>
      <c r="O1550" s="110">
        <v>29.09</v>
      </c>
      <c r="P1550" s="110">
        <v>29.39</v>
      </c>
      <c r="Q1550" s="110">
        <v>152.19999999999999</v>
      </c>
      <c r="R1550">
        <v>25075042</v>
      </c>
    </row>
    <row r="1551" spans="1:18" x14ac:dyDescent="0.25">
      <c r="A1551" s="133">
        <v>44287</v>
      </c>
      <c r="B1551" s="110">
        <v>31.45</v>
      </c>
      <c r="C1551" s="110">
        <v>31.26</v>
      </c>
      <c r="D1551" s="110">
        <v>30.02</v>
      </c>
      <c r="E1551" s="110">
        <v>30.02</v>
      </c>
      <c r="F1551" s="110">
        <v>156.30000000000001</v>
      </c>
      <c r="G1551">
        <v>1034433</v>
      </c>
      <c r="H1551" s="110"/>
      <c r="I1551" s="110"/>
      <c r="L1551" s="133">
        <v>44287</v>
      </c>
      <c r="M1551" s="110">
        <v>31.27</v>
      </c>
      <c r="N1551" s="110">
        <v>31.48</v>
      </c>
      <c r="O1551" s="110">
        <v>30.12</v>
      </c>
      <c r="P1551" s="110">
        <v>30.88</v>
      </c>
      <c r="Q1551" s="110">
        <v>156.35</v>
      </c>
      <c r="R1551">
        <v>18668358</v>
      </c>
    </row>
    <row r="1552" spans="1:18" x14ac:dyDescent="0.25">
      <c r="A1552" s="133">
        <v>44291</v>
      </c>
      <c r="B1552" s="110">
        <v>31.04</v>
      </c>
      <c r="C1552" s="110">
        <v>29.36</v>
      </c>
      <c r="D1552" s="110">
        <v>28.98</v>
      </c>
      <c r="E1552" s="110">
        <v>30.94</v>
      </c>
      <c r="F1552" s="110">
        <v>146.80000000000001</v>
      </c>
      <c r="G1552">
        <v>989785</v>
      </c>
      <c r="H1552" s="110"/>
      <c r="I1552" s="110"/>
      <c r="L1552" s="133">
        <v>44291</v>
      </c>
      <c r="M1552" s="110">
        <v>29.35</v>
      </c>
      <c r="N1552" s="110">
        <v>31.2</v>
      </c>
      <c r="O1552" s="110">
        <v>28.97</v>
      </c>
      <c r="P1552" s="110">
        <v>30.85</v>
      </c>
      <c r="Q1552" s="110">
        <v>146.75</v>
      </c>
      <c r="R1552">
        <v>22534118</v>
      </c>
    </row>
    <row r="1553" spans="1:18" x14ac:dyDescent="0.25">
      <c r="A1553" s="133">
        <v>44292</v>
      </c>
      <c r="B1553" s="110">
        <v>29.96</v>
      </c>
      <c r="C1553" s="110">
        <v>29.59</v>
      </c>
      <c r="D1553" s="110">
        <v>29.13</v>
      </c>
      <c r="E1553" s="110">
        <v>29.51</v>
      </c>
      <c r="F1553" s="110">
        <v>147.94999999999999</v>
      </c>
      <c r="G1553">
        <v>1185470</v>
      </c>
      <c r="H1553" s="110"/>
      <c r="I1553" s="110"/>
      <c r="L1553" s="133">
        <v>44292</v>
      </c>
      <c r="M1553" s="110">
        <v>29.6</v>
      </c>
      <c r="N1553" s="110">
        <v>29.98</v>
      </c>
      <c r="O1553" s="110">
        <v>29.13</v>
      </c>
      <c r="P1553" s="110">
        <v>29.6</v>
      </c>
      <c r="Q1553" s="110">
        <v>148</v>
      </c>
      <c r="R1553">
        <v>14863502</v>
      </c>
    </row>
    <row r="1554" spans="1:18" x14ac:dyDescent="0.25">
      <c r="A1554" s="133">
        <v>44293</v>
      </c>
      <c r="B1554" s="110">
        <v>30.6</v>
      </c>
      <c r="C1554" s="110">
        <v>29.93</v>
      </c>
      <c r="D1554" s="110">
        <v>29.49</v>
      </c>
      <c r="E1554" s="110">
        <v>29.52</v>
      </c>
      <c r="F1554" s="110">
        <v>149.65</v>
      </c>
      <c r="G1554">
        <v>758190</v>
      </c>
      <c r="H1554" s="110"/>
      <c r="I1554" s="110"/>
      <c r="L1554" s="133">
        <v>44293</v>
      </c>
      <c r="M1554" s="110">
        <v>29.93</v>
      </c>
      <c r="N1554" s="110">
        <v>30.6</v>
      </c>
      <c r="O1554" s="110">
        <v>29.43</v>
      </c>
      <c r="P1554" s="110">
        <v>29.5</v>
      </c>
      <c r="Q1554" s="110">
        <v>149.65</v>
      </c>
      <c r="R1554">
        <v>19410024</v>
      </c>
    </row>
    <row r="1555" spans="1:18" x14ac:dyDescent="0.25">
      <c r="A1555" s="133">
        <v>44294</v>
      </c>
      <c r="B1555" s="110">
        <v>30.28</v>
      </c>
      <c r="C1555" s="110">
        <v>29.44</v>
      </c>
      <c r="D1555" s="110">
        <v>29.29</v>
      </c>
      <c r="E1555" s="110">
        <v>29.96</v>
      </c>
      <c r="F1555" s="110">
        <v>147.19999999999999</v>
      </c>
      <c r="G1555">
        <v>789874</v>
      </c>
      <c r="H1555" s="110"/>
      <c r="I1555" s="110"/>
      <c r="L1555" s="133">
        <v>44294</v>
      </c>
      <c r="M1555" s="110">
        <v>29.44</v>
      </c>
      <c r="N1555" s="110">
        <v>30.28</v>
      </c>
      <c r="O1555" s="110">
        <v>29.31</v>
      </c>
      <c r="P1555" s="110">
        <v>30.16</v>
      </c>
      <c r="Q1555" s="110">
        <v>147.19999999999999</v>
      </c>
      <c r="R1555">
        <v>13085830</v>
      </c>
    </row>
    <row r="1556" spans="1:18" x14ac:dyDescent="0.25">
      <c r="A1556" s="133">
        <v>44295</v>
      </c>
      <c r="B1556" s="110">
        <v>30.75</v>
      </c>
      <c r="C1556" s="110">
        <v>29.74</v>
      </c>
      <c r="D1556" s="110">
        <v>29.2</v>
      </c>
      <c r="E1556" s="110">
        <v>29.4</v>
      </c>
      <c r="F1556" s="110">
        <v>148.69999999999999</v>
      </c>
      <c r="G1556">
        <v>1494468</v>
      </c>
      <c r="H1556" s="110"/>
      <c r="I1556" s="110"/>
      <c r="L1556" s="133">
        <v>44295</v>
      </c>
      <c r="M1556" s="110">
        <v>29.75</v>
      </c>
      <c r="N1556" s="110">
        <v>30.76</v>
      </c>
      <c r="O1556" s="110">
        <v>29.2</v>
      </c>
      <c r="P1556" s="110">
        <v>29.4</v>
      </c>
      <c r="Q1556" s="110">
        <v>148.75</v>
      </c>
      <c r="R1556">
        <v>24984543</v>
      </c>
    </row>
    <row r="1557" spans="1:18" x14ac:dyDescent="0.25">
      <c r="A1557" s="133">
        <v>44298</v>
      </c>
      <c r="B1557" s="110">
        <v>28.98</v>
      </c>
      <c r="C1557" s="110">
        <v>26.43</v>
      </c>
      <c r="D1557" s="110">
        <v>26.08</v>
      </c>
      <c r="E1557" s="110">
        <v>28.98</v>
      </c>
      <c r="F1557" s="110">
        <v>132.15</v>
      </c>
      <c r="G1557">
        <v>1477411</v>
      </c>
      <c r="H1557" s="110"/>
      <c r="I1557" s="110"/>
      <c r="L1557" s="133">
        <v>44298</v>
      </c>
      <c r="M1557" s="110">
        <v>26.44</v>
      </c>
      <c r="N1557" s="110">
        <v>28.79</v>
      </c>
      <c r="O1557" s="110">
        <v>26.07</v>
      </c>
      <c r="P1557" s="110">
        <v>28.79</v>
      </c>
      <c r="Q1557" s="110">
        <v>132.19999999999999</v>
      </c>
      <c r="R1557">
        <v>27939947</v>
      </c>
    </row>
    <row r="1558" spans="1:18" x14ac:dyDescent="0.25">
      <c r="A1558" s="133">
        <v>44299</v>
      </c>
      <c r="B1558" s="110">
        <v>27.59</v>
      </c>
      <c r="C1558" s="110">
        <v>27.47</v>
      </c>
      <c r="D1558" s="110">
        <v>26.34</v>
      </c>
      <c r="E1558" s="110">
        <v>27</v>
      </c>
      <c r="F1558" s="110">
        <v>137.35</v>
      </c>
      <c r="G1558">
        <v>739049</v>
      </c>
      <c r="H1558" s="110"/>
      <c r="I1558" s="110"/>
      <c r="L1558" s="133">
        <v>44299</v>
      </c>
      <c r="M1558" s="110">
        <v>27.47</v>
      </c>
      <c r="N1558" s="110">
        <v>27.59</v>
      </c>
      <c r="O1558" s="110">
        <v>26.31</v>
      </c>
      <c r="P1558" s="110">
        <v>27</v>
      </c>
      <c r="Q1558" s="110">
        <v>137.35</v>
      </c>
      <c r="R1558">
        <v>20101923</v>
      </c>
    </row>
    <row r="1559" spans="1:18" x14ac:dyDescent="0.25">
      <c r="A1559" s="133">
        <v>44301</v>
      </c>
      <c r="B1559" s="110">
        <v>27.86</v>
      </c>
      <c r="C1559" s="110">
        <v>27.15</v>
      </c>
      <c r="D1559" s="110">
        <v>26.72</v>
      </c>
      <c r="E1559" s="110">
        <v>27.2</v>
      </c>
      <c r="F1559" s="110">
        <v>135.75</v>
      </c>
      <c r="G1559">
        <v>610537</v>
      </c>
      <c r="H1559" s="110"/>
      <c r="I1559" s="110"/>
      <c r="L1559" s="133">
        <v>44301</v>
      </c>
      <c r="M1559" s="110">
        <v>27.15</v>
      </c>
      <c r="N1559" s="110">
        <v>27.86</v>
      </c>
      <c r="O1559" s="110">
        <v>26.72</v>
      </c>
      <c r="P1559" s="110">
        <v>27.26</v>
      </c>
      <c r="Q1559" s="110">
        <v>135.75</v>
      </c>
      <c r="R1559">
        <v>15554952</v>
      </c>
    </row>
    <row r="1560" spans="1:18" x14ac:dyDescent="0.25">
      <c r="A1560" s="133">
        <v>44302</v>
      </c>
      <c r="B1560" s="110">
        <v>27.58</v>
      </c>
      <c r="C1560" s="110">
        <v>26.83</v>
      </c>
      <c r="D1560" s="110">
        <v>26.65</v>
      </c>
      <c r="E1560" s="110">
        <v>27.17</v>
      </c>
      <c r="F1560" s="110">
        <v>134.15</v>
      </c>
      <c r="G1560">
        <v>489517</v>
      </c>
      <c r="H1560" s="110"/>
      <c r="I1560" s="110"/>
      <c r="L1560" s="133">
        <v>44302</v>
      </c>
      <c r="M1560" s="110">
        <v>26.84</v>
      </c>
      <c r="N1560" s="110">
        <v>27.57</v>
      </c>
      <c r="O1560" s="110">
        <v>26.6</v>
      </c>
      <c r="P1560" s="110">
        <v>27.15</v>
      </c>
      <c r="Q1560" s="110">
        <v>134.19999999999999</v>
      </c>
      <c r="R1560">
        <v>13887726</v>
      </c>
    </row>
    <row r="1561" spans="1:18" x14ac:dyDescent="0.25">
      <c r="A1561" s="133">
        <v>44305</v>
      </c>
      <c r="B1561" s="110">
        <v>26.05</v>
      </c>
      <c r="C1561" s="110">
        <v>25.85</v>
      </c>
      <c r="D1561" s="110">
        <v>24.87</v>
      </c>
      <c r="E1561" s="110">
        <v>26.05</v>
      </c>
      <c r="F1561" s="110">
        <v>129.25</v>
      </c>
      <c r="G1561">
        <v>970998</v>
      </c>
      <c r="H1561" s="110"/>
      <c r="I1561" s="110"/>
      <c r="L1561" s="133">
        <v>44305</v>
      </c>
      <c r="M1561" s="110">
        <v>25.86</v>
      </c>
      <c r="N1561" s="110">
        <v>25.96</v>
      </c>
      <c r="O1561" s="110">
        <v>24.86</v>
      </c>
      <c r="P1561" s="110">
        <v>25.6</v>
      </c>
      <c r="Q1561" s="110">
        <v>129.30000000000001</v>
      </c>
      <c r="R1561">
        <v>20077732</v>
      </c>
    </row>
    <row r="1562" spans="1:18" x14ac:dyDescent="0.25">
      <c r="A1562" s="133">
        <v>44306</v>
      </c>
      <c r="B1562" s="110">
        <v>26.61</v>
      </c>
      <c r="C1562" s="110">
        <v>25.6</v>
      </c>
      <c r="D1562" s="110">
        <v>25.38</v>
      </c>
      <c r="E1562" s="110">
        <v>26.1</v>
      </c>
      <c r="F1562" s="110">
        <v>128</v>
      </c>
      <c r="G1562">
        <v>517038</v>
      </c>
      <c r="H1562" s="110"/>
      <c r="I1562" s="110"/>
      <c r="L1562" s="133">
        <v>44306</v>
      </c>
      <c r="M1562" s="110">
        <v>25.61</v>
      </c>
      <c r="N1562" s="110">
        <v>26.6</v>
      </c>
      <c r="O1562" s="110">
        <v>25.37</v>
      </c>
      <c r="P1562" s="110">
        <v>26.2</v>
      </c>
      <c r="Q1562" s="110">
        <v>128.05000000000001</v>
      </c>
      <c r="R1562">
        <v>13038499</v>
      </c>
    </row>
    <row r="1563" spans="1:18" x14ac:dyDescent="0.25">
      <c r="A1563" s="133">
        <v>44308</v>
      </c>
      <c r="B1563" s="110">
        <v>26.25</v>
      </c>
      <c r="C1563" s="110">
        <v>26.06</v>
      </c>
      <c r="D1563" s="110">
        <v>25.08</v>
      </c>
      <c r="E1563" s="110">
        <v>25.3</v>
      </c>
      <c r="F1563" s="110">
        <v>130.30000000000001</v>
      </c>
      <c r="G1563">
        <v>610114</v>
      </c>
      <c r="H1563" s="110"/>
      <c r="I1563" s="110"/>
      <c r="L1563" s="133">
        <v>44308</v>
      </c>
      <c r="M1563" s="110">
        <v>26.05</v>
      </c>
      <c r="N1563" s="110">
        <v>26.25</v>
      </c>
      <c r="O1563" s="110">
        <v>25.02</v>
      </c>
      <c r="P1563" s="110">
        <v>25.16</v>
      </c>
      <c r="Q1563" s="110">
        <v>130.25</v>
      </c>
      <c r="R1563">
        <v>13909497</v>
      </c>
    </row>
    <row r="1564" spans="1:18" x14ac:dyDescent="0.25">
      <c r="A1564" s="133">
        <v>44309</v>
      </c>
      <c r="B1564" s="110">
        <v>26.95</v>
      </c>
      <c r="C1564" s="110">
        <v>26.09</v>
      </c>
      <c r="D1564" s="110">
        <v>25.6</v>
      </c>
      <c r="E1564" s="110">
        <v>25.6</v>
      </c>
      <c r="F1564" s="110">
        <v>130.44999999999999</v>
      </c>
      <c r="G1564">
        <v>1418839</v>
      </c>
      <c r="H1564" s="110"/>
      <c r="I1564" s="110"/>
      <c r="L1564" s="133">
        <v>44309</v>
      </c>
      <c r="M1564" s="110">
        <v>26.1</v>
      </c>
      <c r="N1564" s="110">
        <v>26.96</v>
      </c>
      <c r="O1564" s="110">
        <v>25.67</v>
      </c>
      <c r="P1564" s="110">
        <v>25.7</v>
      </c>
      <c r="Q1564" s="110">
        <v>130.5</v>
      </c>
      <c r="R1564">
        <v>20689949</v>
      </c>
    </row>
    <row r="1565" spans="1:18" x14ac:dyDescent="0.25">
      <c r="A1565" s="133">
        <v>44312</v>
      </c>
      <c r="B1565" s="110">
        <v>27.15</v>
      </c>
      <c r="C1565" s="110">
        <v>27.05</v>
      </c>
      <c r="D1565" s="110">
        <v>26.36</v>
      </c>
      <c r="E1565" s="110">
        <v>26.5</v>
      </c>
      <c r="F1565" s="110">
        <v>135.25</v>
      </c>
      <c r="G1565">
        <v>877200</v>
      </c>
      <c r="H1565" s="110"/>
      <c r="I1565" s="110"/>
      <c r="L1565" s="133">
        <v>44312</v>
      </c>
      <c r="M1565" s="110">
        <v>27.05</v>
      </c>
      <c r="N1565" s="110">
        <v>27.16</v>
      </c>
      <c r="O1565" s="110">
        <v>26.35</v>
      </c>
      <c r="P1565" s="110">
        <v>26.42</v>
      </c>
      <c r="Q1565" s="110">
        <v>135.25</v>
      </c>
      <c r="R1565">
        <v>18837895</v>
      </c>
    </row>
    <row r="1566" spans="1:18" x14ac:dyDescent="0.25">
      <c r="A1566" s="133">
        <v>44313</v>
      </c>
      <c r="B1566" s="110">
        <v>28.04</v>
      </c>
      <c r="C1566" s="110">
        <v>27.95</v>
      </c>
      <c r="D1566" s="110">
        <v>26.94</v>
      </c>
      <c r="E1566" s="110">
        <v>27.05</v>
      </c>
      <c r="F1566" s="110">
        <v>139.75</v>
      </c>
      <c r="G1566">
        <v>963720</v>
      </c>
      <c r="H1566" s="110"/>
      <c r="I1566" s="110"/>
      <c r="L1566" s="133">
        <v>44313</v>
      </c>
      <c r="M1566" s="110">
        <v>27.93</v>
      </c>
      <c r="N1566" s="110">
        <v>28.04</v>
      </c>
      <c r="O1566" s="110">
        <v>26.92</v>
      </c>
      <c r="P1566" s="110">
        <v>27.16</v>
      </c>
      <c r="Q1566" s="110">
        <v>139.65</v>
      </c>
      <c r="R1566">
        <v>20065476</v>
      </c>
    </row>
    <row r="1567" spans="1:18" x14ac:dyDescent="0.25">
      <c r="A1567" s="133">
        <v>44314</v>
      </c>
      <c r="B1567" s="110">
        <v>28.72</v>
      </c>
      <c r="C1567" s="110">
        <v>28.62</v>
      </c>
      <c r="D1567" s="110">
        <v>28</v>
      </c>
      <c r="E1567" s="110">
        <v>28</v>
      </c>
      <c r="F1567" s="110">
        <v>143.1</v>
      </c>
      <c r="G1567">
        <v>1082373</v>
      </c>
      <c r="H1567" s="110"/>
      <c r="I1567" s="110"/>
      <c r="L1567" s="133">
        <v>44314</v>
      </c>
      <c r="M1567" s="110">
        <v>28.62</v>
      </c>
      <c r="N1567" s="110">
        <v>28.74</v>
      </c>
      <c r="O1567" s="110">
        <v>28</v>
      </c>
      <c r="P1567" s="110">
        <v>28</v>
      </c>
      <c r="Q1567" s="110">
        <v>143.1</v>
      </c>
      <c r="R1567">
        <v>16724543</v>
      </c>
    </row>
    <row r="1568" spans="1:18" x14ac:dyDescent="0.25">
      <c r="A1568" s="133">
        <v>44315</v>
      </c>
      <c r="B1568" s="110">
        <v>28.99</v>
      </c>
      <c r="C1568" s="110">
        <v>27.89</v>
      </c>
      <c r="D1568" s="110">
        <v>27.63</v>
      </c>
      <c r="E1568" s="110">
        <v>28.67</v>
      </c>
      <c r="F1568" s="110">
        <v>139.44999999999999</v>
      </c>
      <c r="G1568">
        <v>1248033</v>
      </c>
      <c r="H1568" s="110"/>
      <c r="I1568" s="110"/>
      <c r="L1568" s="133">
        <v>44315</v>
      </c>
      <c r="M1568" s="110">
        <v>27.9</v>
      </c>
      <c r="N1568" s="110">
        <v>28.98</v>
      </c>
      <c r="O1568" s="110">
        <v>27.62</v>
      </c>
      <c r="P1568" s="110">
        <v>28.8</v>
      </c>
      <c r="Q1568" s="110">
        <v>139.5</v>
      </c>
      <c r="R1568">
        <v>19044879</v>
      </c>
    </row>
    <row r="1569" spans="1:18" x14ac:dyDescent="0.25">
      <c r="A1569" s="133">
        <v>44316</v>
      </c>
      <c r="B1569" s="110">
        <v>28.78</v>
      </c>
      <c r="C1569" s="110">
        <v>27.77</v>
      </c>
      <c r="D1569" s="110">
        <v>27.35</v>
      </c>
      <c r="E1569" s="110">
        <v>27.42</v>
      </c>
      <c r="F1569" s="110">
        <v>138.85</v>
      </c>
      <c r="G1569">
        <v>950812</v>
      </c>
      <c r="H1569" s="110"/>
      <c r="I1569" s="110"/>
      <c r="L1569" s="133">
        <v>44316</v>
      </c>
      <c r="M1569" s="110">
        <v>27.75</v>
      </c>
      <c r="N1569" s="110">
        <v>28.78</v>
      </c>
      <c r="O1569" s="110">
        <v>27.3</v>
      </c>
      <c r="P1569" s="110">
        <v>27.48</v>
      </c>
      <c r="Q1569" s="110">
        <v>138.75</v>
      </c>
      <c r="R1569">
        <v>18859850</v>
      </c>
    </row>
    <row r="1570" spans="1:18" x14ac:dyDescent="0.25">
      <c r="A1570" s="133">
        <v>44319</v>
      </c>
      <c r="B1570" s="110">
        <v>27.96</v>
      </c>
      <c r="C1570" s="110">
        <v>27.74</v>
      </c>
      <c r="D1570" s="110">
        <v>27.16</v>
      </c>
      <c r="E1570" s="110">
        <v>27.24</v>
      </c>
      <c r="F1570" s="110">
        <v>138.69999999999999</v>
      </c>
      <c r="G1570">
        <v>919084</v>
      </c>
      <c r="H1570" s="110"/>
      <c r="I1570" s="110"/>
      <c r="L1570" s="133">
        <v>44319</v>
      </c>
      <c r="M1570" s="110">
        <v>27.75</v>
      </c>
      <c r="N1570" s="110">
        <v>27.96</v>
      </c>
      <c r="O1570" s="110">
        <v>27.18</v>
      </c>
      <c r="P1570" s="110">
        <v>27.39</v>
      </c>
      <c r="Q1570" s="110">
        <v>138.75</v>
      </c>
      <c r="R1570">
        <v>13682192</v>
      </c>
    </row>
    <row r="1571" spans="1:18" x14ac:dyDescent="0.25">
      <c r="A1571" s="133">
        <v>44320</v>
      </c>
      <c r="B1571" s="110">
        <v>29.65</v>
      </c>
      <c r="C1571" s="110">
        <v>28.27</v>
      </c>
      <c r="D1571" s="110">
        <v>27.92</v>
      </c>
      <c r="E1571" s="110">
        <v>28.08</v>
      </c>
      <c r="F1571" s="110">
        <v>141.35</v>
      </c>
      <c r="G1571">
        <v>1534476</v>
      </c>
      <c r="H1571" s="110"/>
      <c r="I1571" s="110"/>
      <c r="L1571" s="133">
        <v>44320</v>
      </c>
      <c r="M1571" s="110">
        <v>28.27</v>
      </c>
      <c r="N1571" s="110">
        <v>29.66</v>
      </c>
      <c r="O1571" s="110">
        <v>27.92</v>
      </c>
      <c r="P1571" s="110">
        <v>28</v>
      </c>
      <c r="Q1571" s="110">
        <v>141.35</v>
      </c>
      <c r="R1571">
        <v>37241287</v>
      </c>
    </row>
    <row r="1572" spans="1:18" x14ac:dyDescent="0.25">
      <c r="A1572" s="133">
        <v>44321</v>
      </c>
      <c r="B1572" s="110">
        <v>29.57</v>
      </c>
      <c r="C1572" s="110">
        <v>29.11</v>
      </c>
      <c r="D1572" s="110">
        <v>28.47</v>
      </c>
      <c r="E1572" s="110">
        <v>28.65</v>
      </c>
      <c r="F1572" s="110">
        <v>145.55000000000001</v>
      </c>
      <c r="G1572">
        <v>1347475</v>
      </c>
      <c r="H1572" s="110"/>
      <c r="I1572" s="110"/>
      <c r="L1572" s="133">
        <v>44321</v>
      </c>
      <c r="M1572" s="110">
        <v>29.12</v>
      </c>
      <c r="N1572" s="110">
        <v>29.58</v>
      </c>
      <c r="O1572" s="110">
        <v>28.48</v>
      </c>
      <c r="P1572" s="110">
        <v>28.74</v>
      </c>
      <c r="Q1572" s="110">
        <v>145.6</v>
      </c>
      <c r="R1572">
        <v>22404765</v>
      </c>
    </row>
    <row r="1573" spans="1:18" x14ac:dyDescent="0.25">
      <c r="A1573" s="133">
        <v>44322</v>
      </c>
      <c r="B1573" s="110">
        <v>29.57</v>
      </c>
      <c r="C1573" s="110">
        <v>28.69</v>
      </c>
      <c r="D1573" s="110">
        <v>28.49</v>
      </c>
      <c r="E1573" s="110">
        <v>29.57</v>
      </c>
      <c r="F1573" s="110">
        <v>143.44999999999999</v>
      </c>
      <c r="G1573">
        <v>481068</v>
      </c>
      <c r="H1573" s="110"/>
      <c r="I1573" s="110"/>
      <c r="L1573" s="133">
        <v>44322</v>
      </c>
      <c r="M1573" s="110">
        <v>28.69</v>
      </c>
      <c r="N1573" s="110">
        <v>29.4</v>
      </c>
      <c r="O1573" s="110">
        <v>28.48</v>
      </c>
      <c r="P1573" s="110">
        <v>29.4</v>
      </c>
      <c r="Q1573" s="110">
        <v>143.44999999999999</v>
      </c>
      <c r="R1573">
        <v>11113538</v>
      </c>
    </row>
    <row r="1574" spans="1:18" x14ac:dyDescent="0.25">
      <c r="A1574" s="133">
        <v>44323</v>
      </c>
      <c r="B1574" s="110">
        <v>29.17</v>
      </c>
      <c r="C1574" s="110">
        <v>28.87</v>
      </c>
      <c r="D1574" s="110">
        <v>28.42</v>
      </c>
      <c r="E1574" s="110">
        <v>28.76</v>
      </c>
      <c r="F1574" s="110">
        <v>144.35</v>
      </c>
      <c r="G1574">
        <v>638884</v>
      </c>
      <c r="H1574" s="110"/>
      <c r="I1574" s="110"/>
      <c r="L1574" s="133">
        <v>44323</v>
      </c>
      <c r="M1574" s="110">
        <v>28.86</v>
      </c>
      <c r="N1574" s="110">
        <v>29.18</v>
      </c>
      <c r="O1574" s="110">
        <v>28.42</v>
      </c>
      <c r="P1574" s="110">
        <v>28.89</v>
      </c>
      <c r="Q1574" s="110">
        <v>144.30000000000001</v>
      </c>
      <c r="R1574">
        <v>10974380</v>
      </c>
    </row>
    <row r="1575" spans="1:18" x14ac:dyDescent="0.25">
      <c r="A1575" s="133">
        <v>44326</v>
      </c>
      <c r="B1575" s="110">
        <v>30.16</v>
      </c>
      <c r="C1575" s="110">
        <v>29.43</v>
      </c>
      <c r="D1575" s="110">
        <v>28.89</v>
      </c>
      <c r="E1575" s="110">
        <v>29.2</v>
      </c>
      <c r="F1575" s="110">
        <v>147.15</v>
      </c>
      <c r="G1575">
        <v>1444075</v>
      </c>
      <c r="H1575" s="110"/>
      <c r="I1575" s="110"/>
      <c r="L1575" s="133">
        <v>44326</v>
      </c>
      <c r="M1575" s="110">
        <v>29.43</v>
      </c>
      <c r="N1575" s="110">
        <v>30.17</v>
      </c>
      <c r="O1575" s="110">
        <v>28.9</v>
      </c>
      <c r="P1575" s="110">
        <v>29</v>
      </c>
      <c r="Q1575" s="110">
        <v>147.15</v>
      </c>
      <c r="R1575">
        <v>18713294</v>
      </c>
    </row>
    <row r="1576" spans="1:18" x14ac:dyDescent="0.25">
      <c r="A1576" s="133">
        <v>44327</v>
      </c>
      <c r="B1576" s="110">
        <v>30.46</v>
      </c>
      <c r="C1576" s="110">
        <v>30.01</v>
      </c>
      <c r="D1576" s="110">
        <v>28.7</v>
      </c>
      <c r="E1576" s="110">
        <v>28.8</v>
      </c>
      <c r="F1576" s="110">
        <v>150.05000000000001</v>
      </c>
      <c r="G1576">
        <v>1582663</v>
      </c>
      <c r="H1576" s="110"/>
      <c r="I1576" s="110"/>
      <c r="L1576" s="133">
        <v>44327</v>
      </c>
      <c r="M1576" s="110">
        <v>30.02</v>
      </c>
      <c r="N1576" s="110">
        <v>30.46</v>
      </c>
      <c r="O1576" s="110">
        <v>28.67</v>
      </c>
      <c r="P1576" s="110">
        <v>28.8</v>
      </c>
      <c r="Q1576" s="110">
        <v>150.1</v>
      </c>
      <c r="R1576">
        <v>32755149</v>
      </c>
    </row>
    <row r="1577" spans="1:18" x14ac:dyDescent="0.25">
      <c r="A1577" s="133">
        <v>44328</v>
      </c>
      <c r="B1577" s="110">
        <v>31.14</v>
      </c>
      <c r="C1577" s="110">
        <v>30.45</v>
      </c>
      <c r="D1577" s="110">
        <v>29.69</v>
      </c>
      <c r="E1577" s="110">
        <v>30.07</v>
      </c>
      <c r="F1577" s="110">
        <v>152.25</v>
      </c>
      <c r="G1577">
        <v>1908463</v>
      </c>
      <c r="H1577" s="110"/>
      <c r="I1577" s="110"/>
      <c r="L1577" s="133">
        <v>44328</v>
      </c>
      <c r="M1577" s="110">
        <v>30.44</v>
      </c>
      <c r="N1577" s="110">
        <v>31.14</v>
      </c>
      <c r="O1577" s="110">
        <v>29.67</v>
      </c>
      <c r="P1577" s="110">
        <v>30.18</v>
      </c>
      <c r="Q1577" s="110">
        <v>152.19999999999999</v>
      </c>
      <c r="R1577">
        <v>34387684</v>
      </c>
    </row>
    <row r="1578" spans="1:18" x14ac:dyDescent="0.25">
      <c r="A1578" s="133">
        <v>44330</v>
      </c>
      <c r="B1578" s="110">
        <v>31.3</v>
      </c>
      <c r="C1578" s="110">
        <v>29.5</v>
      </c>
      <c r="D1578" s="110">
        <v>29.21</v>
      </c>
      <c r="E1578" s="110">
        <v>30.96</v>
      </c>
      <c r="F1578" s="110">
        <v>147.5</v>
      </c>
      <c r="G1578">
        <v>1574060</v>
      </c>
      <c r="H1578" s="110"/>
      <c r="I1578" s="110"/>
      <c r="L1578" s="133">
        <v>44330</v>
      </c>
      <c r="M1578" s="110">
        <v>29.51</v>
      </c>
      <c r="N1578" s="110">
        <v>31.3</v>
      </c>
      <c r="O1578" s="110">
        <v>29.18</v>
      </c>
      <c r="P1578" s="110">
        <v>30.92</v>
      </c>
      <c r="Q1578" s="110">
        <v>147.55000000000001</v>
      </c>
      <c r="R1578">
        <v>25644720</v>
      </c>
    </row>
    <row r="1579" spans="1:18" x14ac:dyDescent="0.25">
      <c r="A1579" s="133">
        <v>44333</v>
      </c>
      <c r="B1579" s="110">
        <v>30.99</v>
      </c>
      <c r="C1579" s="110">
        <v>30.72</v>
      </c>
      <c r="D1579" s="110">
        <v>29.78</v>
      </c>
      <c r="E1579" s="110">
        <v>29.8</v>
      </c>
      <c r="F1579" s="110">
        <v>153.6</v>
      </c>
      <c r="G1579">
        <v>939310</v>
      </c>
      <c r="H1579" s="110"/>
      <c r="I1579" s="110"/>
      <c r="L1579" s="133">
        <v>44333</v>
      </c>
      <c r="M1579" s="110">
        <v>30.7</v>
      </c>
      <c r="N1579" s="110">
        <v>30.8</v>
      </c>
      <c r="O1579" s="110">
        <v>29.8</v>
      </c>
      <c r="P1579" s="110">
        <v>29.8</v>
      </c>
      <c r="Q1579" s="110">
        <v>153.5</v>
      </c>
      <c r="R1579">
        <v>16730937</v>
      </c>
    </row>
    <row r="1580" spans="1:18" x14ac:dyDescent="0.25">
      <c r="A1580" s="133">
        <v>44334</v>
      </c>
      <c r="B1580" s="110">
        <v>31.5</v>
      </c>
      <c r="C1580" s="110">
        <v>29.33</v>
      </c>
      <c r="D1580" s="110">
        <v>29.05</v>
      </c>
      <c r="E1580" s="110">
        <v>31.18</v>
      </c>
      <c r="F1580" s="110">
        <v>146.65</v>
      </c>
      <c r="G1580">
        <v>2869936</v>
      </c>
      <c r="H1580" s="110"/>
      <c r="I1580" s="110"/>
      <c r="L1580" s="133">
        <v>44334</v>
      </c>
      <c r="M1580" s="110">
        <v>29.33</v>
      </c>
      <c r="N1580" s="110">
        <v>31.53</v>
      </c>
      <c r="O1580" s="110">
        <v>29.03</v>
      </c>
      <c r="P1580" s="110">
        <v>31.18</v>
      </c>
      <c r="Q1580" s="110">
        <v>146.65</v>
      </c>
      <c r="R1580">
        <v>46783413</v>
      </c>
    </row>
    <row r="1581" spans="1:18" x14ac:dyDescent="0.25">
      <c r="A1581" s="133">
        <v>44335</v>
      </c>
      <c r="B1581" s="110">
        <v>30.45</v>
      </c>
      <c r="C1581" s="110">
        <v>29.28</v>
      </c>
      <c r="D1581" s="110">
        <v>29.21</v>
      </c>
      <c r="E1581" s="110">
        <v>29.78</v>
      </c>
      <c r="F1581" s="110">
        <v>146.4</v>
      </c>
      <c r="G1581">
        <v>1485332</v>
      </c>
      <c r="H1581" s="110"/>
      <c r="I1581" s="110"/>
      <c r="L1581" s="133">
        <v>44335</v>
      </c>
      <c r="M1581" s="110">
        <v>29.28</v>
      </c>
      <c r="N1581" s="110">
        <v>30.45</v>
      </c>
      <c r="O1581" s="110">
        <v>29.2</v>
      </c>
      <c r="P1581" s="110">
        <v>29.6</v>
      </c>
      <c r="Q1581" s="110">
        <v>146.4</v>
      </c>
      <c r="R1581">
        <v>38781856</v>
      </c>
    </row>
    <row r="1582" spans="1:18" x14ac:dyDescent="0.25">
      <c r="A1582" s="133">
        <v>44336</v>
      </c>
      <c r="B1582" s="110">
        <v>29.9</v>
      </c>
      <c r="C1582" s="110">
        <v>29.5</v>
      </c>
      <c r="D1582" s="110">
        <v>29.26</v>
      </c>
      <c r="E1582" s="110">
        <v>29.44</v>
      </c>
      <c r="F1582" s="110">
        <v>147.5</v>
      </c>
      <c r="G1582">
        <v>701861</v>
      </c>
      <c r="H1582" s="110"/>
      <c r="I1582" s="110"/>
      <c r="L1582" s="133">
        <v>44336</v>
      </c>
      <c r="M1582" s="110">
        <v>29.48</v>
      </c>
      <c r="N1582" s="110">
        <v>29.92</v>
      </c>
      <c r="O1582" s="110">
        <v>29.28</v>
      </c>
      <c r="P1582" s="110">
        <v>29.58</v>
      </c>
      <c r="Q1582" s="110">
        <v>147.4</v>
      </c>
      <c r="R1582">
        <v>15435022</v>
      </c>
    </row>
    <row r="1583" spans="1:18" x14ac:dyDescent="0.25">
      <c r="A1583" s="133">
        <v>44337</v>
      </c>
      <c r="B1583" s="110">
        <v>30.68</v>
      </c>
      <c r="C1583" s="110">
        <v>30.54</v>
      </c>
      <c r="D1583" s="110">
        <v>29.69</v>
      </c>
      <c r="E1583" s="110">
        <v>29.78</v>
      </c>
      <c r="F1583" s="110">
        <v>152.69999999999999</v>
      </c>
      <c r="G1583">
        <v>2853970</v>
      </c>
      <c r="H1583" s="110"/>
      <c r="I1583" s="110"/>
      <c r="L1583" s="133">
        <v>44337</v>
      </c>
      <c r="M1583" s="110">
        <v>30.57</v>
      </c>
      <c r="N1583" s="110">
        <v>30.7</v>
      </c>
      <c r="O1583" s="110">
        <v>29.7</v>
      </c>
      <c r="P1583" s="110">
        <v>29.79</v>
      </c>
      <c r="Q1583" s="110">
        <v>152.85</v>
      </c>
      <c r="R1583">
        <v>33505835</v>
      </c>
    </row>
    <row r="1584" spans="1:18" x14ac:dyDescent="0.25">
      <c r="A1584" s="133">
        <v>44340</v>
      </c>
      <c r="B1584" s="110">
        <v>31.95</v>
      </c>
      <c r="C1584" s="110">
        <v>30.89</v>
      </c>
      <c r="D1584" s="110">
        <v>30.57</v>
      </c>
      <c r="E1584" s="110">
        <v>30.9</v>
      </c>
      <c r="F1584" s="110">
        <v>154.44999999999999</v>
      </c>
      <c r="G1584">
        <v>2002416</v>
      </c>
      <c r="H1584" s="110"/>
      <c r="I1584" s="110"/>
      <c r="L1584" s="133">
        <v>44340</v>
      </c>
      <c r="M1584" s="110">
        <v>30.87</v>
      </c>
      <c r="N1584" s="110">
        <v>31.96</v>
      </c>
      <c r="O1584" s="110">
        <v>30.56</v>
      </c>
      <c r="P1584" s="110">
        <v>30.89</v>
      </c>
      <c r="Q1584" s="110">
        <v>154.35</v>
      </c>
      <c r="R1584">
        <v>50412614</v>
      </c>
    </row>
    <row r="1585" spans="1:18" x14ac:dyDescent="0.25">
      <c r="A1585" s="133">
        <v>44341</v>
      </c>
      <c r="B1585" s="110">
        <v>31.23</v>
      </c>
      <c r="C1585" s="110">
        <v>30.09</v>
      </c>
      <c r="D1585" s="110">
        <v>30.01</v>
      </c>
      <c r="E1585" s="110">
        <v>31.2</v>
      </c>
      <c r="F1585" s="110">
        <v>150.44999999999999</v>
      </c>
      <c r="G1585">
        <v>1388006</v>
      </c>
      <c r="H1585" s="110"/>
      <c r="I1585" s="110"/>
      <c r="L1585" s="133">
        <v>44341</v>
      </c>
      <c r="M1585" s="110">
        <v>30.09</v>
      </c>
      <c r="N1585" s="110">
        <v>31.24</v>
      </c>
      <c r="O1585" s="110">
        <v>30</v>
      </c>
      <c r="P1585" s="110">
        <v>31.16</v>
      </c>
      <c r="Q1585" s="110">
        <v>150.44999999999999</v>
      </c>
      <c r="R1585">
        <v>23174514</v>
      </c>
    </row>
    <row r="1586" spans="1:18" x14ac:dyDescent="0.25">
      <c r="A1586" s="133">
        <v>44342</v>
      </c>
      <c r="B1586" s="110">
        <v>30.43</v>
      </c>
      <c r="C1586" s="110">
        <v>29.91</v>
      </c>
      <c r="D1586" s="110">
        <v>29.85</v>
      </c>
      <c r="E1586" s="110">
        <v>30.28</v>
      </c>
      <c r="F1586" s="110">
        <v>149.55000000000001</v>
      </c>
      <c r="G1586">
        <v>733984</v>
      </c>
      <c r="H1586" s="110"/>
      <c r="I1586" s="110"/>
      <c r="L1586" s="133">
        <v>44342</v>
      </c>
      <c r="M1586" s="110">
        <v>29.91</v>
      </c>
      <c r="N1586" s="110">
        <v>30.45</v>
      </c>
      <c r="O1586" s="110">
        <v>29.84</v>
      </c>
      <c r="P1586" s="110">
        <v>30.2</v>
      </c>
      <c r="Q1586" s="110">
        <v>149.55000000000001</v>
      </c>
      <c r="R1586">
        <v>15494451</v>
      </c>
    </row>
    <row r="1587" spans="1:18" x14ac:dyDescent="0.25">
      <c r="A1587" s="133">
        <v>44343</v>
      </c>
      <c r="B1587" s="110">
        <v>31.05</v>
      </c>
      <c r="C1587" s="110">
        <v>30.72</v>
      </c>
      <c r="D1587" s="110">
        <v>29.75</v>
      </c>
      <c r="E1587" s="110">
        <v>30.2</v>
      </c>
      <c r="F1587" s="110">
        <v>153.6</v>
      </c>
      <c r="G1587">
        <v>1190534</v>
      </c>
      <c r="H1587" s="110"/>
      <c r="I1587" s="110"/>
      <c r="L1587" s="133">
        <v>44343</v>
      </c>
      <c r="M1587" s="110">
        <v>30.73</v>
      </c>
      <c r="N1587" s="110">
        <v>31.08</v>
      </c>
      <c r="O1587" s="110">
        <v>29.73</v>
      </c>
      <c r="P1587" s="110">
        <v>30.13</v>
      </c>
      <c r="Q1587" s="110">
        <v>153.65</v>
      </c>
      <c r="R1587">
        <v>33989972</v>
      </c>
    </row>
    <row r="1588" spans="1:18" x14ac:dyDescent="0.25">
      <c r="A1588" s="133">
        <v>44344</v>
      </c>
      <c r="B1588" s="110">
        <v>32.590000000000003</v>
      </c>
      <c r="C1588" s="110">
        <v>32.369999999999997</v>
      </c>
      <c r="D1588" s="110">
        <v>30.97</v>
      </c>
      <c r="E1588" s="110">
        <v>31.2</v>
      </c>
      <c r="F1588" s="110">
        <v>161.85</v>
      </c>
      <c r="G1588">
        <v>2223204</v>
      </c>
      <c r="H1588" s="110"/>
      <c r="I1588" s="110"/>
      <c r="L1588" s="133">
        <v>44344</v>
      </c>
      <c r="M1588" s="110">
        <v>32.380000000000003</v>
      </c>
      <c r="N1588" s="110">
        <v>32.58</v>
      </c>
      <c r="O1588" s="110">
        <v>30.96</v>
      </c>
      <c r="P1588" s="110">
        <v>31.22</v>
      </c>
      <c r="Q1588" s="110">
        <v>161.9</v>
      </c>
      <c r="R1588">
        <v>60544144</v>
      </c>
    </row>
    <row r="1589" spans="1:18" x14ac:dyDescent="0.25">
      <c r="A1589" s="133">
        <v>44347</v>
      </c>
      <c r="B1589" s="110">
        <v>32.729999999999997</v>
      </c>
      <c r="C1589" s="110">
        <v>32.15</v>
      </c>
      <c r="D1589" s="110">
        <v>31.63</v>
      </c>
      <c r="E1589" s="110">
        <v>32.5</v>
      </c>
      <c r="F1589" s="110">
        <v>160.75</v>
      </c>
      <c r="G1589">
        <v>1262395</v>
      </c>
      <c r="H1589" s="110"/>
      <c r="I1589" s="110"/>
      <c r="L1589" s="133">
        <v>44347</v>
      </c>
      <c r="M1589" s="110">
        <v>32.159999999999997</v>
      </c>
      <c r="N1589" s="110">
        <v>32.729999999999997</v>
      </c>
      <c r="O1589" s="110">
        <v>31.62</v>
      </c>
      <c r="P1589" s="110">
        <v>32.4</v>
      </c>
      <c r="Q1589" s="110">
        <v>160.80000000000001</v>
      </c>
      <c r="R1589">
        <v>25808993</v>
      </c>
    </row>
    <row r="1590" spans="1:18" x14ac:dyDescent="0.25">
      <c r="A1590" s="133">
        <v>44348</v>
      </c>
      <c r="B1590" s="110">
        <v>32.61</v>
      </c>
      <c r="C1590" s="110">
        <v>31.8</v>
      </c>
      <c r="D1590" s="110">
        <v>31.58</v>
      </c>
      <c r="E1590" s="110">
        <v>32.44</v>
      </c>
      <c r="F1590" s="110">
        <v>159</v>
      </c>
      <c r="G1590">
        <v>873058</v>
      </c>
      <c r="H1590" s="110"/>
      <c r="I1590" s="110"/>
      <c r="L1590" s="133">
        <v>44348</v>
      </c>
      <c r="M1590" s="110">
        <v>31.81</v>
      </c>
      <c r="N1590" s="110">
        <v>32.6</v>
      </c>
      <c r="O1590" s="110">
        <v>31.57</v>
      </c>
      <c r="P1590" s="110">
        <v>32.32</v>
      </c>
      <c r="Q1590" s="110">
        <v>159.05000000000001</v>
      </c>
      <c r="R1590">
        <v>17526434</v>
      </c>
    </row>
    <row r="1591" spans="1:18" x14ac:dyDescent="0.25">
      <c r="A1591" s="133">
        <v>44349</v>
      </c>
      <c r="B1591" s="110">
        <v>32.880000000000003</v>
      </c>
      <c r="C1591" s="110">
        <v>32.770000000000003</v>
      </c>
      <c r="D1591" s="110">
        <v>31.69</v>
      </c>
      <c r="E1591" s="110">
        <v>31.94</v>
      </c>
      <c r="F1591" s="110">
        <v>163.85</v>
      </c>
      <c r="G1591">
        <v>1085276</v>
      </c>
      <c r="H1591" s="110"/>
      <c r="I1591" s="110"/>
      <c r="L1591" s="133">
        <v>44349</v>
      </c>
      <c r="M1591" s="110">
        <v>32.76</v>
      </c>
      <c r="N1591" s="110">
        <v>32.880000000000003</v>
      </c>
      <c r="O1591" s="110">
        <v>31.66</v>
      </c>
      <c r="P1591" s="110">
        <v>31.8</v>
      </c>
      <c r="Q1591" s="110">
        <v>163.80000000000001</v>
      </c>
      <c r="R1591">
        <v>23879440</v>
      </c>
    </row>
    <row r="1592" spans="1:18" x14ac:dyDescent="0.25">
      <c r="A1592" s="133">
        <v>44350</v>
      </c>
      <c r="B1592" s="110">
        <v>33.130000000000003</v>
      </c>
      <c r="C1592" s="110">
        <v>32.65</v>
      </c>
      <c r="D1592" s="110">
        <v>32.51</v>
      </c>
      <c r="E1592" s="110">
        <v>33</v>
      </c>
      <c r="F1592" s="110">
        <v>163.25</v>
      </c>
      <c r="G1592">
        <v>1242002</v>
      </c>
      <c r="H1592" s="110"/>
      <c r="I1592" s="110"/>
      <c r="L1592" s="133">
        <v>44350</v>
      </c>
      <c r="M1592" s="110">
        <v>32.65</v>
      </c>
      <c r="N1592" s="110">
        <v>33.15</v>
      </c>
      <c r="O1592" s="110">
        <v>32.53</v>
      </c>
      <c r="P1592" s="110">
        <v>33</v>
      </c>
      <c r="Q1592" s="110">
        <v>163.25</v>
      </c>
      <c r="R1592">
        <v>16479664</v>
      </c>
    </row>
    <row r="1593" spans="1:18" x14ac:dyDescent="0.25">
      <c r="A1593" s="133">
        <v>44351</v>
      </c>
      <c r="B1593" s="110">
        <v>32.799999999999997</v>
      </c>
      <c r="C1593" s="110">
        <v>32.21</v>
      </c>
      <c r="D1593" s="110">
        <v>31.98</v>
      </c>
      <c r="E1593" s="110">
        <v>32.65</v>
      </c>
      <c r="F1593" s="110">
        <v>161.05000000000001</v>
      </c>
      <c r="G1593">
        <v>890640</v>
      </c>
      <c r="H1593" s="110"/>
      <c r="I1593" s="110"/>
      <c r="L1593" s="133">
        <v>44351</v>
      </c>
      <c r="M1593" s="110">
        <v>32.22</v>
      </c>
      <c r="N1593" s="110">
        <v>32.79</v>
      </c>
      <c r="O1593" s="110">
        <v>31.97</v>
      </c>
      <c r="P1593" s="110">
        <v>32.6</v>
      </c>
      <c r="Q1593" s="110">
        <v>161.1</v>
      </c>
      <c r="R1593">
        <v>13841718</v>
      </c>
    </row>
    <row r="1594" spans="1:18" x14ac:dyDescent="0.25">
      <c r="A1594" s="133">
        <v>44354</v>
      </c>
      <c r="B1594" s="110">
        <v>32.590000000000003</v>
      </c>
      <c r="C1594" s="110">
        <v>32.17</v>
      </c>
      <c r="D1594" s="110">
        <v>32</v>
      </c>
      <c r="E1594" s="110">
        <v>32.369999999999997</v>
      </c>
      <c r="F1594" s="110">
        <v>160.85</v>
      </c>
      <c r="G1594">
        <v>531788</v>
      </c>
      <c r="H1594" s="110"/>
      <c r="I1594" s="110"/>
      <c r="L1594" s="133">
        <v>44354</v>
      </c>
      <c r="M1594" s="110">
        <v>32.18</v>
      </c>
      <c r="N1594" s="110">
        <v>32.56</v>
      </c>
      <c r="O1594" s="110">
        <v>32.01</v>
      </c>
      <c r="P1594" s="110">
        <v>32.4</v>
      </c>
      <c r="Q1594" s="110">
        <v>160.9</v>
      </c>
      <c r="R1594">
        <v>9575778</v>
      </c>
    </row>
    <row r="1595" spans="1:18" x14ac:dyDescent="0.25">
      <c r="A1595" s="133">
        <v>44355</v>
      </c>
      <c r="B1595" s="110">
        <v>32.28</v>
      </c>
      <c r="C1595" s="110">
        <v>31.59</v>
      </c>
      <c r="D1595" s="110">
        <v>31.16</v>
      </c>
      <c r="E1595" s="110">
        <v>32.18</v>
      </c>
      <c r="F1595" s="110">
        <v>157.94999999999999</v>
      </c>
      <c r="G1595">
        <v>879867</v>
      </c>
      <c r="H1595" s="110"/>
      <c r="I1595" s="110"/>
      <c r="L1595" s="133">
        <v>44355</v>
      </c>
      <c r="M1595" s="110">
        <v>31.59</v>
      </c>
      <c r="N1595" s="110">
        <v>32.299999999999997</v>
      </c>
      <c r="O1595" s="110">
        <v>31.15</v>
      </c>
      <c r="P1595" s="110">
        <v>32.200000000000003</v>
      </c>
      <c r="Q1595" s="110">
        <v>157.94999999999999</v>
      </c>
      <c r="R1595">
        <v>16097874</v>
      </c>
    </row>
    <row r="1596" spans="1:18" x14ac:dyDescent="0.25">
      <c r="A1596" s="133">
        <v>44356</v>
      </c>
      <c r="B1596" s="110">
        <v>32.44</v>
      </c>
      <c r="C1596" s="110">
        <v>31.14</v>
      </c>
      <c r="D1596" s="110">
        <v>30.66</v>
      </c>
      <c r="E1596" s="110">
        <v>31.9</v>
      </c>
      <c r="F1596" s="110">
        <v>155.69999999999999</v>
      </c>
      <c r="G1596">
        <v>1453027</v>
      </c>
      <c r="H1596" s="110"/>
      <c r="I1596" s="110"/>
      <c r="L1596" s="133">
        <v>44356</v>
      </c>
      <c r="M1596" s="110">
        <v>31.15</v>
      </c>
      <c r="N1596" s="110">
        <v>32.450000000000003</v>
      </c>
      <c r="O1596" s="110">
        <v>30.67</v>
      </c>
      <c r="P1596" s="110">
        <v>31.76</v>
      </c>
      <c r="Q1596" s="110">
        <v>155.75</v>
      </c>
      <c r="R1596">
        <v>21646053</v>
      </c>
    </row>
    <row r="1597" spans="1:18" x14ac:dyDescent="0.25">
      <c r="A1597" s="133">
        <v>44357</v>
      </c>
      <c r="B1597" s="110">
        <v>31.86</v>
      </c>
      <c r="C1597" s="110">
        <v>31.4</v>
      </c>
      <c r="D1597" s="110">
        <v>31.16</v>
      </c>
      <c r="E1597" s="110">
        <v>31.48</v>
      </c>
      <c r="F1597" s="110">
        <v>157</v>
      </c>
      <c r="G1597">
        <v>684371</v>
      </c>
      <c r="H1597" s="110"/>
      <c r="I1597" s="110"/>
      <c r="L1597" s="133">
        <v>44357</v>
      </c>
      <c r="M1597" s="110">
        <v>31.39</v>
      </c>
      <c r="N1597" s="110">
        <v>31.88</v>
      </c>
      <c r="O1597" s="110">
        <v>31.13</v>
      </c>
      <c r="P1597" s="110">
        <v>31.42</v>
      </c>
      <c r="Q1597" s="110">
        <v>156.94999999999999</v>
      </c>
      <c r="R1597">
        <v>11326908</v>
      </c>
    </row>
    <row r="1598" spans="1:18" x14ac:dyDescent="0.25">
      <c r="A1598" s="133">
        <v>44358</v>
      </c>
      <c r="B1598" s="110">
        <v>31.86</v>
      </c>
      <c r="C1598" s="110">
        <v>31.18</v>
      </c>
      <c r="D1598" s="110">
        <v>31</v>
      </c>
      <c r="E1598" s="110">
        <v>31.64</v>
      </c>
      <c r="F1598" s="110">
        <v>155.9</v>
      </c>
      <c r="G1598">
        <v>695975</v>
      </c>
      <c r="H1598" s="110"/>
      <c r="I1598" s="110"/>
      <c r="L1598" s="133">
        <v>44358</v>
      </c>
      <c r="M1598" s="110">
        <v>31.18</v>
      </c>
      <c r="N1598" s="110">
        <v>31.9</v>
      </c>
      <c r="O1598" s="110">
        <v>30.96</v>
      </c>
      <c r="P1598" s="110">
        <v>31.72</v>
      </c>
      <c r="Q1598" s="110">
        <v>155.9</v>
      </c>
      <c r="R1598">
        <v>8529190</v>
      </c>
    </row>
    <row r="1599" spans="1:18" x14ac:dyDescent="0.25">
      <c r="A1599" s="133">
        <v>44361</v>
      </c>
      <c r="B1599" s="110">
        <v>31.18</v>
      </c>
      <c r="C1599" s="110">
        <v>30.94</v>
      </c>
      <c r="D1599" s="110">
        <v>29.99</v>
      </c>
      <c r="E1599" s="110">
        <v>31.18</v>
      </c>
      <c r="F1599" s="110">
        <v>154.69999999999999</v>
      </c>
      <c r="G1599">
        <v>1033613</v>
      </c>
      <c r="H1599" s="110"/>
      <c r="I1599" s="110"/>
      <c r="L1599" s="133">
        <v>44361</v>
      </c>
      <c r="M1599" s="110">
        <v>30.95</v>
      </c>
      <c r="N1599" s="110">
        <v>31.18</v>
      </c>
      <c r="O1599" s="110">
        <v>30</v>
      </c>
      <c r="P1599" s="110">
        <v>31.18</v>
      </c>
      <c r="Q1599" s="110">
        <v>154.75</v>
      </c>
      <c r="R1599">
        <v>13771699</v>
      </c>
    </row>
    <row r="1600" spans="1:18" x14ac:dyDescent="0.25">
      <c r="A1600" s="133">
        <v>44362</v>
      </c>
      <c r="B1600" s="110">
        <v>31.39</v>
      </c>
      <c r="C1600" s="110">
        <v>30.9</v>
      </c>
      <c r="D1600" s="110">
        <v>30.77</v>
      </c>
      <c r="E1600" s="110">
        <v>31.2</v>
      </c>
      <c r="F1600" s="110">
        <v>154.5</v>
      </c>
      <c r="G1600">
        <v>276153</v>
      </c>
      <c r="H1600" s="110"/>
      <c r="I1600" s="110"/>
      <c r="L1600" s="133">
        <v>44362</v>
      </c>
      <c r="M1600" s="110">
        <v>30.87</v>
      </c>
      <c r="N1600" s="110">
        <v>31.39</v>
      </c>
      <c r="O1600" s="110">
        <v>30.78</v>
      </c>
      <c r="P1600" s="110">
        <v>31.02</v>
      </c>
      <c r="Q1600" s="110">
        <v>154.35</v>
      </c>
      <c r="R1600">
        <v>6396022</v>
      </c>
    </row>
    <row r="1601" spans="1:18" x14ac:dyDescent="0.25">
      <c r="A1601" s="133">
        <v>44363</v>
      </c>
      <c r="B1601" s="110">
        <v>31.18</v>
      </c>
      <c r="C1601" s="110">
        <v>30.42</v>
      </c>
      <c r="D1601" s="110">
        <v>30.37</v>
      </c>
      <c r="E1601" s="110">
        <v>31</v>
      </c>
      <c r="F1601" s="110">
        <v>152.1</v>
      </c>
      <c r="G1601">
        <v>664620</v>
      </c>
      <c r="H1601" s="110"/>
      <c r="I1601" s="110"/>
      <c r="L1601" s="133">
        <v>44363</v>
      </c>
      <c r="M1601" s="110">
        <v>30.43</v>
      </c>
      <c r="N1601" s="110">
        <v>31.2</v>
      </c>
      <c r="O1601" s="110">
        <v>30.37</v>
      </c>
      <c r="P1601" s="110">
        <v>30.9</v>
      </c>
      <c r="Q1601" s="110">
        <v>152.15</v>
      </c>
      <c r="R1601">
        <v>8197862</v>
      </c>
    </row>
    <row r="1602" spans="1:18" x14ac:dyDescent="0.25">
      <c r="A1602" s="133">
        <v>44364</v>
      </c>
      <c r="B1602" s="110">
        <v>30.86</v>
      </c>
      <c r="C1602" s="110">
        <v>30.27</v>
      </c>
      <c r="D1602" s="110">
        <v>29.91</v>
      </c>
      <c r="E1602" s="110">
        <v>30.34</v>
      </c>
      <c r="F1602" s="110">
        <v>151.35</v>
      </c>
      <c r="G1602">
        <v>675582</v>
      </c>
      <c r="H1602" s="110"/>
      <c r="I1602" s="110"/>
      <c r="L1602" s="133">
        <v>44364</v>
      </c>
      <c r="M1602" s="110">
        <v>30.27</v>
      </c>
      <c r="N1602" s="110">
        <v>30.88</v>
      </c>
      <c r="O1602" s="110">
        <v>29.9</v>
      </c>
      <c r="P1602" s="110">
        <v>30.12</v>
      </c>
      <c r="Q1602" s="110">
        <v>151.35</v>
      </c>
      <c r="R1602">
        <v>12699050</v>
      </c>
    </row>
    <row r="1603" spans="1:18" x14ac:dyDescent="0.25">
      <c r="A1603" s="133">
        <v>44365</v>
      </c>
      <c r="B1603" s="110">
        <v>30.57</v>
      </c>
      <c r="C1603" s="110">
        <v>29.47</v>
      </c>
      <c r="D1603" s="110">
        <v>28.3</v>
      </c>
      <c r="E1603" s="110">
        <v>30.4</v>
      </c>
      <c r="F1603" s="110">
        <v>147.35</v>
      </c>
      <c r="G1603">
        <v>1310394</v>
      </c>
      <c r="H1603" s="110"/>
      <c r="I1603" s="110"/>
      <c r="L1603" s="133">
        <v>44365</v>
      </c>
      <c r="M1603" s="110">
        <v>29.48</v>
      </c>
      <c r="N1603" s="110">
        <v>30.58</v>
      </c>
      <c r="O1603" s="110">
        <v>28.29</v>
      </c>
      <c r="P1603" s="110">
        <v>30.4</v>
      </c>
      <c r="Q1603" s="110">
        <v>147.4</v>
      </c>
      <c r="R1603">
        <v>19030440</v>
      </c>
    </row>
    <row r="1604" spans="1:18" x14ac:dyDescent="0.25">
      <c r="A1604" s="133">
        <v>44368</v>
      </c>
      <c r="B1604" s="110">
        <v>30.57</v>
      </c>
      <c r="C1604" s="110">
        <v>30.45</v>
      </c>
      <c r="D1604" s="110">
        <v>28.8</v>
      </c>
      <c r="E1604" s="110">
        <v>28.8</v>
      </c>
      <c r="F1604" s="110">
        <v>152.25</v>
      </c>
      <c r="G1604">
        <v>767324</v>
      </c>
      <c r="H1604" s="110"/>
      <c r="I1604" s="110"/>
      <c r="L1604" s="133">
        <v>44368</v>
      </c>
      <c r="M1604" s="110">
        <v>30.46</v>
      </c>
      <c r="N1604" s="110">
        <v>30.59</v>
      </c>
      <c r="O1604" s="110">
        <v>28.76</v>
      </c>
      <c r="P1604" s="110">
        <v>29</v>
      </c>
      <c r="Q1604" s="110">
        <v>152.30000000000001</v>
      </c>
      <c r="R1604">
        <v>17723430</v>
      </c>
    </row>
    <row r="1605" spans="1:18" x14ac:dyDescent="0.25">
      <c r="A1605" s="133">
        <v>44369</v>
      </c>
      <c r="B1605" s="110">
        <v>31.18</v>
      </c>
      <c r="C1605" s="110">
        <v>30.37</v>
      </c>
      <c r="D1605" s="110">
        <v>30.22</v>
      </c>
      <c r="E1605" s="110">
        <v>30.76</v>
      </c>
      <c r="F1605" s="110">
        <v>151.85</v>
      </c>
      <c r="G1605">
        <v>514498</v>
      </c>
      <c r="H1605" s="110"/>
      <c r="I1605" s="110"/>
      <c r="L1605" s="133">
        <v>44369</v>
      </c>
      <c r="M1605" s="110">
        <v>30.35</v>
      </c>
      <c r="N1605" s="110">
        <v>31.18</v>
      </c>
      <c r="O1605" s="110">
        <v>30.2</v>
      </c>
      <c r="P1605" s="110">
        <v>30.85</v>
      </c>
      <c r="Q1605" s="110">
        <v>151.75</v>
      </c>
      <c r="R1605">
        <v>12073320</v>
      </c>
    </row>
    <row r="1606" spans="1:18" x14ac:dyDescent="0.25">
      <c r="A1606" s="133">
        <v>44370</v>
      </c>
      <c r="B1606" s="110">
        <v>30.84</v>
      </c>
      <c r="C1606" s="110">
        <v>30.38</v>
      </c>
      <c r="D1606" s="110">
        <v>30.19</v>
      </c>
      <c r="E1606" s="110">
        <v>30.65</v>
      </c>
      <c r="F1606" s="110">
        <v>151.9</v>
      </c>
      <c r="G1606">
        <v>1268389</v>
      </c>
      <c r="H1606" s="110"/>
      <c r="I1606" s="110"/>
      <c r="L1606" s="133">
        <v>44370</v>
      </c>
      <c r="M1606" s="110">
        <v>30.39</v>
      </c>
      <c r="N1606" s="110">
        <v>30.84</v>
      </c>
      <c r="O1606" s="110">
        <v>30.18</v>
      </c>
      <c r="P1606" s="110">
        <v>30.55</v>
      </c>
      <c r="Q1606" s="110">
        <v>151.94999999999999</v>
      </c>
      <c r="R1606">
        <v>11703214</v>
      </c>
    </row>
    <row r="1607" spans="1:18" x14ac:dyDescent="0.25">
      <c r="A1607" s="133">
        <v>44371</v>
      </c>
      <c r="B1607" s="110">
        <v>30.65</v>
      </c>
      <c r="C1607" s="110">
        <v>29.8</v>
      </c>
      <c r="D1607" s="110">
        <v>29.72</v>
      </c>
      <c r="E1607" s="110">
        <v>30.58</v>
      </c>
      <c r="F1607" s="110">
        <v>149</v>
      </c>
      <c r="G1607">
        <v>337766</v>
      </c>
      <c r="H1607" s="110"/>
      <c r="I1607" s="110"/>
      <c r="L1607" s="133">
        <v>44371</v>
      </c>
      <c r="M1607" s="110">
        <v>29.81</v>
      </c>
      <c r="N1607" s="110">
        <v>30.64</v>
      </c>
      <c r="O1607" s="110">
        <v>29.7</v>
      </c>
      <c r="P1607" s="110">
        <v>30.53</v>
      </c>
      <c r="Q1607" s="110">
        <v>149.05000000000001</v>
      </c>
      <c r="R1607">
        <v>9353379</v>
      </c>
    </row>
    <row r="1608" spans="1:18" x14ac:dyDescent="0.25">
      <c r="A1608" s="133">
        <v>44372</v>
      </c>
      <c r="B1608" s="110">
        <v>31.05</v>
      </c>
      <c r="C1608" s="110">
        <v>30.71</v>
      </c>
      <c r="D1608" s="110">
        <v>29.87</v>
      </c>
      <c r="E1608" s="110">
        <v>30</v>
      </c>
      <c r="F1608" s="110">
        <v>153.55000000000001</v>
      </c>
      <c r="G1608">
        <v>1326644</v>
      </c>
      <c r="H1608" s="110"/>
      <c r="I1608" s="110"/>
      <c r="L1608" s="133">
        <v>44372</v>
      </c>
      <c r="M1608" s="110">
        <v>30.68</v>
      </c>
      <c r="N1608" s="110">
        <v>31.06</v>
      </c>
      <c r="O1608" s="110">
        <v>29.87</v>
      </c>
      <c r="P1608" s="110">
        <v>30</v>
      </c>
      <c r="Q1608" s="110">
        <v>153.4</v>
      </c>
      <c r="R1608">
        <v>15298977</v>
      </c>
    </row>
    <row r="1609" spans="1:18" x14ac:dyDescent="0.25">
      <c r="A1609" s="133">
        <v>44375</v>
      </c>
      <c r="B1609" s="110">
        <v>31.62</v>
      </c>
      <c r="C1609" s="110">
        <v>31.39</v>
      </c>
      <c r="D1609" s="110">
        <v>30.87</v>
      </c>
      <c r="E1609" s="110">
        <v>30.97</v>
      </c>
      <c r="F1609" s="110">
        <v>156.94999999999999</v>
      </c>
      <c r="G1609">
        <v>1666011</v>
      </c>
      <c r="H1609" s="110"/>
      <c r="I1609" s="110"/>
      <c r="L1609" s="133">
        <v>44375</v>
      </c>
      <c r="M1609" s="110">
        <v>31.39</v>
      </c>
      <c r="N1609" s="110">
        <v>31.64</v>
      </c>
      <c r="O1609" s="110">
        <v>30.86</v>
      </c>
      <c r="P1609" s="110">
        <v>30.96</v>
      </c>
      <c r="Q1609" s="110">
        <v>156.94999999999999</v>
      </c>
      <c r="R1609">
        <v>19390030</v>
      </c>
    </row>
    <row r="1610" spans="1:18" x14ac:dyDescent="0.25">
      <c r="A1610" s="133">
        <v>44376</v>
      </c>
      <c r="B1610" s="110">
        <v>31.52</v>
      </c>
      <c r="C1610" s="110">
        <v>30.75</v>
      </c>
      <c r="D1610" s="110">
        <v>30.66</v>
      </c>
      <c r="E1610" s="110">
        <v>31.39</v>
      </c>
      <c r="F1610" s="110">
        <v>153.75</v>
      </c>
      <c r="G1610">
        <v>388275</v>
      </c>
      <c r="H1610" s="110"/>
      <c r="I1610" s="110"/>
      <c r="L1610" s="133">
        <v>44376</v>
      </c>
      <c r="M1610" s="110">
        <v>30.75</v>
      </c>
      <c r="N1610" s="110">
        <v>31.55</v>
      </c>
      <c r="O1610" s="110">
        <v>30.66</v>
      </c>
      <c r="P1610" s="110">
        <v>31.36</v>
      </c>
      <c r="Q1610" s="110">
        <v>153.75</v>
      </c>
      <c r="R1610">
        <v>9926727</v>
      </c>
    </row>
    <row r="1611" spans="1:18" x14ac:dyDescent="0.25">
      <c r="A1611" s="133">
        <v>44377</v>
      </c>
      <c r="B1611" s="110">
        <v>31.2</v>
      </c>
      <c r="C1611" s="110">
        <v>30.37</v>
      </c>
      <c r="D1611" s="110">
        <v>30.31</v>
      </c>
      <c r="E1611" s="110">
        <v>31.2</v>
      </c>
      <c r="F1611" s="110">
        <v>151.85</v>
      </c>
      <c r="G1611">
        <v>357757</v>
      </c>
      <c r="H1611" s="110"/>
      <c r="I1611" s="110"/>
      <c r="L1611" s="133">
        <v>44377</v>
      </c>
      <c r="M1611" s="110">
        <v>30.37</v>
      </c>
      <c r="N1611" s="110">
        <v>31.02</v>
      </c>
      <c r="O1611" s="110">
        <v>30.3</v>
      </c>
      <c r="P1611" s="110">
        <v>30.98</v>
      </c>
      <c r="Q1611" s="110">
        <v>151.85</v>
      </c>
      <c r="R1611">
        <v>7772420</v>
      </c>
    </row>
    <row r="1612" spans="1:18" x14ac:dyDescent="0.25">
      <c r="A1612" s="133">
        <v>44378</v>
      </c>
      <c r="B1612" s="110">
        <v>30.94</v>
      </c>
      <c r="C1612" s="110">
        <v>30.67</v>
      </c>
      <c r="D1612" s="110">
        <v>30.25</v>
      </c>
      <c r="E1612" s="110">
        <v>30.59</v>
      </c>
      <c r="F1612" s="110">
        <v>153.35</v>
      </c>
      <c r="G1612">
        <v>347097</v>
      </c>
      <c r="H1612" s="110"/>
      <c r="I1612" s="110"/>
      <c r="L1612" s="133">
        <v>44378</v>
      </c>
      <c r="M1612" s="110">
        <v>30.72</v>
      </c>
      <c r="N1612" s="110">
        <v>30.99</v>
      </c>
      <c r="O1612" s="110">
        <v>30.23</v>
      </c>
      <c r="P1612" s="110">
        <v>30.52</v>
      </c>
      <c r="Q1612" s="110">
        <v>153.6</v>
      </c>
      <c r="R1612">
        <v>10659224</v>
      </c>
    </row>
    <row r="1613" spans="1:18" x14ac:dyDescent="0.25">
      <c r="A1613" s="133">
        <v>44379</v>
      </c>
      <c r="B1613" s="110">
        <v>31.14</v>
      </c>
      <c r="C1613" s="110">
        <v>30.76</v>
      </c>
      <c r="D1613" s="110">
        <v>30.65</v>
      </c>
      <c r="E1613" s="110">
        <v>30.8</v>
      </c>
      <c r="F1613" s="110">
        <v>153.80000000000001</v>
      </c>
      <c r="G1613">
        <v>352603</v>
      </c>
      <c r="H1613" s="110"/>
      <c r="I1613" s="110"/>
      <c r="L1613" s="133">
        <v>44379</v>
      </c>
      <c r="M1613" s="110">
        <v>30.75</v>
      </c>
      <c r="N1613" s="110">
        <v>31.14</v>
      </c>
      <c r="O1613" s="110">
        <v>30.63</v>
      </c>
      <c r="P1613" s="110">
        <v>30.72</v>
      </c>
      <c r="Q1613" s="110">
        <v>153.75</v>
      </c>
      <c r="R1613">
        <v>7885379</v>
      </c>
    </row>
    <row r="1614" spans="1:18" x14ac:dyDescent="0.25">
      <c r="A1614" s="133">
        <v>44382</v>
      </c>
      <c r="B1614" s="110">
        <v>31.3</v>
      </c>
      <c r="C1614" s="110">
        <v>31.17</v>
      </c>
      <c r="D1614" s="110">
        <v>30.7</v>
      </c>
      <c r="E1614" s="110">
        <v>31</v>
      </c>
      <c r="F1614" s="110">
        <v>155.85</v>
      </c>
      <c r="G1614">
        <v>750404</v>
      </c>
      <c r="H1614" s="110"/>
      <c r="I1614" s="110"/>
      <c r="L1614" s="133">
        <v>44382</v>
      </c>
      <c r="M1614" s="110">
        <v>31.16</v>
      </c>
      <c r="N1614" s="110">
        <v>31.3</v>
      </c>
      <c r="O1614" s="110">
        <v>30.69</v>
      </c>
      <c r="P1614" s="110">
        <v>31</v>
      </c>
      <c r="Q1614" s="110">
        <v>155.80000000000001</v>
      </c>
      <c r="R1614">
        <v>9356682</v>
      </c>
    </row>
    <row r="1615" spans="1:18" x14ac:dyDescent="0.25">
      <c r="A1615" s="133">
        <v>44383</v>
      </c>
      <c r="B1615" s="110">
        <v>31.4</v>
      </c>
      <c r="C1615" s="110">
        <v>30.7</v>
      </c>
      <c r="D1615" s="110">
        <v>30.58</v>
      </c>
      <c r="E1615" s="110">
        <v>31.17</v>
      </c>
      <c r="F1615" s="110">
        <v>153.5</v>
      </c>
      <c r="G1615">
        <v>586249</v>
      </c>
      <c r="H1615" s="110"/>
      <c r="I1615" s="110"/>
      <c r="L1615" s="133">
        <v>44383</v>
      </c>
      <c r="M1615" s="110">
        <v>30.7</v>
      </c>
      <c r="N1615" s="110">
        <v>31.4</v>
      </c>
      <c r="O1615" s="110">
        <v>30.6</v>
      </c>
      <c r="P1615" s="110">
        <v>31.14</v>
      </c>
      <c r="Q1615" s="110">
        <v>153.5</v>
      </c>
      <c r="R1615">
        <v>8745768</v>
      </c>
    </row>
    <row r="1616" spans="1:18" x14ac:dyDescent="0.25">
      <c r="A1616" s="133">
        <v>44384</v>
      </c>
      <c r="B1616" s="110">
        <v>31.02</v>
      </c>
      <c r="C1616" s="110">
        <v>30.92</v>
      </c>
      <c r="D1616" s="110">
        <v>30.48</v>
      </c>
      <c r="E1616" s="110">
        <v>30.74</v>
      </c>
      <c r="F1616" s="110">
        <v>154.6</v>
      </c>
      <c r="G1616">
        <v>421718</v>
      </c>
      <c r="H1616" s="110"/>
      <c r="I1616" s="110"/>
      <c r="L1616" s="133">
        <v>44384</v>
      </c>
      <c r="M1616" s="110">
        <v>30.91</v>
      </c>
      <c r="N1616" s="110">
        <v>31.03</v>
      </c>
      <c r="O1616" s="110">
        <v>30.49</v>
      </c>
      <c r="P1616" s="110">
        <v>30.6</v>
      </c>
      <c r="Q1616" s="110">
        <v>154.55000000000001</v>
      </c>
      <c r="R1616">
        <v>5619787</v>
      </c>
    </row>
    <row r="1617" spans="1:18" x14ac:dyDescent="0.25">
      <c r="A1617" s="133">
        <v>44385</v>
      </c>
      <c r="B1617" s="110">
        <v>31.27</v>
      </c>
      <c r="C1617" s="110">
        <v>30.35</v>
      </c>
      <c r="D1617" s="110">
        <v>30.15</v>
      </c>
      <c r="E1617" s="110">
        <v>30.94</v>
      </c>
      <c r="F1617" s="110">
        <v>151.75</v>
      </c>
      <c r="G1617">
        <v>625451</v>
      </c>
      <c r="H1617" s="110"/>
      <c r="I1617" s="110"/>
      <c r="L1617" s="133">
        <v>44385</v>
      </c>
      <c r="M1617" s="110">
        <v>30.36</v>
      </c>
      <c r="N1617" s="110">
        <v>31.27</v>
      </c>
      <c r="O1617" s="110">
        <v>30.13</v>
      </c>
      <c r="P1617" s="110">
        <v>31</v>
      </c>
      <c r="Q1617" s="110">
        <v>151.80000000000001</v>
      </c>
      <c r="R1617">
        <v>8357485</v>
      </c>
    </row>
    <row r="1618" spans="1:18" x14ac:dyDescent="0.25">
      <c r="A1618" s="133">
        <v>44386</v>
      </c>
      <c r="B1618" s="110">
        <v>30.44</v>
      </c>
      <c r="C1618" s="110">
        <v>30.23</v>
      </c>
      <c r="D1618" s="110">
        <v>30</v>
      </c>
      <c r="E1618" s="110">
        <v>30.28</v>
      </c>
      <c r="F1618" s="110">
        <v>151.15</v>
      </c>
      <c r="G1618">
        <v>369594</v>
      </c>
      <c r="H1618" s="110"/>
      <c r="I1618" s="110"/>
      <c r="L1618" s="133">
        <v>44386</v>
      </c>
      <c r="M1618" s="110">
        <v>30.24</v>
      </c>
      <c r="N1618" s="110">
        <v>30.46</v>
      </c>
      <c r="O1618" s="110">
        <v>30</v>
      </c>
      <c r="P1618" s="110">
        <v>30.18</v>
      </c>
      <c r="Q1618" s="110">
        <v>151.19999999999999</v>
      </c>
      <c r="R1618">
        <v>6677987</v>
      </c>
    </row>
    <row r="1619" spans="1:18" x14ac:dyDescent="0.25">
      <c r="A1619" s="133">
        <v>44389</v>
      </c>
      <c r="B1619" s="110">
        <v>30.77</v>
      </c>
      <c r="C1619" s="110">
        <v>30.35</v>
      </c>
      <c r="D1619" s="110">
        <v>30.21</v>
      </c>
      <c r="E1619" s="110">
        <v>30.6</v>
      </c>
      <c r="F1619" s="110">
        <v>151.75</v>
      </c>
      <c r="G1619">
        <v>316012</v>
      </c>
      <c r="H1619" s="110"/>
      <c r="I1619" s="110"/>
      <c r="L1619" s="133">
        <v>44389</v>
      </c>
      <c r="M1619" s="110">
        <v>30.35</v>
      </c>
      <c r="N1619" s="110">
        <v>30.77</v>
      </c>
      <c r="O1619" s="110">
        <v>30.2</v>
      </c>
      <c r="P1619" s="110">
        <v>30.54</v>
      </c>
      <c r="Q1619" s="110">
        <v>151.75</v>
      </c>
      <c r="R1619">
        <v>7488327</v>
      </c>
    </row>
    <row r="1620" spans="1:18" x14ac:dyDescent="0.25">
      <c r="A1620" s="133">
        <v>44390</v>
      </c>
      <c r="B1620" s="110">
        <v>30.73</v>
      </c>
      <c r="C1620" s="110">
        <v>30.67</v>
      </c>
      <c r="D1620" s="110">
        <v>30.38</v>
      </c>
      <c r="E1620" s="110">
        <v>30.44</v>
      </c>
      <c r="F1620" s="110">
        <v>153.35</v>
      </c>
      <c r="G1620">
        <v>236351</v>
      </c>
      <c r="H1620" s="110"/>
      <c r="I1620" s="110"/>
      <c r="L1620" s="133">
        <v>44390</v>
      </c>
      <c r="M1620" s="110">
        <v>30.67</v>
      </c>
      <c r="N1620" s="110">
        <v>30.74</v>
      </c>
      <c r="O1620" s="110">
        <v>30.37</v>
      </c>
      <c r="P1620" s="110">
        <v>30.55</v>
      </c>
      <c r="Q1620" s="110">
        <v>153.35</v>
      </c>
      <c r="R1620">
        <v>5871545</v>
      </c>
    </row>
    <row r="1621" spans="1:18" x14ac:dyDescent="0.25">
      <c r="A1621" s="133">
        <v>44391</v>
      </c>
      <c r="B1621" s="110">
        <v>30.75</v>
      </c>
      <c r="C1621" s="110">
        <v>30.33</v>
      </c>
      <c r="D1621" s="110">
        <v>30.26</v>
      </c>
      <c r="E1621" s="110">
        <v>30.66</v>
      </c>
      <c r="F1621" s="110">
        <v>151.65</v>
      </c>
      <c r="G1621">
        <v>237851</v>
      </c>
      <c r="H1621" s="110"/>
      <c r="I1621" s="110"/>
      <c r="L1621" s="133">
        <v>44391</v>
      </c>
      <c r="M1621" s="110">
        <v>30.32</v>
      </c>
      <c r="N1621" s="110">
        <v>30.76</v>
      </c>
      <c r="O1621" s="110">
        <v>30.25</v>
      </c>
      <c r="P1621" s="110">
        <v>30.59</v>
      </c>
      <c r="Q1621" s="110">
        <v>151.6</v>
      </c>
      <c r="R1621">
        <v>8183269</v>
      </c>
    </row>
    <row r="1622" spans="1:18" x14ac:dyDescent="0.25">
      <c r="A1622" s="133">
        <v>44392</v>
      </c>
      <c r="B1622" s="110">
        <v>30.53</v>
      </c>
      <c r="C1622" s="110">
        <v>30.12</v>
      </c>
      <c r="D1622" s="110">
        <v>29.86</v>
      </c>
      <c r="E1622" s="110">
        <v>30.53</v>
      </c>
      <c r="F1622" s="110">
        <v>150.6</v>
      </c>
      <c r="G1622">
        <v>589038</v>
      </c>
      <c r="H1622" s="110"/>
      <c r="I1622" s="110"/>
      <c r="L1622" s="133">
        <v>44392</v>
      </c>
      <c r="M1622" s="110">
        <v>30.11</v>
      </c>
      <c r="N1622" s="110">
        <v>30.49</v>
      </c>
      <c r="O1622" s="110">
        <v>29.86</v>
      </c>
      <c r="P1622" s="110">
        <v>30.47</v>
      </c>
      <c r="Q1622" s="110">
        <v>150.55000000000001</v>
      </c>
      <c r="R1622">
        <v>8101874</v>
      </c>
    </row>
    <row r="1623" spans="1:18" x14ac:dyDescent="0.25">
      <c r="A1623" s="133">
        <v>44393</v>
      </c>
      <c r="B1623" s="110">
        <v>30.43</v>
      </c>
      <c r="C1623" s="110">
        <v>30.26</v>
      </c>
      <c r="D1623" s="110">
        <v>30.04</v>
      </c>
      <c r="E1623" s="110">
        <v>30.2</v>
      </c>
      <c r="F1623" s="110">
        <v>151.30000000000001</v>
      </c>
      <c r="G1623">
        <v>421926</v>
      </c>
      <c r="H1623" s="110"/>
      <c r="I1623" s="110"/>
      <c r="L1623" s="133">
        <v>44393</v>
      </c>
      <c r="M1623" s="110">
        <v>30.26</v>
      </c>
      <c r="N1623" s="110">
        <v>30.45</v>
      </c>
      <c r="O1623" s="110">
        <v>30.03</v>
      </c>
      <c r="P1623" s="110">
        <v>30.38</v>
      </c>
      <c r="Q1623" s="110">
        <v>151.30000000000001</v>
      </c>
      <c r="R1623">
        <v>5517065</v>
      </c>
    </row>
    <row r="1624" spans="1:18" x14ac:dyDescent="0.25">
      <c r="A1624" s="133">
        <v>44396</v>
      </c>
      <c r="B1624" s="110">
        <v>30.08</v>
      </c>
      <c r="C1624" s="110">
        <v>29.63</v>
      </c>
      <c r="D1624" s="110">
        <v>29.44</v>
      </c>
      <c r="E1624" s="110">
        <v>30</v>
      </c>
      <c r="F1624" s="110">
        <v>148.15</v>
      </c>
      <c r="G1624">
        <v>360521</v>
      </c>
      <c r="H1624" s="110"/>
      <c r="I1624" s="110"/>
      <c r="L1624" s="133">
        <v>44396</v>
      </c>
      <c r="M1624" s="110">
        <v>29.63</v>
      </c>
      <c r="N1624" s="110">
        <v>30.14</v>
      </c>
      <c r="O1624" s="110">
        <v>29.44</v>
      </c>
      <c r="P1624" s="110">
        <v>30.14</v>
      </c>
      <c r="Q1624" s="110">
        <v>148.15</v>
      </c>
      <c r="R1624">
        <v>7526446</v>
      </c>
    </row>
    <row r="1625" spans="1:18" x14ac:dyDescent="0.25">
      <c r="A1625" s="133">
        <v>44397</v>
      </c>
      <c r="B1625" s="110">
        <v>29.85</v>
      </c>
      <c r="C1625" s="110">
        <v>28.91</v>
      </c>
      <c r="D1625" s="110">
        <v>28.74</v>
      </c>
      <c r="E1625" s="110">
        <v>29.85</v>
      </c>
      <c r="F1625" s="110">
        <v>144.55000000000001</v>
      </c>
      <c r="G1625">
        <v>381500</v>
      </c>
      <c r="H1625" s="110"/>
      <c r="I1625" s="110"/>
      <c r="L1625" s="133">
        <v>44397</v>
      </c>
      <c r="M1625" s="110">
        <v>28.89</v>
      </c>
      <c r="N1625" s="110">
        <v>29.7</v>
      </c>
      <c r="O1625" s="110">
        <v>28.71</v>
      </c>
      <c r="P1625" s="110">
        <v>29.64</v>
      </c>
      <c r="Q1625" s="110">
        <v>144.44999999999999</v>
      </c>
      <c r="R1625">
        <v>8968796</v>
      </c>
    </row>
    <row r="1626" spans="1:18" x14ac:dyDescent="0.25">
      <c r="A1626" s="133">
        <v>44399</v>
      </c>
      <c r="B1626" s="110">
        <v>29.3</v>
      </c>
      <c r="C1626" s="110">
        <v>28.99</v>
      </c>
      <c r="D1626" s="110">
        <v>28.89</v>
      </c>
      <c r="E1626" s="110">
        <v>29.2</v>
      </c>
      <c r="F1626" s="110">
        <v>144.94999999999999</v>
      </c>
      <c r="G1626">
        <v>380917</v>
      </c>
      <c r="H1626" s="110"/>
      <c r="I1626" s="110"/>
      <c r="L1626" s="133">
        <v>44399</v>
      </c>
      <c r="M1626" s="110">
        <v>28.98</v>
      </c>
      <c r="N1626" s="110">
        <v>29.3</v>
      </c>
      <c r="O1626" s="110">
        <v>28.89</v>
      </c>
      <c r="P1626" s="110">
        <v>29.16</v>
      </c>
      <c r="Q1626" s="110">
        <v>144.9</v>
      </c>
      <c r="R1626">
        <v>4415452</v>
      </c>
    </row>
    <row r="1627" spans="1:18" x14ac:dyDescent="0.25">
      <c r="A1627" s="133">
        <v>44400</v>
      </c>
      <c r="B1627" s="110">
        <v>29.25</v>
      </c>
      <c r="C1627" s="110">
        <v>29.21</v>
      </c>
      <c r="D1627" s="110">
        <v>28.77</v>
      </c>
      <c r="E1627" s="110">
        <v>29.16</v>
      </c>
      <c r="F1627" s="110">
        <v>146.05000000000001</v>
      </c>
      <c r="G1627">
        <v>367039</v>
      </c>
      <c r="H1627" s="110"/>
      <c r="I1627" s="110"/>
      <c r="L1627" s="133">
        <v>44400</v>
      </c>
      <c r="M1627" s="110">
        <v>29.21</v>
      </c>
      <c r="N1627" s="110">
        <v>29.26</v>
      </c>
      <c r="O1627" s="110">
        <v>28.77</v>
      </c>
      <c r="P1627" s="110">
        <v>29</v>
      </c>
      <c r="Q1627" s="110">
        <v>146.05000000000001</v>
      </c>
      <c r="R1627">
        <v>5588143</v>
      </c>
    </row>
    <row r="1628" spans="1:18" x14ac:dyDescent="0.25">
      <c r="A1628" s="133">
        <v>44403</v>
      </c>
      <c r="B1628" s="110">
        <v>29.46</v>
      </c>
      <c r="C1628" s="110">
        <v>29.33</v>
      </c>
      <c r="D1628" s="110">
        <v>29.08</v>
      </c>
      <c r="E1628" s="110">
        <v>29.2</v>
      </c>
      <c r="F1628" s="110">
        <v>146.65</v>
      </c>
      <c r="G1628">
        <v>294795</v>
      </c>
      <c r="H1628" s="110"/>
      <c r="I1628" s="110"/>
      <c r="L1628" s="133">
        <v>44403</v>
      </c>
      <c r="M1628" s="110">
        <v>29.33</v>
      </c>
      <c r="N1628" s="110">
        <v>29.47</v>
      </c>
      <c r="O1628" s="110">
        <v>29.06</v>
      </c>
      <c r="P1628" s="110">
        <v>29.24</v>
      </c>
      <c r="Q1628" s="110">
        <v>146.65</v>
      </c>
      <c r="R1628">
        <v>5127227</v>
      </c>
    </row>
    <row r="1629" spans="1:18" x14ac:dyDescent="0.25">
      <c r="A1629" s="133">
        <v>44404</v>
      </c>
      <c r="B1629" s="110">
        <v>30.1</v>
      </c>
      <c r="C1629" s="110">
        <v>29.76</v>
      </c>
      <c r="D1629" s="110">
        <v>29.35</v>
      </c>
      <c r="E1629" s="110">
        <v>29.43</v>
      </c>
      <c r="F1629" s="110">
        <v>148.80000000000001</v>
      </c>
      <c r="G1629">
        <v>843483</v>
      </c>
      <c r="H1629" s="110"/>
      <c r="I1629" s="110"/>
      <c r="L1629" s="133">
        <v>44404</v>
      </c>
      <c r="M1629" s="110">
        <v>29.76</v>
      </c>
      <c r="N1629" s="110">
        <v>30.12</v>
      </c>
      <c r="O1629" s="110">
        <v>29.3</v>
      </c>
      <c r="P1629" s="110">
        <v>29.4</v>
      </c>
      <c r="Q1629" s="110">
        <v>148.80000000000001</v>
      </c>
      <c r="R1629">
        <v>17631036</v>
      </c>
    </row>
    <row r="1630" spans="1:18" x14ac:dyDescent="0.25">
      <c r="A1630" s="133">
        <v>44405</v>
      </c>
      <c r="B1630" s="110">
        <v>30.08</v>
      </c>
      <c r="C1630" s="110">
        <v>28.62</v>
      </c>
      <c r="D1630" s="110">
        <v>28.42</v>
      </c>
      <c r="E1630" s="110">
        <v>29.98</v>
      </c>
      <c r="F1630" s="110">
        <v>143.1</v>
      </c>
      <c r="G1630">
        <v>894846</v>
      </c>
      <c r="H1630" s="110"/>
      <c r="I1630" s="110"/>
      <c r="L1630" s="133">
        <v>44405</v>
      </c>
      <c r="M1630" s="110">
        <v>28.65</v>
      </c>
      <c r="N1630" s="110">
        <v>30.1</v>
      </c>
      <c r="O1630" s="110">
        <v>28.42</v>
      </c>
      <c r="P1630" s="110">
        <v>30.01</v>
      </c>
      <c r="Q1630" s="110">
        <v>143.25</v>
      </c>
      <c r="R1630">
        <v>19789687</v>
      </c>
    </row>
    <row r="1631" spans="1:18" x14ac:dyDescent="0.25">
      <c r="A1631" s="133">
        <v>44406</v>
      </c>
      <c r="B1631" s="110">
        <v>30.2</v>
      </c>
      <c r="C1631" s="110">
        <v>29.94</v>
      </c>
      <c r="D1631" s="110">
        <v>28.59</v>
      </c>
      <c r="E1631" s="110">
        <v>28.79</v>
      </c>
      <c r="F1631" s="110">
        <v>149.69999999999999</v>
      </c>
      <c r="G1631">
        <v>723900</v>
      </c>
      <c r="H1631" s="110"/>
      <c r="I1631" s="110"/>
      <c r="L1631" s="133">
        <v>44406</v>
      </c>
      <c r="M1631" s="110">
        <v>29.93</v>
      </c>
      <c r="N1631" s="110">
        <v>30.2</v>
      </c>
      <c r="O1631" s="110">
        <v>28.58</v>
      </c>
      <c r="P1631" s="110">
        <v>28.78</v>
      </c>
      <c r="Q1631" s="110">
        <v>149.65</v>
      </c>
      <c r="R1631">
        <v>24944354</v>
      </c>
    </row>
    <row r="1632" spans="1:18" x14ac:dyDescent="0.25">
      <c r="A1632" s="133">
        <v>44407</v>
      </c>
      <c r="B1632" s="110">
        <v>31</v>
      </c>
      <c r="C1632" s="110">
        <v>30.65</v>
      </c>
      <c r="D1632" s="110">
        <v>29.76</v>
      </c>
      <c r="E1632" s="110">
        <v>29.86</v>
      </c>
      <c r="F1632" s="110">
        <v>153.25</v>
      </c>
      <c r="G1632">
        <v>1471294</v>
      </c>
      <c r="H1632" s="110"/>
      <c r="I1632" s="110"/>
      <c r="L1632" s="133">
        <v>44407</v>
      </c>
      <c r="M1632" s="110">
        <v>30.64</v>
      </c>
      <c r="N1632" s="110">
        <v>31.01</v>
      </c>
      <c r="O1632" s="110">
        <v>29.77</v>
      </c>
      <c r="P1632" s="110">
        <v>29.93</v>
      </c>
      <c r="Q1632" s="110">
        <v>153.19999999999999</v>
      </c>
      <c r="R1632">
        <v>19185850</v>
      </c>
    </row>
    <row r="1633" spans="1:18" x14ac:dyDescent="0.25">
      <c r="A1633" s="133">
        <v>44410</v>
      </c>
      <c r="B1633" s="110">
        <v>31.54</v>
      </c>
      <c r="C1633" s="110">
        <v>31.12</v>
      </c>
      <c r="D1633" s="110">
        <v>30.79</v>
      </c>
      <c r="E1633" s="110">
        <v>30.79</v>
      </c>
      <c r="F1633" s="110">
        <v>155.6</v>
      </c>
      <c r="G1633">
        <v>1390261</v>
      </c>
      <c r="H1633" s="110"/>
      <c r="I1633" s="110"/>
      <c r="L1633" s="133">
        <v>44410</v>
      </c>
      <c r="M1633" s="110">
        <v>31.12</v>
      </c>
      <c r="N1633" s="110">
        <v>31.55</v>
      </c>
      <c r="O1633" s="110">
        <v>30.83</v>
      </c>
      <c r="P1633" s="110">
        <v>30.94</v>
      </c>
      <c r="Q1633" s="110">
        <v>155.6</v>
      </c>
      <c r="R1633">
        <v>15142755</v>
      </c>
    </row>
    <row r="1634" spans="1:18" x14ac:dyDescent="0.25">
      <c r="A1634" s="133">
        <v>44411</v>
      </c>
      <c r="B1634" s="110">
        <v>31.53</v>
      </c>
      <c r="C1634" s="110">
        <v>31.45</v>
      </c>
      <c r="D1634" s="110">
        <v>30.98</v>
      </c>
      <c r="E1634" s="110">
        <v>31.18</v>
      </c>
      <c r="F1634" s="110">
        <v>157.25</v>
      </c>
      <c r="G1634">
        <v>602012</v>
      </c>
      <c r="H1634" s="110"/>
      <c r="I1634" s="110"/>
      <c r="L1634" s="133">
        <v>44411</v>
      </c>
      <c r="M1634" s="110">
        <v>31.43</v>
      </c>
      <c r="N1634" s="110">
        <v>31.54</v>
      </c>
      <c r="O1634" s="110">
        <v>30.96</v>
      </c>
      <c r="P1634" s="110">
        <v>31.2</v>
      </c>
      <c r="Q1634" s="110">
        <v>157.15</v>
      </c>
      <c r="R1634">
        <v>14001982</v>
      </c>
    </row>
    <row r="1635" spans="1:18" x14ac:dyDescent="0.25">
      <c r="A1635" s="133">
        <v>44412</v>
      </c>
      <c r="B1635" s="110">
        <v>31.89</v>
      </c>
      <c r="C1635" s="110">
        <v>31.34</v>
      </c>
      <c r="D1635" s="110">
        <v>31.1</v>
      </c>
      <c r="E1635" s="110">
        <v>31.6</v>
      </c>
      <c r="F1635" s="110">
        <v>156.69999999999999</v>
      </c>
      <c r="G1635">
        <v>1289227</v>
      </c>
      <c r="H1635" s="110"/>
      <c r="I1635" s="110"/>
      <c r="L1635" s="133">
        <v>44412</v>
      </c>
      <c r="M1635" s="110">
        <v>31.36</v>
      </c>
      <c r="N1635" s="110">
        <v>31.91</v>
      </c>
      <c r="O1635" s="110">
        <v>31.1</v>
      </c>
      <c r="P1635" s="110">
        <v>31.56</v>
      </c>
      <c r="Q1635" s="110">
        <v>156.80000000000001</v>
      </c>
      <c r="R1635">
        <v>19558216</v>
      </c>
    </row>
    <row r="1636" spans="1:18" x14ac:dyDescent="0.25">
      <c r="A1636" s="133">
        <v>44413</v>
      </c>
      <c r="B1636" s="110">
        <v>31.4</v>
      </c>
      <c r="C1636" s="110">
        <v>31.3</v>
      </c>
      <c r="D1636" s="110">
        <v>30.43</v>
      </c>
      <c r="E1636" s="110">
        <v>31.19</v>
      </c>
      <c r="F1636" s="110">
        <v>156.5</v>
      </c>
      <c r="G1636">
        <v>595617</v>
      </c>
      <c r="H1636" s="110"/>
      <c r="I1636" s="110"/>
      <c r="L1636" s="133">
        <v>44413</v>
      </c>
      <c r="M1636" s="110">
        <v>31.27</v>
      </c>
      <c r="N1636" s="110">
        <v>31.39</v>
      </c>
      <c r="O1636" s="110">
        <v>30.4</v>
      </c>
      <c r="P1636" s="110">
        <v>31.16</v>
      </c>
      <c r="Q1636" s="110">
        <v>156.35</v>
      </c>
      <c r="R1636">
        <v>13043199</v>
      </c>
    </row>
    <row r="1637" spans="1:18" x14ac:dyDescent="0.25">
      <c r="A1637" s="133">
        <v>44414</v>
      </c>
      <c r="B1637" s="110">
        <v>31.73</v>
      </c>
      <c r="C1637" s="110">
        <v>31.45</v>
      </c>
      <c r="D1637" s="110">
        <v>31.09</v>
      </c>
      <c r="E1637" s="110">
        <v>31.2</v>
      </c>
      <c r="F1637" s="110">
        <v>157.25</v>
      </c>
      <c r="G1637">
        <v>741125</v>
      </c>
      <c r="H1637" s="110"/>
      <c r="I1637" s="110"/>
      <c r="L1637" s="133">
        <v>44414</v>
      </c>
      <c r="M1637" s="110">
        <v>31.47</v>
      </c>
      <c r="N1637" s="110">
        <v>31.76</v>
      </c>
      <c r="O1637" s="110">
        <v>31.11</v>
      </c>
      <c r="P1637" s="110">
        <v>31.3</v>
      </c>
      <c r="Q1637" s="110">
        <v>157.35</v>
      </c>
      <c r="R1637">
        <v>9687936</v>
      </c>
    </row>
    <row r="1638" spans="1:18" x14ac:dyDescent="0.25">
      <c r="A1638" s="133">
        <v>44417</v>
      </c>
      <c r="B1638" s="110">
        <v>31.56</v>
      </c>
      <c r="C1638" s="110">
        <v>30.94</v>
      </c>
      <c r="D1638" s="110">
        <v>30.55</v>
      </c>
      <c r="E1638" s="110">
        <v>31.56</v>
      </c>
      <c r="F1638" s="110">
        <v>154.69999999999999</v>
      </c>
      <c r="G1638">
        <v>321958</v>
      </c>
      <c r="H1638" s="110"/>
      <c r="I1638" s="110"/>
      <c r="L1638" s="133">
        <v>44417</v>
      </c>
      <c r="M1638" s="110">
        <v>30.94</v>
      </c>
      <c r="N1638" s="110">
        <v>31.6</v>
      </c>
      <c r="O1638" s="110">
        <v>30.53</v>
      </c>
      <c r="P1638" s="110">
        <v>31.4</v>
      </c>
      <c r="Q1638" s="110">
        <v>154.69999999999999</v>
      </c>
      <c r="R1638">
        <v>6915834</v>
      </c>
    </row>
    <row r="1639" spans="1:18" x14ac:dyDescent="0.25">
      <c r="A1639" s="133">
        <v>44418</v>
      </c>
      <c r="B1639" s="110">
        <v>31.25</v>
      </c>
      <c r="C1639" s="110">
        <v>30.55</v>
      </c>
      <c r="D1639" s="110">
        <v>30.08</v>
      </c>
      <c r="E1639" s="110">
        <v>30.64</v>
      </c>
      <c r="F1639" s="110">
        <v>152.75</v>
      </c>
      <c r="G1639">
        <v>499026</v>
      </c>
      <c r="H1639" s="110"/>
      <c r="I1639" s="110"/>
      <c r="L1639" s="133">
        <v>44418</v>
      </c>
      <c r="M1639" s="110">
        <v>30.56</v>
      </c>
      <c r="N1639" s="110">
        <v>31.26</v>
      </c>
      <c r="O1639" s="110">
        <v>30.07</v>
      </c>
      <c r="P1639" s="110">
        <v>30.8</v>
      </c>
      <c r="Q1639" s="110">
        <v>152.80000000000001</v>
      </c>
      <c r="R1639">
        <v>7981747</v>
      </c>
    </row>
    <row r="1640" spans="1:18" x14ac:dyDescent="0.25">
      <c r="A1640" s="133">
        <v>44419</v>
      </c>
      <c r="B1640" s="110">
        <v>30.91</v>
      </c>
      <c r="C1640" s="110">
        <v>30.82</v>
      </c>
      <c r="D1640" s="110">
        <v>30.17</v>
      </c>
      <c r="E1640" s="110">
        <v>30.66</v>
      </c>
      <c r="F1640" s="110">
        <v>154.1</v>
      </c>
      <c r="G1640">
        <v>516789</v>
      </c>
      <c r="H1640" s="110"/>
      <c r="I1640" s="110"/>
      <c r="L1640" s="133">
        <v>44419</v>
      </c>
      <c r="M1640" s="110">
        <v>30.82</v>
      </c>
      <c r="N1640" s="110">
        <v>30.96</v>
      </c>
      <c r="O1640" s="110">
        <v>30.15</v>
      </c>
      <c r="P1640" s="110">
        <v>30.56</v>
      </c>
      <c r="Q1640" s="110">
        <v>154.1</v>
      </c>
      <c r="R1640">
        <v>5418518</v>
      </c>
    </row>
    <row r="1641" spans="1:18" x14ac:dyDescent="0.25">
      <c r="A1641" s="133">
        <v>44420</v>
      </c>
      <c r="B1641" s="110">
        <v>31.23</v>
      </c>
      <c r="C1641" s="110">
        <v>31.13</v>
      </c>
      <c r="D1641" s="110">
        <v>30.72</v>
      </c>
      <c r="E1641" s="110">
        <v>30.82</v>
      </c>
      <c r="F1641" s="110">
        <v>155.65</v>
      </c>
      <c r="G1641">
        <v>1308443</v>
      </c>
      <c r="H1641" s="110"/>
      <c r="I1641" s="110"/>
      <c r="L1641" s="133">
        <v>44420</v>
      </c>
      <c r="M1641" s="110">
        <v>31.14</v>
      </c>
      <c r="N1641" s="110">
        <v>31.28</v>
      </c>
      <c r="O1641" s="110">
        <v>30.71</v>
      </c>
      <c r="P1641" s="110">
        <v>30.83</v>
      </c>
      <c r="Q1641" s="110">
        <v>155.69999999999999</v>
      </c>
      <c r="R1641">
        <v>5788144</v>
      </c>
    </row>
    <row r="1642" spans="1:18" x14ac:dyDescent="0.25">
      <c r="A1642" s="133">
        <v>44421</v>
      </c>
      <c r="B1642" s="110">
        <v>31.47</v>
      </c>
      <c r="C1642" s="110">
        <v>31.27</v>
      </c>
      <c r="D1642" s="110">
        <v>30.83</v>
      </c>
      <c r="E1642" s="110">
        <v>31.2</v>
      </c>
      <c r="F1642" s="110">
        <v>156.35</v>
      </c>
      <c r="G1642">
        <v>730721</v>
      </c>
      <c r="H1642" s="110"/>
      <c r="I1642" s="110"/>
      <c r="L1642" s="133">
        <v>44421</v>
      </c>
      <c r="M1642" s="110">
        <v>31.2</v>
      </c>
      <c r="N1642" s="110">
        <v>31.46</v>
      </c>
      <c r="O1642" s="110">
        <v>30.8</v>
      </c>
      <c r="P1642" s="110">
        <v>31.21</v>
      </c>
      <c r="Q1642" s="110">
        <v>156</v>
      </c>
      <c r="R1642">
        <v>11021997</v>
      </c>
    </row>
    <row r="1643" spans="1:18" x14ac:dyDescent="0.25">
      <c r="A1643" s="133">
        <v>44424</v>
      </c>
      <c r="B1643" s="110">
        <v>31.98</v>
      </c>
      <c r="C1643" s="110">
        <v>31.49</v>
      </c>
      <c r="D1643" s="110">
        <v>30.96</v>
      </c>
      <c r="E1643" s="110">
        <v>31.29</v>
      </c>
      <c r="F1643" s="110">
        <v>157.44999999999999</v>
      </c>
      <c r="G1643">
        <v>1261195</v>
      </c>
      <c r="H1643" s="110"/>
      <c r="I1643" s="110"/>
      <c r="L1643" s="133">
        <v>44424</v>
      </c>
      <c r="M1643" s="110">
        <v>31.49</v>
      </c>
      <c r="N1643" s="110">
        <v>32.04</v>
      </c>
      <c r="O1643" s="110">
        <v>30.94</v>
      </c>
      <c r="P1643" s="110">
        <v>31</v>
      </c>
      <c r="Q1643" s="110">
        <v>157.44999999999999</v>
      </c>
      <c r="R1643">
        <v>17837489</v>
      </c>
    </row>
    <row r="1644" spans="1:18" x14ac:dyDescent="0.25">
      <c r="A1644" s="133">
        <v>44425</v>
      </c>
      <c r="B1644" s="110">
        <v>31.46</v>
      </c>
      <c r="C1644" s="110">
        <v>30.53</v>
      </c>
      <c r="D1644" s="110">
        <v>30.36</v>
      </c>
      <c r="E1644" s="110">
        <v>31.46</v>
      </c>
      <c r="F1644" s="110">
        <v>152.65</v>
      </c>
      <c r="G1644">
        <v>858241</v>
      </c>
      <c r="H1644" s="110"/>
      <c r="I1644" s="110"/>
      <c r="L1644" s="133">
        <v>44425</v>
      </c>
      <c r="M1644" s="110">
        <v>30.53</v>
      </c>
      <c r="N1644" s="110">
        <v>31.3</v>
      </c>
      <c r="O1644" s="110">
        <v>30.35</v>
      </c>
      <c r="P1644" s="110">
        <v>31.3</v>
      </c>
      <c r="Q1644" s="110">
        <v>152.65</v>
      </c>
      <c r="R1644">
        <v>27696062</v>
      </c>
    </row>
    <row r="1645" spans="1:18" x14ac:dyDescent="0.25">
      <c r="A1645" s="133">
        <v>44426</v>
      </c>
      <c r="B1645" s="110">
        <v>31.7</v>
      </c>
      <c r="C1645" s="110">
        <v>31.45</v>
      </c>
      <c r="D1645" s="110">
        <v>30.21</v>
      </c>
      <c r="E1645" s="110">
        <v>30.55</v>
      </c>
      <c r="F1645" s="110">
        <v>157.25</v>
      </c>
      <c r="G1645">
        <v>1586316</v>
      </c>
      <c r="H1645" s="110"/>
      <c r="I1645" s="110"/>
      <c r="L1645" s="133">
        <v>44426</v>
      </c>
      <c r="M1645" s="110">
        <v>31.43</v>
      </c>
      <c r="N1645" s="110">
        <v>31.72</v>
      </c>
      <c r="O1645" s="110">
        <v>30.2</v>
      </c>
      <c r="P1645" s="110">
        <v>30.52</v>
      </c>
      <c r="Q1645" s="110">
        <v>157.15</v>
      </c>
      <c r="R1645">
        <v>34481078</v>
      </c>
    </row>
    <row r="1646" spans="1:18" x14ac:dyDescent="0.25">
      <c r="A1646" s="133">
        <v>44428</v>
      </c>
      <c r="B1646" s="110">
        <v>31.02</v>
      </c>
      <c r="C1646" s="110">
        <v>30.57</v>
      </c>
      <c r="D1646" s="110">
        <v>30.27</v>
      </c>
      <c r="E1646" s="110">
        <v>30.74</v>
      </c>
      <c r="F1646" s="110">
        <v>152.85</v>
      </c>
      <c r="G1646">
        <v>589138</v>
      </c>
      <c r="H1646" s="110"/>
      <c r="I1646" s="110"/>
      <c r="L1646" s="133">
        <v>44428</v>
      </c>
      <c r="M1646" s="110">
        <v>30.56</v>
      </c>
      <c r="N1646" s="110">
        <v>31.03</v>
      </c>
      <c r="O1646" s="110">
        <v>30.24</v>
      </c>
      <c r="P1646" s="110">
        <v>31</v>
      </c>
      <c r="Q1646" s="110">
        <v>152.80000000000001</v>
      </c>
      <c r="R1646">
        <v>11571042</v>
      </c>
    </row>
    <row r="1647" spans="1:18" x14ac:dyDescent="0.25">
      <c r="A1647" s="133">
        <v>44431</v>
      </c>
      <c r="B1647" s="110">
        <v>30.92</v>
      </c>
      <c r="C1647" s="110">
        <v>30.56</v>
      </c>
      <c r="D1647" s="110">
        <v>29.73</v>
      </c>
      <c r="E1647" s="110">
        <v>30.72</v>
      </c>
      <c r="F1647" s="110">
        <v>152.80000000000001</v>
      </c>
      <c r="G1647">
        <v>590256</v>
      </c>
      <c r="H1647" s="110"/>
      <c r="I1647" s="110"/>
      <c r="L1647" s="133">
        <v>44431</v>
      </c>
      <c r="M1647" s="110">
        <v>30.58</v>
      </c>
      <c r="N1647" s="110">
        <v>30.93</v>
      </c>
      <c r="O1647" s="110">
        <v>29.64</v>
      </c>
      <c r="P1647" s="110">
        <v>30.8</v>
      </c>
      <c r="Q1647" s="110">
        <v>152.9</v>
      </c>
      <c r="R1647">
        <v>8868571</v>
      </c>
    </row>
    <row r="1648" spans="1:18" x14ac:dyDescent="0.25">
      <c r="A1648" s="133">
        <v>44432</v>
      </c>
      <c r="B1648" s="110">
        <v>31.18</v>
      </c>
      <c r="C1648" s="110">
        <v>31.14</v>
      </c>
      <c r="D1648" s="110">
        <v>30.39</v>
      </c>
      <c r="E1648" s="110">
        <v>30.48</v>
      </c>
      <c r="F1648" s="110">
        <v>155.69999999999999</v>
      </c>
      <c r="G1648">
        <v>291970</v>
      </c>
      <c r="H1648" s="110"/>
      <c r="I1648" s="110"/>
      <c r="L1648" s="133">
        <v>44432</v>
      </c>
      <c r="M1648" s="110">
        <v>31.14</v>
      </c>
      <c r="N1648" s="110">
        <v>31.2</v>
      </c>
      <c r="O1648" s="110">
        <v>30.35</v>
      </c>
      <c r="P1648" s="110">
        <v>30.4</v>
      </c>
      <c r="Q1648" s="110">
        <v>155.69999999999999</v>
      </c>
      <c r="R1648">
        <v>7969447</v>
      </c>
    </row>
    <row r="1649" spans="1:18" x14ac:dyDescent="0.25">
      <c r="A1649" s="133">
        <v>44433</v>
      </c>
      <c r="B1649" s="110">
        <v>31.34</v>
      </c>
      <c r="C1649" s="110">
        <v>30.21</v>
      </c>
      <c r="D1649" s="110">
        <v>30.12</v>
      </c>
      <c r="E1649" s="110">
        <v>31.28</v>
      </c>
      <c r="F1649" s="110">
        <v>151.05000000000001</v>
      </c>
      <c r="G1649">
        <v>1698155</v>
      </c>
      <c r="H1649" s="110"/>
      <c r="I1649" s="110"/>
      <c r="L1649" s="133">
        <v>44433</v>
      </c>
      <c r="M1649" s="110">
        <v>30.21</v>
      </c>
      <c r="N1649" s="110">
        <v>31.36</v>
      </c>
      <c r="O1649" s="110">
        <v>30.1</v>
      </c>
      <c r="P1649" s="110">
        <v>31.18</v>
      </c>
      <c r="Q1649" s="110">
        <v>151.05000000000001</v>
      </c>
      <c r="R1649">
        <v>31519244</v>
      </c>
    </row>
    <row r="1650" spans="1:18" x14ac:dyDescent="0.25">
      <c r="A1650" s="133">
        <v>44434</v>
      </c>
      <c r="B1650" s="110">
        <v>31.02</v>
      </c>
      <c r="C1650" s="110">
        <v>30.56</v>
      </c>
      <c r="D1650" s="110">
        <v>30.27</v>
      </c>
      <c r="E1650" s="110">
        <v>30.35</v>
      </c>
      <c r="F1650" s="110">
        <v>152.80000000000001</v>
      </c>
      <c r="G1650">
        <v>1323778</v>
      </c>
      <c r="H1650" s="110"/>
      <c r="I1650" s="110"/>
      <c r="L1650" s="133">
        <v>44434</v>
      </c>
      <c r="M1650" s="110">
        <v>30.57</v>
      </c>
      <c r="N1650" s="110">
        <v>31.03</v>
      </c>
      <c r="O1650" s="110">
        <v>30.27</v>
      </c>
      <c r="P1650" s="110">
        <v>30.29</v>
      </c>
      <c r="Q1650" s="110">
        <v>152.85</v>
      </c>
      <c r="R1650">
        <v>30156307</v>
      </c>
    </row>
    <row r="1651" spans="1:18" x14ac:dyDescent="0.25">
      <c r="A1651" s="133">
        <v>44435</v>
      </c>
      <c r="B1651" s="110">
        <v>30.69</v>
      </c>
      <c r="C1651" s="110">
        <v>30.3</v>
      </c>
      <c r="D1651" s="110">
        <v>30.21</v>
      </c>
      <c r="E1651" s="110">
        <v>30.66</v>
      </c>
      <c r="F1651" s="110">
        <v>151.5</v>
      </c>
      <c r="G1651">
        <v>402219</v>
      </c>
      <c r="H1651" s="110"/>
      <c r="I1651" s="110"/>
      <c r="L1651" s="133">
        <v>44435</v>
      </c>
      <c r="M1651" s="110">
        <v>30.32</v>
      </c>
      <c r="N1651" s="110">
        <v>30.69</v>
      </c>
      <c r="O1651" s="110">
        <v>30.24</v>
      </c>
      <c r="P1651" s="110">
        <v>30.63</v>
      </c>
      <c r="Q1651" s="110">
        <v>151.6</v>
      </c>
      <c r="R1651">
        <v>9377338</v>
      </c>
    </row>
    <row r="1652" spans="1:18" x14ac:dyDescent="0.25">
      <c r="A1652" s="133">
        <v>44438</v>
      </c>
      <c r="B1652" s="110">
        <v>31.15</v>
      </c>
      <c r="C1652" s="110">
        <v>31.06</v>
      </c>
      <c r="D1652" s="110">
        <v>30.49</v>
      </c>
      <c r="E1652" s="110">
        <v>30.62</v>
      </c>
      <c r="F1652" s="110">
        <v>155.30000000000001</v>
      </c>
      <c r="G1652">
        <v>353066</v>
      </c>
      <c r="H1652" s="110"/>
      <c r="I1652" s="110"/>
      <c r="L1652" s="133">
        <v>44438</v>
      </c>
      <c r="M1652" s="110">
        <v>31.05</v>
      </c>
      <c r="N1652" s="110">
        <v>31.16</v>
      </c>
      <c r="O1652" s="110">
        <v>30.42</v>
      </c>
      <c r="P1652" s="110">
        <v>30.6</v>
      </c>
      <c r="Q1652" s="110">
        <v>155.25</v>
      </c>
      <c r="R1652">
        <v>12970720</v>
      </c>
    </row>
    <row r="1653" spans="1:18" x14ac:dyDescent="0.25">
      <c r="A1653" s="133">
        <v>44439</v>
      </c>
      <c r="B1653" s="110">
        <v>32.49</v>
      </c>
      <c r="C1653" s="110">
        <v>31.82</v>
      </c>
      <c r="D1653" s="110">
        <v>30.74</v>
      </c>
      <c r="E1653" s="110">
        <v>31.02</v>
      </c>
      <c r="F1653" s="110">
        <v>159.1</v>
      </c>
      <c r="G1653">
        <v>2306473</v>
      </c>
      <c r="H1653" s="110"/>
      <c r="I1653" s="110"/>
      <c r="L1653" s="133">
        <v>44439</v>
      </c>
      <c r="M1653" s="110">
        <v>31.82</v>
      </c>
      <c r="N1653" s="110">
        <v>32.5</v>
      </c>
      <c r="O1653" s="110">
        <v>30.74</v>
      </c>
      <c r="P1653" s="110">
        <v>31.05</v>
      </c>
      <c r="Q1653" s="110">
        <v>159.1</v>
      </c>
      <c r="R1653">
        <v>32668471</v>
      </c>
    </row>
    <row r="1654" spans="1:18" x14ac:dyDescent="0.25">
      <c r="A1654" s="133">
        <v>44440</v>
      </c>
      <c r="B1654" s="110">
        <v>32.44</v>
      </c>
      <c r="C1654" s="110">
        <v>32.21</v>
      </c>
      <c r="D1654" s="110">
        <v>31.46</v>
      </c>
      <c r="E1654" s="110">
        <v>31.92</v>
      </c>
      <c r="F1654" s="110">
        <v>161.05000000000001</v>
      </c>
      <c r="G1654">
        <v>1232840</v>
      </c>
      <c r="H1654" s="110"/>
      <c r="I1654" s="110"/>
      <c r="L1654" s="133">
        <v>44440</v>
      </c>
      <c r="M1654" s="110">
        <v>32.21</v>
      </c>
      <c r="N1654" s="110">
        <v>32.44</v>
      </c>
      <c r="O1654" s="110">
        <v>31.44</v>
      </c>
      <c r="P1654" s="110">
        <v>31.8</v>
      </c>
      <c r="Q1654" s="110">
        <v>161.05000000000001</v>
      </c>
      <c r="R1654">
        <v>16600381</v>
      </c>
    </row>
    <row r="1655" spans="1:18" x14ac:dyDescent="0.25">
      <c r="A1655" s="133">
        <v>44441</v>
      </c>
      <c r="B1655" s="110">
        <v>32.590000000000003</v>
      </c>
      <c r="C1655" s="110">
        <v>31.82</v>
      </c>
      <c r="D1655" s="110">
        <v>31.7</v>
      </c>
      <c r="E1655" s="110">
        <v>32.32</v>
      </c>
      <c r="F1655" s="110">
        <v>159.1</v>
      </c>
      <c r="G1655">
        <v>779871</v>
      </c>
      <c r="H1655" s="110"/>
      <c r="I1655" s="110"/>
      <c r="L1655" s="133">
        <v>44441</v>
      </c>
      <c r="M1655" s="110">
        <v>31.82</v>
      </c>
      <c r="N1655" s="110">
        <v>32.590000000000003</v>
      </c>
      <c r="O1655" s="110">
        <v>31.68</v>
      </c>
      <c r="P1655" s="110">
        <v>32.33</v>
      </c>
      <c r="Q1655" s="110">
        <v>159.1</v>
      </c>
      <c r="R1655">
        <v>18378252</v>
      </c>
    </row>
    <row r="1656" spans="1:18" x14ac:dyDescent="0.25">
      <c r="A1656" s="133">
        <v>44442</v>
      </c>
      <c r="B1656" s="110">
        <v>32.700000000000003</v>
      </c>
      <c r="C1656" s="110">
        <v>32.130000000000003</v>
      </c>
      <c r="D1656" s="110">
        <v>31.82</v>
      </c>
      <c r="E1656" s="110">
        <v>31.82</v>
      </c>
      <c r="F1656" s="110">
        <v>160.65</v>
      </c>
      <c r="G1656">
        <v>1272733</v>
      </c>
      <c r="H1656" s="110"/>
      <c r="I1656" s="110"/>
      <c r="L1656" s="133">
        <v>44442</v>
      </c>
      <c r="M1656" s="110">
        <v>32.14</v>
      </c>
      <c r="N1656" s="110">
        <v>32.69</v>
      </c>
      <c r="O1656" s="110">
        <v>31.82</v>
      </c>
      <c r="P1656" s="110">
        <v>31.87</v>
      </c>
      <c r="Q1656" s="110">
        <v>160.69999999999999</v>
      </c>
      <c r="R1656">
        <v>19159144</v>
      </c>
    </row>
    <row r="1657" spans="1:18" x14ac:dyDescent="0.25">
      <c r="A1657" s="133">
        <v>44445</v>
      </c>
      <c r="B1657" s="110">
        <v>32.79</v>
      </c>
      <c r="C1657" s="110">
        <v>32.01</v>
      </c>
      <c r="D1657" s="110">
        <v>31.94</v>
      </c>
      <c r="E1657" s="110">
        <v>32.28</v>
      </c>
      <c r="F1657" s="110">
        <v>160.05000000000001</v>
      </c>
      <c r="G1657">
        <v>564464</v>
      </c>
      <c r="H1657" s="110"/>
      <c r="I1657" s="110"/>
      <c r="L1657" s="133">
        <v>44445</v>
      </c>
      <c r="M1657" s="110">
        <v>32.01</v>
      </c>
      <c r="N1657" s="110">
        <v>32.799999999999997</v>
      </c>
      <c r="O1657" s="110">
        <v>31.95</v>
      </c>
      <c r="P1657" s="110">
        <v>32.340000000000003</v>
      </c>
      <c r="Q1657" s="110">
        <v>160.05000000000001</v>
      </c>
      <c r="R1657">
        <v>16465948</v>
      </c>
    </row>
    <row r="1658" spans="1:18" x14ac:dyDescent="0.25">
      <c r="A1658" s="133">
        <v>44446</v>
      </c>
      <c r="B1658" s="110">
        <v>32.119999999999997</v>
      </c>
      <c r="C1658" s="110">
        <v>31.2</v>
      </c>
      <c r="D1658" s="110">
        <v>31.04</v>
      </c>
      <c r="E1658" s="110">
        <v>32.090000000000003</v>
      </c>
      <c r="F1658" s="110">
        <v>156</v>
      </c>
      <c r="G1658">
        <v>881101</v>
      </c>
      <c r="H1658" s="110"/>
      <c r="I1658" s="110"/>
      <c r="L1658" s="133">
        <v>44446</v>
      </c>
      <c r="M1658" s="110">
        <v>31.22</v>
      </c>
      <c r="N1658" s="110">
        <v>32.14</v>
      </c>
      <c r="O1658" s="110">
        <v>31.04</v>
      </c>
      <c r="P1658" s="110">
        <v>32.14</v>
      </c>
      <c r="Q1658" s="110">
        <v>156.1</v>
      </c>
      <c r="R1658">
        <v>15716324</v>
      </c>
    </row>
    <row r="1659" spans="1:18" x14ac:dyDescent="0.25">
      <c r="A1659" s="133">
        <v>44447</v>
      </c>
      <c r="B1659" s="110">
        <v>32.229999999999997</v>
      </c>
      <c r="C1659" s="110">
        <v>31.54</v>
      </c>
      <c r="D1659" s="110">
        <v>31.14</v>
      </c>
      <c r="E1659" s="110">
        <v>31.2</v>
      </c>
      <c r="F1659" s="110">
        <v>157.69999999999999</v>
      </c>
      <c r="G1659">
        <v>831122</v>
      </c>
      <c r="H1659" s="110"/>
      <c r="I1659" s="110"/>
      <c r="L1659" s="133">
        <v>44447</v>
      </c>
      <c r="M1659" s="110">
        <v>31.55</v>
      </c>
      <c r="N1659" s="110">
        <v>32.229999999999997</v>
      </c>
      <c r="O1659" s="110">
        <v>31.14</v>
      </c>
      <c r="P1659" s="110">
        <v>31.22</v>
      </c>
      <c r="Q1659" s="110">
        <v>157.75</v>
      </c>
      <c r="R1659">
        <v>17990305</v>
      </c>
    </row>
    <row r="1660" spans="1:18" x14ac:dyDescent="0.25">
      <c r="A1660" s="133">
        <v>44448</v>
      </c>
      <c r="B1660" s="110">
        <v>31.92</v>
      </c>
      <c r="C1660" s="110">
        <v>31.49</v>
      </c>
      <c r="D1660" s="110">
        <v>31.34</v>
      </c>
      <c r="E1660" s="110">
        <v>31.54</v>
      </c>
      <c r="F1660" s="110">
        <v>157.44999999999999</v>
      </c>
      <c r="G1660">
        <v>388613</v>
      </c>
      <c r="H1660" s="110"/>
      <c r="I1660" s="110"/>
      <c r="L1660" s="133">
        <v>44448</v>
      </c>
      <c r="M1660" s="110">
        <v>31.5</v>
      </c>
      <c r="N1660" s="110">
        <v>31.94</v>
      </c>
      <c r="O1660" s="110">
        <v>31.33</v>
      </c>
      <c r="P1660" s="110">
        <v>31.4</v>
      </c>
      <c r="Q1660" s="110">
        <v>157.5</v>
      </c>
      <c r="R1660">
        <v>6760623</v>
      </c>
    </row>
    <row r="1661" spans="1:18" x14ac:dyDescent="0.25">
      <c r="A1661" s="133">
        <v>44452</v>
      </c>
      <c r="B1661" s="110">
        <v>31.63</v>
      </c>
      <c r="C1661" s="110">
        <v>31.36</v>
      </c>
      <c r="D1661" s="110">
        <v>31.1</v>
      </c>
      <c r="E1661" s="110">
        <v>31.59</v>
      </c>
      <c r="F1661" s="110">
        <v>156.80000000000001</v>
      </c>
      <c r="G1661">
        <v>316900</v>
      </c>
      <c r="H1661" s="110"/>
      <c r="I1661" s="110"/>
      <c r="L1661" s="133">
        <v>44452</v>
      </c>
      <c r="M1661" s="110">
        <v>31.36</v>
      </c>
      <c r="N1661" s="110">
        <v>31.62</v>
      </c>
      <c r="O1661" s="110">
        <v>31.09</v>
      </c>
      <c r="P1661" s="110">
        <v>31.4</v>
      </c>
      <c r="Q1661" s="110">
        <v>156.80000000000001</v>
      </c>
      <c r="R1661">
        <v>6645239</v>
      </c>
    </row>
    <row r="1662" spans="1:18" x14ac:dyDescent="0.25">
      <c r="A1662" s="133">
        <v>44453</v>
      </c>
      <c r="B1662" s="110">
        <v>31.57</v>
      </c>
      <c r="C1662" s="110">
        <v>31.05</v>
      </c>
      <c r="D1662" s="110">
        <v>30.93</v>
      </c>
      <c r="E1662" s="110">
        <v>31.4</v>
      </c>
      <c r="F1662" s="110">
        <v>155.25</v>
      </c>
      <c r="G1662">
        <v>855153</v>
      </c>
      <c r="H1662" s="110"/>
      <c r="I1662" s="110"/>
      <c r="L1662" s="133">
        <v>44453</v>
      </c>
      <c r="M1662" s="110">
        <v>31.05</v>
      </c>
      <c r="N1662" s="110">
        <v>31.58</v>
      </c>
      <c r="O1662" s="110">
        <v>30.93</v>
      </c>
      <c r="P1662" s="110">
        <v>31.4</v>
      </c>
      <c r="Q1662" s="110">
        <v>155.25</v>
      </c>
      <c r="R1662">
        <v>9677274</v>
      </c>
    </row>
    <row r="1663" spans="1:18" x14ac:dyDescent="0.25">
      <c r="A1663" s="133">
        <v>44454</v>
      </c>
      <c r="B1663" s="110">
        <v>32.409999999999997</v>
      </c>
      <c r="C1663" s="110">
        <v>32.299999999999997</v>
      </c>
      <c r="D1663" s="110">
        <v>31.11</v>
      </c>
      <c r="E1663" s="110">
        <v>31.18</v>
      </c>
      <c r="F1663" s="110">
        <v>161.5</v>
      </c>
      <c r="G1663">
        <v>1721007</v>
      </c>
      <c r="H1663" s="110"/>
      <c r="I1663" s="110"/>
      <c r="L1663" s="133">
        <v>44454</v>
      </c>
      <c r="M1663" s="110">
        <v>32.32</v>
      </c>
      <c r="N1663" s="110">
        <v>32.409999999999997</v>
      </c>
      <c r="O1663" s="110">
        <v>31.1</v>
      </c>
      <c r="P1663" s="110">
        <v>31.28</v>
      </c>
      <c r="Q1663" s="110">
        <v>161.6</v>
      </c>
      <c r="R1663">
        <v>19003954</v>
      </c>
    </row>
    <row r="1664" spans="1:18" x14ac:dyDescent="0.25">
      <c r="A1664" s="133">
        <v>44455</v>
      </c>
      <c r="B1664" s="110">
        <v>33.54</v>
      </c>
      <c r="C1664" s="110">
        <v>33.36</v>
      </c>
      <c r="D1664" s="110">
        <v>32.1</v>
      </c>
      <c r="E1664" s="110">
        <v>32.32</v>
      </c>
      <c r="F1664" s="110">
        <v>166.8</v>
      </c>
      <c r="G1664">
        <v>1535247</v>
      </c>
      <c r="H1664" s="110"/>
      <c r="I1664" s="110"/>
      <c r="L1664" s="133">
        <v>44455</v>
      </c>
      <c r="M1664" s="110">
        <v>33.35</v>
      </c>
      <c r="N1664" s="110">
        <v>33.56</v>
      </c>
      <c r="O1664" s="110">
        <v>32.090000000000003</v>
      </c>
      <c r="P1664" s="110">
        <v>32.32</v>
      </c>
      <c r="Q1664" s="110">
        <v>166.75</v>
      </c>
      <c r="R1664">
        <v>37965546</v>
      </c>
    </row>
    <row r="1665" spans="1:18" x14ac:dyDescent="0.25">
      <c r="A1665" s="133">
        <v>44456</v>
      </c>
      <c r="B1665" s="110">
        <v>34.24</v>
      </c>
      <c r="C1665" s="110">
        <v>32.549999999999997</v>
      </c>
      <c r="D1665" s="110">
        <v>31.86</v>
      </c>
      <c r="E1665" s="110">
        <v>33.86</v>
      </c>
      <c r="F1665" s="110">
        <v>162.75</v>
      </c>
      <c r="G1665">
        <v>2660454</v>
      </c>
      <c r="H1665" s="110"/>
      <c r="I1665" s="110"/>
      <c r="L1665" s="133">
        <v>44456</v>
      </c>
      <c r="M1665" s="110">
        <v>32.549999999999997</v>
      </c>
      <c r="N1665" s="110">
        <v>34.25</v>
      </c>
      <c r="O1665" s="110">
        <v>31.84</v>
      </c>
      <c r="P1665" s="110">
        <v>33.86</v>
      </c>
      <c r="Q1665" s="110">
        <v>162.75</v>
      </c>
      <c r="R1665">
        <v>44856907</v>
      </c>
    </row>
    <row r="1666" spans="1:18" x14ac:dyDescent="0.25">
      <c r="A1666" s="133">
        <v>44459</v>
      </c>
      <c r="B1666" s="110">
        <v>32.630000000000003</v>
      </c>
      <c r="C1666" s="110">
        <v>30.99</v>
      </c>
      <c r="D1666" s="110">
        <v>30.89</v>
      </c>
      <c r="E1666" s="110">
        <v>31.65</v>
      </c>
      <c r="F1666" s="110">
        <v>154.94999999999999</v>
      </c>
      <c r="G1666">
        <v>827008</v>
      </c>
      <c r="H1666" s="110"/>
      <c r="I1666" s="110"/>
      <c r="L1666" s="133">
        <v>44459</v>
      </c>
      <c r="M1666" s="110">
        <v>30.99</v>
      </c>
      <c r="N1666" s="110">
        <v>32.64</v>
      </c>
      <c r="O1666" s="110">
        <v>30.88</v>
      </c>
      <c r="P1666" s="110">
        <v>31.8</v>
      </c>
      <c r="Q1666" s="110">
        <v>154.94999999999999</v>
      </c>
      <c r="R1666">
        <v>13718062</v>
      </c>
    </row>
    <row r="1667" spans="1:18" x14ac:dyDescent="0.25">
      <c r="A1667" s="133">
        <v>44460</v>
      </c>
      <c r="B1667" s="110">
        <v>31.47</v>
      </c>
      <c r="C1667" s="110">
        <v>30.98</v>
      </c>
      <c r="D1667" s="110">
        <v>30.4</v>
      </c>
      <c r="E1667" s="110">
        <v>31.3</v>
      </c>
      <c r="F1667" s="110">
        <v>154.9</v>
      </c>
      <c r="G1667">
        <v>852971</v>
      </c>
      <c r="H1667" s="110"/>
      <c r="I1667" s="110"/>
      <c r="L1667" s="133">
        <v>44460</v>
      </c>
      <c r="M1667" s="110">
        <v>30.99</v>
      </c>
      <c r="N1667" s="110">
        <v>31.48</v>
      </c>
      <c r="O1667" s="110">
        <v>30.41</v>
      </c>
      <c r="P1667" s="110">
        <v>31.26</v>
      </c>
      <c r="Q1667" s="110">
        <v>154.94999999999999</v>
      </c>
      <c r="R1667">
        <v>14323425</v>
      </c>
    </row>
    <row r="1668" spans="1:18" x14ac:dyDescent="0.25">
      <c r="A1668" s="133">
        <v>44461</v>
      </c>
      <c r="B1668" s="110">
        <v>31.8</v>
      </c>
      <c r="C1668" s="110">
        <v>31.38</v>
      </c>
      <c r="D1668" s="110">
        <v>30.97</v>
      </c>
      <c r="E1668" s="110">
        <v>30.97</v>
      </c>
      <c r="F1668" s="110">
        <v>156.9</v>
      </c>
      <c r="G1668">
        <v>557646</v>
      </c>
      <c r="H1668" s="110"/>
      <c r="I1668" s="110"/>
      <c r="L1668" s="133">
        <v>44461</v>
      </c>
      <c r="M1668" s="110">
        <v>31.37</v>
      </c>
      <c r="N1668" s="110">
        <v>31.82</v>
      </c>
      <c r="O1668" s="110">
        <v>31</v>
      </c>
      <c r="P1668" s="110">
        <v>31.16</v>
      </c>
      <c r="Q1668" s="110">
        <v>156.85</v>
      </c>
      <c r="R1668">
        <v>11331789</v>
      </c>
    </row>
    <row r="1669" spans="1:18" x14ac:dyDescent="0.25">
      <c r="A1669" s="133">
        <v>44462</v>
      </c>
      <c r="B1669" s="110">
        <v>32.6</v>
      </c>
      <c r="C1669" s="110">
        <v>32.15</v>
      </c>
      <c r="D1669" s="110">
        <v>31.6</v>
      </c>
      <c r="E1669" s="110">
        <v>31.6</v>
      </c>
      <c r="F1669" s="110">
        <v>160.75</v>
      </c>
      <c r="G1669">
        <v>1093411</v>
      </c>
      <c r="H1669" s="110"/>
      <c r="I1669" s="110"/>
      <c r="L1669" s="133">
        <v>44462</v>
      </c>
      <c r="M1669" s="110">
        <v>32.159999999999997</v>
      </c>
      <c r="N1669" s="110">
        <v>32.6</v>
      </c>
      <c r="O1669" s="110">
        <v>31.6</v>
      </c>
      <c r="P1669" s="110">
        <v>31.64</v>
      </c>
      <c r="Q1669" s="110">
        <v>160.80000000000001</v>
      </c>
      <c r="R1669">
        <v>18468123</v>
      </c>
    </row>
    <row r="1670" spans="1:18" x14ac:dyDescent="0.25">
      <c r="A1670" s="133">
        <v>44463</v>
      </c>
      <c r="B1670" s="110">
        <v>32.31</v>
      </c>
      <c r="C1670" s="110">
        <v>31.55</v>
      </c>
      <c r="D1670" s="110">
        <v>31.45</v>
      </c>
      <c r="E1670" s="110">
        <v>32.200000000000003</v>
      </c>
      <c r="F1670" s="110">
        <v>157.75</v>
      </c>
      <c r="G1670">
        <v>463560</v>
      </c>
      <c r="H1670" s="110"/>
      <c r="I1670" s="110"/>
      <c r="L1670" s="133">
        <v>44463</v>
      </c>
      <c r="M1670" s="110">
        <v>31.54</v>
      </c>
      <c r="N1670" s="110">
        <v>32.340000000000003</v>
      </c>
      <c r="O1670" s="110">
        <v>31.44</v>
      </c>
      <c r="P1670" s="110">
        <v>32.200000000000003</v>
      </c>
      <c r="Q1670" s="110">
        <v>157.69999999999999</v>
      </c>
      <c r="R1670">
        <v>7568187</v>
      </c>
    </row>
    <row r="1671" spans="1:18" x14ac:dyDescent="0.25">
      <c r="A1671" s="133">
        <v>44466</v>
      </c>
      <c r="B1671" s="110">
        <v>32.340000000000003</v>
      </c>
      <c r="C1671" s="110">
        <v>31.97</v>
      </c>
      <c r="D1671" s="110">
        <v>31.68</v>
      </c>
      <c r="E1671" s="110">
        <v>31.82</v>
      </c>
      <c r="F1671" s="110">
        <v>159.85</v>
      </c>
      <c r="G1671">
        <v>1029658</v>
      </c>
      <c r="H1671" s="110"/>
      <c r="I1671" s="110"/>
      <c r="L1671" s="133">
        <v>44466</v>
      </c>
      <c r="M1671" s="110">
        <v>31.98</v>
      </c>
      <c r="N1671" s="110">
        <v>32.35</v>
      </c>
      <c r="O1671" s="110">
        <v>31.62</v>
      </c>
      <c r="P1671" s="110">
        <v>31.82</v>
      </c>
      <c r="Q1671" s="110">
        <v>159.9</v>
      </c>
      <c r="R1671">
        <v>10243714</v>
      </c>
    </row>
    <row r="1672" spans="1:18" x14ac:dyDescent="0.25">
      <c r="A1672" s="133">
        <v>44467</v>
      </c>
      <c r="B1672" s="110">
        <v>32.950000000000003</v>
      </c>
      <c r="C1672" s="110">
        <v>32.71</v>
      </c>
      <c r="D1672" s="110">
        <v>32</v>
      </c>
      <c r="E1672" s="110">
        <v>32.159999999999997</v>
      </c>
      <c r="F1672" s="110">
        <v>163.55000000000001</v>
      </c>
      <c r="G1672">
        <v>832887</v>
      </c>
      <c r="H1672" s="110"/>
      <c r="I1672" s="110"/>
      <c r="L1672" s="133">
        <v>44467</v>
      </c>
      <c r="M1672" s="110">
        <v>32.74</v>
      </c>
      <c r="N1672" s="110">
        <v>32.979999999999997</v>
      </c>
      <c r="O1672" s="110">
        <v>31.99</v>
      </c>
      <c r="P1672" s="110">
        <v>32</v>
      </c>
      <c r="Q1672" s="110">
        <v>163.69999999999999</v>
      </c>
      <c r="R1672">
        <v>15400565</v>
      </c>
    </row>
    <row r="1673" spans="1:18" x14ac:dyDescent="0.25">
      <c r="A1673" s="133">
        <v>44468</v>
      </c>
      <c r="B1673" s="110">
        <v>34.39</v>
      </c>
      <c r="C1673" s="110">
        <v>33.619999999999997</v>
      </c>
      <c r="D1673" s="110">
        <v>32.36</v>
      </c>
      <c r="E1673" s="110">
        <v>32.46</v>
      </c>
      <c r="F1673" s="110">
        <v>168.1</v>
      </c>
      <c r="G1673">
        <v>1431394</v>
      </c>
      <c r="H1673" s="110"/>
      <c r="I1673" s="110"/>
      <c r="L1673" s="133">
        <v>44468</v>
      </c>
      <c r="M1673" s="110">
        <v>33.630000000000003</v>
      </c>
      <c r="N1673" s="110">
        <v>34.4</v>
      </c>
      <c r="O1673" s="110">
        <v>32.340000000000003</v>
      </c>
      <c r="P1673" s="110">
        <v>32.36</v>
      </c>
      <c r="Q1673" s="110">
        <v>168.15</v>
      </c>
      <c r="R1673">
        <v>35308289</v>
      </c>
    </row>
    <row r="1674" spans="1:18" x14ac:dyDescent="0.25">
      <c r="A1674" s="133">
        <v>44469</v>
      </c>
      <c r="B1674" s="110">
        <v>35.479999999999997</v>
      </c>
      <c r="C1674" s="110">
        <v>34.6</v>
      </c>
      <c r="D1674" s="110">
        <v>33.69</v>
      </c>
      <c r="E1674" s="110">
        <v>33.94</v>
      </c>
      <c r="F1674" s="110">
        <v>173</v>
      </c>
      <c r="G1674">
        <v>1934198</v>
      </c>
      <c r="H1674" s="110"/>
      <c r="I1674" s="110"/>
      <c r="L1674" s="133">
        <v>44469</v>
      </c>
      <c r="M1674" s="110">
        <v>34.6</v>
      </c>
      <c r="N1674" s="110">
        <v>35.5</v>
      </c>
      <c r="O1674" s="110">
        <v>33.71</v>
      </c>
      <c r="P1674" s="110">
        <v>33.79</v>
      </c>
      <c r="Q1674" s="110">
        <v>173</v>
      </c>
      <c r="R1674">
        <v>44191136</v>
      </c>
    </row>
    <row r="1675" spans="1:18" x14ac:dyDescent="0.25">
      <c r="A1675" s="133">
        <v>44470</v>
      </c>
      <c r="B1675" s="110">
        <v>35.78</v>
      </c>
      <c r="C1675" s="110">
        <v>35.35</v>
      </c>
      <c r="D1675" s="110">
        <v>34</v>
      </c>
      <c r="E1675" s="110">
        <v>34.56</v>
      </c>
      <c r="F1675" s="110">
        <v>176.75</v>
      </c>
      <c r="G1675">
        <v>2088291</v>
      </c>
      <c r="H1675" s="110"/>
      <c r="I1675" s="110"/>
      <c r="L1675" s="133">
        <v>44470</v>
      </c>
      <c r="M1675" s="110">
        <v>35.369999999999997</v>
      </c>
      <c r="N1675" s="110">
        <v>35.79</v>
      </c>
      <c r="O1675" s="110">
        <v>33.6</v>
      </c>
      <c r="P1675" s="110">
        <v>34.479999999999997</v>
      </c>
      <c r="Q1675" s="110">
        <v>176.85</v>
      </c>
      <c r="R1675">
        <v>32470585</v>
      </c>
    </row>
    <row r="1676" spans="1:18" x14ac:dyDescent="0.25">
      <c r="A1676" s="133">
        <v>44473</v>
      </c>
      <c r="B1676" s="110">
        <v>36.58</v>
      </c>
      <c r="C1676" s="110">
        <v>36.42</v>
      </c>
      <c r="D1676" s="110">
        <v>35.479999999999997</v>
      </c>
      <c r="E1676" s="110">
        <v>35.58</v>
      </c>
      <c r="F1676" s="110">
        <v>182.1</v>
      </c>
      <c r="G1676">
        <v>1026652</v>
      </c>
      <c r="H1676" s="110"/>
      <c r="I1676" s="110"/>
      <c r="L1676" s="133">
        <v>44473</v>
      </c>
      <c r="M1676" s="110">
        <v>36.42</v>
      </c>
      <c r="N1676" s="110">
        <v>36.590000000000003</v>
      </c>
      <c r="O1676" s="110">
        <v>35.42</v>
      </c>
      <c r="P1676" s="110">
        <v>35.479999999999997</v>
      </c>
      <c r="Q1676" s="110">
        <v>182.1</v>
      </c>
      <c r="R1676">
        <v>25046490</v>
      </c>
    </row>
    <row r="1677" spans="1:18" x14ac:dyDescent="0.25">
      <c r="A1677" s="133">
        <v>44474</v>
      </c>
      <c r="B1677" s="110">
        <v>36.67</v>
      </c>
      <c r="C1677" s="110">
        <v>35.96</v>
      </c>
      <c r="D1677" s="110">
        <v>35.64</v>
      </c>
      <c r="E1677" s="110">
        <v>36.46</v>
      </c>
      <c r="F1677" s="110">
        <v>179.8</v>
      </c>
      <c r="G1677">
        <v>1390003</v>
      </c>
      <c r="H1677" s="110"/>
      <c r="I1677" s="110"/>
      <c r="L1677" s="133">
        <v>44474</v>
      </c>
      <c r="M1677" s="110">
        <v>35.950000000000003</v>
      </c>
      <c r="N1677" s="110">
        <v>36.68</v>
      </c>
      <c r="O1677" s="110">
        <v>35.64</v>
      </c>
      <c r="P1677" s="110">
        <v>36.4</v>
      </c>
      <c r="Q1677" s="110">
        <v>179.75</v>
      </c>
      <c r="R1677">
        <v>16562629</v>
      </c>
    </row>
    <row r="1678" spans="1:18" x14ac:dyDescent="0.25">
      <c r="A1678" s="133">
        <v>44475</v>
      </c>
      <c r="B1678" s="110">
        <v>36.68</v>
      </c>
      <c r="C1678" s="110">
        <v>34.89</v>
      </c>
      <c r="D1678" s="110">
        <v>34.700000000000003</v>
      </c>
      <c r="E1678" s="110">
        <v>36</v>
      </c>
      <c r="F1678" s="110">
        <v>174.45</v>
      </c>
      <c r="G1678">
        <v>1393311</v>
      </c>
      <c r="H1678" s="110"/>
      <c r="I1678" s="110"/>
      <c r="L1678" s="133">
        <v>44475</v>
      </c>
      <c r="M1678" s="110">
        <v>34.89</v>
      </c>
      <c r="N1678" s="110">
        <v>36.68</v>
      </c>
      <c r="O1678" s="110">
        <v>34.69</v>
      </c>
      <c r="P1678" s="110">
        <v>36.020000000000003</v>
      </c>
      <c r="Q1678" s="110">
        <v>174.45</v>
      </c>
      <c r="R1678">
        <v>18996875</v>
      </c>
    </row>
    <row r="1679" spans="1:18" x14ac:dyDescent="0.25">
      <c r="A1679" s="133">
        <v>44476</v>
      </c>
      <c r="B1679" s="110">
        <v>35.5</v>
      </c>
      <c r="C1679" s="110">
        <v>34.97</v>
      </c>
      <c r="D1679" s="110">
        <v>34.729999999999997</v>
      </c>
      <c r="E1679" s="110">
        <v>35.229999999999997</v>
      </c>
      <c r="F1679" s="110">
        <v>174.85</v>
      </c>
      <c r="G1679">
        <v>971550</v>
      </c>
      <c r="H1679" s="110"/>
      <c r="I1679" s="110"/>
      <c r="L1679" s="133">
        <v>44476</v>
      </c>
      <c r="M1679" s="110">
        <v>34.97</v>
      </c>
      <c r="N1679" s="110">
        <v>35.5</v>
      </c>
      <c r="O1679" s="110">
        <v>34.72</v>
      </c>
      <c r="P1679" s="110">
        <v>35.31</v>
      </c>
      <c r="Q1679" s="110">
        <v>174.85</v>
      </c>
      <c r="R1679">
        <v>11754552</v>
      </c>
    </row>
    <row r="1680" spans="1:18" x14ac:dyDescent="0.25">
      <c r="A1680" s="133">
        <v>44477</v>
      </c>
      <c r="B1680" s="110">
        <v>35.76</v>
      </c>
      <c r="C1680" s="110">
        <v>35.44</v>
      </c>
      <c r="D1680" s="110">
        <v>34.36</v>
      </c>
      <c r="E1680" s="110">
        <v>35.5</v>
      </c>
      <c r="F1680" s="110">
        <v>177.2</v>
      </c>
      <c r="G1680">
        <v>1218237</v>
      </c>
      <c r="H1680" s="110"/>
      <c r="I1680" s="110"/>
      <c r="L1680" s="133">
        <v>44477</v>
      </c>
      <c r="M1680" s="110">
        <v>35.450000000000003</v>
      </c>
      <c r="N1680" s="110">
        <v>35.79</v>
      </c>
      <c r="O1680" s="110">
        <v>34.340000000000003</v>
      </c>
      <c r="P1680" s="110">
        <v>35.4</v>
      </c>
      <c r="Q1680" s="110">
        <v>177.25</v>
      </c>
      <c r="R1680">
        <v>18248941</v>
      </c>
    </row>
    <row r="1681" spans="1:18" x14ac:dyDescent="0.25">
      <c r="A1681" s="133">
        <v>44480</v>
      </c>
      <c r="B1681" s="110">
        <v>36.17</v>
      </c>
      <c r="C1681" s="110">
        <v>35.32</v>
      </c>
      <c r="D1681" s="110">
        <v>35.130000000000003</v>
      </c>
      <c r="E1681" s="110">
        <v>35.92</v>
      </c>
      <c r="F1681" s="110">
        <v>176.6</v>
      </c>
      <c r="G1681">
        <v>724781</v>
      </c>
      <c r="H1681" s="110"/>
      <c r="I1681" s="110"/>
      <c r="L1681" s="133">
        <v>44480</v>
      </c>
      <c r="M1681" s="110">
        <v>35.33</v>
      </c>
      <c r="N1681" s="110">
        <v>36.19</v>
      </c>
      <c r="O1681" s="110">
        <v>35.11</v>
      </c>
      <c r="P1681" s="110">
        <v>35.799999999999997</v>
      </c>
      <c r="Q1681" s="110">
        <v>176.65</v>
      </c>
      <c r="R1681">
        <v>16526973</v>
      </c>
    </row>
    <row r="1682" spans="1:18" x14ac:dyDescent="0.25">
      <c r="A1682" s="133">
        <v>44481</v>
      </c>
      <c r="B1682" s="110">
        <v>37.590000000000003</v>
      </c>
      <c r="C1682" s="110">
        <v>37.409999999999997</v>
      </c>
      <c r="D1682" s="110">
        <v>35.270000000000003</v>
      </c>
      <c r="E1682" s="110">
        <v>35.299999999999997</v>
      </c>
      <c r="F1682" s="110">
        <v>187.05</v>
      </c>
      <c r="G1682">
        <v>1858830</v>
      </c>
      <c r="H1682" s="110"/>
      <c r="I1682" s="110"/>
      <c r="L1682" s="133">
        <v>44481</v>
      </c>
      <c r="M1682" s="110">
        <v>37.409999999999997</v>
      </c>
      <c r="N1682" s="110">
        <v>37.6</v>
      </c>
      <c r="O1682" s="110">
        <v>35.200000000000003</v>
      </c>
      <c r="P1682" s="110">
        <v>35.4</v>
      </c>
      <c r="Q1682" s="110">
        <v>187.05</v>
      </c>
      <c r="R1682">
        <v>42118897</v>
      </c>
    </row>
    <row r="1683" spans="1:18" x14ac:dyDescent="0.25">
      <c r="A1683" s="133">
        <v>44482</v>
      </c>
      <c r="B1683" s="110">
        <v>37.9</v>
      </c>
      <c r="C1683" s="110">
        <v>37.33</v>
      </c>
      <c r="D1683" s="110">
        <v>36.94</v>
      </c>
      <c r="E1683" s="110">
        <v>37.76</v>
      </c>
      <c r="F1683" s="110">
        <v>186.65</v>
      </c>
      <c r="G1683">
        <v>980151</v>
      </c>
      <c r="H1683" s="110"/>
      <c r="I1683" s="110"/>
      <c r="L1683" s="133">
        <v>44482</v>
      </c>
      <c r="M1683" s="110">
        <v>37.32</v>
      </c>
      <c r="N1683" s="110">
        <v>37.93</v>
      </c>
      <c r="O1683" s="110">
        <v>36.93</v>
      </c>
      <c r="P1683" s="110">
        <v>37.799999999999997</v>
      </c>
      <c r="Q1683" s="110">
        <v>186.6</v>
      </c>
      <c r="R1683">
        <v>31426577</v>
      </c>
    </row>
    <row r="1684" spans="1:18" x14ac:dyDescent="0.25">
      <c r="A1684" s="133">
        <v>44483</v>
      </c>
      <c r="B1684" s="110">
        <v>39</v>
      </c>
      <c r="C1684" s="110">
        <v>38.71</v>
      </c>
      <c r="D1684" s="110">
        <v>37.369999999999997</v>
      </c>
      <c r="E1684" s="110">
        <v>37.57</v>
      </c>
      <c r="F1684" s="110">
        <v>193.55</v>
      </c>
      <c r="G1684">
        <v>2123179</v>
      </c>
      <c r="H1684" s="110"/>
      <c r="I1684" s="110"/>
      <c r="L1684" s="133">
        <v>44483</v>
      </c>
      <c r="M1684" s="110">
        <v>38.71</v>
      </c>
      <c r="N1684" s="110">
        <v>39</v>
      </c>
      <c r="O1684" s="110">
        <v>37.380000000000003</v>
      </c>
      <c r="P1684" s="110">
        <v>37.58</v>
      </c>
      <c r="Q1684" s="110">
        <v>193.55</v>
      </c>
      <c r="R1684">
        <v>27769060</v>
      </c>
    </row>
    <row r="1685" spans="1:18" x14ac:dyDescent="0.25">
      <c r="A1685" s="133">
        <v>44487</v>
      </c>
      <c r="B1685" s="110">
        <v>40.85</v>
      </c>
      <c r="C1685" s="110">
        <v>39.880000000000003</v>
      </c>
      <c r="D1685" s="110">
        <v>38.74</v>
      </c>
      <c r="E1685" s="110">
        <v>39.32</v>
      </c>
      <c r="F1685" s="110">
        <v>199.4</v>
      </c>
      <c r="G1685">
        <v>2078751</v>
      </c>
      <c r="H1685" s="110"/>
      <c r="I1685" s="110"/>
      <c r="L1685" s="133">
        <v>44487</v>
      </c>
      <c r="M1685" s="110">
        <v>39.79</v>
      </c>
      <c r="N1685" s="110">
        <v>40.85</v>
      </c>
      <c r="O1685" s="110">
        <v>38.72</v>
      </c>
      <c r="P1685" s="110">
        <v>39.159999999999997</v>
      </c>
      <c r="Q1685" s="110">
        <v>198.95</v>
      </c>
      <c r="R1685">
        <v>36940320</v>
      </c>
    </row>
    <row r="1686" spans="1:18" x14ac:dyDescent="0.25">
      <c r="A1686" s="133">
        <v>44488</v>
      </c>
      <c r="B1686" s="110">
        <v>40.270000000000003</v>
      </c>
      <c r="C1686" s="110">
        <v>38.15</v>
      </c>
      <c r="D1686" s="110">
        <v>37.81</v>
      </c>
      <c r="E1686" s="110">
        <v>40.200000000000003</v>
      </c>
      <c r="F1686" s="110">
        <v>190.75</v>
      </c>
      <c r="G1686">
        <v>1759453</v>
      </c>
      <c r="H1686" s="110"/>
      <c r="I1686" s="110"/>
      <c r="L1686" s="133">
        <v>44488</v>
      </c>
      <c r="M1686" s="110">
        <v>38.14</v>
      </c>
      <c r="N1686" s="110">
        <v>40.299999999999997</v>
      </c>
      <c r="O1686" s="110">
        <v>37.82</v>
      </c>
      <c r="P1686" s="110">
        <v>40.18</v>
      </c>
      <c r="Q1686" s="110">
        <v>190.7</v>
      </c>
      <c r="R1686">
        <v>23114976</v>
      </c>
    </row>
    <row r="1687" spans="1:18" x14ac:dyDescent="0.25">
      <c r="A1687" s="133">
        <v>44489</v>
      </c>
      <c r="B1687" s="110">
        <v>39.46</v>
      </c>
      <c r="C1687" s="110">
        <v>39.090000000000003</v>
      </c>
      <c r="D1687" s="110">
        <v>37.32</v>
      </c>
      <c r="E1687" s="110">
        <v>38.19</v>
      </c>
      <c r="F1687" s="110">
        <v>195.45</v>
      </c>
      <c r="G1687">
        <v>1684204</v>
      </c>
      <c r="H1687" s="110"/>
      <c r="I1687" s="110"/>
      <c r="L1687" s="133">
        <v>44489</v>
      </c>
      <c r="M1687" s="110">
        <v>39.06</v>
      </c>
      <c r="N1687" s="110">
        <v>39.47</v>
      </c>
      <c r="O1687" s="110">
        <v>37.33</v>
      </c>
      <c r="P1687" s="110">
        <v>38.04</v>
      </c>
      <c r="Q1687" s="110">
        <v>195.3</v>
      </c>
      <c r="R1687">
        <v>21818788</v>
      </c>
    </row>
    <row r="1688" spans="1:18" x14ac:dyDescent="0.25">
      <c r="A1688" s="133">
        <v>44490</v>
      </c>
      <c r="B1688" s="110">
        <v>40.200000000000003</v>
      </c>
      <c r="C1688" s="110">
        <v>39.9</v>
      </c>
      <c r="D1688" s="110">
        <v>38.44</v>
      </c>
      <c r="E1688" s="110">
        <v>39.49</v>
      </c>
      <c r="F1688" s="110">
        <v>199.5</v>
      </c>
      <c r="G1688">
        <v>1800743</v>
      </c>
      <c r="H1688" s="110"/>
      <c r="I1688" s="110"/>
      <c r="L1688" s="133">
        <v>44490</v>
      </c>
      <c r="M1688" s="110">
        <v>39.92</v>
      </c>
      <c r="N1688" s="110">
        <v>40.200000000000003</v>
      </c>
      <c r="O1688" s="110">
        <v>38.450000000000003</v>
      </c>
      <c r="P1688" s="110">
        <v>39.42</v>
      </c>
      <c r="Q1688" s="110">
        <v>199.6</v>
      </c>
      <c r="R1688">
        <v>28400298</v>
      </c>
    </row>
    <row r="1689" spans="1:18" x14ac:dyDescent="0.25">
      <c r="A1689" s="133">
        <v>44491</v>
      </c>
      <c r="B1689" s="110">
        <v>40.659999999999997</v>
      </c>
      <c r="C1689" s="110">
        <v>39.71</v>
      </c>
      <c r="D1689" s="110">
        <v>39.22</v>
      </c>
      <c r="E1689" s="110">
        <v>40.33</v>
      </c>
      <c r="F1689" s="110">
        <v>198.55</v>
      </c>
      <c r="G1689">
        <v>932329</v>
      </c>
      <c r="H1689" s="110"/>
      <c r="I1689" s="110"/>
      <c r="L1689" s="133">
        <v>44491</v>
      </c>
      <c r="M1689" s="110">
        <v>39.72</v>
      </c>
      <c r="N1689" s="110">
        <v>40.67</v>
      </c>
      <c r="O1689" s="110">
        <v>39.22</v>
      </c>
      <c r="P1689" s="110">
        <v>40.200000000000003</v>
      </c>
      <c r="Q1689" s="110">
        <v>198.6</v>
      </c>
      <c r="R1689">
        <v>23249476</v>
      </c>
    </row>
    <row r="1690" spans="1:18" x14ac:dyDescent="0.25">
      <c r="A1690" s="133">
        <v>44494</v>
      </c>
      <c r="B1690" s="110">
        <v>41.33</v>
      </c>
      <c r="C1690" s="110">
        <v>40.39</v>
      </c>
      <c r="D1690" s="110">
        <v>39.71</v>
      </c>
      <c r="E1690" s="110">
        <v>39.71</v>
      </c>
      <c r="F1690" s="110">
        <v>201.95</v>
      </c>
      <c r="G1690">
        <v>1487264</v>
      </c>
      <c r="H1690" s="110"/>
      <c r="I1690" s="110"/>
      <c r="L1690" s="133">
        <v>44494</v>
      </c>
      <c r="M1690" s="110">
        <v>40.39</v>
      </c>
      <c r="N1690" s="110">
        <v>41.35</v>
      </c>
      <c r="O1690" s="110">
        <v>39.770000000000003</v>
      </c>
      <c r="P1690" s="110">
        <v>39.92</v>
      </c>
      <c r="Q1690" s="110">
        <v>201.95</v>
      </c>
      <c r="R1690">
        <v>30065875</v>
      </c>
    </row>
    <row r="1691" spans="1:18" x14ac:dyDescent="0.25">
      <c r="A1691" s="133">
        <v>44495</v>
      </c>
      <c r="B1691" s="110">
        <v>41.49</v>
      </c>
      <c r="C1691" s="110">
        <v>38.68</v>
      </c>
      <c r="D1691" s="110">
        <v>38.25</v>
      </c>
      <c r="E1691" s="110">
        <v>40.65</v>
      </c>
      <c r="F1691" s="110">
        <v>193.4</v>
      </c>
      <c r="G1691">
        <v>2608926</v>
      </c>
      <c r="H1691" s="110"/>
      <c r="I1691" s="110"/>
      <c r="L1691" s="133">
        <v>44495</v>
      </c>
      <c r="M1691" s="110">
        <v>38.67</v>
      </c>
      <c r="N1691" s="110">
        <v>41.5</v>
      </c>
      <c r="O1691" s="110">
        <v>38.25</v>
      </c>
      <c r="P1691" s="110">
        <v>40.6</v>
      </c>
      <c r="Q1691" s="110">
        <v>193.35</v>
      </c>
      <c r="R1691">
        <v>60155155</v>
      </c>
    </row>
    <row r="1692" spans="1:18" x14ac:dyDescent="0.25">
      <c r="A1692" s="133">
        <v>44496</v>
      </c>
      <c r="B1692" s="110">
        <v>40.729999999999997</v>
      </c>
      <c r="C1692" s="110">
        <v>40.17</v>
      </c>
      <c r="D1692" s="110">
        <v>39.6</v>
      </c>
      <c r="E1692" s="110">
        <v>39.700000000000003</v>
      </c>
      <c r="F1692" s="110">
        <v>200.85</v>
      </c>
      <c r="G1692">
        <v>3303408</v>
      </c>
      <c r="H1692" s="110"/>
      <c r="I1692" s="110"/>
      <c r="L1692" s="133">
        <v>44496</v>
      </c>
      <c r="M1692" s="110">
        <v>40.159999999999997</v>
      </c>
      <c r="N1692" s="110">
        <v>40.76</v>
      </c>
      <c r="O1692" s="110">
        <v>39.450000000000003</v>
      </c>
      <c r="P1692" s="110">
        <v>39.770000000000003</v>
      </c>
      <c r="Q1692" s="110">
        <v>200.8</v>
      </c>
      <c r="R1692">
        <v>41964959</v>
      </c>
    </row>
    <row r="1693" spans="1:18" x14ac:dyDescent="0.25">
      <c r="A1693" s="133">
        <v>44497</v>
      </c>
      <c r="B1693" s="110">
        <v>40.549999999999997</v>
      </c>
      <c r="C1693" s="110">
        <v>39.06</v>
      </c>
      <c r="D1693" s="110">
        <v>38.770000000000003</v>
      </c>
      <c r="E1693" s="110">
        <v>40.04</v>
      </c>
      <c r="F1693" s="110">
        <v>195.3</v>
      </c>
      <c r="G1693">
        <v>2544187</v>
      </c>
      <c r="H1693" s="110"/>
      <c r="I1693" s="110"/>
      <c r="L1693" s="133">
        <v>44497</v>
      </c>
      <c r="M1693" s="110">
        <v>39.08</v>
      </c>
      <c r="N1693" s="110">
        <v>40.56</v>
      </c>
      <c r="O1693" s="110">
        <v>38.9</v>
      </c>
      <c r="P1693" s="110">
        <v>40.19</v>
      </c>
      <c r="Q1693" s="110">
        <v>195.4</v>
      </c>
      <c r="R1693">
        <v>28219533</v>
      </c>
    </row>
    <row r="1694" spans="1:18" x14ac:dyDescent="0.25">
      <c r="A1694" s="133">
        <v>44498</v>
      </c>
      <c r="B1694" s="110">
        <v>43.72</v>
      </c>
      <c r="C1694" s="110">
        <v>42.9</v>
      </c>
      <c r="D1694" s="110">
        <v>38.26</v>
      </c>
      <c r="E1694" s="110">
        <v>39.18</v>
      </c>
      <c r="F1694" s="110">
        <v>214.5</v>
      </c>
      <c r="G1694">
        <v>3556256</v>
      </c>
      <c r="H1694" s="110"/>
      <c r="I1694" s="110"/>
      <c r="L1694" s="133">
        <v>44498</v>
      </c>
      <c r="M1694" s="110">
        <v>42.9</v>
      </c>
      <c r="N1694" s="110">
        <v>43.73</v>
      </c>
      <c r="O1694" s="110">
        <v>38.22</v>
      </c>
      <c r="P1694" s="110">
        <v>38.93</v>
      </c>
      <c r="Q1694" s="110">
        <v>214.5</v>
      </c>
      <c r="R1694">
        <v>72268109</v>
      </c>
    </row>
    <row r="1695" spans="1:18" x14ac:dyDescent="0.25">
      <c r="A1695" s="133">
        <v>44501</v>
      </c>
      <c r="B1695" s="110">
        <v>43.17</v>
      </c>
      <c r="C1695" s="110">
        <v>42.89</v>
      </c>
      <c r="D1695" s="110">
        <v>41.8</v>
      </c>
      <c r="E1695" s="110">
        <v>43.1</v>
      </c>
      <c r="F1695" s="110">
        <v>214.45</v>
      </c>
      <c r="G1695">
        <v>848833</v>
      </c>
      <c r="H1695" s="110"/>
      <c r="I1695" s="110"/>
      <c r="L1695" s="133">
        <v>44501</v>
      </c>
      <c r="M1695" s="110">
        <v>42.93</v>
      </c>
      <c r="N1695" s="110">
        <v>43.19</v>
      </c>
      <c r="O1695" s="110">
        <v>41.77</v>
      </c>
      <c r="P1695" s="110">
        <v>43</v>
      </c>
      <c r="Q1695" s="110">
        <v>214.65</v>
      </c>
      <c r="R1695">
        <v>17718714</v>
      </c>
    </row>
    <row r="1696" spans="1:18" x14ac:dyDescent="0.25">
      <c r="A1696" s="133">
        <v>44502</v>
      </c>
      <c r="B1696" s="110">
        <v>45.29</v>
      </c>
      <c r="C1696" s="110">
        <v>44.84</v>
      </c>
      <c r="D1696" s="110">
        <v>42.8</v>
      </c>
      <c r="E1696" s="110">
        <v>43</v>
      </c>
      <c r="F1696" s="110">
        <v>224.2</v>
      </c>
      <c r="G1696">
        <v>1755943</v>
      </c>
      <c r="H1696" s="110"/>
      <c r="I1696" s="110"/>
      <c r="L1696" s="133">
        <v>44502</v>
      </c>
      <c r="M1696" s="110">
        <v>44.85</v>
      </c>
      <c r="N1696" s="110">
        <v>45.29</v>
      </c>
      <c r="O1696" s="110">
        <v>42.8</v>
      </c>
      <c r="P1696" s="110">
        <v>43.2</v>
      </c>
      <c r="Q1696" s="110">
        <v>224.25</v>
      </c>
      <c r="R1696">
        <v>38958818</v>
      </c>
    </row>
    <row r="1697" spans="1:18" x14ac:dyDescent="0.25">
      <c r="A1697" s="133">
        <v>44503</v>
      </c>
      <c r="B1697" s="110">
        <v>45.92</v>
      </c>
      <c r="C1697" s="110">
        <v>45.18</v>
      </c>
      <c r="D1697" s="110">
        <v>44.45</v>
      </c>
      <c r="E1697" s="110">
        <v>44.88</v>
      </c>
      <c r="F1697" s="110">
        <v>225.9</v>
      </c>
      <c r="G1697">
        <v>1436806</v>
      </c>
      <c r="H1697" s="110"/>
      <c r="I1697" s="110"/>
      <c r="L1697" s="133">
        <v>44503</v>
      </c>
      <c r="M1697" s="110">
        <v>45.19</v>
      </c>
      <c r="N1697" s="110">
        <v>45.93</v>
      </c>
      <c r="O1697" s="110">
        <v>44.4</v>
      </c>
      <c r="P1697" s="110">
        <v>44.95</v>
      </c>
      <c r="Q1697" s="110">
        <v>225.95</v>
      </c>
      <c r="R1697">
        <v>31063219</v>
      </c>
    </row>
    <row r="1698" spans="1:18" x14ac:dyDescent="0.25">
      <c r="A1698" s="133">
        <v>44504</v>
      </c>
      <c r="B1698" s="110">
        <v>46.13</v>
      </c>
      <c r="C1698" s="110">
        <v>45.76</v>
      </c>
      <c r="D1698" s="110">
        <v>45.45</v>
      </c>
      <c r="E1698" s="110">
        <v>45.45</v>
      </c>
      <c r="F1698" s="110">
        <v>228.8</v>
      </c>
      <c r="G1698">
        <v>229579</v>
      </c>
      <c r="H1698" s="110"/>
      <c r="I1698" s="110"/>
      <c r="L1698" s="133">
        <v>44504</v>
      </c>
      <c r="M1698" s="110">
        <v>45.76</v>
      </c>
      <c r="N1698" s="110">
        <v>46.2</v>
      </c>
      <c r="O1698" s="110">
        <v>45.4</v>
      </c>
      <c r="P1698" s="110">
        <v>45.53</v>
      </c>
      <c r="Q1698" s="110">
        <v>228.8</v>
      </c>
      <c r="R1698">
        <v>4384463</v>
      </c>
    </row>
    <row r="1699" spans="1:18" x14ac:dyDescent="0.25">
      <c r="A1699" s="133">
        <v>44508</v>
      </c>
      <c r="B1699" s="110">
        <v>49.17</v>
      </c>
      <c r="C1699" s="110">
        <v>48.85</v>
      </c>
      <c r="D1699" s="110">
        <v>45.72</v>
      </c>
      <c r="E1699" s="110">
        <v>45.84</v>
      </c>
      <c r="F1699" s="110">
        <v>244.25</v>
      </c>
      <c r="G1699">
        <v>2462270</v>
      </c>
      <c r="H1699" s="110"/>
      <c r="I1699" s="110"/>
      <c r="L1699" s="133">
        <v>44508</v>
      </c>
      <c r="M1699" s="110">
        <v>48.85</v>
      </c>
      <c r="N1699" s="110">
        <v>49.2</v>
      </c>
      <c r="O1699" s="110">
        <v>45.75</v>
      </c>
      <c r="P1699" s="110">
        <v>45.99</v>
      </c>
      <c r="Q1699" s="110">
        <v>244.25</v>
      </c>
      <c r="R1699">
        <v>48428300</v>
      </c>
    </row>
    <row r="1700" spans="1:18" x14ac:dyDescent="0.25">
      <c r="A1700" s="133">
        <v>44509</v>
      </c>
      <c r="B1700" s="110">
        <v>49.52</v>
      </c>
      <c r="C1700" s="110">
        <v>48.57</v>
      </c>
      <c r="D1700" s="110">
        <v>48.2</v>
      </c>
      <c r="E1700" s="110">
        <v>49.01</v>
      </c>
      <c r="F1700" s="110">
        <v>242.85</v>
      </c>
      <c r="G1700">
        <v>1488721</v>
      </c>
      <c r="H1700" s="110"/>
      <c r="I1700" s="110"/>
      <c r="L1700" s="133">
        <v>44509</v>
      </c>
      <c r="M1700" s="110">
        <v>48.56</v>
      </c>
      <c r="N1700" s="110">
        <v>49.52</v>
      </c>
      <c r="O1700" s="110">
        <v>48.2</v>
      </c>
      <c r="P1700" s="110">
        <v>49</v>
      </c>
      <c r="Q1700" s="110">
        <v>242.8</v>
      </c>
      <c r="R1700">
        <v>23106634</v>
      </c>
    </row>
    <row r="1701" spans="1:18" x14ac:dyDescent="0.25">
      <c r="A1701" s="133">
        <v>44510</v>
      </c>
      <c r="B1701" s="110">
        <v>48.81</v>
      </c>
      <c r="C1701" s="110">
        <v>47.16</v>
      </c>
      <c r="D1701" s="110">
        <v>46.79</v>
      </c>
      <c r="E1701" s="110">
        <v>48.48</v>
      </c>
      <c r="F1701" s="110">
        <v>235.8</v>
      </c>
      <c r="G1701">
        <v>1479727</v>
      </c>
      <c r="H1701" s="110"/>
      <c r="I1701" s="110"/>
      <c r="L1701" s="133">
        <v>44510</v>
      </c>
      <c r="M1701" s="110">
        <v>47.19</v>
      </c>
      <c r="N1701" s="110">
        <v>48.83</v>
      </c>
      <c r="O1701" s="110">
        <v>46.8</v>
      </c>
      <c r="P1701" s="110">
        <v>48.4</v>
      </c>
      <c r="Q1701" s="110">
        <v>235.95</v>
      </c>
      <c r="R1701">
        <v>17896872</v>
      </c>
    </row>
    <row r="1702" spans="1:18" x14ac:dyDescent="0.25">
      <c r="A1702" s="133">
        <v>44511</v>
      </c>
      <c r="B1702" s="110">
        <v>47.66</v>
      </c>
      <c r="C1702" s="110">
        <v>46.32</v>
      </c>
      <c r="D1702" s="110">
        <v>45.9</v>
      </c>
      <c r="E1702" s="110">
        <v>47.4</v>
      </c>
      <c r="F1702" s="110">
        <v>231.6</v>
      </c>
      <c r="G1702">
        <v>724033</v>
      </c>
      <c r="H1702" s="110"/>
      <c r="I1702" s="110"/>
      <c r="L1702" s="133">
        <v>44511</v>
      </c>
      <c r="M1702" s="110">
        <v>46.32</v>
      </c>
      <c r="N1702" s="110">
        <v>47.67</v>
      </c>
      <c r="O1702" s="110">
        <v>45.87</v>
      </c>
      <c r="P1702" s="110">
        <v>47.24</v>
      </c>
      <c r="Q1702" s="110">
        <v>231.6</v>
      </c>
      <c r="R1702">
        <v>13854474</v>
      </c>
    </row>
    <row r="1703" spans="1:18" x14ac:dyDescent="0.25">
      <c r="A1703" s="133">
        <v>44512</v>
      </c>
      <c r="B1703" s="110">
        <v>46.78</v>
      </c>
      <c r="C1703" s="110">
        <v>46.15</v>
      </c>
      <c r="D1703" s="110">
        <v>45.32</v>
      </c>
      <c r="E1703" s="110">
        <v>46.58</v>
      </c>
      <c r="F1703" s="110">
        <v>230.75</v>
      </c>
      <c r="G1703">
        <v>1077012</v>
      </c>
      <c r="H1703" s="110"/>
      <c r="I1703" s="110"/>
      <c r="L1703" s="133">
        <v>44512</v>
      </c>
      <c r="M1703" s="110">
        <v>46.16</v>
      </c>
      <c r="N1703" s="110">
        <v>46.79</v>
      </c>
      <c r="O1703" s="110">
        <v>45.31</v>
      </c>
      <c r="P1703" s="110">
        <v>46.6</v>
      </c>
      <c r="Q1703" s="110">
        <v>230.8</v>
      </c>
      <c r="R1703">
        <v>15085718</v>
      </c>
    </row>
    <row r="1704" spans="1:18" x14ac:dyDescent="0.25">
      <c r="A1704" s="133">
        <v>44515</v>
      </c>
      <c r="B1704" s="110">
        <v>46.55</v>
      </c>
      <c r="C1704" s="110">
        <v>45.5</v>
      </c>
      <c r="D1704" s="110">
        <v>45.35</v>
      </c>
      <c r="E1704" s="110">
        <v>46.36</v>
      </c>
      <c r="F1704" s="110">
        <v>227.5</v>
      </c>
      <c r="G1704">
        <v>517137</v>
      </c>
      <c r="H1704" s="110"/>
      <c r="I1704" s="110"/>
      <c r="L1704" s="133">
        <v>44515</v>
      </c>
      <c r="M1704" s="110">
        <v>45.52</v>
      </c>
      <c r="N1704" s="110">
        <v>46.57</v>
      </c>
      <c r="O1704" s="110">
        <v>45.34</v>
      </c>
      <c r="P1704" s="110">
        <v>46.49</v>
      </c>
      <c r="Q1704" s="110">
        <v>227.6</v>
      </c>
      <c r="R1704">
        <v>7720720</v>
      </c>
    </row>
    <row r="1705" spans="1:18" x14ac:dyDescent="0.25">
      <c r="A1705" s="133">
        <v>44516</v>
      </c>
      <c r="B1705" s="110">
        <v>45.89</v>
      </c>
      <c r="C1705" s="110">
        <v>44.42</v>
      </c>
      <c r="D1705" s="110">
        <v>44.2</v>
      </c>
      <c r="E1705" s="110">
        <v>45.89</v>
      </c>
      <c r="F1705" s="110">
        <v>222.1</v>
      </c>
      <c r="G1705">
        <v>625246</v>
      </c>
      <c r="H1705" s="110"/>
      <c r="I1705" s="110"/>
      <c r="L1705" s="133">
        <v>44516</v>
      </c>
      <c r="M1705" s="110">
        <v>44.41</v>
      </c>
      <c r="N1705" s="110">
        <v>45.87</v>
      </c>
      <c r="O1705" s="110">
        <v>44.2</v>
      </c>
      <c r="P1705" s="110">
        <v>45.61</v>
      </c>
      <c r="Q1705" s="110">
        <v>222.05</v>
      </c>
      <c r="R1705">
        <v>10953363</v>
      </c>
    </row>
    <row r="1706" spans="1:18" x14ac:dyDescent="0.25">
      <c r="A1706" s="133">
        <v>44517</v>
      </c>
      <c r="B1706" s="110">
        <v>45.3</v>
      </c>
      <c r="C1706" s="110">
        <v>44</v>
      </c>
      <c r="D1706" s="110">
        <v>43.9</v>
      </c>
      <c r="E1706" s="110">
        <v>44.2</v>
      </c>
      <c r="F1706" s="110">
        <v>220</v>
      </c>
      <c r="G1706">
        <v>934927</v>
      </c>
      <c r="H1706" s="110"/>
      <c r="I1706" s="110"/>
      <c r="L1706" s="133">
        <v>44517</v>
      </c>
      <c r="M1706" s="110">
        <v>44.01</v>
      </c>
      <c r="N1706" s="110">
        <v>45.3</v>
      </c>
      <c r="O1706" s="110">
        <v>43.9</v>
      </c>
      <c r="P1706" s="110">
        <v>44.2</v>
      </c>
      <c r="Q1706" s="110">
        <v>220.05</v>
      </c>
      <c r="R1706">
        <v>15383307</v>
      </c>
    </row>
    <row r="1707" spans="1:18" x14ac:dyDescent="0.25">
      <c r="A1707" s="133">
        <v>44518</v>
      </c>
      <c r="B1707" s="110">
        <v>44.59</v>
      </c>
      <c r="C1707" s="110">
        <v>43.88</v>
      </c>
      <c r="D1707" s="110">
        <v>43.19</v>
      </c>
      <c r="E1707" s="110">
        <v>44.07</v>
      </c>
      <c r="F1707" s="110">
        <v>219.4</v>
      </c>
      <c r="G1707">
        <v>824163</v>
      </c>
      <c r="H1707" s="110"/>
      <c r="I1707" s="110"/>
      <c r="L1707" s="133">
        <v>44518</v>
      </c>
      <c r="M1707" s="110">
        <v>43.91</v>
      </c>
      <c r="N1707" s="110">
        <v>44.59</v>
      </c>
      <c r="O1707" s="110">
        <v>43.17</v>
      </c>
      <c r="P1707" s="110">
        <v>44.18</v>
      </c>
      <c r="Q1707" s="110">
        <v>219.55</v>
      </c>
      <c r="R1707">
        <v>12745860</v>
      </c>
    </row>
    <row r="1708" spans="1:18" x14ac:dyDescent="0.25">
      <c r="A1708" s="133">
        <v>44522</v>
      </c>
      <c r="B1708" s="110">
        <v>44.15</v>
      </c>
      <c r="C1708" s="110">
        <v>42.4</v>
      </c>
      <c r="D1708" s="110">
        <v>41.29</v>
      </c>
      <c r="E1708" s="110">
        <v>43.88</v>
      </c>
      <c r="F1708" s="110">
        <v>212</v>
      </c>
      <c r="G1708">
        <v>845203</v>
      </c>
      <c r="H1708" s="110"/>
      <c r="I1708" s="110"/>
      <c r="L1708" s="133">
        <v>44522</v>
      </c>
      <c r="M1708" s="110">
        <v>42.36</v>
      </c>
      <c r="N1708" s="110">
        <v>44.13</v>
      </c>
      <c r="O1708" s="110">
        <v>41.28</v>
      </c>
      <c r="P1708" s="110">
        <v>44</v>
      </c>
      <c r="Q1708" s="110">
        <v>211.8</v>
      </c>
      <c r="R1708">
        <v>13747409</v>
      </c>
    </row>
    <row r="1709" spans="1:18" x14ac:dyDescent="0.25">
      <c r="A1709" s="133">
        <v>44523</v>
      </c>
      <c r="B1709" s="110">
        <v>43.56</v>
      </c>
      <c r="C1709" s="110">
        <v>43.19</v>
      </c>
      <c r="D1709" s="110">
        <v>41.76</v>
      </c>
      <c r="E1709" s="110">
        <v>42.1</v>
      </c>
      <c r="F1709" s="110">
        <v>215.95</v>
      </c>
      <c r="G1709">
        <v>806851</v>
      </c>
      <c r="H1709" s="110"/>
      <c r="I1709" s="110"/>
      <c r="L1709" s="133">
        <v>44523</v>
      </c>
      <c r="M1709" s="110">
        <v>43.22</v>
      </c>
      <c r="N1709" s="110">
        <v>43.55</v>
      </c>
      <c r="O1709" s="110">
        <v>41.8</v>
      </c>
      <c r="P1709" s="110">
        <v>42</v>
      </c>
      <c r="Q1709" s="110">
        <v>216.1</v>
      </c>
      <c r="R1709">
        <v>11153911</v>
      </c>
    </row>
    <row r="1710" spans="1:18" x14ac:dyDescent="0.25">
      <c r="A1710" s="133">
        <v>44524</v>
      </c>
      <c r="B1710" s="110">
        <v>43.79</v>
      </c>
      <c r="C1710" s="110">
        <v>42.72</v>
      </c>
      <c r="D1710" s="110">
        <v>42.55</v>
      </c>
      <c r="E1710" s="110">
        <v>43.6</v>
      </c>
      <c r="F1710" s="110">
        <v>213.6</v>
      </c>
      <c r="G1710">
        <v>434910</v>
      </c>
      <c r="H1710" s="110"/>
      <c r="I1710" s="110"/>
      <c r="L1710" s="133">
        <v>44524</v>
      </c>
      <c r="M1710" s="110">
        <v>42.7</v>
      </c>
      <c r="N1710" s="110">
        <v>43.8</v>
      </c>
      <c r="O1710" s="110">
        <v>42.59</v>
      </c>
      <c r="P1710" s="110">
        <v>43.43</v>
      </c>
      <c r="Q1710" s="110">
        <v>213.5</v>
      </c>
      <c r="R1710">
        <v>9055584</v>
      </c>
    </row>
    <row r="1711" spans="1:18" x14ac:dyDescent="0.25">
      <c r="A1711" s="133">
        <v>44525</v>
      </c>
      <c r="B1711" s="110">
        <v>43.2</v>
      </c>
      <c r="C1711" s="110">
        <v>43.02</v>
      </c>
      <c r="D1711" s="110">
        <v>42.41</v>
      </c>
      <c r="E1711" s="110">
        <v>43.06</v>
      </c>
      <c r="F1711" s="110">
        <v>215.1</v>
      </c>
      <c r="G1711">
        <v>445504</v>
      </c>
      <c r="H1711" s="110"/>
      <c r="I1711" s="110"/>
      <c r="L1711" s="133">
        <v>44525</v>
      </c>
      <c r="M1711" s="110">
        <v>43.01</v>
      </c>
      <c r="N1711" s="110">
        <v>43.2</v>
      </c>
      <c r="O1711" s="110">
        <v>42.41</v>
      </c>
      <c r="P1711" s="110">
        <v>42.83</v>
      </c>
      <c r="Q1711" s="110">
        <v>215.05</v>
      </c>
      <c r="R1711">
        <v>6545665</v>
      </c>
    </row>
    <row r="1712" spans="1:18" x14ac:dyDescent="0.25">
      <c r="A1712" s="133">
        <v>44526</v>
      </c>
      <c r="B1712" s="110">
        <v>42.73</v>
      </c>
      <c r="C1712" s="110">
        <v>40.49</v>
      </c>
      <c r="D1712" s="110">
        <v>40.299999999999997</v>
      </c>
      <c r="E1712" s="110">
        <v>42.68</v>
      </c>
      <c r="F1712" s="110">
        <v>202.45</v>
      </c>
      <c r="G1712">
        <v>1140800</v>
      </c>
      <c r="H1712" s="110"/>
      <c r="I1712" s="110"/>
      <c r="L1712" s="133">
        <v>44526</v>
      </c>
      <c r="M1712" s="110">
        <v>40.53</v>
      </c>
      <c r="N1712" s="110">
        <v>42.78</v>
      </c>
      <c r="O1712" s="110">
        <v>40.32</v>
      </c>
      <c r="P1712" s="110">
        <v>42.58</v>
      </c>
      <c r="Q1712" s="110">
        <v>202.65</v>
      </c>
      <c r="R1712">
        <v>13422935</v>
      </c>
    </row>
    <row r="1713" spans="1:18" x14ac:dyDescent="0.25">
      <c r="A1713" s="133">
        <v>44529</v>
      </c>
      <c r="B1713" s="110">
        <v>40.96</v>
      </c>
      <c r="C1713" s="110">
        <v>39.92</v>
      </c>
      <c r="D1713" s="110">
        <v>39.03</v>
      </c>
      <c r="E1713" s="110">
        <v>39.909999999999997</v>
      </c>
      <c r="F1713" s="110">
        <v>199.6</v>
      </c>
      <c r="G1713">
        <v>779664</v>
      </c>
      <c r="H1713" s="110"/>
      <c r="I1713" s="110"/>
      <c r="L1713" s="133">
        <v>44529</v>
      </c>
      <c r="M1713" s="110">
        <v>39.85</v>
      </c>
      <c r="N1713" s="110">
        <v>40.97</v>
      </c>
      <c r="O1713" s="110">
        <v>38.950000000000003</v>
      </c>
      <c r="P1713" s="110">
        <v>40</v>
      </c>
      <c r="Q1713" s="110">
        <v>199.25</v>
      </c>
      <c r="R1713">
        <v>13510860</v>
      </c>
    </row>
    <row r="1714" spans="1:18" x14ac:dyDescent="0.25">
      <c r="A1714" s="133">
        <v>44530</v>
      </c>
      <c r="B1714" s="110">
        <v>41.3</v>
      </c>
      <c r="C1714" s="110">
        <v>39.81</v>
      </c>
      <c r="D1714" s="110">
        <v>39.520000000000003</v>
      </c>
      <c r="E1714" s="110">
        <v>40</v>
      </c>
      <c r="F1714" s="110">
        <v>199.05</v>
      </c>
      <c r="G1714">
        <v>906087</v>
      </c>
      <c r="H1714" s="110"/>
      <c r="I1714" s="110"/>
      <c r="L1714" s="133">
        <v>44530</v>
      </c>
      <c r="M1714" s="110">
        <v>39.83</v>
      </c>
      <c r="N1714" s="110">
        <v>41.3</v>
      </c>
      <c r="O1714" s="110">
        <v>39.5</v>
      </c>
      <c r="P1714" s="110">
        <v>39.85</v>
      </c>
      <c r="Q1714" s="110">
        <v>199.15</v>
      </c>
      <c r="R1714">
        <v>13602139</v>
      </c>
    </row>
    <row r="1715" spans="1:18" x14ac:dyDescent="0.25">
      <c r="A1715" s="133">
        <v>44531</v>
      </c>
      <c r="B1715" s="110">
        <v>41.5</v>
      </c>
      <c r="C1715" s="110">
        <v>41.36</v>
      </c>
      <c r="D1715" s="110">
        <v>39.75</v>
      </c>
      <c r="E1715" s="110">
        <v>39.979999999999997</v>
      </c>
      <c r="F1715" s="110">
        <v>206.8</v>
      </c>
      <c r="G1715">
        <v>534642</v>
      </c>
      <c r="H1715" s="110"/>
      <c r="I1715" s="110"/>
      <c r="L1715" s="133">
        <v>44531</v>
      </c>
      <c r="M1715" s="110">
        <v>41.34</v>
      </c>
      <c r="N1715" s="110">
        <v>41.5</v>
      </c>
      <c r="O1715" s="110">
        <v>39.74</v>
      </c>
      <c r="P1715" s="110">
        <v>40.200000000000003</v>
      </c>
      <c r="Q1715" s="110">
        <v>206.7</v>
      </c>
      <c r="R1715">
        <v>12217342</v>
      </c>
    </row>
    <row r="1716" spans="1:18" x14ac:dyDescent="0.25">
      <c r="A1716" s="133">
        <v>44532</v>
      </c>
      <c r="B1716" s="110">
        <v>41.6</v>
      </c>
      <c r="C1716" s="110">
        <v>41.42</v>
      </c>
      <c r="D1716" s="110">
        <v>40.72</v>
      </c>
      <c r="E1716" s="110">
        <v>41.59</v>
      </c>
      <c r="F1716" s="110">
        <v>207.1</v>
      </c>
      <c r="G1716">
        <v>598621</v>
      </c>
      <c r="H1716" s="110"/>
      <c r="I1716" s="110"/>
      <c r="L1716" s="133">
        <v>44532</v>
      </c>
      <c r="M1716" s="110">
        <v>41.43</v>
      </c>
      <c r="N1716" s="110">
        <v>41.67</v>
      </c>
      <c r="O1716" s="110">
        <v>40.71</v>
      </c>
      <c r="P1716" s="110">
        <v>41.43</v>
      </c>
      <c r="Q1716" s="110">
        <v>207.15</v>
      </c>
      <c r="R1716">
        <v>7804475</v>
      </c>
    </row>
    <row r="1717" spans="1:18" x14ac:dyDescent="0.25">
      <c r="A1717" s="133">
        <v>44533</v>
      </c>
      <c r="B1717" s="110">
        <v>42.1</v>
      </c>
      <c r="C1717" s="110">
        <v>41.29</v>
      </c>
      <c r="D1717" s="110">
        <v>41.1</v>
      </c>
      <c r="E1717" s="110">
        <v>41.58</v>
      </c>
      <c r="F1717" s="110">
        <v>206.45</v>
      </c>
      <c r="G1717">
        <v>594304</v>
      </c>
      <c r="H1717" s="110"/>
      <c r="I1717" s="110"/>
      <c r="L1717" s="133">
        <v>44533</v>
      </c>
      <c r="M1717" s="110">
        <v>41.3</v>
      </c>
      <c r="N1717" s="110">
        <v>42.1</v>
      </c>
      <c r="O1717" s="110">
        <v>41.07</v>
      </c>
      <c r="P1717" s="110">
        <v>41.48</v>
      </c>
      <c r="Q1717" s="110">
        <v>206.5</v>
      </c>
      <c r="R1717">
        <v>9921814</v>
      </c>
    </row>
    <row r="1718" spans="1:18" x14ac:dyDescent="0.25">
      <c r="A1718" s="133">
        <v>44536</v>
      </c>
      <c r="B1718" s="110">
        <v>41.9</v>
      </c>
      <c r="C1718" s="110">
        <v>40.49</v>
      </c>
      <c r="D1718" s="110">
        <v>40.39</v>
      </c>
      <c r="E1718" s="110">
        <v>41.46</v>
      </c>
      <c r="F1718" s="110">
        <v>202.45</v>
      </c>
      <c r="G1718">
        <v>593015</v>
      </c>
      <c r="H1718" s="110"/>
      <c r="I1718" s="110"/>
      <c r="L1718" s="133">
        <v>44536</v>
      </c>
      <c r="M1718" s="110">
        <v>40.51</v>
      </c>
      <c r="N1718" s="110">
        <v>41.91</v>
      </c>
      <c r="O1718" s="110">
        <v>40.39</v>
      </c>
      <c r="P1718" s="110">
        <v>41.37</v>
      </c>
      <c r="Q1718" s="110">
        <v>202.55</v>
      </c>
      <c r="R1718">
        <v>10904532</v>
      </c>
    </row>
    <row r="1719" spans="1:18" x14ac:dyDescent="0.25">
      <c r="A1719" s="133">
        <v>44537</v>
      </c>
      <c r="B1719" s="110">
        <v>42.13</v>
      </c>
      <c r="C1719" s="110">
        <v>41.83</v>
      </c>
      <c r="D1719" s="110">
        <v>40.799999999999997</v>
      </c>
      <c r="E1719" s="110">
        <v>40.799999999999997</v>
      </c>
      <c r="F1719" s="110">
        <v>209.15</v>
      </c>
      <c r="G1719">
        <v>423913</v>
      </c>
      <c r="H1719" s="110"/>
      <c r="I1719" s="110"/>
      <c r="L1719" s="133">
        <v>44537</v>
      </c>
      <c r="M1719" s="110">
        <v>41.83</v>
      </c>
      <c r="N1719" s="110">
        <v>42.14</v>
      </c>
      <c r="O1719" s="110">
        <v>40.86</v>
      </c>
      <c r="P1719" s="110">
        <v>40.96</v>
      </c>
      <c r="Q1719" s="110">
        <v>209.15</v>
      </c>
      <c r="R1719">
        <v>8950677</v>
      </c>
    </row>
    <row r="1720" spans="1:18" x14ac:dyDescent="0.25">
      <c r="A1720" s="133">
        <v>44538</v>
      </c>
      <c r="B1720" s="110">
        <v>43.04</v>
      </c>
      <c r="C1720" s="110">
        <v>42.92</v>
      </c>
      <c r="D1720" s="110">
        <v>41.7</v>
      </c>
      <c r="E1720" s="110">
        <v>42.4</v>
      </c>
      <c r="F1720" s="110">
        <v>214.6</v>
      </c>
      <c r="G1720">
        <v>853043</v>
      </c>
      <c r="H1720" s="110"/>
      <c r="I1720" s="110"/>
      <c r="L1720" s="133">
        <v>44538</v>
      </c>
      <c r="M1720" s="110">
        <v>42.94</v>
      </c>
      <c r="N1720" s="110">
        <v>43.04</v>
      </c>
      <c r="O1720" s="110">
        <v>41.69</v>
      </c>
      <c r="P1720" s="110">
        <v>42.16</v>
      </c>
      <c r="Q1720" s="110">
        <v>214.7</v>
      </c>
      <c r="R1720">
        <v>13075468</v>
      </c>
    </row>
    <row r="1721" spans="1:18" x14ac:dyDescent="0.25">
      <c r="A1721" s="133">
        <v>44539</v>
      </c>
      <c r="B1721" s="110">
        <v>43.39</v>
      </c>
      <c r="C1721" s="110">
        <v>43</v>
      </c>
      <c r="D1721" s="110">
        <v>42.38</v>
      </c>
      <c r="E1721" s="110">
        <v>43</v>
      </c>
      <c r="F1721" s="110">
        <v>215</v>
      </c>
      <c r="G1721">
        <v>443828</v>
      </c>
      <c r="H1721" s="110"/>
      <c r="I1721" s="110"/>
      <c r="L1721" s="133">
        <v>44539</v>
      </c>
      <c r="M1721" s="110">
        <v>43</v>
      </c>
      <c r="N1721" s="110">
        <v>43.4</v>
      </c>
      <c r="O1721" s="110">
        <v>42.36</v>
      </c>
      <c r="P1721" s="110">
        <v>43.02</v>
      </c>
      <c r="Q1721" s="110">
        <v>215</v>
      </c>
      <c r="R1721">
        <v>8750534</v>
      </c>
    </row>
    <row r="1722" spans="1:18" x14ac:dyDescent="0.25">
      <c r="A1722" s="133">
        <v>44540</v>
      </c>
      <c r="B1722" s="110">
        <v>44.58</v>
      </c>
      <c r="C1722" s="110">
        <v>44.4</v>
      </c>
      <c r="D1722" s="110">
        <v>42.52</v>
      </c>
      <c r="E1722" s="110">
        <v>43</v>
      </c>
      <c r="F1722" s="110">
        <v>222</v>
      </c>
      <c r="G1722">
        <v>955114</v>
      </c>
      <c r="H1722" s="110"/>
      <c r="I1722" s="110"/>
      <c r="L1722" s="133">
        <v>44540</v>
      </c>
      <c r="M1722" s="110">
        <v>44.43</v>
      </c>
      <c r="N1722" s="110">
        <v>44.6</v>
      </c>
      <c r="O1722" s="110">
        <v>42.52</v>
      </c>
      <c r="P1722" s="110">
        <v>42.94</v>
      </c>
      <c r="Q1722" s="110">
        <v>222.15</v>
      </c>
      <c r="R1722">
        <v>12169270</v>
      </c>
    </row>
    <row r="1723" spans="1:18" x14ac:dyDescent="0.25">
      <c r="A1723" s="133">
        <v>44543</v>
      </c>
      <c r="B1723" s="110">
        <v>44.79</v>
      </c>
      <c r="C1723" s="110">
        <v>43.46</v>
      </c>
      <c r="D1723" s="110">
        <v>43.35</v>
      </c>
      <c r="E1723" s="110">
        <v>44.6</v>
      </c>
      <c r="F1723" s="110">
        <v>217.3</v>
      </c>
      <c r="G1723">
        <v>439882</v>
      </c>
      <c r="H1723" s="110"/>
      <c r="I1723" s="110"/>
      <c r="L1723" s="133">
        <v>44543</v>
      </c>
      <c r="M1723" s="110">
        <v>43.44</v>
      </c>
      <c r="N1723" s="110">
        <v>44.8</v>
      </c>
      <c r="O1723" s="110">
        <v>43.33</v>
      </c>
      <c r="P1723" s="110">
        <v>44.78</v>
      </c>
      <c r="Q1723" s="110">
        <v>217.2</v>
      </c>
      <c r="R1723">
        <v>7861327</v>
      </c>
    </row>
    <row r="1724" spans="1:18" x14ac:dyDescent="0.25">
      <c r="A1724" s="133">
        <v>44544</v>
      </c>
      <c r="B1724" s="110">
        <v>43.46</v>
      </c>
      <c r="C1724" s="110">
        <v>43.2</v>
      </c>
      <c r="D1724" s="110">
        <v>42.46</v>
      </c>
      <c r="E1724" s="110">
        <v>43.4</v>
      </c>
      <c r="F1724" s="110">
        <v>216</v>
      </c>
      <c r="G1724">
        <v>509567</v>
      </c>
      <c r="H1724" s="110"/>
      <c r="I1724" s="110"/>
      <c r="L1724" s="133">
        <v>44544</v>
      </c>
      <c r="M1724" s="110">
        <v>43.12</v>
      </c>
      <c r="N1724" s="110">
        <v>43.46</v>
      </c>
      <c r="O1724" s="110">
        <v>42.43</v>
      </c>
      <c r="P1724" s="110">
        <v>43.37</v>
      </c>
      <c r="Q1724" s="110">
        <v>215.6</v>
      </c>
      <c r="R1724">
        <v>8291075</v>
      </c>
    </row>
    <row r="1725" spans="1:18" x14ac:dyDescent="0.25">
      <c r="A1725" s="133">
        <v>44545</v>
      </c>
      <c r="B1725" s="110">
        <v>43.48</v>
      </c>
      <c r="C1725" s="110">
        <v>42.25</v>
      </c>
      <c r="D1725" s="110">
        <v>42.14</v>
      </c>
      <c r="E1725" s="110">
        <v>43.06</v>
      </c>
      <c r="F1725" s="110">
        <v>211.25</v>
      </c>
      <c r="G1725">
        <v>478185</v>
      </c>
      <c r="H1725" s="110"/>
      <c r="I1725" s="110"/>
      <c r="L1725" s="133">
        <v>44545</v>
      </c>
      <c r="M1725" s="110">
        <v>42.25</v>
      </c>
      <c r="N1725" s="110">
        <v>43.48</v>
      </c>
      <c r="O1725" s="110">
        <v>42.14</v>
      </c>
      <c r="P1725" s="110">
        <v>43.14</v>
      </c>
      <c r="Q1725" s="110">
        <v>211.25</v>
      </c>
      <c r="R1725">
        <v>5799757</v>
      </c>
    </row>
    <row r="1726" spans="1:18" x14ac:dyDescent="0.25">
      <c r="A1726" s="133">
        <v>44546</v>
      </c>
      <c r="B1726" s="110">
        <v>42.99</v>
      </c>
      <c r="C1726" s="110">
        <v>42.46</v>
      </c>
      <c r="D1726" s="110">
        <v>41.97</v>
      </c>
      <c r="E1726" s="110">
        <v>42.46</v>
      </c>
      <c r="F1726" s="110">
        <v>212.3</v>
      </c>
      <c r="G1726">
        <v>387903</v>
      </c>
      <c r="H1726" s="110"/>
      <c r="I1726" s="110"/>
      <c r="L1726" s="133">
        <v>44546</v>
      </c>
      <c r="M1726" s="110">
        <v>42.44</v>
      </c>
      <c r="N1726" s="110">
        <v>42.98</v>
      </c>
      <c r="O1726" s="110">
        <v>41.95</v>
      </c>
      <c r="P1726" s="110">
        <v>42.6</v>
      </c>
      <c r="Q1726" s="110">
        <v>212.2</v>
      </c>
      <c r="R1726">
        <v>5365219</v>
      </c>
    </row>
    <row r="1727" spans="1:18" x14ac:dyDescent="0.25">
      <c r="A1727" s="133">
        <v>44547</v>
      </c>
      <c r="B1727" s="110">
        <v>42.26</v>
      </c>
      <c r="C1727" s="110">
        <v>40.43</v>
      </c>
      <c r="D1727" s="110">
        <v>40.200000000000003</v>
      </c>
      <c r="E1727" s="110">
        <v>42</v>
      </c>
      <c r="F1727" s="110">
        <v>202.15</v>
      </c>
      <c r="G1727">
        <v>856976</v>
      </c>
      <c r="H1727" s="110"/>
      <c r="I1727" s="110"/>
      <c r="L1727" s="133">
        <v>44547</v>
      </c>
      <c r="M1727" s="110">
        <v>40.42</v>
      </c>
      <c r="N1727" s="110">
        <v>42.28</v>
      </c>
      <c r="O1727" s="110">
        <v>40.22</v>
      </c>
      <c r="P1727" s="110">
        <v>42.28</v>
      </c>
      <c r="Q1727" s="110">
        <v>202.1</v>
      </c>
      <c r="R1727">
        <v>9513709</v>
      </c>
    </row>
    <row r="1728" spans="1:18" x14ac:dyDescent="0.25">
      <c r="A1728" s="133">
        <v>44550</v>
      </c>
      <c r="B1728" s="110">
        <v>39.99</v>
      </c>
      <c r="C1728" s="110">
        <v>38.18</v>
      </c>
      <c r="D1728" s="110">
        <v>37.630000000000003</v>
      </c>
      <c r="E1728" s="110">
        <v>39.99</v>
      </c>
      <c r="F1728" s="110">
        <v>190.9</v>
      </c>
      <c r="G1728">
        <v>901660</v>
      </c>
      <c r="H1728" s="110"/>
      <c r="I1728" s="110"/>
      <c r="L1728" s="133">
        <v>44550</v>
      </c>
      <c r="M1728" s="110">
        <v>38.17</v>
      </c>
      <c r="N1728" s="110">
        <v>40</v>
      </c>
      <c r="O1728" s="110">
        <v>37.619999999999997</v>
      </c>
      <c r="P1728" s="110">
        <v>39.799999999999997</v>
      </c>
      <c r="Q1728" s="110">
        <v>190.85</v>
      </c>
      <c r="R1728">
        <v>11148548</v>
      </c>
    </row>
    <row r="1729" spans="1:18" x14ac:dyDescent="0.25">
      <c r="A1729" s="133">
        <v>44551</v>
      </c>
      <c r="B1729" s="110">
        <v>39.17</v>
      </c>
      <c r="C1729" s="110">
        <v>38.44</v>
      </c>
      <c r="D1729" s="110">
        <v>38.090000000000003</v>
      </c>
      <c r="E1729" s="110">
        <v>38.450000000000003</v>
      </c>
      <c r="F1729" s="110">
        <v>192.2</v>
      </c>
      <c r="G1729">
        <v>533845</v>
      </c>
      <c r="H1729" s="110"/>
      <c r="I1729" s="110"/>
      <c r="L1729" s="133">
        <v>44551</v>
      </c>
      <c r="M1729" s="110">
        <v>38.44</v>
      </c>
      <c r="N1729" s="110">
        <v>39.17</v>
      </c>
      <c r="O1729" s="110">
        <v>38.08</v>
      </c>
      <c r="P1729" s="110">
        <v>38.770000000000003</v>
      </c>
      <c r="Q1729" s="110">
        <v>192.2</v>
      </c>
      <c r="R1729">
        <v>7310594</v>
      </c>
    </row>
    <row r="1730" spans="1:18" x14ac:dyDescent="0.25">
      <c r="A1730" s="133">
        <v>44552</v>
      </c>
      <c r="B1730" s="110">
        <v>40.450000000000003</v>
      </c>
      <c r="C1730" s="110">
        <v>39.56</v>
      </c>
      <c r="D1730" s="110">
        <v>38.86</v>
      </c>
      <c r="E1730" s="110">
        <v>38.979999999999997</v>
      </c>
      <c r="F1730" s="110">
        <v>197.8</v>
      </c>
      <c r="G1730">
        <v>1068498</v>
      </c>
      <c r="H1730" s="110"/>
      <c r="I1730" s="110"/>
      <c r="L1730" s="133">
        <v>44552</v>
      </c>
      <c r="M1730" s="110">
        <v>39.54</v>
      </c>
      <c r="N1730" s="110">
        <v>40.47</v>
      </c>
      <c r="O1730" s="110">
        <v>38.85</v>
      </c>
      <c r="P1730" s="110">
        <v>38.880000000000003</v>
      </c>
      <c r="Q1730" s="110">
        <v>197.7</v>
      </c>
      <c r="R1730">
        <v>12343053</v>
      </c>
    </row>
    <row r="1731" spans="1:18" x14ac:dyDescent="0.25">
      <c r="A1731" s="133">
        <v>44553</v>
      </c>
      <c r="B1731" s="110">
        <v>40.75</v>
      </c>
      <c r="C1731" s="110">
        <v>40.090000000000003</v>
      </c>
      <c r="D1731" s="110">
        <v>39.6</v>
      </c>
      <c r="E1731" s="110">
        <v>39.799999999999997</v>
      </c>
      <c r="F1731" s="110">
        <v>200.45</v>
      </c>
      <c r="G1731">
        <v>631934</v>
      </c>
      <c r="H1731" s="110"/>
      <c r="I1731" s="110"/>
      <c r="L1731" s="133">
        <v>44553</v>
      </c>
      <c r="M1731" s="110">
        <v>40.1</v>
      </c>
      <c r="N1731" s="110">
        <v>40.76</v>
      </c>
      <c r="O1731" s="110">
        <v>39.58</v>
      </c>
      <c r="P1731" s="110">
        <v>39.880000000000003</v>
      </c>
      <c r="Q1731" s="110">
        <v>200.5</v>
      </c>
      <c r="R1731">
        <v>9264197</v>
      </c>
    </row>
    <row r="1732" spans="1:18" x14ac:dyDescent="0.25">
      <c r="A1732" s="133">
        <v>44554</v>
      </c>
      <c r="B1732" s="110">
        <v>40.36</v>
      </c>
      <c r="C1732" s="110">
        <v>38.78</v>
      </c>
      <c r="D1732" s="110">
        <v>38.6</v>
      </c>
      <c r="E1732" s="110">
        <v>40.36</v>
      </c>
      <c r="F1732" s="110">
        <v>193.9</v>
      </c>
      <c r="G1732">
        <v>620508</v>
      </c>
      <c r="H1732" s="110"/>
      <c r="I1732" s="110"/>
      <c r="L1732" s="133">
        <v>44554</v>
      </c>
      <c r="M1732" s="110">
        <v>38.79</v>
      </c>
      <c r="N1732" s="110">
        <v>40.380000000000003</v>
      </c>
      <c r="O1732" s="110">
        <v>38.6</v>
      </c>
      <c r="P1732" s="110">
        <v>40.340000000000003</v>
      </c>
      <c r="Q1732" s="110">
        <v>193.95</v>
      </c>
      <c r="R1732">
        <v>10186277</v>
      </c>
    </row>
    <row r="1733" spans="1:18" x14ac:dyDescent="0.25">
      <c r="A1733" s="133">
        <v>44557</v>
      </c>
      <c r="B1733" s="110">
        <v>39.299999999999997</v>
      </c>
      <c r="C1733" s="110">
        <v>39.11</v>
      </c>
      <c r="D1733" s="110">
        <v>37.35</v>
      </c>
      <c r="E1733" s="110">
        <v>38.67</v>
      </c>
      <c r="F1733" s="110">
        <v>195.55</v>
      </c>
      <c r="G1733">
        <v>657529</v>
      </c>
      <c r="H1733" s="110"/>
      <c r="I1733" s="110"/>
      <c r="L1733" s="133">
        <v>44557</v>
      </c>
      <c r="M1733" s="110">
        <v>39.119999999999997</v>
      </c>
      <c r="N1733" s="110">
        <v>39.299999999999997</v>
      </c>
      <c r="O1733" s="110">
        <v>37.28</v>
      </c>
      <c r="P1733" s="110">
        <v>38</v>
      </c>
      <c r="Q1733" s="110">
        <v>195.6</v>
      </c>
      <c r="R1733">
        <v>10053249</v>
      </c>
    </row>
    <row r="1734" spans="1:18" x14ac:dyDescent="0.25">
      <c r="A1734" s="133">
        <v>44558</v>
      </c>
      <c r="B1734" s="110">
        <v>39.68</v>
      </c>
      <c r="C1734" s="110">
        <v>39.57</v>
      </c>
      <c r="D1734" s="110">
        <v>39.14</v>
      </c>
      <c r="E1734" s="110">
        <v>39.340000000000003</v>
      </c>
      <c r="F1734" s="110">
        <v>197.85</v>
      </c>
      <c r="G1734">
        <v>302437</v>
      </c>
      <c r="H1734" s="110"/>
      <c r="I1734" s="110"/>
      <c r="L1734" s="133">
        <v>44558</v>
      </c>
      <c r="M1734" s="110">
        <v>39.57</v>
      </c>
      <c r="N1734" s="110">
        <v>39.69</v>
      </c>
      <c r="O1734" s="110">
        <v>39.130000000000003</v>
      </c>
      <c r="P1734" s="110">
        <v>39.42</v>
      </c>
      <c r="Q1734" s="110">
        <v>197.85</v>
      </c>
      <c r="R1734">
        <v>5387946</v>
      </c>
    </row>
    <row r="1735" spans="1:18" x14ac:dyDescent="0.25">
      <c r="A1735" s="133">
        <v>44559</v>
      </c>
      <c r="B1735" s="110">
        <v>39.880000000000003</v>
      </c>
      <c r="C1735" s="110">
        <v>39.36</v>
      </c>
      <c r="D1735" s="110">
        <v>39.11</v>
      </c>
      <c r="E1735" s="110">
        <v>39.56</v>
      </c>
      <c r="F1735" s="110">
        <v>196.8</v>
      </c>
      <c r="G1735">
        <v>442846</v>
      </c>
      <c r="H1735" s="110"/>
      <c r="I1735" s="110"/>
      <c r="L1735" s="133">
        <v>44559</v>
      </c>
      <c r="M1735" s="110">
        <v>39.340000000000003</v>
      </c>
      <c r="N1735" s="110">
        <v>39.89</v>
      </c>
      <c r="O1735" s="110">
        <v>39.14</v>
      </c>
      <c r="P1735" s="110">
        <v>39.409999999999997</v>
      </c>
      <c r="Q1735" s="110">
        <v>196.7</v>
      </c>
      <c r="R1735">
        <v>5737095</v>
      </c>
    </row>
    <row r="1736" spans="1:18" x14ac:dyDescent="0.25">
      <c r="A1736" s="133">
        <v>44560</v>
      </c>
      <c r="B1736" s="110">
        <v>39.270000000000003</v>
      </c>
      <c r="C1736" s="110">
        <v>39</v>
      </c>
      <c r="D1736" s="110">
        <v>38.72</v>
      </c>
      <c r="E1736" s="110">
        <v>39.200000000000003</v>
      </c>
      <c r="F1736" s="110">
        <v>195</v>
      </c>
      <c r="G1736">
        <v>487064</v>
      </c>
      <c r="H1736" s="110"/>
      <c r="I1736" s="110"/>
      <c r="L1736" s="133">
        <v>44560</v>
      </c>
      <c r="M1736" s="110">
        <v>39</v>
      </c>
      <c r="N1736" s="110">
        <v>39.28</v>
      </c>
      <c r="O1736" s="110">
        <v>38.700000000000003</v>
      </c>
      <c r="P1736" s="110">
        <v>39.200000000000003</v>
      </c>
      <c r="Q1736" s="110">
        <v>195</v>
      </c>
      <c r="R1736">
        <v>6021677</v>
      </c>
    </row>
    <row r="1737" spans="1:18" x14ac:dyDescent="0.25">
      <c r="A1737" s="133">
        <v>44561</v>
      </c>
      <c r="B1737" s="110">
        <v>40.24</v>
      </c>
      <c r="C1737" s="110">
        <v>39.979999999999997</v>
      </c>
      <c r="D1737" s="110">
        <v>39.04</v>
      </c>
      <c r="E1737" s="110">
        <v>39.04</v>
      </c>
      <c r="F1737" s="110">
        <v>199.9</v>
      </c>
      <c r="G1737">
        <v>604320</v>
      </c>
      <c r="H1737" s="110"/>
      <c r="I1737" s="110"/>
      <c r="L1737" s="133">
        <v>44561</v>
      </c>
      <c r="M1737" s="110">
        <v>39.99</v>
      </c>
      <c r="N1737" s="110">
        <v>40.270000000000003</v>
      </c>
      <c r="O1737" s="110">
        <v>39.17</v>
      </c>
      <c r="P1737" s="110">
        <v>39.21</v>
      </c>
      <c r="Q1737" s="110">
        <v>199.95</v>
      </c>
      <c r="R1737">
        <v>7201753</v>
      </c>
    </row>
    <row r="1738" spans="1:18" x14ac:dyDescent="0.25">
      <c r="A1738" s="133">
        <v>44564</v>
      </c>
      <c r="B1738" s="110">
        <v>41.27</v>
      </c>
      <c r="C1738" s="110">
        <v>41.12</v>
      </c>
      <c r="D1738" s="110">
        <v>39.72</v>
      </c>
      <c r="E1738" s="110">
        <v>40.01</v>
      </c>
      <c r="F1738" s="110">
        <v>205.6</v>
      </c>
      <c r="G1738">
        <v>379419</v>
      </c>
      <c r="H1738" s="110"/>
      <c r="I1738" s="110"/>
      <c r="L1738" s="133">
        <v>44564</v>
      </c>
      <c r="M1738" s="110">
        <v>41.09</v>
      </c>
      <c r="N1738" s="110">
        <v>41.28</v>
      </c>
      <c r="O1738" s="110">
        <v>39.72</v>
      </c>
      <c r="P1738" s="110">
        <v>39.94</v>
      </c>
      <c r="Q1738" s="110">
        <v>205.45</v>
      </c>
      <c r="R1738">
        <v>7790751</v>
      </c>
    </row>
    <row r="1739" spans="1:18" x14ac:dyDescent="0.25">
      <c r="A1739" s="133">
        <v>44565</v>
      </c>
      <c r="B1739" s="110">
        <v>41.79</v>
      </c>
      <c r="C1739" s="110">
        <v>41.3</v>
      </c>
      <c r="D1739" s="110">
        <v>40.869999999999997</v>
      </c>
      <c r="E1739" s="110">
        <v>41.3</v>
      </c>
      <c r="F1739" s="110">
        <v>206.5</v>
      </c>
      <c r="G1739">
        <v>670710</v>
      </c>
      <c r="H1739" s="110"/>
      <c r="I1739" s="110"/>
      <c r="L1739" s="133">
        <v>44565</v>
      </c>
      <c r="M1739" s="110">
        <v>41.31</v>
      </c>
      <c r="N1739" s="110">
        <v>41.8</v>
      </c>
      <c r="O1739" s="110">
        <v>40.869999999999997</v>
      </c>
      <c r="P1739" s="110">
        <v>41.29</v>
      </c>
      <c r="Q1739" s="110">
        <v>206.55</v>
      </c>
      <c r="R1739">
        <v>9340933</v>
      </c>
    </row>
    <row r="1740" spans="1:18" x14ac:dyDescent="0.25">
      <c r="A1740" s="133">
        <v>44566</v>
      </c>
      <c r="B1740" s="110">
        <v>42.4</v>
      </c>
      <c r="C1740" s="110">
        <v>42.21</v>
      </c>
      <c r="D1740" s="110">
        <v>41.05</v>
      </c>
      <c r="E1740" s="110">
        <v>41.48</v>
      </c>
      <c r="F1740" s="110">
        <v>211.05</v>
      </c>
      <c r="G1740">
        <v>565449</v>
      </c>
      <c r="H1740" s="110"/>
      <c r="I1740" s="110"/>
      <c r="L1740" s="133">
        <v>44566</v>
      </c>
      <c r="M1740" s="110">
        <v>42.2</v>
      </c>
      <c r="N1740" s="110">
        <v>42.41</v>
      </c>
      <c r="O1740" s="110">
        <v>41.03</v>
      </c>
      <c r="P1740" s="110">
        <v>41.3</v>
      </c>
      <c r="Q1740" s="110">
        <v>211</v>
      </c>
      <c r="R1740">
        <v>11554362</v>
      </c>
    </row>
    <row r="1741" spans="1:18" x14ac:dyDescent="0.25">
      <c r="A1741" s="133">
        <v>44567</v>
      </c>
      <c r="B1741" s="110">
        <v>42.74</v>
      </c>
      <c r="C1741" s="110">
        <v>42.49</v>
      </c>
      <c r="D1741" s="110">
        <v>41.48</v>
      </c>
      <c r="E1741" s="110">
        <v>41.51</v>
      </c>
      <c r="F1741" s="110">
        <v>212.45</v>
      </c>
      <c r="G1741">
        <v>829402</v>
      </c>
      <c r="H1741" s="110"/>
      <c r="I1741" s="110"/>
      <c r="L1741" s="133">
        <v>44567</v>
      </c>
      <c r="M1741" s="110">
        <v>42.5</v>
      </c>
      <c r="N1741" s="110">
        <v>42.75</v>
      </c>
      <c r="O1741" s="110">
        <v>41.49</v>
      </c>
      <c r="P1741" s="110">
        <v>41.79</v>
      </c>
      <c r="Q1741" s="110">
        <v>212.5</v>
      </c>
      <c r="R1741">
        <v>10730879</v>
      </c>
    </row>
    <row r="1742" spans="1:18" x14ac:dyDescent="0.25">
      <c r="A1742" s="133">
        <v>44568</v>
      </c>
      <c r="B1742" s="110">
        <v>43.13</v>
      </c>
      <c r="C1742" s="110">
        <v>42.46</v>
      </c>
      <c r="D1742" s="110">
        <v>41.95</v>
      </c>
      <c r="E1742" s="110">
        <v>42.7</v>
      </c>
      <c r="F1742" s="110">
        <v>212.3</v>
      </c>
      <c r="G1742">
        <v>667633</v>
      </c>
      <c r="H1742" s="110"/>
      <c r="I1742" s="110"/>
      <c r="L1742" s="133">
        <v>44568</v>
      </c>
      <c r="M1742" s="110">
        <v>42.46</v>
      </c>
      <c r="N1742" s="110">
        <v>43.12</v>
      </c>
      <c r="O1742" s="110">
        <v>41.94</v>
      </c>
      <c r="P1742" s="110">
        <v>42.65</v>
      </c>
      <c r="Q1742" s="110">
        <v>212.3</v>
      </c>
      <c r="R1742">
        <v>8675299</v>
      </c>
    </row>
    <row r="1743" spans="1:18" x14ac:dyDescent="0.25">
      <c r="A1743" s="133">
        <v>44571</v>
      </c>
      <c r="B1743" s="110">
        <v>44.15</v>
      </c>
      <c r="C1743" s="110">
        <v>43.94</v>
      </c>
      <c r="D1743" s="110">
        <v>42.46</v>
      </c>
      <c r="E1743" s="110">
        <v>42.46</v>
      </c>
      <c r="F1743" s="110">
        <v>219.7</v>
      </c>
      <c r="G1743">
        <v>926922</v>
      </c>
      <c r="H1743" s="110"/>
      <c r="I1743" s="110"/>
      <c r="L1743" s="133">
        <v>44571</v>
      </c>
      <c r="M1743" s="110">
        <v>43.94</v>
      </c>
      <c r="N1743" s="110">
        <v>44.16</v>
      </c>
      <c r="O1743" s="110">
        <v>42.66</v>
      </c>
      <c r="P1743" s="110">
        <v>42.66</v>
      </c>
      <c r="Q1743" s="110">
        <v>219.7</v>
      </c>
      <c r="R1743">
        <v>10305642</v>
      </c>
    </row>
    <row r="1744" spans="1:18" x14ac:dyDescent="0.25">
      <c r="A1744" s="133">
        <v>44572</v>
      </c>
      <c r="B1744" s="110">
        <v>44.65</v>
      </c>
      <c r="C1744" s="110">
        <v>44.29</v>
      </c>
      <c r="D1744" s="110">
        <v>43.52</v>
      </c>
      <c r="E1744" s="110">
        <v>43.6</v>
      </c>
      <c r="F1744" s="110">
        <v>221.45</v>
      </c>
      <c r="G1744">
        <v>865586</v>
      </c>
      <c r="H1744" s="110"/>
      <c r="I1744" s="110"/>
      <c r="L1744" s="133">
        <v>44572</v>
      </c>
      <c r="M1744" s="110">
        <v>44.28</v>
      </c>
      <c r="N1744" s="110">
        <v>44.65</v>
      </c>
      <c r="O1744" s="110">
        <v>43.45</v>
      </c>
      <c r="P1744" s="110">
        <v>43.45</v>
      </c>
      <c r="Q1744" s="110">
        <v>221.4</v>
      </c>
      <c r="R1744">
        <v>11506031</v>
      </c>
    </row>
    <row r="1745" spans="1:18" x14ac:dyDescent="0.25">
      <c r="A1745" s="133">
        <v>44573</v>
      </c>
      <c r="B1745" s="110">
        <v>45.22</v>
      </c>
      <c r="C1745" s="110">
        <v>44.53</v>
      </c>
      <c r="D1745" s="110">
        <v>44.34</v>
      </c>
      <c r="E1745" s="110">
        <v>44.6</v>
      </c>
      <c r="F1745" s="110">
        <v>222.65</v>
      </c>
      <c r="G1745">
        <v>646072</v>
      </c>
      <c r="H1745" s="110"/>
      <c r="I1745" s="110"/>
      <c r="L1745" s="133">
        <v>44573</v>
      </c>
      <c r="M1745" s="110">
        <v>44.55</v>
      </c>
      <c r="N1745" s="110">
        <v>45.23</v>
      </c>
      <c r="O1745" s="110">
        <v>44.3</v>
      </c>
      <c r="P1745" s="110">
        <v>44.56</v>
      </c>
      <c r="Q1745" s="110">
        <v>222.75</v>
      </c>
      <c r="R1745">
        <v>8084558</v>
      </c>
    </row>
    <row r="1746" spans="1:18" x14ac:dyDescent="0.25">
      <c r="A1746" s="133">
        <v>44574</v>
      </c>
      <c r="B1746" s="110">
        <v>45.43</v>
      </c>
      <c r="C1746" s="110">
        <v>45.1</v>
      </c>
      <c r="D1746" s="110">
        <v>44.17</v>
      </c>
      <c r="E1746" s="110">
        <v>44.54</v>
      </c>
      <c r="F1746" s="110">
        <v>225.5</v>
      </c>
      <c r="G1746">
        <v>361249</v>
      </c>
      <c r="H1746" s="110"/>
      <c r="I1746" s="110"/>
      <c r="L1746" s="133">
        <v>44574</v>
      </c>
      <c r="M1746" s="110">
        <v>45.07</v>
      </c>
      <c r="N1746" s="110">
        <v>45.43</v>
      </c>
      <c r="O1746" s="110">
        <v>44.14</v>
      </c>
      <c r="P1746" s="110">
        <v>44.52</v>
      </c>
      <c r="Q1746" s="110">
        <v>225.35</v>
      </c>
      <c r="R1746">
        <v>8399690</v>
      </c>
    </row>
    <row r="1747" spans="1:18" x14ac:dyDescent="0.25">
      <c r="A1747" s="133">
        <v>44575</v>
      </c>
      <c r="B1747" s="110">
        <v>45.66</v>
      </c>
      <c r="C1747" s="110">
        <v>45.53</v>
      </c>
      <c r="D1747" s="110">
        <v>44.72</v>
      </c>
      <c r="E1747" s="110">
        <v>44.84</v>
      </c>
      <c r="F1747" s="110">
        <v>227.65</v>
      </c>
      <c r="G1747">
        <v>529989</v>
      </c>
      <c r="H1747" s="110"/>
      <c r="I1747" s="110"/>
      <c r="L1747" s="133">
        <v>44575</v>
      </c>
      <c r="M1747" s="110">
        <v>45.53</v>
      </c>
      <c r="N1747" s="110">
        <v>45.67</v>
      </c>
      <c r="O1747" s="110">
        <v>44.7</v>
      </c>
      <c r="P1747" s="110">
        <v>44.98</v>
      </c>
      <c r="Q1747" s="110">
        <v>227.65</v>
      </c>
      <c r="R1747">
        <v>8073327</v>
      </c>
    </row>
    <row r="1748" spans="1:18" x14ac:dyDescent="0.25">
      <c r="A1748" s="133">
        <v>44578</v>
      </c>
      <c r="B1748" s="110">
        <v>46.06</v>
      </c>
      <c r="C1748" s="110">
        <v>45.53</v>
      </c>
      <c r="D1748" s="110">
        <v>45.4</v>
      </c>
      <c r="E1748" s="110">
        <v>45.4</v>
      </c>
      <c r="F1748" s="110">
        <v>227.65</v>
      </c>
      <c r="G1748">
        <v>385083</v>
      </c>
      <c r="H1748" s="110"/>
      <c r="I1748" s="110"/>
      <c r="L1748" s="133">
        <v>44578</v>
      </c>
      <c r="M1748" s="110">
        <v>45.54</v>
      </c>
      <c r="N1748" s="110">
        <v>46.07</v>
      </c>
      <c r="O1748" s="110">
        <v>45.42</v>
      </c>
      <c r="P1748" s="110">
        <v>45.52</v>
      </c>
      <c r="Q1748" s="110">
        <v>227.7</v>
      </c>
      <c r="R1748">
        <v>4905876</v>
      </c>
    </row>
    <row r="1749" spans="1:18" x14ac:dyDescent="0.25">
      <c r="A1749" s="133">
        <v>44579</v>
      </c>
      <c r="B1749" s="110">
        <v>45.99</v>
      </c>
      <c r="C1749" s="110">
        <v>44.61</v>
      </c>
      <c r="D1749" s="110">
        <v>44.34</v>
      </c>
      <c r="E1749" s="110">
        <v>45.64</v>
      </c>
      <c r="F1749" s="110">
        <v>223.05</v>
      </c>
      <c r="G1749">
        <v>367396</v>
      </c>
      <c r="H1749" s="110"/>
      <c r="I1749" s="110"/>
      <c r="L1749" s="133">
        <v>44579</v>
      </c>
      <c r="M1749" s="110">
        <v>44.62</v>
      </c>
      <c r="N1749" s="110">
        <v>46</v>
      </c>
      <c r="O1749" s="110">
        <v>44.34</v>
      </c>
      <c r="P1749" s="110">
        <v>45.68</v>
      </c>
      <c r="Q1749" s="110">
        <v>223.1</v>
      </c>
      <c r="R1749">
        <v>7247346</v>
      </c>
    </row>
    <row r="1750" spans="1:18" x14ac:dyDescent="0.25">
      <c r="A1750" s="133">
        <v>44580</v>
      </c>
      <c r="B1750" s="110">
        <v>45.98</v>
      </c>
      <c r="C1750" s="110">
        <v>45.65</v>
      </c>
      <c r="D1750" s="110">
        <v>44.21</v>
      </c>
      <c r="E1750" s="110">
        <v>44.66</v>
      </c>
      <c r="F1750" s="110">
        <v>228.25</v>
      </c>
      <c r="G1750">
        <v>392723</v>
      </c>
      <c r="H1750" s="110"/>
      <c r="I1750" s="110"/>
      <c r="L1750" s="133">
        <v>44580</v>
      </c>
      <c r="M1750" s="110">
        <v>45.68</v>
      </c>
      <c r="N1750" s="110">
        <v>45.98</v>
      </c>
      <c r="O1750" s="110">
        <v>44.17</v>
      </c>
      <c r="P1750" s="110">
        <v>44.46</v>
      </c>
      <c r="Q1750" s="110">
        <v>228.4</v>
      </c>
      <c r="R1750">
        <v>7422599</v>
      </c>
    </row>
    <row r="1751" spans="1:18" x14ac:dyDescent="0.25">
      <c r="A1751" s="133">
        <v>44581</v>
      </c>
      <c r="B1751" s="110">
        <v>46.48</v>
      </c>
      <c r="C1751" s="110">
        <v>45.68</v>
      </c>
      <c r="D1751" s="110">
        <v>45.38</v>
      </c>
      <c r="E1751" s="110">
        <v>45.67</v>
      </c>
      <c r="F1751" s="110">
        <v>228.4</v>
      </c>
      <c r="G1751">
        <v>512533</v>
      </c>
      <c r="H1751" s="110"/>
      <c r="I1751" s="110"/>
      <c r="L1751" s="133">
        <v>44581</v>
      </c>
      <c r="M1751" s="110">
        <v>45.69</v>
      </c>
      <c r="N1751" s="110">
        <v>46.48</v>
      </c>
      <c r="O1751" s="110">
        <v>45.36</v>
      </c>
      <c r="P1751" s="110">
        <v>45.84</v>
      </c>
      <c r="Q1751" s="110">
        <v>228.45</v>
      </c>
      <c r="R1751">
        <v>9890494</v>
      </c>
    </row>
    <row r="1752" spans="1:18" x14ac:dyDescent="0.25">
      <c r="A1752" s="133">
        <v>44582</v>
      </c>
      <c r="B1752" s="110">
        <v>45.25</v>
      </c>
      <c r="C1752" s="110">
        <v>43.1</v>
      </c>
      <c r="D1752" s="110">
        <v>42.69</v>
      </c>
      <c r="E1752" s="110">
        <v>45.25</v>
      </c>
      <c r="F1752" s="110">
        <v>215.5</v>
      </c>
      <c r="G1752">
        <v>524915</v>
      </c>
      <c r="H1752" s="110"/>
      <c r="I1752" s="110"/>
      <c r="L1752" s="133">
        <v>44582</v>
      </c>
      <c r="M1752" s="110">
        <v>43.12</v>
      </c>
      <c r="N1752" s="110">
        <v>45.34</v>
      </c>
      <c r="O1752" s="110">
        <v>42.66</v>
      </c>
      <c r="P1752" s="110">
        <v>44.98</v>
      </c>
      <c r="Q1752" s="110">
        <v>215.6</v>
      </c>
      <c r="R1752">
        <v>10638551</v>
      </c>
    </row>
    <row r="1753" spans="1:18" x14ac:dyDescent="0.25">
      <c r="A1753" s="133">
        <v>44585</v>
      </c>
      <c r="B1753" s="110">
        <v>43.52</v>
      </c>
      <c r="C1753" s="110">
        <v>41.75</v>
      </c>
      <c r="D1753" s="110">
        <v>40.950000000000003</v>
      </c>
      <c r="E1753" s="110">
        <v>43.42</v>
      </c>
      <c r="F1753" s="110">
        <v>208.75</v>
      </c>
      <c r="G1753">
        <v>654909</v>
      </c>
      <c r="H1753" s="110"/>
      <c r="I1753" s="110"/>
      <c r="L1753" s="133">
        <v>44585</v>
      </c>
      <c r="M1753" s="110">
        <v>41.74</v>
      </c>
      <c r="N1753" s="110">
        <v>43.52</v>
      </c>
      <c r="O1753" s="110">
        <v>40.93</v>
      </c>
      <c r="P1753" s="110">
        <v>43.12</v>
      </c>
      <c r="Q1753" s="110">
        <v>208.7</v>
      </c>
      <c r="R1753">
        <v>10454987</v>
      </c>
    </row>
    <row r="1754" spans="1:18" x14ac:dyDescent="0.25">
      <c r="A1754" s="133">
        <v>44586</v>
      </c>
      <c r="B1754" s="110">
        <v>44.64</v>
      </c>
      <c r="C1754" s="110">
        <v>44.26</v>
      </c>
      <c r="D1754" s="110">
        <v>40.86</v>
      </c>
      <c r="E1754" s="110">
        <v>40.86</v>
      </c>
      <c r="F1754" s="110">
        <v>221.3</v>
      </c>
      <c r="G1754">
        <v>811763</v>
      </c>
      <c r="H1754" s="110"/>
      <c r="I1754" s="110"/>
      <c r="L1754" s="133">
        <v>44586</v>
      </c>
      <c r="M1754" s="110">
        <v>44.28</v>
      </c>
      <c r="N1754" s="110">
        <v>44.65</v>
      </c>
      <c r="O1754" s="110">
        <v>41.09</v>
      </c>
      <c r="P1754" s="110">
        <v>41.3</v>
      </c>
      <c r="Q1754" s="110">
        <v>221.4</v>
      </c>
      <c r="R1754">
        <v>12089545</v>
      </c>
    </row>
    <row r="1755" spans="1:18" x14ac:dyDescent="0.25">
      <c r="A1755" s="133">
        <v>44588</v>
      </c>
      <c r="B1755" s="110">
        <v>48.45</v>
      </c>
      <c r="C1755" s="110">
        <v>48.14</v>
      </c>
      <c r="D1755" s="110">
        <v>43.33</v>
      </c>
      <c r="E1755" s="110">
        <v>43.9</v>
      </c>
      <c r="F1755" s="110">
        <v>240.7</v>
      </c>
      <c r="G1755">
        <v>2658318</v>
      </c>
      <c r="H1755" s="110"/>
      <c r="I1755" s="110"/>
      <c r="L1755" s="133">
        <v>44588</v>
      </c>
      <c r="M1755" s="110">
        <v>48.16</v>
      </c>
      <c r="N1755" s="110">
        <v>48.45</v>
      </c>
      <c r="O1755" s="110">
        <v>43.2</v>
      </c>
      <c r="P1755" s="110">
        <v>43.6</v>
      </c>
      <c r="Q1755" s="110">
        <v>240.8</v>
      </c>
      <c r="R1755">
        <v>46941087</v>
      </c>
    </row>
    <row r="1756" spans="1:18" x14ac:dyDescent="0.25">
      <c r="A1756" s="133">
        <v>44589</v>
      </c>
      <c r="B1756" s="110">
        <v>48.79</v>
      </c>
      <c r="C1756" s="110">
        <v>47.77</v>
      </c>
      <c r="D1756" s="110">
        <v>47.33</v>
      </c>
      <c r="E1756" s="110">
        <v>48.45</v>
      </c>
      <c r="F1756" s="110">
        <v>238.85</v>
      </c>
      <c r="G1756">
        <v>1363084</v>
      </c>
      <c r="H1756" s="110"/>
      <c r="I1756" s="110"/>
      <c r="L1756" s="133">
        <v>44589</v>
      </c>
      <c r="M1756" s="110">
        <v>47.78</v>
      </c>
      <c r="N1756" s="110">
        <v>48.78</v>
      </c>
      <c r="O1756" s="110">
        <v>47.31</v>
      </c>
      <c r="P1756" s="110">
        <v>48.45</v>
      </c>
      <c r="Q1756" s="110">
        <v>238.9</v>
      </c>
      <c r="R1756">
        <v>21796914</v>
      </c>
    </row>
    <row r="1757" spans="1:18" x14ac:dyDescent="0.25">
      <c r="A1757" s="133">
        <v>44592</v>
      </c>
      <c r="B1757" s="110">
        <v>50.88</v>
      </c>
      <c r="C1757" s="110">
        <v>50.62</v>
      </c>
      <c r="D1757" s="110">
        <v>48</v>
      </c>
      <c r="E1757" s="110">
        <v>48</v>
      </c>
      <c r="F1757" s="110">
        <v>253.1</v>
      </c>
      <c r="G1757">
        <v>1514139</v>
      </c>
      <c r="H1757" s="110"/>
      <c r="I1757" s="110"/>
      <c r="L1757" s="133">
        <v>44592</v>
      </c>
      <c r="M1757" s="110">
        <v>50.59</v>
      </c>
      <c r="N1757" s="110">
        <v>50.88</v>
      </c>
      <c r="O1757" s="110">
        <v>48.2</v>
      </c>
      <c r="P1757" s="110">
        <v>48.28</v>
      </c>
      <c r="Q1757" s="110">
        <v>252.95</v>
      </c>
      <c r="R1757">
        <v>29420484</v>
      </c>
    </row>
    <row r="1758" spans="1:18" x14ac:dyDescent="0.25">
      <c r="A1758" s="133">
        <v>44593</v>
      </c>
      <c r="B1758" s="110">
        <v>52.3</v>
      </c>
      <c r="C1758" s="110">
        <v>51.74</v>
      </c>
      <c r="D1758" s="110">
        <v>48.98</v>
      </c>
      <c r="E1758" s="110">
        <v>50.99</v>
      </c>
      <c r="F1758" s="110">
        <v>258.7</v>
      </c>
      <c r="G1758">
        <v>2454151</v>
      </c>
      <c r="H1758" s="110"/>
      <c r="I1758" s="110"/>
      <c r="L1758" s="133">
        <v>44593</v>
      </c>
      <c r="M1758" s="110">
        <v>51.75</v>
      </c>
      <c r="N1758" s="110">
        <v>52.32</v>
      </c>
      <c r="O1758" s="110">
        <v>49</v>
      </c>
      <c r="P1758" s="110">
        <v>50.97</v>
      </c>
      <c r="Q1758" s="110">
        <v>258.75</v>
      </c>
      <c r="R1758">
        <v>34673381</v>
      </c>
    </row>
    <row r="1759" spans="1:18" x14ac:dyDescent="0.25">
      <c r="A1759" s="133">
        <v>44594</v>
      </c>
      <c r="B1759" s="110">
        <v>54.4</v>
      </c>
      <c r="C1759" s="110">
        <v>53.95</v>
      </c>
      <c r="D1759" s="110">
        <v>51.6</v>
      </c>
      <c r="E1759" s="110">
        <v>52</v>
      </c>
      <c r="F1759" s="110">
        <v>269.75</v>
      </c>
      <c r="G1759">
        <v>1286005</v>
      </c>
      <c r="H1759" s="110"/>
      <c r="I1759" s="110"/>
      <c r="L1759" s="133">
        <v>44594</v>
      </c>
      <c r="M1759" s="110">
        <v>53.93</v>
      </c>
      <c r="N1759" s="110">
        <v>54.4</v>
      </c>
      <c r="O1759" s="110">
        <v>51.55</v>
      </c>
      <c r="P1759" s="110">
        <v>51.94</v>
      </c>
      <c r="Q1759" s="110">
        <v>269.64999999999998</v>
      </c>
      <c r="R1759">
        <v>27204313</v>
      </c>
    </row>
    <row r="1760" spans="1:18" x14ac:dyDescent="0.25">
      <c r="A1760" s="133">
        <v>44595</v>
      </c>
      <c r="B1760" s="110">
        <v>54.56</v>
      </c>
      <c r="C1760" s="110">
        <v>52.97</v>
      </c>
      <c r="D1760" s="110">
        <v>52.8</v>
      </c>
      <c r="E1760" s="110">
        <v>53.8</v>
      </c>
      <c r="F1760" s="110">
        <v>264.85000000000002</v>
      </c>
      <c r="G1760">
        <v>1177265</v>
      </c>
      <c r="H1760" s="110"/>
      <c r="I1760" s="110"/>
      <c r="L1760" s="133">
        <v>44595</v>
      </c>
      <c r="M1760" s="110">
        <v>52.98</v>
      </c>
      <c r="N1760" s="110">
        <v>54.56</v>
      </c>
      <c r="O1760" s="110">
        <v>52.82</v>
      </c>
      <c r="P1760" s="110">
        <v>53.74</v>
      </c>
      <c r="Q1760" s="110">
        <v>264.89999999999998</v>
      </c>
      <c r="R1760">
        <v>16775296</v>
      </c>
    </row>
    <row r="1761" spans="1:18" x14ac:dyDescent="0.25">
      <c r="A1761" s="133">
        <v>44596</v>
      </c>
      <c r="B1761" s="110">
        <v>53.75</v>
      </c>
      <c r="C1761" s="110">
        <v>52.18</v>
      </c>
      <c r="D1761" s="110">
        <v>51.87</v>
      </c>
      <c r="E1761" s="110">
        <v>53.36</v>
      </c>
      <c r="F1761" s="110">
        <v>260.89999999999998</v>
      </c>
      <c r="G1761">
        <v>599534</v>
      </c>
      <c r="H1761" s="110"/>
      <c r="I1761" s="110"/>
      <c r="L1761" s="133">
        <v>44596</v>
      </c>
      <c r="M1761" s="110">
        <v>52.2</v>
      </c>
      <c r="N1761" s="110">
        <v>53.76</v>
      </c>
      <c r="O1761" s="110">
        <v>51.84</v>
      </c>
      <c r="P1761" s="110">
        <v>53.09</v>
      </c>
      <c r="Q1761" s="110">
        <v>261</v>
      </c>
      <c r="R1761">
        <v>11744286</v>
      </c>
    </row>
    <row r="1762" spans="1:18" x14ac:dyDescent="0.25">
      <c r="A1762" s="133">
        <v>44599</v>
      </c>
      <c r="B1762" s="110">
        <v>53.3</v>
      </c>
      <c r="C1762" s="110">
        <v>51.61</v>
      </c>
      <c r="D1762" s="110">
        <v>51.4</v>
      </c>
      <c r="E1762" s="110">
        <v>52.4</v>
      </c>
      <c r="F1762" s="110">
        <v>258.05</v>
      </c>
      <c r="G1762">
        <v>737533</v>
      </c>
      <c r="H1762" s="110"/>
      <c r="I1762" s="110"/>
      <c r="L1762" s="133">
        <v>44599</v>
      </c>
      <c r="M1762" s="110">
        <v>51.62</v>
      </c>
      <c r="N1762" s="110">
        <v>53.33</v>
      </c>
      <c r="O1762" s="110">
        <v>51.37</v>
      </c>
      <c r="P1762" s="110">
        <v>52.3</v>
      </c>
      <c r="Q1762" s="110">
        <v>258.10000000000002</v>
      </c>
      <c r="R1762">
        <v>15923437</v>
      </c>
    </row>
    <row r="1763" spans="1:18" x14ac:dyDescent="0.25">
      <c r="A1763" s="133">
        <v>44600</v>
      </c>
      <c r="B1763" s="110">
        <v>52.66</v>
      </c>
      <c r="C1763" s="110">
        <v>52.14</v>
      </c>
      <c r="D1763" s="110">
        <v>50.37</v>
      </c>
      <c r="E1763" s="110">
        <v>51.94</v>
      </c>
      <c r="F1763" s="110">
        <v>260.7</v>
      </c>
      <c r="G1763">
        <v>728287</v>
      </c>
      <c r="H1763" s="110"/>
      <c r="I1763" s="110"/>
      <c r="L1763" s="133">
        <v>44600</v>
      </c>
      <c r="M1763" s="110">
        <v>52.14</v>
      </c>
      <c r="N1763" s="110">
        <v>52.69</v>
      </c>
      <c r="O1763" s="110">
        <v>50.36</v>
      </c>
      <c r="P1763" s="110">
        <v>51.7</v>
      </c>
      <c r="Q1763" s="110">
        <v>260.7</v>
      </c>
      <c r="R1763">
        <v>15401072</v>
      </c>
    </row>
    <row r="1764" spans="1:18" x14ac:dyDescent="0.25">
      <c r="A1764" s="133">
        <v>44601</v>
      </c>
      <c r="B1764" s="110">
        <v>52.6</v>
      </c>
      <c r="C1764" s="110">
        <v>52.02</v>
      </c>
      <c r="D1764" s="110">
        <v>51.06</v>
      </c>
      <c r="E1764" s="110">
        <v>52.4</v>
      </c>
      <c r="F1764" s="110">
        <v>260.10000000000002</v>
      </c>
      <c r="G1764">
        <v>469986</v>
      </c>
      <c r="H1764" s="110"/>
      <c r="I1764" s="110"/>
      <c r="L1764" s="133">
        <v>44601</v>
      </c>
      <c r="M1764" s="110">
        <v>52.05</v>
      </c>
      <c r="N1764" s="110">
        <v>52.62</v>
      </c>
      <c r="O1764" s="110">
        <v>51.05</v>
      </c>
      <c r="P1764" s="110">
        <v>52.36</v>
      </c>
      <c r="Q1764" s="110">
        <v>260.25</v>
      </c>
      <c r="R1764">
        <v>9234499</v>
      </c>
    </row>
    <row r="1765" spans="1:18" x14ac:dyDescent="0.25">
      <c r="A1765" s="133">
        <v>44602</v>
      </c>
      <c r="B1765" s="110">
        <v>52.56</v>
      </c>
      <c r="C1765" s="110">
        <v>51.77</v>
      </c>
      <c r="D1765" s="110">
        <v>51.37</v>
      </c>
      <c r="E1765" s="110">
        <v>52.02</v>
      </c>
      <c r="F1765" s="110">
        <v>258.85000000000002</v>
      </c>
      <c r="G1765">
        <v>517118</v>
      </c>
      <c r="H1765" s="110"/>
      <c r="I1765" s="110"/>
      <c r="L1765" s="133">
        <v>44602</v>
      </c>
      <c r="M1765" s="110">
        <v>51.76</v>
      </c>
      <c r="N1765" s="110">
        <v>52.58</v>
      </c>
      <c r="O1765" s="110">
        <v>51.36</v>
      </c>
      <c r="P1765" s="110">
        <v>52.11</v>
      </c>
      <c r="Q1765" s="110">
        <v>258.8</v>
      </c>
      <c r="R1765">
        <v>8841159</v>
      </c>
    </row>
    <row r="1766" spans="1:18" x14ac:dyDescent="0.25">
      <c r="A1766" s="133">
        <v>44603</v>
      </c>
      <c r="B1766" s="110">
        <v>52.17</v>
      </c>
      <c r="C1766" s="110">
        <v>50.3</v>
      </c>
      <c r="D1766" s="110">
        <v>50.07</v>
      </c>
      <c r="E1766" s="110">
        <v>51.7</v>
      </c>
      <c r="F1766" s="110">
        <v>251.5</v>
      </c>
      <c r="G1766">
        <v>487311</v>
      </c>
      <c r="H1766" s="110"/>
      <c r="I1766" s="110"/>
      <c r="L1766" s="133">
        <v>44603</v>
      </c>
      <c r="M1766" s="110">
        <v>50.3</v>
      </c>
      <c r="N1766" s="110">
        <v>52.21</v>
      </c>
      <c r="O1766" s="110">
        <v>50.04</v>
      </c>
      <c r="P1766" s="110">
        <v>51.42</v>
      </c>
      <c r="Q1766" s="110">
        <v>251.5</v>
      </c>
      <c r="R1766">
        <v>8807436</v>
      </c>
    </row>
    <row r="1767" spans="1:18" x14ac:dyDescent="0.25">
      <c r="A1767" s="133">
        <v>44606</v>
      </c>
      <c r="B1767" s="110">
        <v>49.4</v>
      </c>
      <c r="C1767" s="110">
        <v>46.93</v>
      </c>
      <c r="D1767" s="110">
        <v>46.59</v>
      </c>
      <c r="E1767" s="110">
        <v>48.26</v>
      </c>
      <c r="F1767" s="110">
        <v>234.65</v>
      </c>
      <c r="G1767">
        <v>990279</v>
      </c>
      <c r="H1767" s="110"/>
      <c r="I1767" s="110"/>
      <c r="L1767" s="133">
        <v>44606</v>
      </c>
      <c r="M1767" s="110">
        <v>46.95</v>
      </c>
      <c r="N1767" s="110">
        <v>49.7</v>
      </c>
      <c r="O1767" s="110">
        <v>46.62</v>
      </c>
      <c r="P1767" s="110">
        <v>48.6</v>
      </c>
      <c r="Q1767" s="110">
        <v>234.75</v>
      </c>
      <c r="R1767">
        <v>13572284</v>
      </c>
    </row>
    <row r="1768" spans="1:18" x14ac:dyDescent="0.25">
      <c r="A1768" s="133">
        <v>44607</v>
      </c>
      <c r="B1768" s="110">
        <v>49.7</v>
      </c>
      <c r="C1768" s="110">
        <v>49.59</v>
      </c>
      <c r="D1768" s="110">
        <v>46.45</v>
      </c>
      <c r="E1768" s="110">
        <v>46.95</v>
      </c>
      <c r="F1768" s="110">
        <v>247.95</v>
      </c>
      <c r="G1768">
        <v>844452</v>
      </c>
      <c r="H1768" s="110"/>
      <c r="I1768" s="110"/>
      <c r="L1768" s="133">
        <v>44607</v>
      </c>
      <c r="M1768" s="110">
        <v>49.59</v>
      </c>
      <c r="N1768" s="110">
        <v>49.76</v>
      </c>
      <c r="O1768" s="110">
        <v>46.44</v>
      </c>
      <c r="P1768" s="110">
        <v>47.04</v>
      </c>
      <c r="Q1768" s="110">
        <v>247.95</v>
      </c>
      <c r="R1768">
        <v>16312508</v>
      </c>
    </row>
    <row r="1769" spans="1:18" x14ac:dyDescent="0.25">
      <c r="A1769" s="133">
        <v>44608</v>
      </c>
      <c r="B1769" s="110">
        <v>50.16</v>
      </c>
      <c r="C1769" s="110">
        <v>48.84</v>
      </c>
      <c r="D1769" s="110">
        <v>48.58</v>
      </c>
      <c r="E1769" s="110">
        <v>49.7</v>
      </c>
      <c r="F1769" s="110">
        <v>244.2</v>
      </c>
      <c r="G1769">
        <v>948789</v>
      </c>
      <c r="H1769" s="110"/>
      <c r="I1769" s="110"/>
      <c r="L1769" s="133">
        <v>44608</v>
      </c>
      <c r="M1769" s="110">
        <v>48.86</v>
      </c>
      <c r="N1769" s="110">
        <v>50.17</v>
      </c>
      <c r="O1769" s="110">
        <v>48.6</v>
      </c>
      <c r="P1769" s="110">
        <v>49.77</v>
      </c>
      <c r="Q1769" s="110">
        <v>244.3</v>
      </c>
      <c r="R1769">
        <v>12589227</v>
      </c>
    </row>
    <row r="1770" spans="1:18" x14ac:dyDescent="0.25">
      <c r="A1770" s="133">
        <v>44609</v>
      </c>
      <c r="B1770" s="110">
        <v>49.25</v>
      </c>
      <c r="C1770" s="110">
        <v>47.87</v>
      </c>
      <c r="D1770" s="110">
        <v>47.76</v>
      </c>
      <c r="E1770" s="110">
        <v>48.7</v>
      </c>
      <c r="F1770" s="110">
        <v>239.35</v>
      </c>
      <c r="G1770">
        <v>392839</v>
      </c>
      <c r="H1770" s="110"/>
      <c r="I1770" s="110"/>
      <c r="L1770" s="133">
        <v>44609</v>
      </c>
      <c r="M1770" s="110">
        <v>47.88</v>
      </c>
      <c r="N1770" s="110">
        <v>49.3</v>
      </c>
      <c r="O1770" s="110">
        <v>47.75</v>
      </c>
      <c r="P1770" s="110">
        <v>49.06</v>
      </c>
      <c r="Q1770" s="110">
        <v>239.4</v>
      </c>
      <c r="R1770">
        <v>7285051</v>
      </c>
    </row>
    <row r="1771" spans="1:18" x14ac:dyDescent="0.25">
      <c r="A1771" s="133">
        <v>44610</v>
      </c>
      <c r="B1771" s="110">
        <v>48.84</v>
      </c>
      <c r="C1771" s="110">
        <v>47.65</v>
      </c>
      <c r="D1771" s="110">
        <v>47.47</v>
      </c>
      <c r="E1771" s="110">
        <v>47.6</v>
      </c>
      <c r="F1771" s="110">
        <v>238.25</v>
      </c>
      <c r="G1771">
        <v>494340</v>
      </c>
      <c r="H1771" s="110"/>
      <c r="I1771" s="110"/>
      <c r="L1771" s="133">
        <v>44610</v>
      </c>
      <c r="M1771" s="110">
        <v>47.65</v>
      </c>
      <c r="N1771" s="110">
        <v>48.84</v>
      </c>
      <c r="O1771" s="110">
        <v>47.43</v>
      </c>
      <c r="P1771" s="110">
        <v>47.71</v>
      </c>
      <c r="Q1771" s="110">
        <v>238.25</v>
      </c>
      <c r="R1771">
        <v>9431843</v>
      </c>
    </row>
    <row r="1772" spans="1:18" x14ac:dyDescent="0.25">
      <c r="A1772" s="133">
        <v>44613</v>
      </c>
      <c r="B1772" s="110">
        <v>48.07</v>
      </c>
      <c r="C1772" s="110">
        <v>46.61</v>
      </c>
      <c r="D1772" s="110">
        <v>46.41</v>
      </c>
      <c r="E1772" s="110">
        <v>47.26</v>
      </c>
      <c r="F1772" s="110">
        <v>233.05</v>
      </c>
      <c r="G1772">
        <v>751969</v>
      </c>
      <c r="H1772" s="110"/>
      <c r="I1772" s="110"/>
      <c r="L1772" s="133">
        <v>44613</v>
      </c>
      <c r="M1772" s="110">
        <v>46.59</v>
      </c>
      <c r="N1772" s="110">
        <v>48.08</v>
      </c>
      <c r="O1772" s="110">
        <v>46.43</v>
      </c>
      <c r="P1772" s="110">
        <v>47.51</v>
      </c>
      <c r="Q1772" s="110">
        <v>232.95</v>
      </c>
      <c r="R1772">
        <v>13817283</v>
      </c>
    </row>
    <row r="1773" spans="1:18" x14ac:dyDescent="0.25">
      <c r="A1773" s="133">
        <v>44614</v>
      </c>
      <c r="B1773" s="110">
        <v>46.39</v>
      </c>
      <c r="C1773" s="110">
        <v>46.08</v>
      </c>
      <c r="D1773" s="110">
        <v>43.8</v>
      </c>
      <c r="E1773" s="110">
        <v>43.8</v>
      </c>
      <c r="F1773" s="110">
        <v>230.4</v>
      </c>
      <c r="G1773">
        <v>1293282</v>
      </c>
      <c r="H1773" s="110"/>
      <c r="I1773" s="110"/>
      <c r="L1773" s="133">
        <v>44614</v>
      </c>
      <c r="M1773" s="110">
        <v>46.09</v>
      </c>
      <c r="N1773" s="110">
        <v>46.38</v>
      </c>
      <c r="O1773" s="110">
        <v>44.2</v>
      </c>
      <c r="P1773" s="110">
        <v>44.2</v>
      </c>
      <c r="Q1773" s="110">
        <v>230.45</v>
      </c>
      <c r="R1773">
        <v>15256952</v>
      </c>
    </row>
    <row r="1774" spans="1:18" x14ac:dyDescent="0.25">
      <c r="A1774" s="133">
        <v>44615</v>
      </c>
      <c r="B1774" s="110">
        <v>47.02</v>
      </c>
      <c r="C1774" s="110">
        <v>45.82</v>
      </c>
      <c r="D1774" s="110">
        <v>45.7</v>
      </c>
      <c r="E1774" s="110">
        <v>46.3</v>
      </c>
      <c r="F1774" s="110">
        <v>229.1</v>
      </c>
      <c r="G1774">
        <v>382105</v>
      </c>
      <c r="H1774" s="110"/>
      <c r="I1774" s="110"/>
      <c r="L1774" s="133">
        <v>44615</v>
      </c>
      <c r="M1774" s="110">
        <v>45.83</v>
      </c>
      <c r="N1774" s="110">
        <v>47.05</v>
      </c>
      <c r="O1774" s="110">
        <v>45.64</v>
      </c>
      <c r="P1774" s="110">
        <v>46.4</v>
      </c>
      <c r="Q1774" s="110">
        <v>229.15</v>
      </c>
      <c r="R1774">
        <v>8640472</v>
      </c>
    </row>
    <row r="1775" spans="1:18" x14ac:dyDescent="0.25">
      <c r="A1775" s="133">
        <v>44616</v>
      </c>
      <c r="B1775" s="110">
        <v>44.78</v>
      </c>
      <c r="C1775" s="110">
        <v>41.66</v>
      </c>
      <c r="D1775" s="110">
        <v>41.45</v>
      </c>
      <c r="E1775" s="110">
        <v>43.72</v>
      </c>
      <c r="F1775" s="110">
        <v>208.3</v>
      </c>
      <c r="G1775">
        <v>943864</v>
      </c>
      <c r="H1775" s="110"/>
      <c r="I1775" s="110"/>
      <c r="L1775" s="133">
        <v>44616</v>
      </c>
      <c r="M1775" s="110">
        <v>41.66</v>
      </c>
      <c r="N1775" s="110">
        <v>44.8</v>
      </c>
      <c r="O1775" s="110">
        <v>41.25</v>
      </c>
      <c r="P1775" s="110">
        <v>41.25</v>
      </c>
      <c r="Q1775" s="110">
        <v>208.3</v>
      </c>
      <c r="R1775">
        <v>20798209</v>
      </c>
    </row>
    <row r="1776" spans="1:18" x14ac:dyDescent="0.25">
      <c r="A1776" s="133">
        <v>44617</v>
      </c>
      <c r="B1776" s="110">
        <v>44.56</v>
      </c>
      <c r="C1776" s="110">
        <v>43.68</v>
      </c>
      <c r="D1776" s="110">
        <v>42.6</v>
      </c>
      <c r="E1776" s="110">
        <v>42.6</v>
      </c>
      <c r="F1776" s="110">
        <v>218.4</v>
      </c>
      <c r="G1776">
        <v>1044668</v>
      </c>
      <c r="H1776" s="110"/>
      <c r="I1776" s="110"/>
      <c r="L1776" s="133">
        <v>44617</v>
      </c>
      <c r="M1776" s="110">
        <v>43.69</v>
      </c>
      <c r="N1776" s="110">
        <v>44.56</v>
      </c>
      <c r="O1776" s="110">
        <v>42.8</v>
      </c>
      <c r="P1776" s="110">
        <v>43.2</v>
      </c>
      <c r="Q1776" s="110">
        <v>218.45</v>
      </c>
      <c r="R1776">
        <v>16298297</v>
      </c>
    </row>
    <row r="1777" spans="1:18" x14ac:dyDescent="0.25">
      <c r="A1777" s="133">
        <v>44620</v>
      </c>
      <c r="B1777" s="110">
        <v>44.13</v>
      </c>
      <c r="C1777" s="110">
        <v>43.93</v>
      </c>
      <c r="D1777" s="110">
        <v>42.9</v>
      </c>
      <c r="E1777" s="110">
        <v>43.6</v>
      </c>
      <c r="F1777" s="110">
        <v>219.65</v>
      </c>
      <c r="G1777">
        <v>614461</v>
      </c>
      <c r="H1777" s="110"/>
      <c r="I1777" s="110"/>
      <c r="L1777" s="133">
        <v>44620</v>
      </c>
      <c r="M1777" s="110">
        <v>43.92</v>
      </c>
      <c r="N1777" s="110">
        <v>44.14</v>
      </c>
      <c r="O1777" s="110">
        <v>42.87</v>
      </c>
      <c r="P1777" s="110">
        <v>43.3</v>
      </c>
      <c r="Q1777" s="110">
        <v>219.6</v>
      </c>
      <c r="R1777">
        <v>12254727</v>
      </c>
    </row>
    <row r="1778" spans="1:18" x14ac:dyDescent="0.25">
      <c r="A1778" s="133">
        <v>44622</v>
      </c>
      <c r="B1778" s="110">
        <v>43.8</v>
      </c>
      <c r="C1778" s="110">
        <v>43.17</v>
      </c>
      <c r="D1778" s="110">
        <v>42.4</v>
      </c>
      <c r="E1778" s="110">
        <v>43.6</v>
      </c>
      <c r="F1778" s="110">
        <v>215.85</v>
      </c>
      <c r="G1778">
        <v>712127</v>
      </c>
      <c r="H1778" s="110"/>
      <c r="I1778" s="110"/>
      <c r="L1778" s="133">
        <v>44622</v>
      </c>
      <c r="M1778" s="110">
        <v>43.23</v>
      </c>
      <c r="N1778" s="110">
        <v>43.78</v>
      </c>
      <c r="O1778" s="110">
        <v>42.44</v>
      </c>
      <c r="P1778" s="110">
        <v>43.57</v>
      </c>
      <c r="Q1778" s="110">
        <v>216.15</v>
      </c>
      <c r="R1778">
        <v>10972135</v>
      </c>
    </row>
    <row r="1779" spans="1:18" x14ac:dyDescent="0.25">
      <c r="A1779" s="133">
        <v>44623</v>
      </c>
      <c r="B1779" s="110">
        <v>44.1</v>
      </c>
      <c r="C1779" s="110">
        <v>42.99</v>
      </c>
      <c r="D1779" s="110">
        <v>42.75</v>
      </c>
      <c r="E1779" s="110">
        <v>44.08</v>
      </c>
      <c r="F1779" s="110">
        <v>214.95</v>
      </c>
      <c r="G1779">
        <v>419854</v>
      </c>
      <c r="H1779" s="110"/>
      <c r="I1779" s="110"/>
      <c r="L1779" s="133">
        <v>44623</v>
      </c>
      <c r="M1779" s="110">
        <v>42.99</v>
      </c>
      <c r="N1779" s="110">
        <v>44.12</v>
      </c>
      <c r="O1779" s="110">
        <v>42.75</v>
      </c>
      <c r="P1779" s="110">
        <v>43.92</v>
      </c>
      <c r="Q1779" s="110">
        <v>214.95</v>
      </c>
      <c r="R1779">
        <v>9310428</v>
      </c>
    </row>
    <row r="1780" spans="1:18" x14ac:dyDescent="0.25">
      <c r="A1780" s="133">
        <v>44624</v>
      </c>
      <c r="B1780" s="110">
        <v>43.5</v>
      </c>
      <c r="C1780" s="110">
        <v>42.01</v>
      </c>
      <c r="D1780" s="110">
        <v>41.84</v>
      </c>
      <c r="E1780" s="110">
        <v>42.6</v>
      </c>
      <c r="F1780" s="110">
        <v>210.05</v>
      </c>
      <c r="G1780">
        <v>1028459</v>
      </c>
      <c r="H1780" s="110"/>
      <c r="I1780" s="110"/>
      <c r="L1780" s="133">
        <v>44624</v>
      </c>
      <c r="M1780" s="110">
        <v>42.03</v>
      </c>
      <c r="N1780" s="110">
        <v>43.5</v>
      </c>
      <c r="O1780" s="110">
        <v>41.86</v>
      </c>
      <c r="P1780" s="110">
        <v>42.75</v>
      </c>
      <c r="Q1780" s="110">
        <v>210.15</v>
      </c>
      <c r="R1780">
        <v>14829510</v>
      </c>
    </row>
    <row r="1781" spans="1:18" x14ac:dyDescent="0.25">
      <c r="A1781" s="133">
        <v>44627</v>
      </c>
      <c r="B1781" s="110">
        <v>41.4</v>
      </c>
      <c r="C1781" s="110">
        <v>40.17</v>
      </c>
      <c r="D1781" s="110">
        <v>39.299999999999997</v>
      </c>
      <c r="E1781" s="110">
        <v>41.4</v>
      </c>
      <c r="F1781" s="110">
        <v>200.85</v>
      </c>
      <c r="G1781">
        <v>1215297</v>
      </c>
      <c r="H1781" s="110"/>
      <c r="I1781" s="110"/>
      <c r="L1781" s="133">
        <v>44627</v>
      </c>
      <c r="M1781" s="110">
        <v>40.17</v>
      </c>
      <c r="N1781" s="110">
        <v>41.13</v>
      </c>
      <c r="O1781" s="110">
        <v>39.28</v>
      </c>
      <c r="P1781" s="110">
        <v>41.1</v>
      </c>
      <c r="Q1781" s="110">
        <v>200.85</v>
      </c>
      <c r="R1781">
        <v>15576434</v>
      </c>
    </row>
    <row r="1782" spans="1:18" x14ac:dyDescent="0.25">
      <c r="A1782" s="133">
        <v>44628</v>
      </c>
      <c r="B1782" s="110">
        <v>42.11</v>
      </c>
      <c r="C1782" s="110">
        <v>41.85</v>
      </c>
      <c r="D1782" s="110">
        <v>39.880000000000003</v>
      </c>
      <c r="E1782" s="110">
        <v>40.5</v>
      </c>
      <c r="F1782" s="110">
        <v>209.25</v>
      </c>
      <c r="G1782">
        <v>1313189</v>
      </c>
      <c r="H1782" s="110"/>
      <c r="I1782" s="110"/>
      <c r="L1782" s="133">
        <v>44628</v>
      </c>
      <c r="M1782" s="110">
        <v>41.87</v>
      </c>
      <c r="N1782" s="110">
        <v>42.14</v>
      </c>
      <c r="O1782" s="110">
        <v>39.9</v>
      </c>
      <c r="P1782" s="110">
        <v>40.200000000000003</v>
      </c>
      <c r="Q1782" s="110">
        <v>209.35</v>
      </c>
      <c r="R1782">
        <v>20233877</v>
      </c>
    </row>
    <row r="1783" spans="1:18" x14ac:dyDescent="0.25">
      <c r="A1783" s="133">
        <v>44629</v>
      </c>
      <c r="B1783" s="110">
        <v>42.68</v>
      </c>
      <c r="C1783" s="110">
        <v>42.38</v>
      </c>
      <c r="D1783" s="110">
        <v>41.7</v>
      </c>
      <c r="E1783" s="110">
        <v>42.48</v>
      </c>
      <c r="F1783" s="110">
        <v>211.9</v>
      </c>
      <c r="G1783">
        <v>731564</v>
      </c>
      <c r="H1783" s="110"/>
      <c r="I1783" s="110"/>
      <c r="L1783" s="133">
        <v>44629</v>
      </c>
      <c r="M1783" s="110">
        <v>42.4</v>
      </c>
      <c r="N1783" s="110">
        <v>42.67</v>
      </c>
      <c r="O1783" s="110">
        <v>41.7</v>
      </c>
      <c r="P1783" s="110">
        <v>42.3</v>
      </c>
      <c r="Q1783" s="110">
        <v>212</v>
      </c>
      <c r="R1783">
        <v>14003051</v>
      </c>
    </row>
    <row r="1784" spans="1:18" x14ac:dyDescent="0.25">
      <c r="A1784" s="133">
        <v>44630</v>
      </c>
      <c r="B1784" s="110">
        <v>44.39</v>
      </c>
      <c r="C1784" s="110">
        <v>42.9</v>
      </c>
      <c r="D1784" s="110">
        <v>42.6</v>
      </c>
      <c r="E1784" s="110">
        <v>43.8</v>
      </c>
      <c r="F1784" s="110">
        <v>214.5</v>
      </c>
      <c r="G1784">
        <v>860516</v>
      </c>
      <c r="H1784" s="110"/>
      <c r="I1784" s="110"/>
      <c r="L1784" s="133">
        <v>44630</v>
      </c>
      <c r="M1784" s="110">
        <v>42.88</v>
      </c>
      <c r="N1784" s="110">
        <v>44.39</v>
      </c>
      <c r="O1784" s="110">
        <v>42.61</v>
      </c>
      <c r="P1784" s="110">
        <v>43.9</v>
      </c>
      <c r="Q1784" s="110">
        <v>214.4</v>
      </c>
      <c r="R1784">
        <v>17278570</v>
      </c>
    </row>
    <row r="1785" spans="1:18" x14ac:dyDescent="0.25">
      <c r="A1785" s="133">
        <v>44631</v>
      </c>
      <c r="B1785" s="110">
        <v>43.82</v>
      </c>
      <c r="C1785" s="110">
        <v>43.6</v>
      </c>
      <c r="D1785" s="110">
        <v>42.56</v>
      </c>
      <c r="E1785" s="110">
        <v>42.88</v>
      </c>
      <c r="F1785" s="110">
        <v>218</v>
      </c>
      <c r="G1785">
        <v>770930</v>
      </c>
      <c r="H1785" s="110"/>
      <c r="I1785" s="110"/>
      <c r="L1785" s="133">
        <v>44631</v>
      </c>
      <c r="M1785" s="110">
        <v>43.59</v>
      </c>
      <c r="N1785" s="110">
        <v>43.88</v>
      </c>
      <c r="O1785" s="110">
        <v>42.5</v>
      </c>
      <c r="P1785" s="110">
        <v>42.8</v>
      </c>
      <c r="Q1785" s="110">
        <v>217.95</v>
      </c>
      <c r="R1785">
        <v>10960139</v>
      </c>
    </row>
    <row r="1786" spans="1:18" x14ac:dyDescent="0.25">
      <c r="A1786" s="133">
        <v>44634</v>
      </c>
      <c r="B1786" s="110">
        <v>44.5</v>
      </c>
      <c r="C1786" s="110">
        <v>44.22</v>
      </c>
      <c r="D1786" s="110">
        <v>43.06</v>
      </c>
      <c r="E1786" s="110">
        <v>43.59</v>
      </c>
      <c r="F1786" s="110">
        <v>221.1</v>
      </c>
      <c r="G1786">
        <v>680599</v>
      </c>
      <c r="H1786" s="110"/>
      <c r="I1786" s="110"/>
      <c r="L1786" s="133">
        <v>44634</v>
      </c>
      <c r="M1786" s="110">
        <v>44.23</v>
      </c>
      <c r="N1786" s="110">
        <v>44.5</v>
      </c>
      <c r="O1786" s="110">
        <v>43.04</v>
      </c>
      <c r="P1786" s="110">
        <v>43.6</v>
      </c>
      <c r="Q1786" s="110">
        <v>221.15</v>
      </c>
      <c r="R1786">
        <v>12466233</v>
      </c>
    </row>
    <row r="1787" spans="1:18" x14ac:dyDescent="0.25">
      <c r="A1787" s="133">
        <v>44635</v>
      </c>
      <c r="B1787" s="110">
        <v>45.34</v>
      </c>
      <c r="C1787" s="110">
        <v>43.82</v>
      </c>
      <c r="D1787" s="110">
        <v>43.5</v>
      </c>
      <c r="E1787" s="110">
        <v>44.3</v>
      </c>
      <c r="F1787" s="110">
        <v>219.1</v>
      </c>
      <c r="G1787">
        <v>702411</v>
      </c>
      <c r="H1787" s="110"/>
      <c r="I1787" s="110"/>
      <c r="L1787" s="133">
        <v>44635</v>
      </c>
      <c r="M1787" s="110">
        <v>43.78</v>
      </c>
      <c r="N1787" s="110">
        <v>45.34</v>
      </c>
      <c r="O1787" s="110">
        <v>43.53</v>
      </c>
      <c r="P1787" s="110">
        <v>44.23</v>
      </c>
      <c r="Q1787" s="110">
        <v>218.9</v>
      </c>
      <c r="R1787">
        <v>14828169</v>
      </c>
    </row>
    <row r="1788" spans="1:18" x14ac:dyDescent="0.25">
      <c r="A1788" s="133">
        <v>44636</v>
      </c>
      <c r="B1788" s="110">
        <v>45.15</v>
      </c>
      <c r="C1788" s="110">
        <v>44.81</v>
      </c>
      <c r="D1788" s="110">
        <v>44.28</v>
      </c>
      <c r="E1788" s="110">
        <v>44.4</v>
      </c>
      <c r="F1788" s="110">
        <v>224.05</v>
      </c>
      <c r="G1788">
        <v>483679</v>
      </c>
      <c r="H1788" s="110"/>
      <c r="I1788" s="110"/>
      <c r="L1788" s="133">
        <v>44636</v>
      </c>
      <c r="M1788" s="110">
        <v>44.88</v>
      </c>
      <c r="N1788" s="110">
        <v>45.17</v>
      </c>
      <c r="O1788" s="110">
        <v>44.26</v>
      </c>
      <c r="P1788" s="110">
        <v>44.28</v>
      </c>
      <c r="Q1788" s="110">
        <v>224.4</v>
      </c>
      <c r="R1788">
        <v>8664324</v>
      </c>
    </row>
    <row r="1789" spans="1:18" x14ac:dyDescent="0.25">
      <c r="A1789" s="133">
        <v>44637</v>
      </c>
      <c r="B1789" s="110">
        <v>46.11</v>
      </c>
      <c r="C1789" s="110">
        <v>45.2</v>
      </c>
      <c r="D1789" s="110">
        <v>45.05</v>
      </c>
      <c r="E1789" s="110">
        <v>45.7</v>
      </c>
      <c r="F1789" s="110">
        <v>226</v>
      </c>
      <c r="G1789">
        <v>385832</v>
      </c>
      <c r="H1789" s="110"/>
      <c r="I1789" s="110"/>
      <c r="L1789" s="133">
        <v>44637</v>
      </c>
      <c r="M1789" s="110">
        <v>45.21</v>
      </c>
      <c r="N1789" s="110">
        <v>46.15</v>
      </c>
      <c r="O1789" s="110">
        <v>45.01</v>
      </c>
      <c r="P1789" s="110">
        <v>46</v>
      </c>
      <c r="Q1789" s="110">
        <v>226.05</v>
      </c>
      <c r="R1789">
        <v>10495295</v>
      </c>
    </row>
    <row r="1790" spans="1:18" x14ac:dyDescent="0.25">
      <c r="A1790" s="133">
        <v>44641</v>
      </c>
      <c r="B1790" s="110">
        <v>45.65</v>
      </c>
      <c r="C1790" s="110">
        <v>45.01</v>
      </c>
      <c r="D1790" s="110">
        <v>44.8</v>
      </c>
      <c r="E1790" s="110">
        <v>45.5</v>
      </c>
      <c r="F1790" s="110">
        <v>225.05</v>
      </c>
      <c r="G1790">
        <v>378868</v>
      </c>
      <c r="H1790" s="110"/>
      <c r="I1790" s="110"/>
      <c r="L1790" s="133">
        <v>44641</v>
      </c>
      <c r="M1790" s="110">
        <v>44.99</v>
      </c>
      <c r="N1790" s="110">
        <v>45.63</v>
      </c>
      <c r="O1790" s="110">
        <v>44.8</v>
      </c>
      <c r="P1790" s="110">
        <v>45.46</v>
      </c>
      <c r="Q1790" s="110">
        <v>224.95</v>
      </c>
      <c r="R1790">
        <v>9201763</v>
      </c>
    </row>
    <row r="1791" spans="1:18" x14ac:dyDescent="0.25">
      <c r="A1791" s="133">
        <v>44642</v>
      </c>
      <c r="B1791" s="110">
        <v>45.4</v>
      </c>
      <c r="C1791" s="110">
        <v>45.16</v>
      </c>
      <c r="D1791" s="110">
        <v>44.04</v>
      </c>
      <c r="E1791" s="110">
        <v>45.2</v>
      </c>
      <c r="F1791" s="110">
        <v>225.8</v>
      </c>
      <c r="G1791">
        <v>636280</v>
      </c>
      <c r="H1791" s="110"/>
      <c r="I1791" s="110"/>
      <c r="L1791" s="133">
        <v>44642</v>
      </c>
      <c r="M1791" s="110">
        <v>45.2</v>
      </c>
      <c r="N1791" s="110">
        <v>45.42</v>
      </c>
      <c r="O1791" s="110">
        <v>44.03</v>
      </c>
      <c r="P1791" s="110">
        <v>45</v>
      </c>
      <c r="Q1791" s="110">
        <v>226</v>
      </c>
      <c r="R1791">
        <v>9686196</v>
      </c>
    </row>
    <row r="1792" spans="1:18" x14ac:dyDescent="0.25">
      <c r="A1792" s="133">
        <v>44643</v>
      </c>
      <c r="B1792" s="110">
        <v>46.08</v>
      </c>
      <c r="C1792" s="110">
        <v>45.07</v>
      </c>
      <c r="D1792" s="110">
        <v>44.87</v>
      </c>
      <c r="E1792" s="110">
        <v>45.5</v>
      </c>
      <c r="F1792" s="110">
        <v>225.35</v>
      </c>
      <c r="G1792">
        <v>298637</v>
      </c>
      <c r="H1792" s="110"/>
      <c r="I1792" s="110"/>
      <c r="L1792" s="133">
        <v>44643</v>
      </c>
      <c r="M1792" s="110">
        <v>45.06</v>
      </c>
      <c r="N1792" s="110">
        <v>46.08</v>
      </c>
      <c r="O1792" s="110">
        <v>44.86</v>
      </c>
      <c r="P1792" s="110">
        <v>45.48</v>
      </c>
      <c r="Q1792" s="110">
        <v>225.3</v>
      </c>
      <c r="R1792">
        <v>8962738</v>
      </c>
    </row>
    <row r="1793" spans="1:18" x14ac:dyDescent="0.25">
      <c r="A1793" s="133">
        <v>44644</v>
      </c>
      <c r="B1793" s="110">
        <v>45.56</v>
      </c>
      <c r="C1793" s="110">
        <v>45.08</v>
      </c>
      <c r="D1793" s="110">
        <v>44.5</v>
      </c>
      <c r="E1793" s="110">
        <v>44.5</v>
      </c>
      <c r="F1793" s="110">
        <v>225.4</v>
      </c>
      <c r="G1793">
        <v>260277</v>
      </c>
      <c r="H1793" s="110"/>
      <c r="I1793" s="110"/>
      <c r="L1793" s="133">
        <v>44644</v>
      </c>
      <c r="M1793" s="110">
        <v>45.13</v>
      </c>
      <c r="N1793" s="110">
        <v>45.58</v>
      </c>
      <c r="O1793" s="110">
        <v>44.52</v>
      </c>
      <c r="P1793" s="110">
        <v>44.68</v>
      </c>
      <c r="Q1793" s="110">
        <v>225.65</v>
      </c>
      <c r="R1793">
        <v>6067113</v>
      </c>
    </row>
    <row r="1794" spans="1:18" x14ac:dyDescent="0.25">
      <c r="A1794" s="133">
        <v>44645</v>
      </c>
      <c r="B1794" s="110">
        <v>45.56</v>
      </c>
      <c r="C1794" s="110">
        <v>45.02</v>
      </c>
      <c r="D1794" s="110">
        <v>44.77</v>
      </c>
      <c r="E1794" s="110">
        <v>45.22</v>
      </c>
      <c r="F1794" s="110">
        <v>225.1</v>
      </c>
      <c r="G1794">
        <v>249017</v>
      </c>
      <c r="H1794" s="110"/>
      <c r="I1794" s="110"/>
      <c r="L1794" s="133">
        <v>44645</v>
      </c>
      <c r="M1794" s="110">
        <v>45.06</v>
      </c>
      <c r="N1794" s="110">
        <v>45.58</v>
      </c>
      <c r="O1794" s="110">
        <v>44.75</v>
      </c>
      <c r="P1794" s="110">
        <v>45.2</v>
      </c>
      <c r="Q1794" s="110">
        <v>225.3</v>
      </c>
      <c r="R1794">
        <v>5907873</v>
      </c>
    </row>
    <row r="1795" spans="1:18" x14ac:dyDescent="0.25">
      <c r="A1795" s="133">
        <v>44648</v>
      </c>
      <c r="B1795" s="110">
        <v>46.02</v>
      </c>
      <c r="C1795" s="110">
        <v>45.76</v>
      </c>
      <c r="D1795" s="110">
        <v>44.46</v>
      </c>
      <c r="E1795" s="110">
        <v>45.28</v>
      </c>
      <c r="F1795" s="110">
        <v>228.8</v>
      </c>
      <c r="G1795">
        <v>377682</v>
      </c>
      <c r="H1795" s="110"/>
      <c r="I1795" s="110"/>
      <c r="L1795" s="133">
        <v>44648</v>
      </c>
      <c r="M1795" s="110">
        <v>45.74</v>
      </c>
      <c r="N1795" s="110">
        <v>46.03</v>
      </c>
      <c r="O1795" s="110">
        <v>44.45</v>
      </c>
      <c r="P1795" s="110">
        <v>45.18</v>
      </c>
      <c r="Q1795" s="110">
        <v>228.7</v>
      </c>
      <c r="R1795">
        <v>9254902</v>
      </c>
    </row>
    <row r="1796" spans="1:18" x14ac:dyDescent="0.25">
      <c r="A1796" s="133">
        <v>44649</v>
      </c>
      <c r="B1796" s="110">
        <v>46.44</v>
      </c>
      <c r="C1796" s="110">
        <v>45.67</v>
      </c>
      <c r="D1796" s="110">
        <v>45.28</v>
      </c>
      <c r="E1796" s="110">
        <v>46.06</v>
      </c>
      <c r="F1796" s="110">
        <v>228.35</v>
      </c>
      <c r="G1796">
        <v>440612</v>
      </c>
      <c r="H1796" s="110"/>
      <c r="I1796" s="110"/>
      <c r="L1796" s="133">
        <v>44649</v>
      </c>
      <c r="M1796" s="110">
        <v>45.69</v>
      </c>
      <c r="N1796" s="110">
        <v>46.45</v>
      </c>
      <c r="O1796" s="110">
        <v>45.26</v>
      </c>
      <c r="P1796" s="110">
        <v>45.99</v>
      </c>
      <c r="Q1796" s="110">
        <v>228.45</v>
      </c>
      <c r="R1796">
        <v>9375127</v>
      </c>
    </row>
    <row r="1797" spans="1:18" x14ac:dyDescent="0.25">
      <c r="A1797" s="133">
        <v>44650</v>
      </c>
      <c r="B1797" s="110">
        <v>46.34</v>
      </c>
      <c r="C1797" s="110">
        <v>45.76</v>
      </c>
      <c r="D1797" s="110">
        <v>45.44</v>
      </c>
      <c r="E1797" s="110">
        <v>46</v>
      </c>
      <c r="F1797" s="110">
        <v>228.8</v>
      </c>
      <c r="G1797">
        <v>199598</v>
      </c>
      <c r="H1797" s="110"/>
      <c r="I1797" s="110"/>
      <c r="L1797" s="133">
        <v>44650</v>
      </c>
      <c r="M1797" s="110">
        <v>45.69</v>
      </c>
      <c r="N1797" s="110">
        <v>46.35</v>
      </c>
      <c r="O1797" s="110">
        <v>45.42</v>
      </c>
      <c r="P1797" s="110">
        <v>46.12</v>
      </c>
      <c r="Q1797" s="110">
        <v>228.45</v>
      </c>
      <c r="R1797">
        <v>6248735</v>
      </c>
    </row>
    <row r="1798" spans="1:18" x14ac:dyDescent="0.25">
      <c r="A1798" s="133">
        <v>44651</v>
      </c>
      <c r="B1798" s="110">
        <v>45.9</v>
      </c>
      <c r="C1798" s="110">
        <v>45.52</v>
      </c>
      <c r="D1798" s="110">
        <v>45.35</v>
      </c>
      <c r="E1798" s="110">
        <v>45.76</v>
      </c>
      <c r="F1798" s="110">
        <v>227.6</v>
      </c>
      <c r="G1798">
        <v>312294</v>
      </c>
      <c r="H1798" s="110"/>
      <c r="I1798" s="110"/>
      <c r="L1798" s="133">
        <v>44651</v>
      </c>
      <c r="M1798" s="110">
        <v>45.55</v>
      </c>
      <c r="N1798" s="110">
        <v>45.92</v>
      </c>
      <c r="O1798" s="110">
        <v>45.34</v>
      </c>
      <c r="P1798" s="110">
        <v>45.88</v>
      </c>
      <c r="Q1798" s="110">
        <v>227.75</v>
      </c>
      <c r="R1798">
        <v>5027184</v>
      </c>
    </row>
    <row r="1799" spans="1:18" x14ac:dyDescent="0.25">
      <c r="A1799" s="133">
        <v>44652</v>
      </c>
      <c r="B1799" s="110">
        <v>48.12</v>
      </c>
      <c r="C1799" s="110">
        <v>47.99</v>
      </c>
      <c r="D1799" s="110">
        <v>45.49</v>
      </c>
      <c r="E1799" s="110">
        <v>45.52</v>
      </c>
      <c r="F1799" s="110">
        <v>239.95</v>
      </c>
      <c r="G1799">
        <v>458651</v>
      </c>
      <c r="H1799" s="110"/>
      <c r="I1799" s="110"/>
      <c r="L1799" s="133">
        <v>44652</v>
      </c>
      <c r="M1799" s="110">
        <v>47.99</v>
      </c>
      <c r="N1799" s="110">
        <v>48.15</v>
      </c>
      <c r="O1799" s="110">
        <v>45.42</v>
      </c>
      <c r="P1799" s="110">
        <v>45.58</v>
      </c>
      <c r="Q1799" s="110">
        <v>239.95</v>
      </c>
      <c r="R1799">
        <v>13977898</v>
      </c>
    </row>
    <row r="1800" spans="1:18" x14ac:dyDescent="0.25">
      <c r="A1800" s="133">
        <v>44655</v>
      </c>
      <c r="B1800" s="110">
        <v>48.57</v>
      </c>
      <c r="C1800" s="110">
        <v>48.27</v>
      </c>
      <c r="D1800" s="110">
        <v>47.71</v>
      </c>
      <c r="E1800" s="110">
        <v>48.39</v>
      </c>
      <c r="F1800" s="110">
        <v>241.35</v>
      </c>
      <c r="G1800">
        <v>407074</v>
      </c>
      <c r="H1800" s="110"/>
      <c r="I1800" s="110"/>
      <c r="L1800" s="133">
        <v>44655</v>
      </c>
      <c r="M1800" s="110">
        <v>48.26</v>
      </c>
      <c r="N1800" s="110">
        <v>48.58</v>
      </c>
      <c r="O1800" s="110">
        <v>47.7</v>
      </c>
      <c r="P1800" s="110">
        <v>48.37</v>
      </c>
      <c r="Q1800" s="110">
        <v>241.3</v>
      </c>
      <c r="R1800">
        <v>8712740</v>
      </c>
    </row>
    <row r="1801" spans="1:18" x14ac:dyDescent="0.25">
      <c r="A1801" s="133">
        <v>44656</v>
      </c>
      <c r="B1801" s="110">
        <v>49.27</v>
      </c>
      <c r="C1801" s="110">
        <v>48.6</v>
      </c>
      <c r="D1801" s="110">
        <v>47.87</v>
      </c>
      <c r="E1801" s="110">
        <v>48.43</v>
      </c>
      <c r="F1801" s="110">
        <v>243</v>
      </c>
      <c r="G1801">
        <v>486448</v>
      </c>
      <c r="H1801" s="110"/>
      <c r="I1801" s="110"/>
      <c r="L1801" s="133">
        <v>44656</v>
      </c>
      <c r="M1801" s="110">
        <v>48.59</v>
      </c>
      <c r="N1801" s="110">
        <v>49.3</v>
      </c>
      <c r="O1801" s="110">
        <v>47.85</v>
      </c>
      <c r="P1801" s="110">
        <v>48.36</v>
      </c>
      <c r="Q1801" s="110">
        <v>242.95</v>
      </c>
      <c r="R1801">
        <v>11834742</v>
      </c>
    </row>
    <row r="1802" spans="1:18" x14ac:dyDescent="0.25">
      <c r="A1802" s="133">
        <v>44657</v>
      </c>
      <c r="B1802" s="110">
        <v>49.98</v>
      </c>
      <c r="C1802" s="110">
        <v>49.58</v>
      </c>
      <c r="D1802" s="110">
        <v>48.02</v>
      </c>
      <c r="E1802" s="110">
        <v>48.02</v>
      </c>
      <c r="F1802" s="110">
        <v>247.9</v>
      </c>
      <c r="G1802">
        <v>616630</v>
      </c>
      <c r="H1802" s="110"/>
      <c r="I1802" s="110"/>
      <c r="L1802" s="133">
        <v>44657</v>
      </c>
      <c r="M1802" s="110">
        <v>49.57</v>
      </c>
      <c r="N1802" s="110">
        <v>49.98</v>
      </c>
      <c r="O1802" s="110">
        <v>48.2</v>
      </c>
      <c r="P1802" s="110">
        <v>48.2</v>
      </c>
      <c r="Q1802" s="110">
        <v>247.85</v>
      </c>
      <c r="R1802">
        <v>9897393</v>
      </c>
    </row>
    <row r="1803" spans="1:18" x14ac:dyDescent="0.25">
      <c r="A1803" s="133">
        <v>44658</v>
      </c>
      <c r="B1803" s="110">
        <v>50.5</v>
      </c>
      <c r="C1803" s="110">
        <v>49.35</v>
      </c>
      <c r="D1803" s="110">
        <v>48.76</v>
      </c>
      <c r="E1803" s="110">
        <v>49.3</v>
      </c>
      <c r="F1803" s="110">
        <v>246.75</v>
      </c>
      <c r="G1803">
        <v>687041</v>
      </c>
      <c r="H1803" s="110"/>
      <c r="I1803" s="110"/>
      <c r="L1803" s="133">
        <v>44658</v>
      </c>
      <c r="M1803" s="110">
        <v>49.33</v>
      </c>
      <c r="N1803" s="110">
        <v>50.51</v>
      </c>
      <c r="O1803" s="110">
        <v>48.76</v>
      </c>
      <c r="P1803" s="110">
        <v>49.57</v>
      </c>
      <c r="Q1803" s="110">
        <v>246.65</v>
      </c>
      <c r="R1803">
        <v>10970331</v>
      </c>
    </row>
    <row r="1804" spans="1:18" x14ac:dyDescent="0.25">
      <c r="A1804" s="133">
        <v>44659</v>
      </c>
      <c r="B1804" s="110">
        <v>49.96</v>
      </c>
      <c r="C1804" s="110">
        <v>49.66</v>
      </c>
      <c r="D1804" s="110">
        <v>49.2</v>
      </c>
      <c r="E1804" s="110">
        <v>49.63</v>
      </c>
      <c r="F1804" s="110">
        <v>248.3</v>
      </c>
      <c r="G1804">
        <v>349949</v>
      </c>
      <c r="H1804" s="110"/>
      <c r="I1804" s="110"/>
      <c r="L1804" s="133">
        <v>44659</v>
      </c>
      <c r="M1804" s="110">
        <v>49.67</v>
      </c>
      <c r="N1804" s="110">
        <v>49.96</v>
      </c>
      <c r="O1804" s="110">
        <v>49.2</v>
      </c>
      <c r="P1804" s="110">
        <v>49.7</v>
      </c>
      <c r="Q1804" s="110">
        <v>248.35</v>
      </c>
      <c r="R1804">
        <v>7207470</v>
      </c>
    </row>
    <row r="1805" spans="1:18" x14ac:dyDescent="0.25">
      <c r="A1805" s="133">
        <v>44662</v>
      </c>
      <c r="B1805" s="110">
        <v>50.35</v>
      </c>
      <c r="C1805" s="110">
        <v>49.21</v>
      </c>
      <c r="D1805" s="110">
        <v>49.12</v>
      </c>
      <c r="E1805" s="110">
        <v>49.98</v>
      </c>
      <c r="F1805" s="110">
        <v>246.05</v>
      </c>
      <c r="G1805">
        <v>234301</v>
      </c>
      <c r="H1805" s="110"/>
      <c r="I1805" s="110"/>
      <c r="L1805" s="133">
        <v>44662</v>
      </c>
      <c r="M1805" s="110">
        <v>49.22</v>
      </c>
      <c r="N1805" s="110">
        <v>50.35</v>
      </c>
      <c r="O1805" s="110">
        <v>49.11</v>
      </c>
      <c r="P1805" s="110">
        <v>49.78</v>
      </c>
      <c r="Q1805" s="110">
        <v>246.1</v>
      </c>
      <c r="R1805">
        <v>5030747</v>
      </c>
    </row>
    <row r="1806" spans="1:18" x14ac:dyDescent="0.25">
      <c r="A1806" s="133">
        <v>44663</v>
      </c>
      <c r="B1806" s="110">
        <v>49.21</v>
      </c>
      <c r="C1806" s="110">
        <v>48.31</v>
      </c>
      <c r="D1806" s="110">
        <v>47.5</v>
      </c>
      <c r="E1806" s="110">
        <v>49.21</v>
      </c>
      <c r="F1806" s="110">
        <v>241.55</v>
      </c>
      <c r="G1806">
        <v>277495</v>
      </c>
      <c r="H1806" s="110"/>
      <c r="I1806" s="110"/>
      <c r="L1806" s="133">
        <v>44663</v>
      </c>
      <c r="M1806" s="110">
        <v>48.29</v>
      </c>
      <c r="N1806" s="110">
        <v>49.16</v>
      </c>
      <c r="O1806" s="110">
        <v>47.49</v>
      </c>
      <c r="P1806" s="110">
        <v>49.1</v>
      </c>
      <c r="Q1806" s="110">
        <v>241.45</v>
      </c>
      <c r="R1806">
        <v>6398718</v>
      </c>
    </row>
    <row r="1807" spans="1:18" x14ac:dyDescent="0.25">
      <c r="A1807" s="133">
        <v>44664</v>
      </c>
      <c r="B1807" s="110">
        <v>49.25</v>
      </c>
      <c r="C1807" s="110">
        <v>48.48</v>
      </c>
      <c r="D1807" s="110">
        <v>48.21</v>
      </c>
      <c r="E1807" s="110">
        <v>48.42</v>
      </c>
      <c r="F1807" s="110">
        <v>242.4</v>
      </c>
      <c r="G1807">
        <v>345630</v>
      </c>
      <c r="H1807" s="110"/>
      <c r="I1807" s="110"/>
      <c r="L1807" s="133">
        <v>44664</v>
      </c>
      <c r="M1807" s="110">
        <v>48.53</v>
      </c>
      <c r="N1807" s="110">
        <v>49.26</v>
      </c>
      <c r="O1807" s="110">
        <v>48.18</v>
      </c>
      <c r="P1807" s="110">
        <v>48.68</v>
      </c>
      <c r="Q1807" s="110">
        <v>242.65</v>
      </c>
      <c r="R1807">
        <v>7330157</v>
      </c>
    </row>
    <row r="1808" spans="1:18" x14ac:dyDescent="0.25">
      <c r="A1808" s="133">
        <v>44669</v>
      </c>
      <c r="B1808" s="110">
        <v>48</v>
      </c>
      <c r="C1808" s="110">
        <v>46.84</v>
      </c>
      <c r="D1808" s="110">
        <v>46.23</v>
      </c>
      <c r="E1808" s="110">
        <v>48</v>
      </c>
      <c r="F1808" s="110">
        <v>234.2</v>
      </c>
      <c r="G1808">
        <v>315649</v>
      </c>
      <c r="H1808" s="110"/>
      <c r="I1808" s="110"/>
      <c r="L1808" s="133">
        <v>44669</v>
      </c>
      <c r="M1808" s="110">
        <v>46.86</v>
      </c>
      <c r="N1808" s="110">
        <v>48</v>
      </c>
      <c r="O1808" s="110">
        <v>46.19</v>
      </c>
      <c r="P1808" s="110">
        <v>48</v>
      </c>
      <c r="Q1808" s="110">
        <v>234.3</v>
      </c>
      <c r="R1808">
        <v>9131944</v>
      </c>
    </row>
    <row r="1809" spans="1:18" x14ac:dyDescent="0.25">
      <c r="A1809" s="133">
        <v>44670</v>
      </c>
      <c r="B1809" s="110">
        <v>48.68</v>
      </c>
      <c r="C1809" s="110">
        <v>46.85</v>
      </c>
      <c r="D1809" s="110">
        <v>46.21</v>
      </c>
      <c r="E1809" s="110">
        <v>47.19</v>
      </c>
      <c r="F1809" s="110">
        <v>234.25</v>
      </c>
      <c r="G1809">
        <v>298553</v>
      </c>
      <c r="H1809" s="110"/>
      <c r="I1809" s="110"/>
      <c r="L1809" s="133">
        <v>44670</v>
      </c>
      <c r="M1809" s="110">
        <v>46.93</v>
      </c>
      <c r="N1809" s="110">
        <v>48.69</v>
      </c>
      <c r="O1809" s="110">
        <v>46.19</v>
      </c>
      <c r="P1809" s="110">
        <v>47.18</v>
      </c>
      <c r="Q1809" s="110">
        <v>234.65</v>
      </c>
      <c r="R1809">
        <v>8888785</v>
      </c>
    </row>
    <row r="1810" spans="1:18" x14ac:dyDescent="0.25">
      <c r="A1810" s="133">
        <v>44671</v>
      </c>
      <c r="B1810" s="110">
        <v>47.56</v>
      </c>
      <c r="C1810" s="110">
        <v>46.56</v>
      </c>
      <c r="D1810" s="110">
        <v>46.38</v>
      </c>
      <c r="E1810" s="110">
        <v>47.4</v>
      </c>
      <c r="F1810" s="110">
        <v>232.8</v>
      </c>
      <c r="G1810">
        <v>309951</v>
      </c>
      <c r="H1810" s="110"/>
      <c r="I1810" s="110"/>
      <c r="L1810" s="133">
        <v>44671</v>
      </c>
      <c r="M1810" s="110">
        <v>46.62</v>
      </c>
      <c r="N1810" s="110">
        <v>47.59</v>
      </c>
      <c r="O1810" s="110">
        <v>46.38</v>
      </c>
      <c r="P1810" s="110">
        <v>47.36</v>
      </c>
      <c r="Q1810" s="110">
        <v>233.1</v>
      </c>
      <c r="R1810">
        <v>9543787</v>
      </c>
    </row>
    <row r="1811" spans="1:18" x14ac:dyDescent="0.25">
      <c r="A1811" s="133">
        <v>44672</v>
      </c>
      <c r="B1811" s="110">
        <v>47.7</v>
      </c>
      <c r="C1811" s="110">
        <v>47.58</v>
      </c>
      <c r="D1811" s="110">
        <v>47.03</v>
      </c>
      <c r="E1811" s="110">
        <v>47.19</v>
      </c>
      <c r="F1811" s="110">
        <v>237.9</v>
      </c>
      <c r="G1811">
        <v>179926</v>
      </c>
      <c r="H1811" s="110"/>
      <c r="I1811" s="110"/>
      <c r="L1811" s="133">
        <v>44672</v>
      </c>
      <c r="M1811" s="110">
        <v>47.6</v>
      </c>
      <c r="N1811" s="110">
        <v>47.7</v>
      </c>
      <c r="O1811" s="110">
        <v>47.05</v>
      </c>
      <c r="P1811" s="110">
        <v>47.1</v>
      </c>
      <c r="Q1811" s="110">
        <v>238</v>
      </c>
      <c r="R1811">
        <v>4048997</v>
      </c>
    </row>
    <row r="1812" spans="1:18" x14ac:dyDescent="0.25">
      <c r="A1812" s="133">
        <v>44673</v>
      </c>
      <c r="B1812" s="110">
        <v>47.54</v>
      </c>
      <c r="C1812" s="110">
        <v>46.65</v>
      </c>
      <c r="D1812" s="110">
        <v>46.54</v>
      </c>
      <c r="E1812" s="110">
        <v>47.19</v>
      </c>
      <c r="F1812" s="110">
        <v>233.25</v>
      </c>
      <c r="G1812">
        <v>190794</v>
      </c>
      <c r="H1812" s="110"/>
      <c r="I1812" s="110"/>
      <c r="L1812" s="133">
        <v>44673</v>
      </c>
      <c r="M1812" s="110">
        <v>46.65</v>
      </c>
      <c r="N1812" s="110">
        <v>47.54</v>
      </c>
      <c r="O1812" s="110">
        <v>46.56</v>
      </c>
      <c r="P1812" s="110">
        <v>47</v>
      </c>
      <c r="Q1812" s="110">
        <v>233.25</v>
      </c>
      <c r="R1812">
        <v>4214287</v>
      </c>
    </row>
    <row r="1813" spans="1:18" x14ac:dyDescent="0.25">
      <c r="A1813" s="133">
        <v>44676</v>
      </c>
      <c r="B1813" s="110">
        <v>46.48</v>
      </c>
      <c r="C1813" s="110">
        <v>45.59</v>
      </c>
      <c r="D1813" s="110">
        <v>45.27</v>
      </c>
      <c r="E1813" s="110">
        <v>46.48</v>
      </c>
      <c r="F1813" s="110">
        <v>227.95</v>
      </c>
      <c r="G1813">
        <v>390982</v>
      </c>
      <c r="H1813" s="110"/>
      <c r="I1813" s="110"/>
      <c r="L1813" s="133">
        <v>44676</v>
      </c>
      <c r="M1813" s="110">
        <v>45.61</v>
      </c>
      <c r="N1813" s="110">
        <v>46.29</v>
      </c>
      <c r="O1813" s="110">
        <v>45.25</v>
      </c>
      <c r="P1813" s="110">
        <v>46.22</v>
      </c>
      <c r="Q1813" s="110">
        <v>228.05</v>
      </c>
      <c r="R1813">
        <v>6630818</v>
      </c>
    </row>
    <row r="1814" spans="1:18" x14ac:dyDescent="0.25">
      <c r="A1814" s="133">
        <v>44677</v>
      </c>
      <c r="B1814" s="110">
        <v>47.28</v>
      </c>
      <c r="C1814" s="110">
        <v>47.1</v>
      </c>
      <c r="D1814" s="110">
        <v>46.16</v>
      </c>
      <c r="E1814" s="110">
        <v>46.35</v>
      </c>
      <c r="F1814" s="110">
        <v>235.5</v>
      </c>
      <c r="G1814">
        <v>267110</v>
      </c>
      <c r="H1814" s="110"/>
      <c r="I1814" s="110"/>
      <c r="L1814" s="133">
        <v>44677</v>
      </c>
      <c r="M1814" s="110">
        <v>47.11</v>
      </c>
      <c r="N1814" s="110">
        <v>47.29</v>
      </c>
      <c r="O1814" s="110">
        <v>46</v>
      </c>
      <c r="P1814" s="110">
        <v>46.29</v>
      </c>
      <c r="Q1814" s="110">
        <v>235.55</v>
      </c>
      <c r="R1814">
        <v>5996766</v>
      </c>
    </row>
    <row r="1815" spans="1:18" x14ac:dyDescent="0.25">
      <c r="A1815" s="133">
        <v>44678</v>
      </c>
      <c r="B1815" s="110">
        <v>47.01</v>
      </c>
      <c r="C1815" s="110">
        <v>46.33</v>
      </c>
      <c r="D1815" s="110">
        <v>45.64</v>
      </c>
      <c r="E1815" s="110">
        <v>46.8</v>
      </c>
      <c r="F1815" s="110">
        <v>231.65</v>
      </c>
      <c r="G1815">
        <v>150295</v>
      </c>
      <c r="H1815" s="110"/>
      <c r="I1815" s="110"/>
      <c r="L1815" s="133">
        <v>44678</v>
      </c>
      <c r="M1815" s="110">
        <v>46.34</v>
      </c>
      <c r="N1815" s="110">
        <v>47.03</v>
      </c>
      <c r="O1815" s="110">
        <v>45.63</v>
      </c>
      <c r="P1815" s="110">
        <v>46.68</v>
      </c>
      <c r="Q1815" s="110">
        <v>231.7</v>
      </c>
      <c r="R1815">
        <v>5465192</v>
      </c>
    </row>
    <row r="1816" spans="1:18" x14ac:dyDescent="0.25">
      <c r="A1816" s="133">
        <v>44679</v>
      </c>
      <c r="B1816" s="110">
        <v>46.96</v>
      </c>
      <c r="C1816" s="110">
        <v>46.6</v>
      </c>
      <c r="D1816" s="110">
        <v>45.85</v>
      </c>
      <c r="E1816" s="110">
        <v>46.96</v>
      </c>
      <c r="F1816" s="110">
        <v>233</v>
      </c>
      <c r="G1816">
        <v>273876</v>
      </c>
      <c r="H1816" s="110"/>
      <c r="I1816" s="110"/>
      <c r="L1816" s="133">
        <v>44679</v>
      </c>
      <c r="M1816" s="110">
        <v>46.64</v>
      </c>
      <c r="N1816" s="110">
        <v>46.94</v>
      </c>
      <c r="O1816" s="110">
        <v>45.85</v>
      </c>
      <c r="P1816" s="110">
        <v>46.76</v>
      </c>
      <c r="Q1816" s="110">
        <v>233.2</v>
      </c>
      <c r="R1816">
        <v>5760925</v>
      </c>
    </row>
    <row r="1817" spans="1:18" x14ac:dyDescent="0.25">
      <c r="A1817" s="133">
        <v>44680</v>
      </c>
      <c r="B1817" s="110">
        <v>47.41</v>
      </c>
      <c r="C1817" s="110">
        <v>45.93</v>
      </c>
      <c r="D1817" s="110">
        <v>45.71</v>
      </c>
      <c r="E1817" s="110">
        <v>46.95</v>
      </c>
      <c r="F1817" s="110">
        <v>229.65</v>
      </c>
      <c r="G1817">
        <v>185689</v>
      </c>
      <c r="H1817" s="110"/>
      <c r="I1817" s="110"/>
      <c r="L1817" s="133">
        <v>44680</v>
      </c>
      <c r="M1817" s="110">
        <v>45.93</v>
      </c>
      <c r="N1817" s="110">
        <v>47.43</v>
      </c>
      <c r="O1817" s="110">
        <v>45.71</v>
      </c>
      <c r="P1817" s="110">
        <v>46.88</v>
      </c>
      <c r="Q1817" s="110">
        <v>229.65</v>
      </c>
      <c r="R1817">
        <v>5690309</v>
      </c>
    </row>
    <row r="1818" spans="1:18" x14ac:dyDescent="0.25">
      <c r="A1818" s="133">
        <v>44683</v>
      </c>
      <c r="B1818" s="110">
        <v>46.12</v>
      </c>
      <c r="C1818" s="110">
        <v>46</v>
      </c>
      <c r="D1818" s="110">
        <v>45.22</v>
      </c>
      <c r="E1818" s="110">
        <v>45.27</v>
      </c>
      <c r="F1818" s="110">
        <v>230</v>
      </c>
      <c r="G1818">
        <v>213715</v>
      </c>
      <c r="H1818" s="110"/>
      <c r="I1818" s="110"/>
      <c r="L1818" s="133">
        <v>44683</v>
      </c>
      <c r="M1818" s="110">
        <v>45.95</v>
      </c>
      <c r="N1818" s="110">
        <v>46.07</v>
      </c>
      <c r="O1818" s="110">
        <v>45.22</v>
      </c>
      <c r="P1818" s="110">
        <v>45.48</v>
      </c>
      <c r="Q1818" s="110">
        <v>229.75</v>
      </c>
      <c r="R1818">
        <v>4688902</v>
      </c>
    </row>
    <row r="1819" spans="1:18" x14ac:dyDescent="0.25">
      <c r="A1819" s="133">
        <v>44685</v>
      </c>
      <c r="B1819" s="110">
        <v>47.16</v>
      </c>
      <c r="C1819" s="110">
        <v>44.58</v>
      </c>
      <c r="D1819" s="110">
        <v>44.23</v>
      </c>
      <c r="E1819" s="110">
        <v>46.21</v>
      </c>
      <c r="F1819" s="110">
        <v>222.9</v>
      </c>
      <c r="G1819">
        <v>464681</v>
      </c>
      <c r="H1819" s="110"/>
      <c r="I1819" s="110"/>
      <c r="L1819" s="133">
        <v>44685</v>
      </c>
      <c r="M1819" s="110">
        <v>44.58</v>
      </c>
      <c r="N1819" s="110">
        <v>47.17</v>
      </c>
      <c r="O1819" s="110">
        <v>44.25</v>
      </c>
      <c r="P1819" s="110">
        <v>46.3</v>
      </c>
      <c r="Q1819" s="110">
        <v>222.9</v>
      </c>
      <c r="R1819">
        <v>9509270</v>
      </c>
    </row>
    <row r="1820" spans="1:18" x14ac:dyDescent="0.25">
      <c r="A1820" s="133">
        <v>44686</v>
      </c>
      <c r="B1820" s="110">
        <v>46.28</v>
      </c>
      <c r="C1820" s="110">
        <v>44.93</v>
      </c>
      <c r="D1820" s="110">
        <v>44.71</v>
      </c>
      <c r="E1820" s="110">
        <v>45.32</v>
      </c>
      <c r="F1820" s="110">
        <v>224.65</v>
      </c>
      <c r="G1820">
        <v>405810</v>
      </c>
      <c r="H1820" s="110"/>
      <c r="I1820" s="110"/>
      <c r="L1820" s="133">
        <v>44686</v>
      </c>
      <c r="M1820" s="110">
        <v>44.95</v>
      </c>
      <c r="N1820" s="110">
        <v>46.29</v>
      </c>
      <c r="O1820" s="110">
        <v>44.72</v>
      </c>
      <c r="P1820" s="110">
        <v>45.18</v>
      </c>
      <c r="Q1820" s="110">
        <v>224.75</v>
      </c>
      <c r="R1820">
        <v>8539120</v>
      </c>
    </row>
    <row r="1821" spans="1:18" x14ac:dyDescent="0.25">
      <c r="A1821" s="133">
        <v>44687</v>
      </c>
      <c r="B1821" s="110">
        <v>44.94</v>
      </c>
      <c r="C1821" s="110">
        <v>43.84</v>
      </c>
      <c r="D1821" s="110">
        <v>42.52</v>
      </c>
      <c r="E1821" s="110">
        <v>44</v>
      </c>
      <c r="F1821" s="110">
        <v>219.2</v>
      </c>
      <c r="G1821">
        <v>1051332</v>
      </c>
      <c r="H1821" s="110"/>
      <c r="I1821" s="110"/>
      <c r="L1821" s="133">
        <v>44687</v>
      </c>
      <c r="M1821" s="110">
        <v>43.87</v>
      </c>
      <c r="N1821" s="110">
        <v>44.95</v>
      </c>
      <c r="O1821" s="110">
        <v>42.52</v>
      </c>
      <c r="P1821" s="110">
        <v>44</v>
      </c>
      <c r="Q1821" s="110">
        <v>219.35</v>
      </c>
      <c r="R1821">
        <v>19232481</v>
      </c>
    </row>
    <row r="1822" spans="1:18" x14ac:dyDescent="0.25">
      <c r="A1822" s="133">
        <v>44690</v>
      </c>
      <c r="B1822" s="110">
        <v>43.85</v>
      </c>
      <c r="C1822" s="110">
        <v>40.29</v>
      </c>
      <c r="D1822" s="110">
        <v>39.97</v>
      </c>
      <c r="E1822" s="110">
        <v>43.84</v>
      </c>
      <c r="F1822" s="110">
        <v>201.45</v>
      </c>
      <c r="G1822">
        <v>1078349</v>
      </c>
      <c r="H1822" s="110"/>
      <c r="I1822" s="110"/>
      <c r="L1822" s="133">
        <v>44690</v>
      </c>
      <c r="M1822" s="110">
        <v>40.270000000000003</v>
      </c>
      <c r="N1822" s="110">
        <v>43.77</v>
      </c>
      <c r="O1822" s="110">
        <v>39.950000000000003</v>
      </c>
      <c r="P1822" s="110">
        <v>43.77</v>
      </c>
      <c r="Q1822" s="110">
        <v>201.35</v>
      </c>
      <c r="R1822">
        <v>30864241</v>
      </c>
    </row>
    <row r="1823" spans="1:18" x14ac:dyDescent="0.25">
      <c r="A1823" s="133">
        <v>44691</v>
      </c>
      <c r="B1823" s="110">
        <v>41.12</v>
      </c>
      <c r="C1823" s="110">
        <v>39.950000000000003</v>
      </c>
      <c r="D1823" s="110">
        <v>39.76</v>
      </c>
      <c r="E1823" s="110">
        <v>40.14</v>
      </c>
      <c r="F1823" s="110">
        <v>199.75</v>
      </c>
      <c r="G1823">
        <v>669945</v>
      </c>
      <c r="H1823" s="110"/>
      <c r="I1823" s="110"/>
      <c r="L1823" s="133">
        <v>44691</v>
      </c>
      <c r="M1823" s="110">
        <v>39.94</v>
      </c>
      <c r="N1823" s="110">
        <v>41.16</v>
      </c>
      <c r="O1823" s="110">
        <v>39.75</v>
      </c>
      <c r="P1823" s="110">
        <v>40.22</v>
      </c>
      <c r="Q1823" s="110">
        <v>199.7</v>
      </c>
      <c r="R1823">
        <v>11222894</v>
      </c>
    </row>
    <row r="1824" spans="1:18" x14ac:dyDescent="0.25">
      <c r="A1824" s="133">
        <v>44692</v>
      </c>
      <c r="B1824" s="110">
        <v>40.74</v>
      </c>
      <c r="C1824" s="110">
        <v>40.43</v>
      </c>
      <c r="D1824" s="110">
        <v>38.770000000000003</v>
      </c>
      <c r="E1824" s="110">
        <v>40.58</v>
      </c>
      <c r="F1824" s="110">
        <v>202.15</v>
      </c>
      <c r="G1824">
        <v>749414</v>
      </c>
      <c r="H1824" s="110"/>
      <c r="I1824" s="110"/>
      <c r="L1824" s="133">
        <v>44692</v>
      </c>
      <c r="M1824" s="110">
        <v>40.44</v>
      </c>
      <c r="N1824" s="110">
        <v>40.729999999999997</v>
      </c>
      <c r="O1824" s="110">
        <v>38.74</v>
      </c>
      <c r="P1824" s="110">
        <v>40.299999999999997</v>
      </c>
      <c r="Q1824" s="110">
        <v>202.2</v>
      </c>
      <c r="R1824">
        <v>15338778</v>
      </c>
    </row>
    <row r="1825" spans="1:18" x14ac:dyDescent="0.25">
      <c r="A1825" s="133">
        <v>44693</v>
      </c>
      <c r="B1825" s="110">
        <v>40.159999999999997</v>
      </c>
      <c r="C1825" s="110">
        <v>38.58</v>
      </c>
      <c r="D1825" s="110">
        <v>38.24</v>
      </c>
      <c r="E1825" s="110">
        <v>40.159999999999997</v>
      </c>
      <c r="F1825" s="110">
        <v>192.9</v>
      </c>
      <c r="G1825">
        <v>416112</v>
      </c>
      <c r="H1825" s="110"/>
      <c r="I1825" s="110"/>
      <c r="L1825" s="133">
        <v>44693</v>
      </c>
      <c r="M1825" s="110">
        <v>38.549999999999997</v>
      </c>
      <c r="N1825" s="110">
        <v>40</v>
      </c>
      <c r="O1825" s="110">
        <v>38.21</v>
      </c>
      <c r="P1825" s="110">
        <v>39.97</v>
      </c>
      <c r="Q1825" s="110">
        <v>192.75</v>
      </c>
      <c r="R1825">
        <v>13704412</v>
      </c>
    </row>
    <row r="1826" spans="1:18" x14ac:dyDescent="0.25">
      <c r="A1826" s="133">
        <v>44694</v>
      </c>
      <c r="B1826" s="110">
        <v>40.5</v>
      </c>
      <c r="C1826" s="110">
        <v>38.659999999999997</v>
      </c>
      <c r="D1826" s="110">
        <v>38.42</v>
      </c>
      <c r="E1826" s="110">
        <v>39.049999999999997</v>
      </c>
      <c r="F1826" s="110">
        <v>193.3</v>
      </c>
      <c r="G1826">
        <v>914752</v>
      </c>
      <c r="H1826" s="110"/>
      <c r="I1826" s="110"/>
      <c r="L1826" s="133">
        <v>44694</v>
      </c>
      <c r="M1826" s="110">
        <v>38.659999999999997</v>
      </c>
      <c r="N1826" s="110">
        <v>40.49</v>
      </c>
      <c r="O1826" s="110">
        <v>38.42</v>
      </c>
      <c r="P1826" s="110">
        <v>39.4</v>
      </c>
      <c r="Q1826" s="110">
        <v>193.3</v>
      </c>
      <c r="R1826">
        <v>13271191</v>
      </c>
    </row>
    <row r="1827" spans="1:18" x14ac:dyDescent="0.25">
      <c r="A1827" s="133">
        <v>44697</v>
      </c>
      <c r="B1827" s="110">
        <v>39.880000000000003</v>
      </c>
      <c r="C1827" s="110">
        <v>39.57</v>
      </c>
      <c r="D1827" s="110">
        <v>38.520000000000003</v>
      </c>
      <c r="E1827" s="110">
        <v>39.159999999999997</v>
      </c>
      <c r="F1827" s="110">
        <v>197.85</v>
      </c>
      <c r="G1827">
        <v>475853</v>
      </c>
      <c r="H1827" s="110"/>
      <c r="I1827" s="110"/>
      <c r="L1827" s="133">
        <v>44697</v>
      </c>
      <c r="M1827" s="110">
        <v>39.549999999999997</v>
      </c>
      <c r="N1827" s="110">
        <v>39.880000000000003</v>
      </c>
      <c r="O1827" s="110">
        <v>38.5</v>
      </c>
      <c r="P1827" s="110">
        <v>39</v>
      </c>
      <c r="Q1827" s="110">
        <v>197.75</v>
      </c>
      <c r="R1827">
        <v>9400666</v>
      </c>
    </row>
    <row r="1828" spans="1:18" x14ac:dyDescent="0.25">
      <c r="A1828" s="133">
        <v>44698</v>
      </c>
      <c r="B1828" s="110">
        <v>40.659999999999997</v>
      </c>
      <c r="C1828" s="110">
        <v>40.520000000000003</v>
      </c>
      <c r="D1828" s="110">
        <v>39.11</v>
      </c>
      <c r="E1828" s="110">
        <v>40</v>
      </c>
      <c r="F1828" s="110">
        <v>202.6</v>
      </c>
      <c r="G1828">
        <v>628810</v>
      </c>
      <c r="H1828" s="110"/>
      <c r="I1828" s="110"/>
      <c r="L1828" s="133">
        <v>44698</v>
      </c>
      <c r="M1828" s="110">
        <v>40.549999999999997</v>
      </c>
      <c r="N1828" s="110">
        <v>40.64</v>
      </c>
      <c r="O1828" s="110">
        <v>39.11</v>
      </c>
      <c r="P1828" s="110">
        <v>39.89</v>
      </c>
      <c r="Q1828" s="110">
        <v>202.75</v>
      </c>
      <c r="R1828">
        <v>10595436</v>
      </c>
    </row>
    <row r="1829" spans="1:18" x14ac:dyDescent="0.25">
      <c r="A1829" s="133">
        <v>44699</v>
      </c>
      <c r="B1829" s="110">
        <v>41.12</v>
      </c>
      <c r="C1829" s="110">
        <v>39.43</v>
      </c>
      <c r="D1829" s="110">
        <v>39.299999999999997</v>
      </c>
      <c r="E1829" s="110">
        <v>40.74</v>
      </c>
      <c r="F1829" s="110">
        <v>197.15</v>
      </c>
      <c r="G1829">
        <v>505109</v>
      </c>
      <c r="H1829" s="110"/>
      <c r="I1829" s="110"/>
      <c r="L1829" s="133">
        <v>44699</v>
      </c>
      <c r="M1829" s="110">
        <v>39.409999999999997</v>
      </c>
      <c r="N1829" s="110">
        <v>41.12</v>
      </c>
      <c r="O1829" s="110">
        <v>39.26</v>
      </c>
      <c r="P1829" s="110">
        <v>40.61</v>
      </c>
      <c r="Q1829" s="110">
        <v>197.05</v>
      </c>
      <c r="R1829">
        <v>11340384</v>
      </c>
    </row>
    <row r="1830" spans="1:18" x14ac:dyDescent="0.25">
      <c r="A1830" s="133">
        <v>44700</v>
      </c>
      <c r="B1830" s="110">
        <v>38.78</v>
      </c>
      <c r="C1830" s="110">
        <v>37.369999999999997</v>
      </c>
      <c r="D1830" s="110">
        <v>37.119999999999997</v>
      </c>
      <c r="E1830" s="110">
        <v>38.24</v>
      </c>
      <c r="F1830" s="110">
        <v>186.85</v>
      </c>
      <c r="G1830">
        <v>936273</v>
      </c>
      <c r="H1830" s="110"/>
      <c r="I1830" s="110"/>
      <c r="L1830" s="133">
        <v>44700</v>
      </c>
      <c r="M1830" s="110">
        <v>37.39</v>
      </c>
      <c r="N1830" s="110">
        <v>38.799999999999997</v>
      </c>
      <c r="O1830" s="110">
        <v>37.119999999999997</v>
      </c>
      <c r="P1830" s="110">
        <v>38.6</v>
      </c>
      <c r="Q1830" s="110">
        <v>186.95</v>
      </c>
      <c r="R1830">
        <v>14263882</v>
      </c>
    </row>
    <row r="1831" spans="1:18" x14ac:dyDescent="0.25">
      <c r="A1831" s="133">
        <v>44701</v>
      </c>
      <c r="B1831" s="110">
        <v>38.96</v>
      </c>
      <c r="C1831" s="110">
        <v>38.89</v>
      </c>
      <c r="D1831" s="110">
        <v>38.06</v>
      </c>
      <c r="E1831" s="110">
        <v>38.299999999999997</v>
      </c>
      <c r="F1831" s="110">
        <v>194.45</v>
      </c>
      <c r="G1831">
        <v>300145</v>
      </c>
      <c r="H1831" s="110"/>
      <c r="I1831" s="110"/>
      <c r="L1831" s="133">
        <v>44701</v>
      </c>
      <c r="M1831" s="110">
        <v>38.880000000000003</v>
      </c>
      <c r="N1831" s="110">
        <v>38.97</v>
      </c>
      <c r="O1831" s="110">
        <v>38.049999999999997</v>
      </c>
      <c r="P1831" s="110">
        <v>38.18</v>
      </c>
      <c r="Q1831" s="110">
        <v>194.4</v>
      </c>
      <c r="R1831">
        <v>8032646</v>
      </c>
    </row>
    <row r="1832" spans="1:18" x14ac:dyDescent="0.25">
      <c r="A1832" s="133">
        <v>44704</v>
      </c>
      <c r="B1832" s="110">
        <v>39.5</v>
      </c>
      <c r="C1832" s="110">
        <v>38.130000000000003</v>
      </c>
      <c r="D1832" s="110">
        <v>38</v>
      </c>
      <c r="E1832" s="110">
        <v>39.01</v>
      </c>
      <c r="F1832" s="110">
        <v>190.65</v>
      </c>
      <c r="G1832">
        <v>554151</v>
      </c>
      <c r="H1832" s="110"/>
      <c r="I1832" s="110"/>
      <c r="L1832" s="133">
        <v>44704</v>
      </c>
      <c r="M1832" s="110">
        <v>38.130000000000003</v>
      </c>
      <c r="N1832" s="110">
        <v>39.5</v>
      </c>
      <c r="O1832" s="110">
        <v>38.020000000000003</v>
      </c>
      <c r="P1832" s="110">
        <v>39.200000000000003</v>
      </c>
      <c r="Q1832" s="110">
        <v>190.65</v>
      </c>
      <c r="R1832">
        <v>11494345</v>
      </c>
    </row>
    <row r="1833" spans="1:18" x14ac:dyDescent="0.25">
      <c r="A1833" s="133">
        <v>44705</v>
      </c>
      <c r="B1833" s="110">
        <v>38.94</v>
      </c>
      <c r="C1833" s="110">
        <v>37.950000000000003</v>
      </c>
      <c r="D1833" s="110">
        <v>37.840000000000003</v>
      </c>
      <c r="E1833" s="110">
        <v>38.22</v>
      </c>
      <c r="F1833" s="110">
        <v>189.75</v>
      </c>
      <c r="G1833">
        <v>398177</v>
      </c>
      <c r="H1833" s="110"/>
      <c r="I1833" s="110"/>
      <c r="L1833" s="133">
        <v>44705</v>
      </c>
      <c r="M1833" s="110">
        <v>37.950000000000003</v>
      </c>
      <c r="N1833" s="110">
        <v>38.94</v>
      </c>
      <c r="O1833" s="110">
        <v>37.840000000000003</v>
      </c>
      <c r="P1833" s="110">
        <v>38.33</v>
      </c>
      <c r="Q1833" s="110">
        <v>189.75</v>
      </c>
      <c r="R1833">
        <v>9610924</v>
      </c>
    </row>
    <row r="1834" spans="1:18" x14ac:dyDescent="0.25">
      <c r="A1834" s="133">
        <v>44706</v>
      </c>
      <c r="B1834" s="110">
        <v>39.08</v>
      </c>
      <c r="C1834" s="110">
        <v>37.25</v>
      </c>
      <c r="D1834" s="110">
        <v>37.11</v>
      </c>
      <c r="E1834" s="110">
        <v>38.33</v>
      </c>
      <c r="F1834" s="110">
        <v>186.25</v>
      </c>
      <c r="G1834">
        <v>559940</v>
      </c>
      <c r="H1834" s="110"/>
      <c r="I1834" s="110"/>
      <c r="L1834" s="133">
        <v>44706</v>
      </c>
      <c r="M1834" s="110">
        <v>37.25</v>
      </c>
      <c r="N1834" s="110">
        <v>39.08</v>
      </c>
      <c r="O1834" s="110">
        <v>37.11</v>
      </c>
      <c r="P1834" s="110">
        <v>38.33</v>
      </c>
      <c r="Q1834" s="110">
        <v>186.25</v>
      </c>
      <c r="R1834">
        <v>10698205</v>
      </c>
    </row>
    <row r="1835" spans="1:18" x14ac:dyDescent="0.25">
      <c r="A1835" s="133">
        <v>44707</v>
      </c>
      <c r="B1835" s="110">
        <v>39.5</v>
      </c>
      <c r="C1835" s="110">
        <v>39.159999999999997</v>
      </c>
      <c r="D1835" s="110">
        <v>36.74</v>
      </c>
      <c r="E1835" s="110">
        <v>37.78</v>
      </c>
      <c r="F1835" s="110">
        <v>195.8</v>
      </c>
      <c r="G1835">
        <v>724446</v>
      </c>
      <c r="H1835" s="110"/>
      <c r="I1835" s="110"/>
      <c r="L1835" s="133">
        <v>44707</v>
      </c>
      <c r="M1835" s="110">
        <v>39.159999999999997</v>
      </c>
      <c r="N1835" s="110">
        <v>39.5</v>
      </c>
      <c r="O1835" s="110">
        <v>36.74</v>
      </c>
      <c r="P1835" s="110">
        <v>37.6</v>
      </c>
      <c r="Q1835" s="110">
        <v>195.8</v>
      </c>
      <c r="R1835">
        <v>12723469</v>
      </c>
    </row>
    <row r="1836" spans="1:18" x14ac:dyDescent="0.25">
      <c r="A1836" s="133">
        <v>44708</v>
      </c>
      <c r="B1836" s="110">
        <v>40.4</v>
      </c>
      <c r="C1836" s="110">
        <v>39.6</v>
      </c>
      <c r="D1836" s="110">
        <v>39.200000000000003</v>
      </c>
      <c r="E1836" s="110">
        <v>39.6</v>
      </c>
      <c r="F1836" s="110">
        <v>198</v>
      </c>
      <c r="G1836">
        <v>497197</v>
      </c>
      <c r="H1836" s="110"/>
      <c r="I1836" s="110"/>
      <c r="L1836" s="133">
        <v>44708</v>
      </c>
      <c r="M1836" s="110">
        <v>39.61</v>
      </c>
      <c r="N1836" s="110">
        <v>40.409999999999997</v>
      </c>
      <c r="O1836" s="110">
        <v>39.22</v>
      </c>
      <c r="P1836" s="110">
        <v>39.72</v>
      </c>
      <c r="Q1836" s="110">
        <v>198.05</v>
      </c>
      <c r="R1836">
        <v>9930278</v>
      </c>
    </row>
    <row r="1837" spans="1:18" x14ac:dyDescent="0.25">
      <c r="A1837" s="133">
        <v>44711</v>
      </c>
      <c r="B1837" s="110">
        <v>41.91</v>
      </c>
      <c r="C1837" s="110">
        <v>41.8</v>
      </c>
      <c r="D1837" s="110">
        <v>40.130000000000003</v>
      </c>
      <c r="E1837" s="110">
        <v>40.28</v>
      </c>
      <c r="F1837" s="110">
        <v>209</v>
      </c>
      <c r="G1837">
        <v>485643</v>
      </c>
      <c r="H1837" s="110"/>
      <c r="I1837" s="110"/>
      <c r="L1837" s="133">
        <v>44711</v>
      </c>
      <c r="M1837" s="110">
        <v>41.8</v>
      </c>
      <c r="N1837" s="110">
        <v>41.94</v>
      </c>
      <c r="O1837" s="110">
        <v>40.1</v>
      </c>
      <c r="P1837" s="110">
        <v>40.18</v>
      </c>
      <c r="Q1837" s="110">
        <v>209</v>
      </c>
      <c r="R1837">
        <v>13031523</v>
      </c>
    </row>
    <row r="1838" spans="1:18" x14ac:dyDescent="0.25">
      <c r="A1838" s="133">
        <v>44712</v>
      </c>
      <c r="B1838" s="110">
        <v>42.09</v>
      </c>
      <c r="C1838" s="110">
        <v>40.99</v>
      </c>
      <c r="D1838" s="110">
        <v>40.78</v>
      </c>
      <c r="E1838" s="110">
        <v>41.64</v>
      </c>
      <c r="F1838" s="110">
        <v>204.95</v>
      </c>
      <c r="G1838">
        <v>469948</v>
      </c>
      <c r="H1838" s="110"/>
      <c r="I1838" s="110"/>
      <c r="L1838" s="133">
        <v>44712</v>
      </c>
      <c r="M1838" s="110">
        <v>41</v>
      </c>
      <c r="N1838" s="110">
        <v>42.08</v>
      </c>
      <c r="O1838" s="110">
        <v>40.770000000000003</v>
      </c>
      <c r="P1838" s="110">
        <v>41.4</v>
      </c>
      <c r="Q1838" s="110">
        <v>205</v>
      </c>
      <c r="R1838">
        <v>9296261</v>
      </c>
    </row>
    <row r="1839" spans="1:18" x14ac:dyDescent="0.25">
      <c r="A1839" s="133">
        <v>44713</v>
      </c>
      <c r="B1839" s="110">
        <v>42.04</v>
      </c>
      <c r="C1839" s="110">
        <v>41.73</v>
      </c>
      <c r="D1839" s="110">
        <v>40.36</v>
      </c>
      <c r="E1839" s="110">
        <v>40.36</v>
      </c>
      <c r="F1839" s="110">
        <v>208.65</v>
      </c>
      <c r="G1839">
        <v>257597</v>
      </c>
      <c r="H1839" s="110"/>
      <c r="I1839" s="110"/>
      <c r="L1839" s="133">
        <v>44713</v>
      </c>
      <c r="M1839" s="110">
        <v>41.75</v>
      </c>
      <c r="N1839" s="110">
        <v>42.05</v>
      </c>
      <c r="O1839" s="110">
        <v>40.97</v>
      </c>
      <c r="P1839" s="110">
        <v>41</v>
      </c>
      <c r="Q1839" s="110">
        <v>208.75</v>
      </c>
      <c r="R1839">
        <v>8656670</v>
      </c>
    </row>
    <row r="1840" spans="1:18" x14ac:dyDescent="0.25">
      <c r="A1840" s="133">
        <v>44714</v>
      </c>
      <c r="B1840" s="110">
        <v>42.88</v>
      </c>
      <c r="C1840" s="110">
        <v>42.7</v>
      </c>
      <c r="D1840" s="110">
        <v>41.77</v>
      </c>
      <c r="E1840" s="110">
        <v>41.81</v>
      </c>
      <c r="F1840" s="110">
        <v>213.5</v>
      </c>
      <c r="G1840">
        <v>437383</v>
      </c>
      <c r="H1840" s="110"/>
      <c r="I1840" s="110"/>
      <c r="L1840" s="133">
        <v>44714</v>
      </c>
      <c r="M1840" s="110">
        <v>42.71</v>
      </c>
      <c r="N1840" s="110">
        <v>42.89</v>
      </c>
      <c r="O1840" s="110">
        <v>41.71</v>
      </c>
      <c r="P1840" s="110">
        <v>41.87</v>
      </c>
      <c r="Q1840" s="110">
        <v>213.55</v>
      </c>
      <c r="R1840">
        <v>11918600</v>
      </c>
    </row>
    <row r="1841" spans="1:18" x14ac:dyDescent="0.25">
      <c r="A1841" s="133">
        <v>44715</v>
      </c>
      <c r="B1841" s="110">
        <v>43.19</v>
      </c>
      <c r="C1841" s="110">
        <v>42.22</v>
      </c>
      <c r="D1841" s="110">
        <v>42.11</v>
      </c>
      <c r="E1841" s="110">
        <v>42.98</v>
      </c>
      <c r="F1841" s="110">
        <v>211.1</v>
      </c>
      <c r="G1841">
        <v>219365</v>
      </c>
      <c r="H1841" s="110"/>
      <c r="I1841" s="110"/>
      <c r="L1841" s="133">
        <v>44715</v>
      </c>
      <c r="M1841" s="110">
        <v>42.22</v>
      </c>
      <c r="N1841" s="110">
        <v>43.2</v>
      </c>
      <c r="O1841" s="110">
        <v>42.1</v>
      </c>
      <c r="P1841" s="110">
        <v>43.09</v>
      </c>
      <c r="Q1841" s="110">
        <v>211.1</v>
      </c>
      <c r="R1841">
        <v>8234926</v>
      </c>
    </row>
    <row r="1842" spans="1:18" x14ac:dyDescent="0.25">
      <c r="A1842" s="133">
        <v>44718</v>
      </c>
      <c r="B1842" s="110">
        <v>42.37</v>
      </c>
      <c r="C1842" s="110">
        <v>42.06</v>
      </c>
      <c r="D1842" s="110">
        <v>41.18</v>
      </c>
      <c r="E1842" s="110">
        <v>42</v>
      </c>
      <c r="F1842" s="110">
        <v>210.3</v>
      </c>
      <c r="G1842">
        <v>354271</v>
      </c>
      <c r="H1842" s="110"/>
      <c r="I1842" s="110"/>
      <c r="L1842" s="133">
        <v>44718</v>
      </c>
      <c r="M1842" s="110">
        <v>42.09</v>
      </c>
      <c r="N1842" s="110">
        <v>42.36</v>
      </c>
      <c r="O1842" s="110">
        <v>41.2</v>
      </c>
      <c r="P1842" s="110">
        <v>42.1</v>
      </c>
      <c r="Q1842" s="110">
        <v>210.45</v>
      </c>
      <c r="R1842">
        <v>7949265</v>
      </c>
    </row>
    <row r="1843" spans="1:18" x14ac:dyDescent="0.25">
      <c r="A1843" s="133">
        <v>44719</v>
      </c>
      <c r="B1843" s="110">
        <v>42.64</v>
      </c>
      <c r="C1843" s="110">
        <v>41.82</v>
      </c>
      <c r="D1843" s="110">
        <v>41.48</v>
      </c>
      <c r="E1843" s="110">
        <v>41.63</v>
      </c>
      <c r="F1843" s="110">
        <v>209.1</v>
      </c>
      <c r="G1843">
        <v>262242</v>
      </c>
      <c r="H1843" s="110"/>
      <c r="I1843" s="110"/>
      <c r="L1843" s="133">
        <v>44719</v>
      </c>
      <c r="M1843" s="110">
        <v>41.81</v>
      </c>
      <c r="N1843" s="110">
        <v>42.65</v>
      </c>
      <c r="O1843" s="110">
        <v>41.47</v>
      </c>
      <c r="P1843" s="110">
        <v>41.89</v>
      </c>
      <c r="Q1843" s="110">
        <v>209.05</v>
      </c>
      <c r="R1843">
        <v>8217875</v>
      </c>
    </row>
    <row r="1844" spans="1:18" x14ac:dyDescent="0.25">
      <c r="A1844" s="133">
        <v>44720</v>
      </c>
      <c r="B1844" s="110">
        <v>42.73</v>
      </c>
      <c r="C1844" s="110">
        <v>42.19</v>
      </c>
      <c r="D1844" s="110">
        <v>41.53</v>
      </c>
      <c r="E1844" s="110">
        <v>42.09</v>
      </c>
      <c r="F1844" s="110">
        <v>210.95</v>
      </c>
      <c r="G1844">
        <v>393860</v>
      </c>
      <c r="H1844" s="110"/>
      <c r="I1844" s="110"/>
      <c r="L1844" s="133">
        <v>44720</v>
      </c>
      <c r="M1844" s="110">
        <v>42.18</v>
      </c>
      <c r="N1844" s="110">
        <v>42.74</v>
      </c>
      <c r="O1844" s="110">
        <v>41.55</v>
      </c>
      <c r="P1844" s="110">
        <v>42</v>
      </c>
      <c r="Q1844" s="110">
        <v>210.9</v>
      </c>
      <c r="R1844">
        <v>8258300</v>
      </c>
    </row>
    <row r="1845" spans="1:18" x14ac:dyDescent="0.25">
      <c r="A1845" s="133">
        <v>44721</v>
      </c>
      <c r="B1845" s="110">
        <v>42.22</v>
      </c>
      <c r="C1845" s="110">
        <v>41.49</v>
      </c>
      <c r="D1845" s="110">
        <v>40.85</v>
      </c>
      <c r="E1845" s="110">
        <v>41.98</v>
      </c>
      <c r="F1845" s="110">
        <v>207.45</v>
      </c>
      <c r="G1845">
        <v>356160</v>
      </c>
      <c r="H1845" s="110"/>
      <c r="I1845" s="110"/>
      <c r="L1845" s="133">
        <v>44721</v>
      </c>
      <c r="M1845" s="110">
        <v>41.5</v>
      </c>
      <c r="N1845" s="110">
        <v>42.22</v>
      </c>
      <c r="O1845" s="110">
        <v>40.85</v>
      </c>
      <c r="P1845" s="110">
        <v>41.99</v>
      </c>
      <c r="Q1845" s="110">
        <v>207.5</v>
      </c>
      <c r="R1845">
        <v>9520391</v>
      </c>
    </row>
    <row r="1846" spans="1:18" x14ac:dyDescent="0.25">
      <c r="A1846" s="133">
        <v>44722</v>
      </c>
      <c r="B1846" s="110">
        <v>41.76</v>
      </c>
      <c r="C1846" s="110">
        <v>41.61</v>
      </c>
      <c r="D1846" s="110">
        <v>40.94</v>
      </c>
      <c r="E1846" s="110">
        <v>41</v>
      </c>
      <c r="F1846" s="110">
        <v>208.05</v>
      </c>
      <c r="G1846">
        <v>139352</v>
      </c>
      <c r="H1846" s="110"/>
      <c r="I1846" s="110"/>
      <c r="L1846" s="133">
        <v>44722</v>
      </c>
      <c r="M1846" s="110">
        <v>41.59</v>
      </c>
      <c r="N1846" s="110">
        <v>41.78</v>
      </c>
      <c r="O1846" s="110">
        <v>40.83</v>
      </c>
      <c r="P1846" s="110">
        <v>41.1</v>
      </c>
      <c r="Q1846" s="110">
        <v>207.95</v>
      </c>
      <c r="R1846">
        <v>5241992</v>
      </c>
    </row>
    <row r="1847" spans="1:18" x14ac:dyDescent="0.25">
      <c r="A1847" s="133">
        <v>44725</v>
      </c>
      <c r="B1847" s="110">
        <v>40.69</v>
      </c>
      <c r="C1847" s="110">
        <v>39.44</v>
      </c>
      <c r="D1847" s="110">
        <v>39.06</v>
      </c>
      <c r="E1847" s="110">
        <v>40</v>
      </c>
      <c r="F1847" s="110">
        <v>197.2</v>
      </c>
      <c r="G1847">
        <v>444771</v>
      </c>
      <c r="H1847" s="110"/>
      <c r="I1847" s="110"/>
      <c r="L1847" s="133">
        <v>44725</v>
      </c>
      <c r="M1847" s="110">
        <v>39.46</v>
      </c>
      <c r="N1847" s="110">
        <v>40.700000000000003</v>
      </c>
      <c r="O1847" s="110">
        <v>39.049999999999997</v>
      </c>
      <c r="P1847" s="110">
        <v>40.5</v>
      </c>
      <c r="Q1847" s="110">
        <v>197.3</v>
      </c>
      <c r="R1847">
        <v>7745108</v>
      </c>
    </row>
    <row r="1848" spans="1:18" x14ac:dyDescent="0.25">
      <c r="A1848" s="133">
        <v>44726</v>
      </c>
      <c r="B1848" s="110">
        <v>40.229999999999997</v>
      </c>
      <c r="C1848" s="110">
        <v>39.43</v>
      </c>
      <c r="D1848" s="110">
        <v>39.15</v>
      </c>
      <c r="E1848" s="110">
        <v>39.6</v>
      </c>
      <c r="F1848" s="110">
        <v>197.15</v>
      </c>
      <c r="G1848">
        <v>197504</v>
      </c>
      <c r="H1848" s="110"/>
      <c r="I1848" s="110"/>
      <c r="L1848" s="133">
        <v>44726</v>
      </c>
      <c r="M1848" s="110">
        <v>39.43</v>
      </c>
      <c r="N1848" s="110">
        <v>40.25</v>
      </c>
      <c r="O1848" s="110">
        <v>39.130000000000003</v>
      </c>
      <c r="P1848" s="110">
        <v>39.6</v>
      </c>
      <c r="Q1848" s="110">
        <v>197.15</v>
      </c>
      <c r="R1848">
        <v>6872220</v>
      </c>
    </row>
    <row r="1849" spans="1:18" x14ac:dyDescent="0.25">
      <c r="A1849" s="133">
        <v>44727</v>
      </c>
      <c r="B1849" s="110">
        <v>38.700000000000003</v>
      </c>
      <c r="C1849" s="110">
        <v>37.659999999999997</v>
      </c>
      <c r="D1849" s="110">
        <v>37.6</v>
      </c>
      <c r="E1849" s="110">
        <v>38.4</v>
      </c>
      <c r="F1849" s="110">
        <v>188.3</v>
      </c>
      <c r="G1849">
        <v>418955</v>
      </c>
      <c r="H1849" s="110"/>
      <c r="I1849" s="110"/>
      <c r="L1849" s="133">
        <v>44727</v>
      </c>
      <c r="M1849" s="110">
        <v>37.659999999999997</v>
      </c>
      <c r="N1849" s="110">
        <v>38.64</v>
      </c>
      <c r="O1849" s="110">
        <v>37.6</v>
      </c>
      <c r="P1849" s="110">
        <v>38.53</v>
      </c>
      <c r="Q1849" s="110">
        <v>188.3</v>
      </c>
      <c r="R1849">
        <v>8776026</v>
      </c>
    </row>
    <row r="1850" spans="1:18" x14ac:dyDescent="0.25">
      <c r="A1850" s="133">
        <v>44728</v>
      </c>
      <c r="B1850" s="110">
        <v>38.47</v>
      </c>
      <c r="C1850" s="110">
        <v>36.21</v>
      </c>
      <c r="D1850" s="110">
        <v>36.020000000000003</v>
      </c>
      <c r="E1850" s="110">
        <v>38.28</v>
      </c>
      <c r="F1850" s="110">
        <v>181.05</v>
      </c>
      <c r="G1850">
        <v>492715</v>
      </c>
      <c r="H1850" s="110"/>
      <c r="I1850" s="110"/>
      <c r="L1850" s="133">
        <v>44728</v>
      </c>
      <c r="M1850" s="110">
        <v>36.21</v>
      </c>
      <c r="N1850" s="110">
        <v>38.479999999999997</v>
      </c>
      <c r="O1850" s="110">
        <v>36.01</v>
      </c>
      <c r="P1850" s="110">
        <v>38.11</v>
      </c>
      <c r="Q1850" s="110">
        <v>181.05</v>
      </c>
      <c r="R1850">
        <v>9560424</v>
      </c>
    </row>
    <row r="1851" spans="1:18" x14ac:dyDescent="0.25">
      <c r="A1851" s="133">
        <v>44729</v>
      </c>
      <c r="B1851" s="110">
        <v>36.799999999999997</v>
      </c>
      <c r="C1851" s="110">
        <v>36.21</v>
      </c>
      <c r="D1851" s="110">
        <v>35.72</v>
      </c>
      <c r="E1851" s="110">
        <v>36.32</v>
      </c>
      <c r="F1851" s="110">
        <v>181.05</v>
      </c>
      <c r="G1851">
        <v>392388</v>
      </c>
      <c r="H1851" s="110"/>
      <c r="I1851" s="110"/>
      <c r="L1851" s="133">
        <v>44729</v>
      </c>
      <c r="M1851" s="110">
        <v>36.17</v>
      </c>
      <c r="N1851" s="110">
        <v>36.799999999999997</v>
      </c>
      <c r="O1851" s="110">
        <v>35.700000000000003</v>
      </c>
      <c r="P1851" s="110">
        <v>36.15</v>
      </c>
      <c r="Q1851" s="110">
        <v>180.85</v>
      </c>
      <c r="R1851">
        <v>8037121</v>
      </c>
    </row>
    <row r="1852" spans="1:18" x14ac:dyDescent="0.25">
      <c r="A1852" s="133">
        <v>44732</v>
      </c>
      <c r="B1852" s="110">
        <v>36.6</v>
      </c>
      <c r="C1852" s="110">
        <v>34.89</v>
      </c>
      <c r="D1852" s="110">
        <v>34.340000000000003</v>
      </c>
      <c r="E1852" s="110">
        <v>36.31</v>
      </c>
      <c r="F1852" s="110">
        <v>174.45</v>
      </c>
      <c r="G1852">
        <v>459968</v>
      </c>
      <c r="H1852" s="110"/>
      <c r="I1852" s="110"/>
      <c r="L1852" s="133">
        <v>44732</v>
      </c>
      <c r="M1852" s="110">
        <v>34.909999999999997</v>
      </c>
      <c r="N1852" s="110">
        <v>36.67</v>
      </c>
      <c r="O1852" s="110">
        <v>34.35</v>
      </c>
      <c r="P1852" s="110">
        <v>36.479999999999997</v>
      </c>
      <c r="Q1852" s="110">
        <v>174.55</v>
      </c>
      <c r="R1852">
        <v>9588671</v>
      </c>
    </row>
    <row r="1853" spans="1:18" x14ac:dyDescent="0.25">
      <c r="A1853" s="133">
        <v>44733</v>
      </c>
      <c r="B1853" s="110">
        <v>36.659999999999997</v>
      </c>
      <c r="C1853" s="110">
        <v>36.51</v>
      </c>
      <c r="D1853" s="110">
        <v>35.1</v>
      </c>
      <c r="E1853" s="110">
        <v>35.1</v>
      </c>
      <c r="F1853" s="110">
        <v>182.55</v>
      </c>
      <c r="G1853">
        <v>244239</v>
      </c>
      <c r="H1853" s="110"/>
      <c r="I1853" s="110"/>
      <c r="L1853" s="133">
        <v>44733</v>
      </c>
      <c r="M1853" s="110">
        <v>36.49</v>
      </c>
      <c r="N1853" s="110">
        <v>36.67</v>
      </c>
      <c r="O1853" s="110">
        <v>35.14</v>
      </c>
      <c r="P1853" s="110">
        <v>35.200000000000003</v>
      </c>
      <c r="Q1853" s="110">
        <v>182.45</v>
      </c>
      <c r="R1853">
        <v>7449368</v>
      </c>
    </row>
    <row r="1854" spans="1:18" x14ac:dyDescent="0.25">
      <c r="A1854" s="133">
        <v>44734</v>
      </c>
      <c r="B1854" s="110">
        <v>36.630000000000003</v>
      </c>
      <c r="C1854" s="110">
        <v>36.14</v>
      </c>
      <c r="D1854" s="110">
        <v>35.869999999999997</v>
      </c>
      <c r="E1854" s="110">
        <v>36.4</v>
      </c>
      <c r="F1854" s="110">
        <v>180.7</v>
      </c>
      <c r="G1854">
        <v>247411</v>
      </c>
      <c r="H1854" s="110"/>
      <c r="I1854" s="110"/>
      <c r="L1854" s="133">
        <v>44734</v>
      </c>
      <c r="M1854" s="110">
        <v>36.17</v>
      </c>
      <c r="N1854" s="110">
        <v>36.65</v>
      </c>
      <c r="O1854" s="110">
        <v>35.86</v>
      </c>
      <c r="P1854" s="110">
        <v>36.28</v>
      </c>
      <c r="Q1854" s="110">
        <v>180.85</v>
      </c>
      <c r="R1854">
        <v>6339147</v>
      </c>
    </row>
    <row r="1855" spans="1:18" x14ac:dyDescent="0.25">
      <c r="A1855" s="133">
        <v>44735</v>
      </c>
      <c r="B1855" s="110">
        <v>36.94</v>
      </c>
      <c r="C1855" s="110">
        <v>36.340000000000003</v>
      </c>
      <c r="D1855" s="110">
        <v>35.799999999999997</v>
      </c>
      <c r="E1855" s="110">
        <v>36.1</v>
      </c>
      <c r="F1855" s="110">
        <v>181.7</v>
      </c>
      <c r="G1855">
        <v>192933</v>
      </c>
      <c r="H1855" s="110"/>
      <c r="I1855" s="110"/>
      <c r="L1855" s="133">
        <v>44735</v>
      </c>
      <c r="M1855" s="110">
        <v>36.369999999999997</v>
      </c>
      <c r="N1855" s="110">
        <v>36.94</v>
      </c>
      <c r="O1855" s="110">
        <v>35.770000000000003</v>
      </c>
      <c r="P1855" s="110">
        <v>36.18</v>
      </c>
      <c r="Q1855" s="110">
        <v>181.85</v>
      </c>
      <c r="R1855">
        <v>7190679</v>
      </c>
    </row>
    <row r="1856" spans="1:18" x14ac:dyDescent="0.25">
      <c r="A1856" s="133">
        <v>44736</v>
      </c>
      <c r="B1856" s="110">
        <v>37.33</v>
      </c>
      <c r="C1856" s="110">
        <v>37.19</v>
      </c>
      <c r="D1856" s="110">
        <v>36.71</v>
      </c>
      <c r="E1856" s="110">
        <v>36.89</v>
      </c>
      <c r="F1856" s="110">
        <v>185.95</v>
      </c>
      <c r="G1856">
        <v>202367</v>
      </c>
      <c r="H1856" s="110"/>
      <c r="I1856" s="110"/>
      <c r="L1856" s="133">
        <v>44736</v>
      </c>
      <c r="M1856" s="110">
        <v>37.18</v>
      </c>
      <c r="N1856" s="110">
        <v>37.33</v>
      </c>
      <c r="O1856" s="110">
        <v>36.68</v>
      </c>
      <c r="P1856" s="110">
        <v>36.799999999999997</v>
      </c>
      <c r="Q1856" s="110">
        <v>185.9</v>
      </c>
      <c r="R1856">
        <v>6654264</v>
      </c>
    </row>
    <row r="1857" spans="1:18" x14ac:dyDescent="0.25">
      <c r="A1857" s="133">
        <v>44739</v>
      </c>
      <c r="B1857" s="110">
        <v>38.020000000000003</v>
      </c>
      <c r="C1857" s="110">
        <v>37.54</v>
      </c>
      <c r="D1857" s="110">
        <v>37.43</v>
      </c>
      <c r="E1857" s="110">
        <v>37.6</v>
      </c>
      <c r="F1857" s="110">
        <v>187.7</v>
      </c>
      <c r="G1857">
        <v>295775</v>
      </c>
      <c r="H1857" s="110"/>
      <c r="I1857" s="110"/>
      <c r="L1857" s="133">
        <v>44739</v>
      </c>
      <c r="M1857" s="110">
        <v>37.54</v>
      </c>
      <c r="N1857" s="110">
        <v>38.04</v>
      </c>
      <c r="O1857" s="110">
        <v>37.42</v>
      </c>
      <c r="P1857" s="110">
        <v>37.79</v>
      </c>
      <c r="Q1857" s="110">
        <v>187.7</v>
      </c>
      <c r="R1857">
        <v>4907483</v>
      </c>
    </row>
    <row r="1858" spans="1:18" x14ac:dyDescent="0.25">
      <c r="A1858" s="133">
        <v>44740</v>
      </c>
      <c r="B1858" s="110">
        <v>37.799999999999997</v>
      </c>
      <c r="C1858" s="110">
        <v>37.56</v>
      </c>
      <c r="D1858" s="110">
        <v>37.33</v>
      </c>
      <c r="E1858" s="110">
        <v>37.590000000000003</v>
      </c>
      <c r="F1858" s="110">
        <v>187.8</v>
      </c>
      <c r="G1858">
        <v>261077</v>
      </c>
      <c r="H1858" s="110"/>
      <c r="I1858" s="110"/>
      <c r="L1858" s="133">
        <v>44740</v>
      </c>
      <c r="M1858" s="110">
        <v>37.56</v>
      </c>
      <c r="N1858" s="110">
        <v>37.799999999999997</v>
      </c>
      <c r="O1858" s="110">
        <v>37.28</v>
      </c>
      <c r="P1858" s="110">
        <v>37.39</v>
      </c>
      <c r="Q1858" s="110">
        <v>187.8</v>
      </c>
      <c r="R1858">
        <v>4040506</v>
      </c>
    </row>
    <row r="1859" spans="1:18" x14ac:dyDescent="0.25">
      <c r="A1859" s="133">
        <v>44741</v>
      </c>
      <c r="B1859" s="110">
        <v>37.380000000000003</v>
      </c>
      <c r="C1859" s="110">
        <v>37.24</v>
      </c>
      <c r="D1859" s="110">
        <v>36.81</v>
      </c>
      <c r="E1859" s="110">
        <v>37.380000000000003</v>
      </c>
      <c r="F1859" s="110">
        <v>186.2</v>
      </c>
      <c r="G1859">
        <v>297131</v>
      </c>
      <c r="H1859" s="110"/>
      <c r="I1859" s="110"/>
      <c r="L1859" s="133">
        <v>44741</v>
      </c>
      <c r="M1859" s="110">
        <v>37.25</v>
      </c>
      <c r="N1859" s="110">
        <v>37.42</v>
      </c>
      <c r="O1859" s="110">
        <v>36.81</v>
      </c>
      <c r="P1859" s="110">
        <v>37.35</v>
      </c>
      <c r="Q1859" s="110">
        <v>186.25</v>
      </c>
      <c r="R1859">
        <v>4791597</v>
      </c>
    </row>
    <row r="1860" spans="1:18" x14ac:dyDescent="0.25">
      <c r="A1860" s="133">
        <v>44742</v>
      </c>
      <c r="B1860" s="110">
        <v>37.58</v>
      </c>
      <c r="C1860" s="110">
        <v>36.25</v>
      </c>
      <c r="D1860" s="110">
        <v>36.1</v>
      </c>
      <c r="E1860" s="110">
        <v>37.26</v>
      </c>
      <c r="F1860" s="110">
        <v>181.25</v>
      </c>
      <c r="G1860">
        <v>156768</v>
      </c>
      <c r="H1860" s="110"/>
      <c r="I1860" s="110"/>
      <c r="L1860" s="133">
        <v>44742</v>
      </c>
      <c r="M1860" s="110">
        <v>36.25</v>
      </c>
      <c r="N1860" s="110">
        <v>37.590000000000003</v>
      </c>
      <c r="O1860" s="110">
        <v>36.04</v>
      </c>
      <c r="P1860" s="110">
        <v>37.28</v>
      </c>
      <c r="Q1860" s="110">
        <v>181.25</v>
      </c>
      <c r="R1860">
        <v>5318078</v>
      </c>
    </row>
    <row r="1861" spans="1:18" x14ac:dyDescent="0.25">
      <c r="A1861" s="133">
        <v>44743</v>
      </c>
      <c r="B1861" s="110">
        <v>37.159999999999997</v>
      </c>
      <c r="C1861" s="110">
        <v>37.01</v>
      </c>
      <c r="D1861" s="110">
        <v>35.700000000000003</v>
      </c>
      <c r="E1861" s="110">
        <v>36.25</v>
      </c>
      <c r="F1861" s="110">
        <v>185.05</v>
      </c>
      <c r="G1861">
        <v>253073</v>
      </c>
      <c r="H1861" s="110"/>
      <c r="I1861" s="110"/>
      <c r="L1861" s="133">
        <v>44743</v>
      </c>
      <c r="M1861" s="110">
        <v>36.97</v>
      </c>
      <c r="N1861" s="110">
        <v>37.14</v>
      </c>
      <c r="O1861" s="110">
        <v>35.69</v>
      </c>
      <c r="P1861" s="110">
        <v>36.33</v>
      </c>
      <c r="Q1861" s="110">
        <v>184.85</v>
      </c>
      <c r="R1861">
        <v>5768579</v>
      </c>
    </row>
    <row r="1862" spans="1:18" x14ac:dyDescent="0.25">
      <c r="A1862" s="133">
        <v>44746</v>
      </c>
      <c r="B1862" s="110">
        <v>37.909999999999997</v>
      </c>
      <c r="C1862" s="110">
        <v>37.65</v>
      </c>
      <c r="D1862" s="110">
        <v>37.020000000000003</v>
      </c>
      <c r="E1862" s="110">
        <v>37.200000000000003</v>
      </c>
      <c r="F1862" s="110">
        <v>188.25</v>
      </c>
      <c r="G1862">
        <v>227946</v>
      </c>
      <c r="H1862" s="110"/>
      <c r="I1862" s="110"/>
      <c r="L1862" s="133">
        <v>44746</v>
      </c>
      <c r="M1862" s="110">
        <v>37.67</v>
      </c>
      <c r="N1862" s="110">
        <v>37.92</v>
      </c>
      <c r="O1862" s="110">
        <v>37.04</v>
      </c>
      <c r="P1862" s="110">
        <v>37.19</v>
      </c>
      <c r="Q1862" s="110">
        <v>188.35</v>
      </c>
      <c r="R1862">
        <v>5492715</v>
      </c>
    </row>
    <row r="1863" spans="1:18" x14ac:dyDescent="0.25">
      <c r="A1863" s="133">
        <v>44747</v>
      </c>
      <c r="B1863" s="110">
        <v>38.43</v>
      </c>
      <c r="C1863" s="110">
        <v>37.799999999999997</v>
      </c>
      <c r="D1863" s="110">
        <v>37.72</v>
      </c>
      <c r="E1863" s="110">
        <v>37.81</v>
      </c>
      <c r="F1863" s="110">
        <v>189</v>
      </c>
      <c r="G1863">
        <v>164231</v>
      </c>
      <c r="H1863" s="110"/>
      <c r="I1863" s="110"/>
      <c r="L1863" s="133">
        <v>44747</v>
      </c>
      <c r="M1863" s="110">
        <v>37.82</v>
      </c>
      <c r="N1863" s="110">
        <v>38.43</v>
      </c>
      <c r="O1863" s="110">
        <v>37.700000000000003</v>
      </c>
      <c r="P1863" s="110">
        <v>37.950000000000003</v>
      </c>
      <c r="Q1863" s="110">
        <v>189.1</v>
      </c>
      <c r="R1863">
        <v>7018021</v>
      </c>
    </row>
    <row r="1864" spans="1:18" x14ac:dyDescent="0.25">
      <c r="A1864" s="133">
        <v>44748</v>
      </c>
      <c r="B1864" s="110">
        <v>38.729999999999997</v>
      </c>
      <c r="C1864" s="110">
        <v>38.56</v>
      </c>
      <c r="D1864" s="110">
        <v>37.770000000000003</v>
      </c>
      <c r="E1864" s="110">
        <v>37.799999999999997</v>
      </c>
      <c r="F1864" s="110">
        <v>192.8</v>
      </c>
      <c r="G1864">
        <v>175041</v>
      </c>
      <c r="H1864" s="110"/>
      <c r="I1864" s="110"/>
      <c r="L1864" s="133">
        <v>44748</v>
      </c>
      <c r="M1864" s="110">
        <v>38.549999999999997</v>
      </c>
      <c r="N1864" s="110">
        <v>38.74</v>
      </c>
      <c r="O1864" s="110">
        <v>37.76</v>
      </c>
      <c r="P1864" s="110">
        <v>37.97</v>
      </c>
      <c r="Q1864" s="110">
        <v>192.75</v>
      </c>
      <c r="R1864">
        <v>5167283</v>
      </c>
    </row>
    <row r="1865" spans="1:18" x14ac:dyDescent="0.25">
      <c r="A1865" s="133">
        <v>44749</v>
      </c>
      <c r="B1865" s="110">
        <v>41.88</v>
      </c>
      <c r="C1865" s="110">
        <v>41.71</v>
      </c>
      <c r="D1865" s="110">
        <v>38.799999999999997</v>
      </c>
      <c r="E1865" s="110">
        <v>38.799999999999997</v>
      </c>
      <c r="F1865" s="110">
        <v>208.55</v>
      </c>
      <c r="G1865">
        <v>1003334</v>
      </c>
      <c r="H1865" s="110"/>
      <c r="I1865" s="110"/>
      <c r="L1865" s="133">
        <v>44749</v>
      </c>
      <c r="M1865" s="110">
        <v>41.71</v>
      </c>
      <c r="N1865" s="110">
        <v>41.9</v>
      </c>
      <c r="O1865" s="110">
        <v>38.869999999999997</v>
      </c>
      <c r="P1865" s="110">
        <v>39.020000000000003</v>
      </c>
      <c r="Q1865" s="110">
        <v>208.55</v>
      </c>
      <c r="R1865">
        <v>22516877</v>
      </c>
    </row>
    <row r="1866" spans="1:18" x14ac:dyDescent="0.25">
      <c r="A1866" s="133">
        <v>44750</v>
      </c>
      <c r="B1866" s="110">
        <v>42.4</v>
      </c>
      <c r="C1866" s="110">
        <v>42.17</v>
      </c>
      <c r="D1866" s="110">
        <v>41.28</v>
      </c>
      <c r="E1866" s="110">
        <v>41.8</v>
      </c>
      <c r="F1866" s="110">
        <v>210.85</v>
      </c>
      <c r="G1866">
        <v>617682</v>
      </c>
      <c r="H1866" s="110"/>
      <c r="I1866" s="110"/>
      <c r="L1866" s="133">
        <v>44750</v>
      </c>
      <c r="M1866" s="110">
        <v>42.22</v>
      </c>
      <c r="N1866" s="110">
        <v>42.43</v>
      </c>
      <c r="O1866" s="110">
        <v>41.29</v>
      </c>
      <c r="P1866" s="110">
        <v>41.8</v>
      </c>
      <c r="Q1866" s="110">
        <v>211.1</v>
      </c>
      <c r="R1866">
        <v>10127160</v>
      </c>
    </row>
    <row r="1867" spans="1:18" x14ac:dyDescent="0.25">
      <c r="A1867" s="133">
        <v>44753</v>
      </c>
      <c r="B1867" s="110">
        <v>43.51</v>
      </c>
      <c r="C1867" s="110">
        <v>43.39</v>
      </c>
      <c r="D1867" s="110">
        <v>41.79</v>
      </c>
      <c r="E1867" s="110">
        <v>41.88</v>
      </c>
      <c r="F1867" s="110">
        <v>216.95</v>
      </c>
      <c r="G1867">
        <v>396386</v>
      </c>
      <c r="H1867" s="110"/>
      <c r="I1867" s="110"/>
      <c r="L1867" s="133">
        <v>44753</v>
      </c>
      <c r="M1867" s="110">
        <v>43.39</v>
      </c>
      <c r="N1867" s="110">
        <v>43.51</v>
      </c>
      <c r="O1867" s="110">
        <v>41.81</v>
      </c>
      <c r="P1867" s="110">
        <v>41.81</v>
      </c>
      <c r="Q1867" s="110">
        <v>216.95</v>
      </c>
      <c r="R1867">
        <v>14401029</v>
      </c>
    </row>
    <row r="1868" spans="1:18" x14ac:dyDescent="0.25">
      <c r="A1868" s="133">
        <v>44754</v>
      </c>
      <c r="B1868" s="110">
        <v>44.27</v>
      </c>
      <c r="C1868" s="110">
        <v>43.32</v>
      </c>
      <c r="D1868" s="110">
        <v>42.84</v>
      </c>
      <c r="E1868" s="110">
        <v>43.05</v>
      </c>
      <c r="F1868" s="110">
        <v>216.6</v>
      </c>
      <c r="G1868">
        <v>624780</v>
      </c>
      <c r="H1868" s="110"/>
      <c r="I1868" s="110"/>
      <c r="L1868" s="133">
        <v>44754</v>
      </c>
      <c r="M1868" s="110">
        <v>43.38</v>
      </c>
      <c r="N1868" s="110">
        <v>44.27</v>
      </c>
      <c r="O1868" s="110">
        <v>42.91</v>
      </c>
      <c r="P1868" s="110">
        <v>43.1</v>
      </c>
      <c r="Q1868" s="110">
        <v>216.9</v>
      </c>
      <c r="R1868">
        <v>11120862</v>
      </c>
    </row>
    <row r="1869" spans="1:18" x14ac:dyDescent="0.25">
      <c r="A1869" s="133">
        <v>44755</v>
      </c>
      <c r="B1869" s="110">
        <v>44.19</v>
      </c>
      <c r="C1869" s="110">
        <v>43.66</v>
      </c>
      <c r="D1869" s="110">
        <v>43.32</v>
      </c>
      <c r="E1869" s="110">
        <v>43.7</v>
      </c>
      <c r="F1869" s="110">
        <v>218.3</v>
      </c>
      <c r="G1869">
        <v>304621</v>
      </c>
      <c r="H1869" s="110"/>
      <c r="I1869" s="110"/>
      <c r="L1869" s="133">
        <v>44755</v>
      </c>
      <c r="M1869" s="110">
        <v>43.64</v>
      </c>
      <c r="N1869" s="110">
        <v>44.19</v>
      </c>
      <c r="O1869" s="110">
        <v>43.31</v>
      </c>
      <c r="P1869" s="110">
        <v>43.88</v>
      </c>
      <c r="Q1869" s="110">
        <v>218.2</v>
      </c>
      <c r="R1869">
        <v>8637832</v>
      </c>
    </row>
    <row r="1870" spans="1:18" x14ac:dyDescent="0.25">
      <c r="A1870" s="133">
        <v>44756</v>
      </c>
      <c r="B1870" s="110">
        <v>43.53</v>
      </c>
      <c r="C1870" s="110">
        <v>41.9</v>
      </c>
      <c r="D1870" s="110">
        <v>41.28</v>
      </c>
      <c r="E1870" s="110">
        <v>43.4</v>
      </c>
      <c r="F1870" s="110">
        <v>209.5</v>
      </c>
      <c r="G1870">
        <v>708963</v>
      </c>
      <c r="H1870" s="110"/>
      <c r="I1870" s="110"/>
      <c r="L1870" s="133">
        <v>44756</v>
      </c>
      <c r="M1870" s="110">
        <v>41.91</v>
      </c>
      <c r="N1870" s="110">
        <v>43.54</v>
      </c>
      <c r="O1870" s="110">
        <v>41.27</v>
      </c>
      <c r="P1870" s="110">
        <v>43.52</v>
      </c>
      <c r="Q1870" s="110">
        <v>209.55</v>
      </c>
      <c r="R1870">
        <v>13213818</v>
      </c>
    </row>
    <row r="1871" spans="1:18" x14ac:dyDescent="0.25">
      <c r="A1871" s="133">
        <v>44757</v>
      </c>
      <c r="B1871" s="110">
        <v>42.43</v>
      </c>
      <c r="C1871" s="110">
        <v>41.21</v>
      </c>
      <c r="D1871" s="110">
        <v>40.729999999999997</v>
      </c>
      <c r="E1871" s="110">
        <v>41.82</v>
      </c>
      <c r="F1871" s="110">
        <v>206.05</v>
      </c>
      <c r="G1871">
        <v>347668</v>
      </c>
      <c r="H1871" s="110"/>
      <c r="I1871" s="110"/>
      <c r="L1871" s="133">
        <v>44757</v>
      </c>
      <c r="M1871" s="110">
        <v>41.22</v>
      </c>
      <c r="N1871" s="110">
        <v>42.4</v>
      </c>
      <c r="O1871" s="110">
        <v>40.72</v>
      </c>
      <c r="P1871" s="110">
        <v>42</v>
      </c>
      <c r="Q1871" s="110">
        <v>206.1</v>
      </c>
      <c r="R1871">
        <v>9778553</v>
      </c>
    </row>
    <row r="1872" spans="1:18" x14ac:dyDescent="0.25">
      <c r="A1872" s="133">
        <v>44760</v>
      </c>
      <c r="B1872" s="110">
        <v>42.99</v>
      </c>
      <c r="C1872" s="110">
        <v>42.9</v>
      </c>
      <c r="D1872" s="110">
        <v>41.36</v>
      </c>
      <c r="E1872" s="110">
        <v>41.73</v>
      </c>
      <c r="F1872" s="110">
        <v>214.5</v>
      </c>
      <c r="G1872">
        <v>373906</v>
      </c>
      <c r="H1872" s="110"/>
      <c r="I1872" s="110"/>
      <c r="L1872" s="133">
        <v>44760</v>
      </c>
      <c r="M1872" s="110">
        <v>42.9</v>
      </c>
      <c r="N1872" s="110">
        <v>42.99</v>
      </c>
      <c r="O1872" s="110">
        <v>41.32</v>
      </c>
      <c r="P1872" s="110">
        <v>41.88</v>
      </c>
      <c r="Q1872" s="110">
        <v>214.5</v>
      </c>
      <c r="R1872">
        <v>9911313</v>
      </c>
    </row>
    <row r="1873" spans="1:18" x14ac:dyDescent="0.25">
      <c r="A1873" s="133">
        <v>44761</v>
      </c>
      <c r="B1873" s="110">
        <v>44.72</v>
      </c>
      <c r="C1873" s="110">
        <v>44.63</v>
      </c>
      <c r="D1873" s="110">
        <v>42.49</v>
      </c>
      <c r="E1873" s="110">
        <v>42.8</v>
      </c>
      <c r="F1873" s="110">
        <v>223.15</v>
      </c>
      <c r="G1873">
        <v>956022</v>
      </c>
      <c r="H1873" s="110"/>
      <c r="I1873" s="110"/>
      <c r="L1873" s="133">
        <v>44761</v>
      </c>
      <c r="M1873" s="110">
        <v>44.63</v>
      </c>
      <c r="N1873" s="110">
        <v>44.75</v>
      </c>
      <c r="O1873" s="110">
        <v>42.47</v>
      </c>
      <c r="P1873" s="110">
        <v>42.84</v>
      </c>
      <c r="Q1873" s="110">
        <v>223.15</v>
      </c>
      <c r="R1873">
        <v>15551910</v>
      </c>
    </row>
    <row r="1874" spans="1:18" x14ac:dyDescent="0.25">
      <c r="A1874" s="133">
        <v>44762</v>
      </c>
      <c r="B1874" s="110">
        <v>45.11</v>
      </c>
      <c r="C1874" s="110">
        <v>43.92</v>
      </c>
      <c r="D1874" s="110">
        <v>43.74</v>
      </c>
      <c r="E1874" s="110">
        <v>45</v>
      </c>
      <c r="F1874" s="110">
        <v>219.6</v>
      </c>
      <c r="G1874">
        <v>598924</v>
      </c>
      <c r="H1874" s="110"/>
      <c r="I1874" s="110"/>
      <c r="L1874" s="133">
        <v>44762</v>
      </c>
      <c r="M1874" s="110">
        <v>43.95</v>
      </c>
      <c r="N1874" s="110">
        <v>45.12</v>
      </c>
      <c r="O1874" s="110">
        <v>43.75</v>
      </c>
      <c r="P1874" s="110">
        <v>45.05</v>
      </c>
      <c r="Q1874" s="110">
        <v>219.75</v>
      </c>
      <c r="R1874">
        <v>9986289</v>
      </c>
    </row>
    <row r="1875" spans="1:18" x14ac:dyDescent="0.25">
      <c r="A1875" s="133">
        <v>44763</v>
      </c>
      <c r="B1875" s="110">
        <v>45.72</v>
      </c>
      <c r="C1875" s="110">
        <v>45.26</v>
      </c>
      <c r="D1875" s="110">
        <v>43.85</v>
      </c>
      <c r="E1875" s="110">
        <v>44</v>
      </c>
      <c r="F1875" s="110">
        <v>226.3</v>
      </c>
      <c r="G1875">
        <v>418193</v>
      </c>
      <c r="H1875" s="110"/>
      <c r="I1875" s="110"/>
      <c r="L1875" s="133">
        <v>44763</v>
      </c>
      <c r="M1875" s="110">
        <v>45.25</v>
      </c>
      <c r="N1875" s="110">
        <v>45.74</v>
      </c>
      <c r="O1875" s="110">
        <v>43.82</v>
      </c>
      <c r="P1875" s="110">
        <v>43.94</v>
      </c>
      <c r="Q1875" s="110">
        <v>226.25</v>
      </c>
      <c r="R1875">
        <v>12904909</v>
      </c>
    </row>
    <row r="1876" spans="1:18" x14ac:dyDescent="0.25">
      <c r="A1876" s="133">
        <v>44764</v>
      </c>
      <c r="B1876" s="110">
        <v>46.4</v>
      </c>
      <c r="C1876" s="110">
        <v>45.8</v>
      </c>
      <c r="D1876" s="110">
        <v>45.35</v>
      </c>
      <c r="E1876" s="110">
        <v>45.61</v>
      </c>
      <c r="F1876" s="110">
        <v>229</v>
      </c>
      <c r="G1876">
        <v>769362</v>
      </c>
      <c r="H1876" s="110"/>
      <c r="I1876" s="110"/>
      <c r="L1876" s="133">
        <v>44764</v>
      </c>
      <c r="M1876" s="110">
        <v>45.81</v>
      </c>
      <c r="N1876" s="110">
        <v>46.38</v>
      </c>
      <c r="O1876" s="110">
        <v>45.33</v>
      </c>
      <c r="P1876" s="110">
        <v>45.72</v>
      </c>
      <c r="Q1876" s="110">
        <v>229.05</v>
      </c>
      <c r="R1876">
        <v>13994613</v>
      </c>
    </row>
    <row r="1877" spans="1:18" x14ac:dyDescent="0.25">
      <c r="A1877" s="133">
        <v>44767</v>
      </c>
      <c r="B1877" s="110">
        <v>46.89</v>
      </c>
      <c r="C1877" s="110">
        <v>44.94</v>
      </c>
      <c r="D1877" s="110">
        <v>44.15</v>
      </c>
      <c r="E1877" s="110">
        <v>45.82</v>
      </c>
      <c r="F1877" s="110">
        <v>224.7</v>
      </c>
      <c r="G1877">
        <v>903775</v>
      </c>
      <c r="H1877" s="110"/>
      <c r="I1877" s="110"/>
      <c r="L1877" s="133">
        <v>44767</v>
      </c>
      <c r="M1877" s="110">
        <v>44.96</v>
      </c>
      <c r="N1877" s="110">
        <v>46.9</v>
      </c>
      <c r="O1877" s="110">
        <v>44.13</v>
      </c>
      <c r="P1877" s="110">
        <v>45.85</v>
      </c>
      <c r="Q1877" s="110">
        <v>224.8</v>
      </c>
      <c r="R1877">
        <v>27755911</v>
      </c>
    </row>
    <row r="1878" spans="1:18" x14ac:dyDescent="0.25">
      <c r="A1878" s="133">
        <v>44768</v>
      </c>
      <c r="B1878" s="110">
        <v>45.2</v>
      </c>
      <c r="C1878" s="110">
        <v>44.3</v>
      </c>
      <c r="D1878" s="110">
        <v>44.05</v>
      </c>
      <c r="E1878" s="110">
        <v>45.18</v>
      </c>
      <c r="F1878" s="110">
        <v>221.5</v>
      </c>
      <c r="G1878">
        <v>393176</v>
      </c>
      <c r="H1878" s="110"/>
      <c r="I1878" s="110"/>
      <c r="L1878" s="133">
        <v>44768</v>
      </c>
      <c r="M1878" s="110">
        <v>44.32</v>
      </c>
      <c r="N1878" s="110">
        <v>45.28</v>
      </c>
      <c r="O1878" s="110">
        <v>44.05</v>
      </c>
      <c r="P1878" s="110">
        <v>45.18</v>
      </c>
      <c r="Q1878" s="110">
        <v>221.6</v>
      </c>
      <c r="R1878">
        <v>10147905</v>
      </c>
    </row>
    <row r="1879" spans="1:18" x14ac:dyDescent="0.25">
      <c r="A1879" s="133">
        <v>44769</v>
      </c>
      <c r="B1879" s="110">
        <v>45.59</v>
      </c>
      <c r="C1879" s="110">
        <v>45.43</v>
      </c>
      <c r="D1879" s="110">
        <v>44.14</v>
      </c>
      <c r="E1879" s="110">
        <v>44.36</v>
      </c>
      <c r="F1879" s="110">
        <v>227.15</v>
      </c>
      <c r="G1879">
        <v>294703</v>
      </c>
      <c r="H1879" s="110"/>
      <c r="I1879" s="110"/>
      <c r="L1879" s="133">
        <v>44769</v>
      </c>
      <c r="M1879" s="110">
        <v>45.41</v>
      </c>
      <c r="N1879" s="110">
        <v>45.59</v>
      </c>
      <c r="O1879" s="110">
        <v>44.15</v>
      </c>
      <c r="P1879" s="110">
        <v>44.22</v>
      </c>
      <c r="Q1879" s="110">
        <v>227.05</v>
      </c>
      <c r="R1879">
        <v>8536507</v>
      </c>
    </row>
    <row r="1880" spans="1:18" x14ac:dyDescent="0.25">
      <c r="A1880" s="133">
        <v>44770</v>
      </c>
      <c r="B1880" s="110">
        <v>46</v>
      </c>
      <c r="C1880" s="110">
        <v>45.22</v>
      </c>
      <c r="D1880" s="110">
        <v>44.86</v>
      </c>
      <c r="E1880" s="110">
        <v>45.89</v>
      </c>
      <c r="F1880" s="110">
        <v>226.1</v>
      </c>
      <c r="G1880">
        <v>613353</v>
      </c>
      <c r="H1880" s="110"/>
      <c r="I1880" s="110"/>
      <c r="L1880" s="133">
        <v>44770</v>
      </c>
      <c r="M1880" s="110">
        <v>45.24</v>
      </c>
      <c r="N1880" s="110">
        <v>46</v>
      </c>
      <c r="O1880" s="110">
        <v>44.87</v>
      </c>
      <c r="P1880" s="110">
        <v>45.8</v>
      </c>
      <c r="Q1880" s="110">
        <v>226.2</v>
      </c>
      <c r="R1880">
        <v>8142350</v>
      </c>
    </row>
    <row r="1881" spans="1:18" x14ac:dyDescent="0.25">
      <c r="A1881" s="133">
        <v>44771</v>
      </c>
      <c r="B1881" s="110">
        <v>45.72</v>
      </c>
      <c r="C1881" s="110">
        <v>44.4</v>
      </c>
      <c r="D1881" s="110">
        <v>44.33</v>
      </c>
      <c r="E1881" s="110">
        <v>45.46</v>
      </c>
      <c r="F1881" s="110">
        <v>222</v>
      </c>
      <c r="G1881">
        <v>345700</v>
      </c>
      <c r="H1881" s="110"/>
      <c r="I1881" s="110"/>
      <c r="L1881" s="133">
        <v>44771</v>
      </c>
      <c r="M1881" s="110">
        <v>44.46</v>
      </c>
      <c r="N1881" s="110">
        <v>45.78</v>
      </c>
      <c r="O1881" s="110">
        <v>44.32</v>
      </c>
      <c r="P1881" s="110">
        <v>45.64</v>
      </c>
      <c r="Q1881" s="110">
        <v>222.3</v>
      </c>
      <c r="R1881">
        <v>8064414</v>
      </c>
    </row>
    <row r="1882" spans="1:18" x14ac:dyDescent="0.25">
      <c r="A1882" s="133">
        <v>44774</v>
      </c>
      <c r="B1882" s="110">
        <v>45.31</v>
      </c>
      <c r="C1882" s="110">
        <v>44.99</v>
      </c>
      <c r="D1882" s="110">
        <v>44.21</v>
      </c>
      <c r="E1882" s="110">
        <v>44.7</v>
      </c>
      <c r="F1882" s="110">
        <v>224.95</v>
      </c>
      <c r="G1882">
        <v>297566</v>
      </c>
      <c r="H1882" s="110"/>
      <c r="I1882" s="110"/>
      <c r="L1882" s="133">
        <v>44774</v>
      </c>
      <c r="M1882" s="110">
        <v>45.02</v>
      </c>
      <c r="N1882" s="110">
        <v>45.3</v>
      </c>
      <c r="O1882" s="110">
        <v>44.21</v>
      </c>
      <c r="P1882" s="110">
        <v>44.71</v>
      </c>
      <c r="Q1882" s="110">
        <v>225.1</v>
      </c>
      <c r="R1882">
        <v>6081139</v>
      </c>
    </row>
    <row r="1883" spans="1:18" x14ac:dyDescent="0.25">
      <c r="A1883" s="133">
        <v>44775</v>
      </c>
      <c r="B1883" s="110">
        <v>47.2</v>
      </c>
      <c r="C1883" s="110">
        <v>46.63</v>
      </c>
      <c r="D1883" s="110">
        <v>44.74</v>
      </c>
      <c r="E1883" s="110">
        <v>45</v>
      </c>
      <c r="F1883" s="110">
        <v>233.15</v>
      </c>
      <c r="G1883">
        <v>693097</v>
      </c>
      <c r="H1883" s="110"/>
      <c r="I1883" s="110"/>
      <c r="L1883" s="133">
        <v>44775</v>
      </c>
      <c r="M1883" s="110">
        <v>46.64</v>
      </c>
      <c r="N1883" s="110">
        <v>47.23</v>
      </c>
      <c r="O1883" s="110">
        <v>44.65</v>
      </c>
      <c r="P1883" s="110">
        <v>44.95</v>
      </c>
      <c r="Q1883" s="110">
        <v>233.2</v>
      </c>
      <c r="R1883">
        <v>19160771</v>
      </c>
    </row>
    <row r="1884" spans="1:18" x14ac:dyDescent="0.25">
      <c r="A1884" s="133">
        <v>44776</v>
      </c>
      <c r="B1884" s="110">
        <v>46.86</v>
      </c>
      <c r="C1884" s="110">
        <v>46.4</v>
      </c>
      <c r="D1884" s="110">
        <v>45.99</v>
      </c>
      <c r="E1884" s="110">
        <v>46.8</v>
      </c>
      <c r="F1884" s="110">
        <v>232</v>
      </c>
      <c r="G1884">
        <v>327973</v>
      </c>
      <c r="H1884" s="110"/>
      <c r="I1884" s="110"/>
      <c r="L1884" s="133">
        <v>44776</v>
      </c>
      <c r="M1884" s="110">
        <v>46.39</v>
      </c>
      <c r="N1884" s="110">
        <v>46.9</v>
      </c>
      <c r="O1884" s="110">
        <v>46</v>
      </c>
      <c r="P1884" s="110">
        <v>46.64</v>
      </c>
      <c r="Q1884" s="110">
        <v>231.95</v>
      </c>
      <c r="R1884">
        <v>7776379</v>
      </c>
    </row>
    <row r="1885" spans="1:18" x14ac:dyDescent="0.25">
      <c r="A1885" s="133">
        <v>44777</v>
      </c>
      <c r="B1885" s="110">
        <v>46.86</v>
      </c>
      <c r="C1885" s="110">
        <v>44.93</v>
      </c>
      <c r="D1885" s="110">
        <v>44.04</v>
      </c>
      <c r="E1885" s="110">
        <v>46.8</v>
      </c>
      <c r="F1885" s="110">
        <v>224.65</v>
      </c>
      <c r="G1885">
        <v>672283</v>
      </c>
      <c r="H1885" s="110"/>
      <c r="I1885" s="110"/>
      <c r="L1885" s="133">
        <v>44777</v>
      </c>
      <c r="M1885" s="110">
        <v>44.92</v>
      </c>
      <c r="N1885" s="110">
        <v>46.84</v>
      </c>
      <c r="O1885" s="110">
        <v>44.04</v>
      </c>
      <c r="P1885" s="110">
        <v>46.52</v>
      </c>
      <c r="Q1885" s="110">
        <v>224.6</v>
      </c>
      <c r="R1885">
        <v>12573261</v>
      </c>
    </row>
    <row r="1886" spans="1:18" x14ac:dyDescent="0.25">
      <c r="A1886" s="133">
        <v>44778</v>
      </c>
      <c r="B1886" s="110">
        <v>45.72</v>
      </c>
      <c r="C1886" s="110">
        <v>44.26</v>
      </c>
      <c r="D1886" s="110">
        <v>44.12</v>
      </c>
      <c r="E1886" s="110">
        <v>45</v>
      </c>
      <c r="F1886" s="110">
        <v>221.3</v>
      </c>
      <c r="G1886">
        <v>559037</v>
      </c>
      <c r="H1886" s="110"/>
      <c r="I1886" s="110"/>
      <c r="L1886" s="133">
        <v>44778</v>
      </c>
      <c r="M1886" s="110">
        <v>44.25</v>
      </c>
      <c r="N1886" s="110">
        <v>45.72</v>
      </c>
      <c r="O1886" s="110">
        <v>44.09</v>
      </c>
      <c r="P1886" s="110">
        <v>45</v>
      </c>
      <c r="Q1886" s="110">
        <v>221.25</v>
      </c>
      <c r="R1886">
        <v>11590985</v>
      </c>
    </row>
    <row r="1887" spans="1:18" x14ac:dyDescent="0.25">
      <c r="A1887" s="133">
        <v>44781</v>
      </c>
      <c r="B1887" s="110">
        <v>45.43</v>
      </c>
      <c r="C1887" s="110">
        <v>45.02</v>
      </c>
      <c r="D1887" s="110">
        <v>43.85</v>
      </c>
      <c r="E1887" s="110">
        <v>44.3</v>
      </c>
      <c r="F1887" s="110">
        <v>225.1</v>
      </c>
      <c r="G1887">
        <v>349250</v>
      </c>
      <c r="H1887" s="110"/>
      <c r="I1887" s="110"/>
      <c r="L1887" s="133">
        <v>44781</v>
      </c>
      <c r="M1887" s="110">
        <v>45.01</v>
      </c>
      <c r="N1887" s="110">
        <v>45.45</v>
      </c>
      <c r="O1887" s="110">
        <v>43.84</v>
      </c>
      <c r="P1887" s="110">
        <v>44.25</v>
      </c>
      <c r="Q1887" s="110">
        <v>225.05</v>
      </c>
      <c r="R1887">
        <v>8500346</v>
      </c>
    </row>
    <row r="1888" spans="1:18" x14ac:dyDescent="0.25">
      <c r="A1888" s="133">
        <v>44783</v>
      </c>
      <c r="B1888" s="110">
        <v>45.43</v>
      </c>
      <c r="C1888" s="110">
        <v>45.06</v>
      </c>
      <c r="D1888" s="110">
        <v>44.62</v>
      </c>
      <c r="E1888" s="110">
        <v>45.14</v>
      </c>
      <c r="F1888" s="110">
        <v>225.3</v>
      </c>
      <c r="G1888">
        <v>354056</v>
      </c>
      <c r="H1888" s="110"/>
      <c r="I1888" s="110"/>
      <c r="L1888" s="133">
        <v>44783</v>
      </c>
      <c r="M1888" s="110">
        <v>45.1</v>
      </c>
      <c r="N1888" s="110">
        <v>45.46</v>
      </c>
      <c r="O1888" s="110">
        <v>44.62</v>
      </c>
      <c r="P1888" s="110">
        <v>45</v>
      </c>
      <c r="Q1888" s="110">
        <v>225.5</v>
      </c>
      <c r="R1888">
        <v>5533664</v>
      </c>
    </row>
    <row r="1889" spans="1:18" x14ac:dyDescent="0.25">
      <c r="A1889" s="133">
        <v>44784</v>
      </c>
      <c r="B1889" s="110">
        <v>46.92</v>
      </c>
      <c r="C1889" s="110">
        <v>46.15</v>
      </c>
      <c r="D1889" s="110">
        <v>45.33</v>
      </c>
      <c r="E1889" s="110">
        <v>45.33</v>
      </c>
      <c r="F1889" s="110">
        <v>230.75</v>
      </c>
      <c r="G1889">
        <v>381996</v>
      </c>
      <c r="H1889" s="110"/>
      <c r="I1889" s="110"/>
      <c r="L1889" s="133">
        <v>44784</v>
      </c>
      <c r="M1889" s="110">
        <v>46.18</v>
      </c>
      <c r="N1889" s="110">
        <v>46.96</v>
      </c>
      <c r="O1889" s="110">
        <v>45.45</v>
      </c>
      <c r="P1889" s="110">
        <v>45.59</v>
      </c>
      <c r="Q1889" s="110">
        <v>230.9</v>
      </c>
      <c r="R1889">
        <v>12353148</v>
      </c>
    </row>
    <row r="1890" spans="1:18" x14ac:dyDescent="0.25">
      <c r="A1890" s="133">
        <v>44785</v>
      </c>
      <c r="B1890" s="110">
        <v>46.84</v>
      </c>
      <c r="C1890" s="110">
        <v>46.19</v>
      </c>
      <c r="D1890" s="110">
        <v>46.01</v>
      </c>
      <c r="E1890" s="110">
        <v>46.11</v>
      </c>
      <c r="F1890" s="110">
        <v>230.95</v>
      </c>
      <c r="G1890">
        <v>277613</v>
      </c>
      <c r="H1890" s="110"/>
      <c r="I1890" s="110"/>
      <c r="L1890" s="133">
        <v>44785</v>
      </c>
      <c r="M1890" s="110">
        <v>46.21</v>
      </c>
      <c r="N1890" s="110">
        <v>46.87</v>
      </c>
      <c r="O1890" s="110">
        <v>46</v>
      </c>
      <c r="P1890" s="110">
        <v>46.4</v>
      </c>
      <c r="Q1890" s="110">
        <v>231.05</v>
      </c>
      <c r="R1890">
        <v>7502541</v>
      </c>
    </row>
    <row r="1891" spans="1:18" x14ac:dyDescent="0.25">
      <c r="A1891" s="133">
        <v>44789</v>
      </c>
      <c r="B1891" s="110">
        <v>46.82</v>
      </c>
      <c r="C1891" s="110">
        <v>46.41</v>
      </c>
      <c r="D1891" s="110">
        <v>46.11</v>
      </c>
      <c r="E1891" s="110">
        <v>46.3</v>
      </c>
      <c r="F1891" s="110">
        <v>232.05</v>
      </c>
      <c r="G1891">
        <v>174701</v>
      </c>
      <c r="H1891" s="110"/>
      <c r="I1891" s="110"/>
      <c r="L1891" s="133">
        <v>44789</v>
      </c>
      <c r="M1891" s="110">
        <v>46.43</v>
      </c>
      <c r="N1891" s="110">
        <v>46.82</v>
      </c>
      <c r="O1891" s="110">
        <v>46.11</v>
      </c>
      <c r="P1891" s="110">
        <v>46.52</v>
      </c>
      <c r="Q1891" s="110">
        <v>232.15</v>
      </c>
      <c r="R1891">
        <v>7863461</v>
      </c>
    </row>
    <row r="1892" spans="1:18" x14ac:dyDescent="0.25">
      <c r="A1892" s="133">
        <v>44790</v>
      </c>
      <c r="B1892" s="110">
        <v>48.01</v>
      </c>
      <c r="C1892" s="110">
        <v>47.85</v>
      </c>
      <c r="D1892" s="110">
        <v>46.45</v>
      </c>
      <c r="E1892" s="110">
        <v>46.47</v>
      </c>
      <c r="F1892" s="110">
        <v>239.25</v>
      </c>
      <c r="G1892">
        <v>417516</v>
      </c>
      <c r="H1892" s="110"/>
      <c r="I1892" s="110"/>
      <c r="L1892" s="133">
        <v>44790</v>
      </c>
      <c r="M1892" s="110">
        <v>47.84</v>
      </c>
      <c r="N1892" s="110">
        <v>48.03</v>
      </c>
      <c r="O1892" s="110">
        <v>46.43</v>
      </c>
      <c r="P1892" s="110">
        <v>46.69</v>
      </c>
      <c r="Q1892" s="110">
        <v>239.2</v>
      </c>
      <c r="R1892">
        <v>15176003</v>
      </c>
    </row>
    <row r="1893" spans="1:18" x14ac:dyDescent="0.25">
      <c r="A1893" s="133">
        <v>44791</v>
      </c>
      <c r="B1893" s="110">
        <v>48.38</v>
      </c>
      <c r="C1893" s="110">
        <v>47.98</v>
      </c>
      <c r="D1893" s="110">
        <v>47.53</v>
      </c>
      <c r="E1893" s="110">
        <v>48</v>
      </c>
      <c r="F1893" s="110">
        <v>239.9</v>
      </c>
      <c r="G1893">
        <v>647950</v>
      </c>
      <c r="H1893" s="110"/>
      <c r="I1893" s="110"/>
      <c r="L1893" s="133">
        <v>44791</v>
      </c>
      <c r="M1893" s="110">
        <v>47.99</v>
      </c>
      <c r="N1893" s="110">
        <v>48.4</v>
      </c>
      <c r="O1893" s="110">
        <v>47.52</v>
      </c>
      <c r="P1893" s="110">
        <v>47.9</v>
      </c>
      <c r="Q1893" s="110">
        <v>239.95</v>
      </c>
      <c r="R1893">
        <v>11467757</v>
      </c>
    </row>
    <row r="1894" spans="1:18" x14ac:dyDescent="0.25">
      <c r="A1894" s="133">
        <v>44792</v>
      </c>
      <c r="B1894" s="110">
        <v>48.09</v>
      </c>
      <c r="C1894" s="110">
        <v>46.15</v>
      </c>
      <c r="D1894" s="110">
        <v>45.99</v>
      </c>
      <c r="E1894" s="110">
        <v>48.08</v>
      </c>
      <c r="F1894" s="110">
        <v>230.75</v>
      </c>
      <c r="G1894">
        <v>366721</v>
      </c>
      <c r="H1894" s="110"/>
      <c r="I1894" s="110"/>
      <c r="L1894" s="133">
        <v>44792</v>
      </c>
      <c r="M1894" s="110">
        <v>46.13</v>
      </c>
      <c r="N1894" s="110">
        <v>48.16</v>
      </c>
      <c r="O1894" s="110">
        <v>45.97</v>
      </c>
      <c r="P1894" s="110">
        <v>48</v>
      </c>
      <c r="Q1894" s="110">
        <v>230.65</v>
      </c>
      <c r="R1894">
        <v>12105092</v>
      </c>
    </row>
    <row r="1895" spans="1:18" x14ac:dyDescent="0.25">
      <c r="A1895" s="133">
        <v>44795</v>
      </c>
      <c r="B1895" s="110">
        <v>45.84</v>
      </c>
      <c r="C1895" s="110">
        <v>44.41</v>
      </c>
      <c r="D1895" s="110">
        <v>44.26</v>
      </c>
      <c r="E1895" s="110">
        <v>45.8</v>
      </c>
      <c r="F1895" s="110">
        <v>222.05</v>
      </c>
      <c r="G1895">
        <v>554551</v>
      </c>
      <c r="H1895" s="110"/>
      <c r="I1895" s="110"/>
      <c r="L1895" s="133">
        <v>44795</v>
      </c>
      <c r="M1895" s="110">
        <v>44.41</v>
      </c>
      <c r="N1895" s="110">
        <v>45.88</v>
      </c>
      <c r="O1895" s="110">
        <v>44.23</v>
      </c>
      <c r="P1895" s="110">
        <v>45.84</v>
      </c>
      <c r="Q1895" s="110">
        <v>222.05</v>
      </c>
      <c r="R1895">
        <v>8326241</v>
      </c>
    </row>
    <row r="1896" spans="1:18" x14ac:dyDescent="0.25">
      <c r="A1896" s="133">
        <v>44796</v>
      </c>
      <c r="B1896" s="110">
        <v>45.98</v>
      </c>
      <c r="C1896" s="110">
        <v>45.78</v>
      </c>
      <c r="D1896" s="110">
        <v>43.82</v>
      </c>
      <c r="E1896" s="110">
        <v>43.82</v>
      </c>
      <c r="F1896" s="110">
        <v>228.9</v>
      </c>
      <c r="G1896">
        <v>681603</v>
      </c>
      <c r="H1896" s="110"/>
      <c r="I1896" s="110"/>
      <c r="L1896" s="133">
        <v>44796</v>
      </c>
      <c r="M1896" s="110">
        <v>45.82</v>
      </c>
      <c r="N1896" s="110">
        <v>46</v>
      </c>
      <c r="O1896" s="110">
        <v>43.79</v>
      </c>
      <c r="P1896" s="110">
        <v>44.02</v>
      </c>
      <c r="Q1896" s="110">
        <v>229.1</v>
      </c>
      <c r="R1896">
        <v>9551624</v>
      </c>
    </row>
    <row r="1897" spans="1:18" x14ac:dyDescent="0.25">
      <c r="A1897" s="133">
        <v>44797</v>
      </c>
      <c r="B1897" s="110">
        <v>46.49</v>
      </c>
      <c r="C1897" s="110">
        <v>46.42</v>
      </c>
      <c r="D1897" s="110">
        <v>45.46</v>
      </c>
      <c r="E1897" s="110">
        <v>45.94</v>
      </c>
      <c r="F1897" s="110">
        <v>232.1</v>
      </c>
      <c r="G1897">
        <v>266801</v>
      </c>
      <c r="H1897" s="110"/>
      <c r="I1897" s="110"/>
      <c r="L1897" s="133">
        <v>44797</v>
      </c>
      <c r="M1897" s="110">
        <v>46.42</v>
      </c>
      <c r="N1897" s="110">
        <v>46.5</v>
      </c>
      <c r="O1897" s="110">
        <v>45.46</v>
      </c>
      <c r="P1897" s="110">
        <v>45.73</v>
      </c>
      <c r="Q1897" s="110">
        <v>232.1</v>
      </c>
      <c r="R1897">
        <v>7896054</v>
      </c>
    </row>
    <row r="1898" spans="1:18" x14ac:dyDescent="0.25">
      <c r="A1898" s="133">
        <v>44798</v>
      </c>
      <c r="B1898" s="110">
        <v>48.39</v>
      </c>
      <c r="C1898" s="110">
        <v>47.73</v>
      </c>
      <c r="D1898" s="110">
        <v>46.6</v>
      </c>
      <c r="E1898" s="110">
        <v>46.78</v>
      </c>
      <c r="F1898" s="110">
        <v>238.65</v>
      </c>
      <c r="G1898">
        <v>1185221</v>
      </c>
      <c r="H1898" s="110"/>
      <c r="I1898" s="110"/>
      <c r="L1898" s="133">
        <v>44798</v>
      </c>
      <c r="M1898" s="110">
        <v>47.75</v>
      </c>
      <c r="N1898" s="110">
        <v>48.4</v>
      </c>
      <c r="O1898" s="110">
        <v>46.6</v>
      </c>
      <c r="P1898" s="110">
        <v>46.66</v>
      </c>
      <c r="Q1898" s="110">
        <v>238.75</v>
      </c>
      <c r="R1898">
        <v>17824001</v>
      </c>
    </row>
    <row r="1899" spans="1:18" x14ac:dyDescent="0.25">
      <c r="A1899" s="133">
        <v>44799</v>
      </c>
      <c r="B1899" s="110">
        <v>48.9</v>
      </c>
      <c r="C1899" s="110">
        <v>47.89</v>
      </c>
      <c r="D1899" s="110">
        <v>47.76</v>
      </c>
      <c r="E1899" s="110">
        <v>48.38</v>
      </c>
      <c r="F1899" s="110">
        <v>239.45</v>
      </c>
      <c r="G1899">
        <v>340920</v>
      </c>
      <c r="H1899" s="110"/>
      <c r="I1899" s="110"/>
      <c r="L1899" s="133">
        <v>44799</v>
      </c>
      <c r="M1899" s="110">
        <v>47.9</v>
      </c>
      <c r="N1899" s="110">
        <v>48.91</v>
      </c>
      <c r="O1899" s="110">
        <v>47.75</v>
      </c>
      <c r="P1899" s="110">
        <v>48.21</v>
      </c>
      <c r="Q1899" s="110">
        <v>239.5</v>
      </c>
      <c r="R1899">
        <v>12374971</v>
      </c>
    </row>
    <row r="1900" spans="1:18" x14ac:dyDescent="0.25">
      <c r="A1900" s="133">
        <v>44802</v>
      </c>
      <c r="B1900" s="110">
        <v>47.15</v>
      </c>
      <c r="C1900" s="110">
        <v>47.02</v>
      </c>
      <c r="D1900" s="110">
        <v>45.89</v>
      </c>
      <c r="E1900" s="110">
        <v>46.11</v>
      </c>
      <c r="F1900" s="110">
        <v>235.1</v>
      </c>
      <c r="G1900">
        <v>207704</v>
      </c>
      <c r="H1900" s="110"/>
      <c r="I1900" s="110"/>
      <c r="L1900" s="133">
        <v>44802</v>
      </c>
      <c r="M1900" s="110">
        <v>47</v>
      </c>
      <c r="N1900" s="110">
        <v>47.13</v>
      </c>
      <c r="O1900" s="110">
        <v>45.9</v>
      </c>
      <c r="P1900" s="110">
        <v>46.4</v>
      </c>
      <c r="Q1900" s="110">
        <v>235</v>
      </c>
      <c r="R1900">
        <v>7375450</v>
      </c>
    </row>
    <row r="1901" spans="1:18" x14ac:dyDescent="0.25">
      <c r="A1901" s="133">
        <v>44803</v>
      </c>
      <c r="B1901" s="110">
        <v>48.49</v>
      </c>
      <c r="C1901" s="110">
        <v>48.22</v>
      </c>
      <c r="D1901" s="110">
        <v>47.26</v>
      </c>
      <c r="E1901" s="110">
        <v>47.26</v>
      </c>
      <c r="F1901" s="110">
        <v>241.1</v>
      </c>
      <c r="G1901">
        <v>786212</v>
      </c>
      <c r="H1901" s="110"/>
      <c r="I1901" s="110"/>
      <c r="L1901" s="133">
        <v>44803</v>
      </c>
      <c r="M1901" s="110">
        <v>48.22</v>
      </c>
      <c r="N1901" s="110">
        <v>48.5</v>
      </c>
      <c r="O1901" s="110">
        <v>47.38</v>
      </c>
      <c r="P1901" s="110">
        <v>47.44</v>
      </c>
      <c r="Q1901" s="110">
        <v>241.1</v>
      </c>
      <c r="R1901">
        <v>10488139</v>
      </c>
    </row>
    <row r="1902" spans="1:18" x14ac:dyDescent="0.25">
      <c r="A1902" s="133">
        <v>44805</v>
      </c>
      <c r="B1902" s="110">
        <v>49.3</v>
      </c>
      <c r="C1902" s="110">
        <v>48.89</v>
      </c>
      <c r="D1902" s="110">
        <v>47.51</v>
      </c>
      <c r="E1902" s="110">
        <v>47.8</v>
      </c>
      <c r="F1902" s="110">
        <v>244.45</v>
      </c>
      <c r="G1902">
        <v>705978</v>
      </c>
      <c r="H1902" s="110"/>
      <c r="I1902" s="110"/>
      <c r="L1902" s="133">
        <v>44805</v>
      </c>
      <c r="M1902" s="110">
        <v>48.9</v>
      </c>
      <c r="N1902" s="110">
        <v>49.3</v>
      </c>
      <c r="O1902" s="110">
        <v>47.49</v>
      </c>
      <c r="P1902" s="110">
        <v>47.6</v>
      </c>
      <c r="Q1902" s="110">
        <v>244.5</v>
      </c>
      <c r="R1902">
        <v>10218402</v>
      </c>
    </row>
    <row r="1903" spans="1:18" x14ac:dyDescent="0.25">
      <c r="A1903" s="133">
        <v>44806</v>
      </c>
      <c r="B1903" s="110">
        <v>49.59</v>
      </c>
      <c r="C1903" s="110">
        <v>48.76</v>
      </c>
      <c r="D1903" s="110">
        <v>48.15</v>
      </c>
      <c r="E1903" s="110">
        <v>49.59</v>
      </c>
      <c r="F1903" s="110">
        <v>243.8</v>
      </c>
      <c r="G1903">
        <v>275925</v>
      </c>
      <c r="H1903" s="110"/>
      <c r="I1903" s="110"/>
      <c r="L1903" s="133">
        <v>44806</v>
      </c>
      <c r="M1903" s="110">
        <v>48.76</v>
      </c>
      <c r="N1903" s="110">
        <v>49.26</v>
      </c>
      <c r="O1903" s="110">
        <v>48.21</v>
      </c>
      <c r="P1903" s="110">
        <v>49.15</v>
      </c>
      <c r="Q1903" s="110">
        <v>243.8</v>
      </c>
      <c r="R1903">
        <v>8190959</v>
      </c>
    </row>
    <row r="1904" spans="1:18" x14ac:dyDescent="0.25">
      <c r="A1904" s="133">
        <v>44809</v>
      </c>
      <c r="B1904" s="110">
        <v>49.5</v>
      </c>
      <c r="C1904" s="110">
        <v>49.05</v>
      </c>
      <c r="D1904" s="110">
        <v>48.68</v>
      </c>
      <c r="E1904" s="110">
        <v>48.7</v>
      </c>
      <c r="F1904" s="110">
        <v>245.25</v>
      </c>
      <c r="G1904">
        <v>356129</v>
      </c>
      <c r="H1904" s="110"/>
      <c r="I1904" s="110"/>
      <c r="L1904" s="133">
        <v>44809</v>
      </c>
      <c r="M1904" s="110">
        <v>49.06</v>
      </c>
      <c r="N1904" s="110">
        <v>49.5</v>
      </c>
      <c r="O1904" s="110">
        <v>48.75</v>
      </c>
      <c r="P1904" s="110">
        <v>48.76</v>
      </c>
      <c r="Q1904" s="110">
        <v>245.3</v>
      </c>
      <c r="R1904">
        <v>5727671</v>
      </c>
    </row>
    <row r="1905" spans="1:18" x14ac:dyDescent="0.25">
      <c r="A1905" s="133">
        <v>44810</v>
      </c>
      <c r="B1905" s="110">
        <v>49.5</v>
      </c>
      <c r="C1905" s="110">
        <v>48.87</v>
      </c>
      <c r="D1905" s="110">
        <v>48.38</v>
      </c>
      <c r="E1905" s="110">
        <v>49.13</v>
      </c>
      <c r="F1905" s="110">
        <v>244.35</v>
      </c>
      <c r="G1905">
        <v>200608</v>
      </c>
      <c r="H1905" s="110"/>
      <c r="I1905" s="110"/>
      <c r="L1905" s="133">
        <v>44810</v>
      </c>
      <c r="M1905" s="110">
        <v>48.86</v>
      </c>
      <c r="N1905" s="110">
        <v>49.5</v>
      </c>
      <c r="O1905" s="110">
        <v>48.4</v>
      </c>
      <c r="P1905" s="110">
        <v>49.39</v>
      </c>
      <c r="Q1905" s="110">
        <v>244.3</v>
      </c>
      <c r="R1905">
        <v>5488521</v>
      </c>
    </row>
    <row r="1906" spans="1:18" x14ac:dyDescent="0.25">
      <c r="A1906" s="133">
        <v>44811</v>
      </c>
      <c r="B1906" s="110">
        <v>48.88</v>
      </c>
      <c r="C1906" s="110">
        <v>48.2</v>
      </c>
      <c r="D1906" s="110">
        <v>48.09</v>
      </c>
      <c r="E1906" s="110">
        <v>48.7</v>
      </c>
      <c r="F1906" s="110">
        <v>241</v>
      </c>
      <c r="G1906">
        <v>234059</v>
      </c>
      <c r="H1906" s="110"/>
      <c r="I1906" s="110"/>
      <c r="L1906" s="133">
        <v>44811</v>
      </c>
      <c r="M1906" s="110">
        <v>48.24</v>
      </c>
      <c r="N1906" s="110">
        <v>48.87</v>
      </c>
      <c r="O1906" s="110">
        <v>48.05</v>
      </c>
      <c r="P1906" s="110">
        <v>48.5</v>
      </c>
      <c r="Q1906" s="110">
        <v>241.2</v>
      </c>
      <c r="R1906">
        <v>5235491</v>
      </c>
    </row>
    <row r="1907" spans="1:18" x14ac:dyDescent="0.25">
      <c r="A1907" s="133">
        <v>44812</v>
      </c>
      <c r="B1907" s="110">
        <v>49.4</v>
      </c>
      <c r="C1907" s="110">
        <v>48.99</v>
      </c>
      <c r="D1907" s="110">
        <v>48.55</v>
      </c>
      <c r="E1907" s="110">
        <v>48.63</v>
      </c>
      <c r="F1907" s="110">
        <v>244.95</v>
      </c>
      <c r="G1907">
        <v>259851</v>
      </c>
      <c r="H1907" s="110"/>
      <c r="I1907" s="110"/>
      <c r="L1907" s="133">
        <v>44812</v>
      </c>
      <c r="M1907" s="110">
        <v>49</v>
      </c>
      <c r="N1907" s="110">
        <v>49.4</v>
      </c>
      <c r="O1907" s="110">
        <v>48.52</v>
      </c>
      <c r="P1907" s="110">
        <v>48.88</v>
      </c>
      <c r="Q1907" s="110">
        <v>245</v>
      </c>
      <c r="R1907">
        <v>8929560</v>
      </c>
    </row>
    <row r="1908" spans="1:18" x14ac:dyDescent="0.25">
      <c r="A1908" s="133">
        <v>44813</v>
      </c>
      <c r="B1908" s="110">
        <v>49.93</v>
      </c>
      <c r="C1908" s="110">
        <v>48.7</v>
      </c>
      <c r="D1908" s="110">
        <v>48.61</v>
      </c>
      <c r="E1908" s="110">
        <v>49.22</v>
      </c>
      <c r="F1908" s="110">
        <v>243.5</v>
      </c>
      <c r="G1908">
        <v>350409</v>
      </c>
      <c r="H1908" s="110"/>
      <c r="I1908" s="110"/>
      <c r="L1908" s="133">
        <v>44813</v>
      </c>
      <c r="M1908" s="110">
        <v>48.71</v>
      </c>
      <c r="N1908" s="110">
        <v>49.94</v>
      </c>
      <c r="O1908" s="110">
        <v>48.61</v>
      </c>
      <c r="P1908" s="110">
        <v>49.35</v>
      </c>
      <c r="Q1908" s="110">
        <v>243.55</v>
      </c>
      <c r="R1908">
        <v>11397817</v>
      </c>
    </row>
    <row r="1909" spans="1:18" x14ac:dyDescent="0.25">
      <c r="A1909" s="133">
        <v>44816</v>
      </c>
      <c r="B1909" s="110">
        <v>49.83</v>
      </c>
      <c r="C1909" s="110">
        <v>49.43</v>
      </c>
      <c r="D1909" s="110">
        <v>48.7</v>
      </c>
      <c r="E1909" s="110">
        <v>48.9</v>
      </c>
      <c r="F1909" s="110">
        <v>247.15</v>
      </c>
      <c r="G1909">
        <v>164192</v>
      </c>
      <c r="H1909" s="110"/>
      <c r="I1909" s="110"/>
      <c r="L1909" s="133">
        <v>44816</v>
      </c>
      <c r="M1909" s="110">
        <v>49.42</v>
      </c>
      <c r="N1909" s="110">
        <v>49.84</v>
      </c>
      <c r="O1909" s="110">
        <v>48.69</v>
      </c>
      <c r="P1909" s="110">
        <v>48.96</v>
      </c>
      <c r="Q1909" s="110">
        <v>247.1</v>
      </c>
      <c r="R1909">
        <v>6179695</v>
      </c>
    </row>
    <row r="1910" spans="1:18" x14ac:dyDescent="0.25">
      <c r="A1910" s="133">
        <v>44817</v>
      </c>
      <c r="B1910" s="110">
        <v>49.8</v>
      </c>
      <c r="C1910" s="110">
        <v>49.36</v>
      </c>
      <c r="D1910" s="110">
        <v>49.21</v>
      </c>
      <c r="E1910" s="110">
        <v>49.21</v>
      </c>
      <c r="F1910" s="110">
        <v>246.8</v>
      </c>
      <c r="G1910">
        <v>355551</v>
      </c>
      <c r="H1910" s="110"/>
      <c r="I1910" s="110"/>
      <c r="L1910" s="133">
        <v>44817</v>
      </c>
      <c r="M1910" s="110">
        <v>49.38</v>
      </c>
      <c r="N1910" s="110">
        <v>49.82</v>
      </c>
      <c r="O1910" s="110">
        <v>49.22</v>
      </c>
      <c r="P1910" s="110">
        <v>49.6</v>
      </c>
      <c r="Q1910" s="110">
        <v>246.9</v>
      </c>
      <c r="R1910">
        <v>5225635</v>
      </c>
    </row>
    <row r="1911" spans="1:18" x14ac:dyDescent="0.25">
      <c r="A1911" s="133">
        <v>44818</v>
      </c>
      <c r="B1911" s="110">
        <v>51.48</v>
      </c>
      <c r="C1911" s="110">
        <v>51.09</v>
      </c>
      <c r="D1911" s="110">
        <v>48.16</v>
      </c>
      <c r="E1911" s="110">
        <v>48.16</v>
      </c>
      <c r="F1911" s="110">
        <v>255.45</v>
      </c>
      <c r="G1911">
        <v>616586</v>
      </c>
      <c r="H1911" s="110"/>
      <c r="I1911" s="110"/>
      <c r="L1911" s="133">
        <v>44818</v>
      </c>
      <c r="M1911" s="110">
        <v>51.06</v>
      </c>
      <c r="N1911" s="110">
        <v>51.51</v>
      </c>
      <c r="O1911" s="110">
        <v>48.44</v>
      </c>
      <c r="P1911" s="110">
        <v>48.6</v>
      </c>
      <c r="Q1911" s="110">
        <v>255.3</v>
      </c>
      <c r="R1911">
        <v>15413811</v>
      </c>
    </row>
    <row r="1912" spans="1:18" x14ac:dyDescent="0.25">
      <c r="A1912" s="133">
        <v>44819</v>
      </c>
      <c r="B1912" s="110">
        <v>51.51</v>
      </c>
      <c r="C1912" s="110">
        <v>50.57</v>
      </c>
      <c r="D1912" s="110">
        <v>50.15</v>
      </c>
      <c r="E1912" s="110">
        <v>51.14</v>
      </c>
      <c r="F1912" s="110">
        <v>252.85</v>
      </c>
      <c r="G1912">
        <v>403668</v>
      </c>
      <c r="H1912" s="110"/>
      <c r="I1912" s="110"/>
      <c r="L1912" s="133">
        <v>44819</v>
      </c>
      <c r="M1912" s="110">
        <v>50.49</v>
      </c>
      <c r="N1912" s="110">
        <v>51.53</v>
      </c>
      <c r="O1912" s="110">
        <v>50.15</v>
      </c>
      <c r="P1912" s="110">
        <v>51.34</v>
      </c>
      <c r="Q1912" s="110">
        <v>252.45</v>
      </c>
      <c r="R1912">
        <v>8322148</v>
      </c>
    </row>
    <row r="1913" spans="1:18" x14ac:dyDescent="0.25">
      <c r="A1913" s="133">
        <v>44820</v>
      </c>
      <c r="B1913" s="110">
        <v>50.88</v>
      </c>
      <c r="C1913" s="110">
        <v>48.89</v>
      </c>
      <c r="D1913" s="110">
        <v>48.22</v>
      </c>
      <c r="E1913" s="110">
        <v>49.85</v>
      </c>
      <c r="F1913" s="110">
        <v>244.45</v>
      </c>
      <c r="G1913">
        <v>475463</v>
      </c>
      <c r="H1913" s="110"/>
      <c r="I1913" s="110"/>
      <c r="L1913" s="133">
        <v>44820</v>
      </c>
      <c r="M1913" s="110">
        <v>48.87</v>
      </c>
      <c r="N1913" s="110">
        <v>50.9</v>
      </c>
      <c r="O1913" s="110">
        <v>48.2</v>
      </c>
      <c r="P1913" s="110">
        <v>50.11</v>
      </c>
      <c r="Q1913" s="110">
        <v>244.35</v>
      </c>
      <c r="R1913">
        <v>9883647</v>
      </c>
    </row>
    <row r="1914" spans="1:18" x14ac:dyDescent="0.25">
      <c r="A1914" s="133">
        <v>44823</v>
      </c>
      <c r="B1914" s="110">
        <v>50.64</v>
      </c>
      <c r="C1914" s="110">
        <v>49.42</v>
      </c>
      <c r="D1914" s="110">
        <v>48.28</v>
      </c>
      <c r="E1914" s="110">
        <v>48.33</v>
      </c>
      <c r="F1914" s="110">
        <v>247.1</v>
      </c>
      <c r="G1914">
        <v>1197909</v>
      </c>
      <c r="H1914" s="110"/>
      <c r="I1914" s="110"/>
      <c r="L1914" s="133">
        <v>44823</v>
      </c>
      <c r="M1914" s="110">
        <v>49.39</v>
      </c>
      <c r="N1914" s="110">
        <v>50.65</v>
      </c>
      <c r="O1914" s="110">
        <v>48.62</v>
      </c>
      <c r="P1914" s="110">
        <v>48.84</v>
      </c>
      <c r="Q1914" s="110">
        <v>246.95</v>
      </c>
      <c r="R1914">
        <v>11643375</v>
      </c>
    </row>
    <row r="1915" spans="1:18" x14ac:dyDescent="0.25">
      <c r="A1915" s="133">
        <v>44824</v>
      </c>
      <c r="B1915" s="110">
        <v>50.28</v>
      </c>
      <c r="C1915" s="110">
        <v>49.71</v>
      </c>
      <c r="D1915" s="110">
        <v>49.42</v>
      </c>
      <c r="E1915" s="110">
        <v>49.47</v>
      </c>
      <c r="F1915" s="110">
        <v>248.55</v>
      </c>
      <c r="G1915">
        <v>521144</v>
      </c>
      <c r="H1915" s="110"/>
      <c r="I1915" s="110"/>
      <c r="L1915" s="133">
        <v>44824</v>
      </c>
      <c r="M1915" s="110">
        <v>49.74</v>
      </c>
      <c r="N1915" s="110">
        <v>50.28</v>
      </c>
      <c r="O1915" s="110">
        <v>49.42</v>
      </c>
      <c r="P1915" s="110">
        <v>49.8</v>
      </c>
      <c r="Q1915" s="110">
        <v>248.7</v>
      </c>
      <c r="R1915">
        <v>6549142</v>
      </c>
    </row>
    <row r="1916" spans="1:18" x14ac:dyDescent="0.25">
      <c r="A1916" s="133">
        <v>44825</v>
      </c>
      <c r="B1916" s="110">
        <v>50.2</v>
      </c>
      <c r="C1916" s="110">
        <v>49.49</v>
      </c>
      <c r="D1916" s="110">
        <v>48.92</v>
      </c>
      <c r="E1916" s="110">
        <v>49.74</v>
      </c>
      <c r="F1916" s="110">
        <v>247.45</v>
      </c>
      <c r="G1916">
        <v>267413</v>
      </c>
      <c r="H1916" s="110"/>
      <c r="I1916" s="110"/>
      <c r="L1916" s="133">
        <v>44825</v>
      </c>
      <c r="M1916" s="110">
        <v>49.49</v>
      </c>
      <c r="N1916" s="110">
        <v>50.2</v>
      </c>
      <c r="O1916" s="110">
        <v>48.91</v>
      </c>
      <c r="P1916" s="110">
        <v>49.62</v>
      </c>
      <c r="Q1916" s="110">
        <v>247.45</v>
      </c>
      <c r="R1916">
        <v>7639190</v>
      </c>
    </row>
    <row r="1917" spans="1:18" x14ac:dyDescent="0.25">
      <c r="A1917" s="133">
        <v>44826</v>
      </c>
      <c r="B1917" s="110">
        <v>49.84</v>
      </c>
      <c r="C1917" s="110">
        <v>48.58</v>
      </c>
      <c r="D1917" s="110">
        <v>48.08</v>
      </c>
      <c r="E1917" s="110">
        <v>49</v>
      </c>
      <c r="F1917" s="110">
        <v>242.9</v>
      </c>
      <c r="G1917">
        <v>513571</v>
      </c>
      <c r="H1917" s="110"/>
      <c r="I1917" s="110"/>
      <c r="L1917" s="133">
        <v>44826</v>
      </c>
      <c r="M1917" s="110">
        <v>48.59</v>
      </c>
      <c r="N1917" s="110">
        <v>49.86</v>
      </c>
      <c r="O1917" s="110">
        <v>48.08</v>
      </c>
      <c r="P1917" s="110">
        <v>49.2</v>
      </c>
      <c r="Q1917" s="110">
        <v>242.95</v>
      </c>
      <c r="R1917">
        <v>7787175</v>
      </c>
    </row>
    <row r="1918" spans="1:18" x14ac:dyDescent="0.25">
      <c r="A1918" s="133">
        <v>44827</v>
      </c>
      <c r="B1918" s="110">
        <v>48.65</v>
      </c>
      <c r="C1918" s="110">
        <v>45.83</v>
      </c>
      <c r="D1918" s="110">
        <v>45.65</v>
      </c>
      <c r="E1918" s="110">
        <v>48.24</v>
      </c>
      <c r="F1918" s="110">
        <v>229.15</v>
      </c>
      <c r="G1918">
        <v>399580</v>
      </c>
      <c r="H1918" s="110"/>
      <c r="I1918" s="110"/>
      <c r="L1918" s="133">
        <v>44827</v>
      </c>
      <c r="M1918" s="110">
        <v>45.82</v>
      </c>
      <c r="N1918" s="110">
        <v>48.72</v>
      </c>
      <c r="O1918" s="110">
        <v>45.64</v>
      </c>
      <c r="P1918" s="110">
        <v>48.3</v>
      </c>
      <c r="Q1918" s="110">
        <v>229.1</v>
      </c>
      <c r="R1918">
        <v>11726325</v>
      </c>
    </row>
    <row r="1919" spans="1:18" x14ac:dyDescent="0.25">
      <c r="A1919" s="133">
        <v>44830</v>
      </c>
      <c r="B1919" s="110">
        <v>45.49</v>
      </c>
      <c r="C1919" s="110">
        <v>43.43</v>
      </c>
      <c r="D1919" s="110">
        <v>43.27</v>
      </c>
      <c r="E1919" s="110">
        <v>45.22</v>
      </c>
      <c r="F1919" s="110">
        <v>217.15</v>
      </c>
      <c r="G1919">
        <v>666933</v>
      </c>
      <c r="H1919" s="110"/>
      <c r="I1919" s="110"/>
      <c r="L1919" s="133">
        <v>44830</v>
      </c>
      <c r="M1919" s="110">
        <v>43.43</v>
      </c>
      <c r="N1919" s="110">
        <v>45.5</v>
      </c>
      <c r="O1919" s="110">
        <v>43.24</v>
      </c>
      <c r="P1919" s="110">
        <v>45.5</v>
      </c>
      <c r="Q1919" s="110">
        <v>217.15</v>
      </c>
      <c r="R1919">
        <v>10167429</v>
      </c>
    </row>
    <row r="1920" spans="1:18" x14ac:dyDescent="0.25">
      <c r="A1920" s="133">
        <v>44831</v>
      </c>
      <c r="B1920" s="110">
        <v>44.39</v>
      </c>
      <c r="C1920" s="110">
        <v>42.87</v>
      </c>
      <c r="D1920" s="110">
        <v>42.62</v>
      </c>
      <c r="E1920" s="110">
        <v>43.83</v>
      </c>
      <c r="F1920" s="110">
        <v>214.35</v>
      </c>
      <c r="G1920">
        <v>451456</v>
      </c>
      <c r="H1920" s="110"/>
      <c r="I1920" s="110"/>
      <c r="L1920" s="133">
        <v>44831</v>
      </c>
      <c r="M1920" s="110">
        <v>42.85</v>
      </c>
      <c r="N1920" s="110">
        <v>44.4</v>
      </c>
      <c r="O1920" s="110">
        <v>42.63</v>
      </c>
      <c r="P1920" s="110">
        <v>43.94</v>
      </c>
      <c r="Q1920" s="110">
        <v>214.25</v>
      </c>
      <c r="R1920">
        <v>8690828</v>
      </c>
    </row>
    <row r="1921" spans="1:18" x14ac:dyDescent="0.25">
      <c r="A1921" s="133">
        <v>44832</v>
      </c>
      <c r="B1921" s="110">
        <v>42.81</v>
      </c>
      <c r="C1921" s="110">
        <v>42.03</v>
      </c>
      <c r="D1921" s="110">
        <v>41.49</v>
      </c>
      <c r="E1921" s="110">
        <v>42.07</v>
      </c>
      <c r="F1921" s="110">
        <v>210.15</v>
      </c>
      <c r="G1921">
        <v>574722</v>
      </c>
      <c r="H1921" s="110"/>
      <c r="I1921" s="110"/>
      <c r="L1921" s="133">
        <v>44832</v>
      </c>
      <c r="M1921" s="110">
        <v>42</v>
      </c>
      <c r="N1921" s="110">
        <v>42.79</v>
      </c>
      <c r="O1921" s="110">
        <v>41.5</v>
      </c>
      <c r="P1921" s="110">
        <v>42.3</v>
      </c>
      <c r="Q1921" s="110">
        <v>210</v>
      </c>
      <c r="R1921">
        <v>9928268</v>
      </c>
    </row>
    <row r="1922" spans="1:18" x14ac:dyDescent="0.25">
      <c r="A1922" s="133">
        <v>44833</v>
      </c>
      <c r="B1922" s="110">
        <v>43.86</v>
      </c>
      <c r="C1922" s="110">
        <v>43.08</v>
      </c>
      <c r="D1922" s="110">
        <v>42.55</v>
      </c>
      <c r="E1922" s="110">
        <v>42.92</v>
      </c>
      <c r="F1922" s="110">
        <v>215.4</v>
      </c>
      <c r="G1922">
        <v>711482</v>
      </c>
      <c r="H1922" s="110"/>
      <c r="I1922" s="110"/>
      <c r="L1922" s="133">
        <v>44833</v>
      </c>
      <c r="M1922" s="110">
        <v>43.08</v>
      </c>
      <c r="N1922" s="110">
        <v>43.87</v>
      </c>
      <c r="O1922" s="110">
        <v>42.52</v>
      </c>
      <c r="P1922" s="110">
        <v>42.8</v>
      </c>
      <c r="Q1922" s="110">
        <v>215.4</v>
      </c>
      <c r="R1922">
        <v>15918440</v>
      </c>
    </row>
    <row r="1923" spans="1:18" x14ac:dyDescent="0.25">
      <c r="A1923" s="133">
        <v>44834</v>
      </c>
      <c r="B1923" s="110">
        <v>46</v>
      </c>
      <c r="C1923" s="110">
        <v>45.74</v>
      </c>
      <c r="D1923" s="110">
        <v>42.87</v>
      </c>
      <c r="E1923" s="110">
        <v>43.05</v>
      </c>
      <c r="F1923" s="110">
        <v>228.7</v>
      </c>
      <c r="G1923">
        <v>1160769</v>
      </c>
      <c r="H1923" s="110"/>
      <c r="I1923" s="110"/>
      <c r="L1923" s="133">
        <v>44834</v>
      </c>
      <c r="M1923" s="110">
        <v>45.75</v>
      </c>
      <c r="N1923" s="110">
        <v>46.03</v>
      </c>
      <c r="O1923" s="110">
        <v>42.88</v>
      </c>
      <c r="P1923" s="110">
        <v>43.2</v>
      </c>
      <c r="Q1923" s="110">
        <v>228.75</v>
      </c>
      <c r="R1923">
        <v>20704585</v>
      </c>
    </row>
    <row r="1924" spans="1:18" x14ac:dyDescent="0.25">
      <c r="A1924" s="133">
        <v>44837</v>
      </c>
      <c r="B1924" s="110">
        <v>46.24</v>
      </c>
      <c r="C1924" s="110">
        <v>44.47</v>
      </c>
      <c r="D1924" s="110">
        <v>44.1</v>
      </c>
      <c r="E1924" s="110">
        <v>45.58</v>
      </c>
      <c r="F1924" s="110">
        <v>222.35</v>
      </c>
      <c r="G1924">
        <v>678904</v>
      </c>
      <c r="H1924" s="110"/>
      <c r="I1924" s="110"/>
      <c r="L1924" s="133">
        <v>44837</v>
      </c>
      <c r="M1924" s="110">
        <v>44.47</v>
      </c>
      <c r="N1924" s="110">
        <v>46.26</v>
      </c>
      <c r="O1924" s="110">
        <v>44.08</v>
      </c>
      <c r="P1924" s="110">
        <v>45.58</v>
      </c>
      <c r="Q1924" s="110">
        <v>222.35</v>
      </c>
      <c r="R1924">
        <v>9734332</v>
      </c>
    </row>
    <row r="1925" spans="1:18" x14ac:dyDescent="0.25">
      <c r="A1925" s="133">
        <v>44838</v>
      </c>
      <c r="B1925" s="110">
        <v>46.2</v>
      </c>
      <c r="C1925" s="110">
        <v>45.45</v>
      </c>
      <c r="D1925" s="110">
        <v>44.99</v>
      </c>
      <c r="E1925" s="110">
        <v>45.21</v>
      </c>
      <c r="F1925" s="110">
        <v>227.25</v>
      </c>
      <c r="G1925">
        <v>382967</v>
      </c>
      <c r="H1925" s="110"/>
      <c r="I1925" s="110"/>
      <c r="L1925" s="133">
        <v>44838</v>
      </c>
      <c r="M1925" s="110">
        <v>45.44</v>
      </c>
      <c r="N1925" s="110">
        <v>46.2</v>
      </c>
      <c r="O1925" s="110">
        <v>44.97</v>
      </c>
      <c r="P1925" s="110">
        <v>45.5</v>
      </c>
      <c r="Q1925" s="110">
        <v>227.2</v>
      </c>
      <c r="R1925">
        <v>10958218</v>
      </c>
    </row>
    <row r="1926" spans="1:18" x14ac:dyDescent="0.25">
      <c r="A1926" s="133">
        <v>44840</v>
      </c>
      <c r="B1926" s="110">
        <v>46.29</v>
      </c>
      <c r="C1926" s="110">
        <v>45.41</v>
      </c>
      <c r="D1926" s="110">
        <v>45.28</v>
      </c>
      <c r="E1926" s="110">
        <v>45.78</v>
      </c>
      <c r="F1926" s="110">
        <v>227.05</v>
      </c>
      <c r="G1926">
        <v>367120</v>
      </c>
      <c r="H1926" s="110"/>
      <c r="I1926" s="110"/>
      <c r="L1926" s="133">
        <v>44840</v>
      </c>
      <c r="M1926" s="110">
        <v>45.41</v>
      </c>
      <c r="N1926" s="110">
        <v>46.31</v>
      </c>
      <c r="O1926" s="110">
        <v>45.26</v>
      </c>
      <c r="P1926" s="110">
        <v>45.8</v>
      </c>
      <c r="Q1926" s="110">
        <v>227.05</v>
      </c>
      <c r="R1926">
        <v>5994698</v>
      </c>
    </row>
    <row r="1927" spans="1:18" x14ac:dyDescent="0.25">
      <c r="A1927" s="133">
        <v>44841</v>
      </c>
      <c r="B1927" s="110">
        <v>45.92</v>
      </c>
      <c r="C1927" s="110">
        <v>45.82</v>
      </c>
      <c r="D1927" s="110">
        <v>44.55</v>
      </c>
      <c r="E1927" s="110">
        <v>45.35</v>
      </c>
      <c r="F1927" s="110">
        <v>229.1</v>
      </c>
      <c r="G1927">
        <v>466976</v>
      </c>
      <c r="H1927" s="110"/>
      <c r="I1927" s="110"/>
      <c r="L1927" s="133">
        <v>44841</v>
      </c>
      <c r="M1927" s="110">
        <v>45.81</v>
      </c>
      <c r="N1927" s="110">
        <v>45.94</v>
      </c>
      <c r="O1927" s="110">
        <v>44.54</v>
      </c>
      <c r="P1927" s="110">
        <v>45.57</v>
      </c>
      <c r="Q1927" s="110">
        <v>229.05</v>
      </c>
      <c r="R1927">
        <v>9307860</v>
      </c>
    </row>
    <row r="1928" spans="1:18" x14ac:dyDescent="0.25">
      <c r="A1928" s="133">
        <v>44844</v>
      </c>
      <c r="B1928" s="110">
        <v>45.96</v>
      </c>
      <c r="C1928" s="110">
        <v>45.52</v>
      </c>
      <c r="D1928" s="110">
        <v>44.64</v>
      </c>
      <c r="E1928" s="110">
        <v>45.26</v>
      </c>
      <c r="F1928" s="110">
        <v>227.6</v>
      </c>
      <c r="G1928">
        <v>332558</v>
      </c>
      <c r="H1928" s="110"/>
      <c r="I1928" s="110"/>
      <c r="L1928" s="133">
        <v>44844</v>
      </c>
      <c r="M1928" s="110">
        <v>45.53</v>
      </c>
      <c r="N1928" s="110">
        <v>45.97</v>
      </c>
      <c r="O1928" s="110">
        <v>44.64</v>
      </c>
      <c r="P1928" s="110">
        <v>45.19</v>
      </c>
      <c r="Q1928" s="110">
        <v>227.65</v>
      </c>
      <c r="R1928">
        <v>5360189</v>
      </c>
    </row>
    <row r="1929" spans="1:18" x14ac:dyDescent="0.25">
      <c r="A1929" s="133">
        <v>44845</v>
      </c>
      <c r="B1929" s="110">
        <v>45.7</v>
      </c>
      <c r="C1929" s="110">
        <v>44.52</v>
      </c>
      <c r="D1929" s="110">
        <v>44.38</v>
      </c>
      <c r="E1929" s="110">
        <v>45.47</v>
      </c>
      <c r="F1929" s="110">
        <v>222.6</v>
      </c>
      <c r="G1929">
        <v>762231</v>
      </c>
      <c r="H1929" s="110"/>
      <c r="I1929" s="110"/>
      <c r="L1929" s="133">
        <v>44845</v>
      </c>
      <c r="M1929" s="110">
        <v>44.54</v>
      </c>
      <c r="N1929" s="110">
        <v>45.74</v>
      </c>
      <c r="O1929" s="110">
        <v>44.38</v>
      </c>
      <c r="P1929" s="110">
        <v>45.73</v>
      </c>
      <c r="Q1929" s="110">
        <v>222.7</v>
      </c>
      <c r="R1929">
        <v>5922542</v>
      </c>
    </row>
    <row r="1930" spans="1:18" x14ac:dyDescent="0.25">
      <c r="A1930" s="133">
        <v>44846</v>
      </c>
      <c r="B1930" s="110">
        <v>45.4</v>
      </c>
      <c r="C1930" s="110">
        <v>45.2</v>
      </c>
      <c r="D1930" s="110">
        <v>44.48</v>
      </c>
      <c r="E1930" s="110">
        <v>44.61</v>
      </c>
      <c r="F1930" s="110">
        <v>226</v>
      </c>
      <c r="G1930">
        <v>341574</v>
      </c>
      <c r="H1930" s="110"/>
      <c r="I1930" s="110"/>
      <c r="L1930" s="133">
        <v>44846</v>
      </c>
      <c r="M1930" s="110">
        <v>45.2</v>
      </c>
      <c r="N1930" s="110">
        <v>45.36</v>
      </c>
      <c r="O1930" s="110">
        <v>44.45</v>
      </c>
      <c r="P1930" s="110">
        <v>44.77</v>
      </c>
      <c r="Q1930" s="110">
        <v>226</v>
      </c>
      <c r="R1930">
        <v>6012584</v>
      </c>
    </row>
    <row r="1931" spans="1:18" x14ac:dyDescent="0.25">
      <c r="A1931" s="133">
        <v>44847</v>
      </c>
      <c r="B1931" s="110">
        <v>45.31</v>
      </c>
      <c r="C1931" s="110">
        <v>44.71</v>
      </c>
      <c r="D1931" s="110">
        <v>44.2</v>
      </c>
      <c r="E1931" s="110">
        <v>44.81</v>
      </c>
      <c r="F1931" s="110">
        <v>223.55</v>
      </c>
      <c r="G1931">
        <v>324549</v>
      </c>
      <c r="H1931" s="110"/>
      <c r="I1931" s="110"/>
      <c r="L1931" s="133">
        <v>44847</v>
      </c>
      <c r="M1931" s="110">
        <v>44.7</v>
      </c>
      <c r="N1931" s="110">
        <v>45.3</v>
      </c>
      <c r="O1931" s="110">
        <v>44.2</v>
      </c>
      <c r="P1931" s="110">
        <v>44.98</v>
      </c>
      <c r="Q1931" s="110">
        <v>223.5</v>
      </c>
      <c r="R1931">
        <v>5142289</v>
      </c>
    </row>
    <row r="1932" spans="1:18" x14ac:dyDescent="0.25">
      <c r="A1932" s="133">
        <v>44848</v>
      </c>
      <c r="B1932" s="110">
        <v>46.18</v>
      </c>
      <c r="C1932" s="110">
        <v>45.33</v>
      </c>
      <c r="D1932" s="110">
        <v>45.15</v>
      </c>
      <c r="E1932" s="110">
        <v>45.64</v>
      </c>
      <c r="F1932" s="110">
        <v>226.65</v>
      </c>
      <c r="G1932">
        <v>371651</v>
      </c>
      <c r="H1932" s="110"/>
      <c r="I1932" s="110"/>
      <c r="L1932" s="133">
        <v>44848</v>
      </c>
      <c r="M1932" s="110">
        <v>45.35</v>
      </c>
      <c r="N1932" s="110">
        <v>46.2</v>
      </c>
      <c r="O1932" s="110">
        <v>45.16</v>
      </c>
      <c r="P1932" s="110">
        <v>45.78</v>
      </c>
      <c r="Q1932" s="110">
        <v>226.75</v>
      </c>
      <c r="R1932">
        <v>6943207</v>
      </c>
    </row>
    <row r="1933" spans="1:18" x14ac:dyDescent="0.25">
      <c r="A1933" s="133">
        <v>44851</v>
      </c>
      <c r="B1933" s="110">
        <v>47.65</v>
      </c>
      <c r="C1933" s="110">
        <v>47.49</v>
      </c>
      <c r="D1933" s="110">
        <v>44.66</v>
      </c>
      <c r="E1933" s="110">
        <v>45</v>
      </c>
      <c r="F1933" s="110">
        <v>237.45</v>
      </c>
      <c r="G1933">
        <v>1794075</v>
      </c>
      <c r="H1933" s="110"/>
      <c r="I1933" s="110"/>
      <c r="L1933" s="133">
        <v>44851</v>
      </c>
      <c r="M1933" s="110">
        <v>47.48</v>
      </c>
      <c r="N1933" s="110">
        <v>47.67</v>
      </c>
      <c r="O1933" s="110">
        <v>44.6</v>
      </c>
      <c r="P1933" s="110">
        <v>45.1</v>
      </c>
      <c r="Q1933" s="110">
        <v>237.4</v>
      </c>
      <c r="R1933">
        <v>17304040</v>
      </c>
    </row>
    <row r="1934" spans="1:18" x14ac:dyDescent="0.25">
      <c r="A1934" s="133">
        <v>44852</v>
      </c>
      <c r="B1934" s="110">
        <v>50.2</v>
      </c>
      <c r="C1934" s="110">
        <v>50.04</v>
      </c>
      <c r="D1934" s="110">
        <v>47.87</v>
      </c>
      <c r="E1934" s="110">
        <v>47.87</v>
      </c>
      <c r="F1934" s="110">
        <v>250.2</v>
      </c>
      <c r="G1934">
        <v>1200618</v>
      </c>
      <c r="H1934" s="110"/>
      <c r="I1934" s="110"/>
      <c r="L1934" s="133">
        <v>44852</v>
      </c>
      <c r="M1934" s="110">
        <v>50.05</v>
      </c>
      <c r="N1934" s="110">
        <v>50.22</v>
      </c>
      <c r="O1934" s="110">
        <v>47.9</v>
      </c>
      <c r="P1934" s="110">
        <v>48</v>
      </c>
      <c r="Q1934" s="110">
        <v>250.25</v>
      </c>
      <c r="R1934">
        <v>20511341</v>
      </c>
    </row>
    <row r="1935" spans="1:18" x14ac:dyDescent="0.25">
      <c r="A1935" s="133">
        <v>44853</v>
      </c>
      <c r="B1935" s="110">
        <v>51.03</v>
      </c>
      <c r="C1935" s="110">
        <v>49.99</v>
      </c>
      <c r="D1935" s="110">
        <v>49.3</v>
      </c>
      <c r="E1935" s="110">
        <v>50.06</v>
      </c>
      <c r="F1935" s="110">
        <v>249.95</v>
      </c>
      <c r="G1935">
        <v>595209</v>
      </c>
      <c r="H1935" s="110"/>
      <c r="I1935" s="110"/>
      <c r="L1935" s="133">
        <v>44853</v>
      </c>
      <c r="M1935" s="110">
        <v>49.8</v>
      </c>
      <c r="N1935" s="110">
        <v>50.54</v>
      </c>
      <c r="O1935" s="110">
        <v>49.27</v>
      </c>
      <c r="P1935" s="110">
        <v>50.2</v>
      </c>
      <c r="Q1935" s="110">
        <v>249</v>
      </c>
      <c r="R1935">
        <v>11851177</v>
      </c>
    </row>
    <row r="1936" spans="1:18" x14ac:dyDescent="0.25">
      <c r="A1936" s="133">
        <v>44854</v>
      </c>
      <c r="B1936" s="110">
        <v>52.04</v>
      </c>
      <c r="C1936" s="110">
        <v>51.78</v>
      </c>
      <c r="D1936" s="110">
        <v>47.76</v>
      </c>
      <c r="E1936" s="110">
        <v>49.46</v>
      </c>
      <c r="F1936" s="110">
        <v>258.89999999999998</v>
      </c>
      <c r="G1936">
        <v>2178850</v>
      </c>
      <c r="H1936" s="110"/>
      <c r="I1936" s="110"/>
      <c r="L1936" s="133">
        <v>44854</v>
      </c>
      <c r="M1936" s="110">
        <v>51.78</v>
      </c>
      <c r="N1936" s="110">
        <v>52.06</v>
      </c>
      <c r="O1936" s="110">
        <v>47.72</v>
      </c>
      <c r="P1936" s="110">
        <v>49.59</v>
      </c>
      <c r="Q1936" s="110">
        <v>258.89999999999998</v>
      </c>
      <c r="R1936">
        <v>47096087</v>
      </c>
    </row>
    <row r="1937" spans="1:18" x14ac:dyDescent="0.25">
      <c r="A1937" s="133">
        <v>44855</v>
      </c>
      <c r="B1937" s="110">
        <v>54.18</v>
      </c>
      <c r="C1937" s="110">
        <v>53.72</v>
      </c>
      <c r="D1937" s="110">
        <v>51.87</v>
      </c>
      <c r="E1937" s="110">
        <v>52</v>
      </c>
      <c r="F1937" s="110">
        <v>268.60000000000002</v>
      </c>
      <c r="G1937">
        <v>1824396</v>
      </c>
      <c r="H1937" s="110"/>
      <c r="I1937" s="110"/>
      <c r="L1937" s="133">
        <v>44855</v>
      </c>
      <c r="M1937" s="110">
        <v>53.71</v>
      </c>
      <c r="N1937" s="110">
        <v>54.18</v>
      </c>
      <c r="O1937" s="110">
        <v>51.89</v>
      </c>
      <c r="P1937" s="110">
        <v>52</v>
      </c>
      <c r="Q1937" s="110">
        <v>268.55</v>
      </c>
      <c r="R1937">
        <v>36000283</v>
      </c>
    </row>
    <row r="1938" spans="1:18" x14ac:dyDescent="0.25">
      <c r="A1938" s="133">
        <v>44858</v>
      </c>
      <c r="B1938" s="110">
        <v>54.59</v>
      </c>
      <c r="C1938" s="110">
        <v>54.04</v>
      </c>
      <c r="D1938" s="110">
        <v>53.8</v>
      </c>
      <c r="E1938" s="110">
        <v>54.22</v>
      </c>
      <c r="F1938" s="110">
        <v>270.2</v>
      </c>
      <c r="G1938">
        <v>319119</v>
      </c>
      <c r="H1938" s="110"/>
      <c r="I1938" s="110"/>
      <c r="L1938" s="133">
        <v>44858</v>
      </c>
      <c r="M1938" s="110">
        <v>54.1</v>
      </c>
      <c r="N1938" s="110">
        <v>54.59</v>
      </c>
      <c r="O1938" s="110">
        <v>53.8</v>
      </c>
      <c r="P1938" s="110">
        <v>54.28</v>
      </c>
      <c r="Q1938" s="110">
        <v>270.5</v>
      </c>
      <c r="R1938">
        <v>4306908</v>
      </c>
    </row>
    <row r="1939" spans="1:18" x14ac:dyDescent="0.25">
      <c r="A1939" s="133">
        <v>44859</v>
      </c>
      <c r="B1939" s="110">
        <v>57.59</v>
      </c>
      <c r="C1939" s="110">
        <v>56.86</v>
      </c>
      <c r="D1939" s="110">
        <v>53.37</v>
      </c>
      <c r="E1939" s="110">
        <v>54.1</v>
      </c>
      <c r="F1939" s="110">
        <v>284.3</v>
      </c>
      <c r="G1939">
        <v>2546547</v>
      </c>
      <c r="H1939" s="110"/>
      <c r="I1939" s="110"/>
      <c r="L1939" s="133">
        <v>44859</v>
      </c>
      <c r="M1939" s="110">
        <v>56.84</v>
      </c>
      <c r="N1939" s="110">
        <v>57.6</v>
      </c>
      <c r="O1939" s="110">
        <v>53.36</v>
      </c>
      <c r="P1939" s="110">
        <v>54.3</v>
      </c>
      <c r="Q1939" s="110">
        <v>284.2</v>
      </c>
      <c r="R1939">
        <v>35875913</v>
      </c>
    </row>
    <row r="1940" spans="1:18" x14ac:dyDescent="0.25">
      <c r="A1940" s="133">
        <v>44861</v>
      </c>
      <c r="B1940" s="110">
        <v>58.4</v>
      </c>
      <c r="C1940" s="110">
        <v>57.92</v>
      </c>
      <c r="D1940" s="110">
        <v>56.83</v>
      </c>
      <c r="E1940" s="110">
        <v>56.96</v>
      </c>
      <c r="F1940" s="110">
        <v>289.60000000000002</v>
      </c>
      <c r="G1940">
        <v>1317487</v>
      </c>
      <c r="H1940" s="110"/>
      <c r="I1940" s="110"/>
      <c r="L1940" s="133">
        <v>44861</v>
      </c>
      <c r="M1940" s="110">
        <v>57.92</v>
      </c>
      <c r="N1940" s="110">
        <v>58.4</v>
      </c>
      <c r="O1940" s="110">
        <v>56.83</v>
      </c>
      <c r="P1940" s="110">
        <v>57.09</v>
      </c>
      <c r="Q1940" s="110">
        <v>289.60000000000002</v>
      </c>
      <c r="R1940">
        <v>23982574</v>
      </c>
    </row>
    <row r="1941" spans="1:18" x14ac:dyDescent="0.25">
      <c r="A1941" s="133">
        <v>44862</v>
      </c>
      <c r="B1941" s="110">
        <v>58.74</v>
      </c>
      <c r="C1941" s="110">
        <v>57.56</v>
      </c>
      <c r="D1941" s="110">
        <v>57.16</v>
      </c>
      <c r="E1941" s="110">
        <v>57.92</v>
      </c>
      <c r="F1941" s="110">
        <v>287.8</v>
      </c>
      <c r="G1941">
        <v>1007623</v>
      </c>
      <c r="H1941" s="110"/>
      <c r="I1941" s="110"/>
      <c r="L1941" s="133">
        <v>44862</v>
      </c>
      <c r="M1941" s="110">
        <v>57.57</v>
      </c>
      <c r="N1941" s="110">
        <v>58.76</v>
      </c>
      <c r="O1941" s="110">
        <v>57.18</v>
      </c>
      <c r="P1941" s="110">
        <v>57.92</v>
      </c>
      <c r="Q1941" s="110">
        <v>287.85000000000002</v>
      </c>
      <c r="R1941">
        <v>20057666</v>
      </c>
    </row>
    <row r="1942" spans="1:18" x14ac:dyDescent="0.25">
      <c r="A1942" s="133">
        <v>44865</v>
      </c>
      <c r="B1942" s="110">
        <v>58.29</v>
      </c>
      <c r="C1942" s="110">
        <v>58.05</v>
      </c>
      <c r="D1942" s="110">
        <v>57.05</v>
      </c>
      <c r="E1942" s="110">
        <v>58</v>
      </c>
      <c r="F1942" s="110">
        <v>290.25</v>
      </c>
      <c r="G1942">
        <v>502310</v>
      </c>
      <c r="H1942" s="110"/>
      <c r="I1942" s="110"/>
      <c r="L1942" s="133">
        <v>44865</v>
      </c>
      <c r="M1942" s="110">
        <v>58.08</v>
      </c>
      <c r="N1942" s="110">
        <v>58.36</v>
      </c>
      <c r="O1942" s="110">
        <v>57.04</v>
      </c>
      <c r="P1942" s="110">
        <v>57.99</v>
      </c>
      <c r="Q1942" s="110">
        <v>290.39999999999998</v>
      </c>
      <c r="R1942">
        <v>11606785</v>
      </c>
    </row>
    <row r="1943" spans="1:18" x14ac:dyDescent="0.25">
      <c r="A1943" s="133">
        <v>44866</v>
      </c>
      <c r="B1943" s="110">
        <v>59.47</v>
      </c>
      <c r="C1943" s="110">
        <v>58.38</v>
      </c>
      <c r="D1943" s="110">
        <v>57.76</v>
      </c>
      <c r="E1943" s="110">
        <v>58.2</v>
      </c>
      <c r="F1943" s="110">
        <v>291.89999999999998</v>
      </c>
      <c r="G1943">
        <v>510407</v>
      </c>
      <c r="H1943" s="110"/>
      <c r="I1943" s="110"/>
      <c r="L1943" s="133">
        <v>44866</v>
      </c>
      <c r="M1943" s="110">
        <v>58.4</v>
      </c>
      <c r="N1943" s="110">
        <v>59.46</v>
      </c>
      <c r="O1943" s="110">
        <v>57.74</v>
      </c>
      <c r="P1943" s="110">
        <v>58.38</v>
      </c>
      <c r="Q1943" s="110">
        <v>292</v>
      </c>
      <c r="R1943">
        <v>13707108</v>
      </c>
    </row>
    <row r="1944" spans="1:18" x14ac:dyDescent="0.25">
      <c r="A1944" s="133">
        <v>44867</v>
      </c>
      <c r="B1944" s="110">
        <v>58.88</v>
      </c>
      <c r="C1944" s="110">
        <v>58.3</v>
      </c>
      <c r="D1944" s="110">
        <v>57.95</v>
      </c>
      <c r="E1944" s="110">
        <v>58.33</v>
      </c>
      <c r="F1944" s="110">
        <v>291.5</v>
      </c>
      <c r="G1944">
        <v>344273</v>
      </c>
      <c r="H1944" s="110"/>
      <c r="I1944" s="110"/>
      <c r="L1944" s="133">
        <v>44867</v>
      </c>
      <c r="M1944" s="110">
        <v>58.28</v>
      </c>
      <c r="N1944" s="110">
        <v>58.89</v>
      </c>
      <c r="O1944" s="110">
        <v>57.94</v>
      </c>
      <c r="P1944" s="110">
        <v>58.2</v>
      </c>
      <c r="Q1944" s="110">
        <v>291.39999999999998</v>
      </c>
      <c r="R1944">
        <v>8411494</v>
      </c>
    </row>
    <row r="1945" spans="1:18" x14ac:dyDescent="0.25">
      <c r="A1945" s="133">
        <v>44868</v>
      </c>
      <c r="B1945" s="110">
        <v>59.63</v>
      </c>
      <c r="C1945" s="110">
        <v>59.02</v>
      </c>
      <c r="D1945" s="110">
        <v>57.6</v>
      </c>
      <c r="E1945" s="110">
        <v>57.6</v>
      </c>
      <c r="F1945" s="110">
        <v>295.10000000000002</v>
      </c>
      <c r="G1945">
        <v>703697</v>
      </c>
      <c r="H1945" s="110"/>
      <c r="I1945" s="110"/>
      <c r="L1945" s="133">
        <v>44868</v>
      </c>
      <c r="M1945" s="110">
        <v>59.01</v>
      </c>
      <c r="N1945" s="110">
        <v>59.66</v>
      </c>
      <c r="O1945" s="110">
        <v>57.63</v>
      </c>
      <c r="P1945" s="110">
        <v>57.7</v>
      </c>
      <c r="Q1945" s="110">
        <v>295.05</v>
      </c>
      <c r="R1945">
        <v>12525371</v>
      </c>
    </row>
    <row r="1946" spans="1:18" x14ac:dyDescent="0.25">
      <c r="A1946" s="133">
        <v>44869</v>
      </c>
      <c r="B1946" s="110">
        <v>60.12</v>
      </c>
      <c r="C1946" s="110">
        <v>59.38</v>
      </c>
      <c r="D1946" s="110">
        <v>59.05</v>
      </c>
      <c r="E1946" s="110">
        <v>59.11</v>
      </c>
      <c r="F1946" s="110">
        <v>296.89999999999998</v>
      </c>
      <c r="G1946">
        <v>840855</v>
      </c>
      <c r="H1946" s="110"/>
      <c r="I1946" s="110"/>
      <c r="L1946" s="133">
        <v>44869</v>
      </c>
      <c r="M1946" s="110">
        <v>59.42</v>
      </c>
      <c r="N1946" s="110">
        <v>60.1</v>
      </c>
      <c r="O1946" s="110">
        <v>59.04</v>
      </c>
      <c r="P1946" s="110">
        <v>59.19</v>
      </c>
      <c r="Q1946" s="110">
        <v>297.10000000000002</v>
      </c>
      <c r="R1946">
        <v>11224987</v>
      </c>
    </row>
    <row r="1947" spans="1:18" x14ac:dyDescent="0.25">
      <c r="A1947" s="133">
        <v>44872</v>
      </c>
      <c r="B1947" s="110">
        <v>62.36</v>
      </c>
      <c r="C1947" s="110">
        <v>61.89</v>
      </c>
      <c r="D1947" s="110">
        <v>60.04</v>
      </c>
      <c r="E1947" s="110">
        <v>60.04</v>
      </c>
      <c r="F1947" s="110">
        <v>309.45</v>
      </c>
      <c r="G1947">
        <v>724639</v>
      </c>
      <c r="H1947" s="110"/>
      <c r="I1947" s="110"/>
      <c r="L1947" s="133">
        <v>44872</v>
      </c>
      <c r="M1947" s="110">
        <v>61.89</v>
      </c>
      <c r="N1947" s="110">
        <v>62.38</v>
      </c>
      <c r="O1947" s="110">
        <v>60.21</v>
      </c>
      <c r="P1947" s="110">
        <v>60.21</v>
      </c>
      <c r="Q1947" s="110">
        <v>309.45</v>
      </c>
      <c r="R1947">
        <v>23526948</v>
      </c>
    </row>
    <row r="1948" spans="1:18" x14ac:dyDescent="0.25">
      <c r="A1948" s="133">
        <v>44874</v>
      </c>
      <c r="B1948" s="110">
        <v>63.11</v>
      </c>
      <c r="C1948" s="110">
        <v>62.78</v>
      </c>
      <c r="D1948" s="110">
        <v>61.6</v>
      </c>
      <c r="E1948" s="110">
        <v>62.4</v>
      </c>
      <c r="F1948" s="110">
        <v>313.89999999999998</v>
      </c>
      <c r="G1948">
        <v>626826</v>
      </c>
      <c r="H1948" s="110"/>
      <c r="I1948" s="110"/>
      <c r="L1948" s="133">
        <v>44874</v>
      </c>
      <c r="M1948" s="110">
        <v>62.82</v>
      </c>
      <c r="N1948" s="110">
        <v>63.1</v>
      </c>
      <c r="O1948" s="110">
        <v>61.6</v>
      </c>
      <c r="P1948" s="110">
        <v>62.3</v>
      </c>
      <c r="Q1948" s="110">
        <v>314.10000000000002</v>
      </c>
      <c r="R1948">
        <v>16324171</v>
      </c>
    </row>
    <row r="1949" spans="1:18" x14ac:dyDescent="0.25">
      <c r="A1949" s="133">
        <v>44875</v>
      </c>
      <c r="B1949" s="110">
        <v>62.98</v>
      </c>
      <c r="C1949" s="110">
        <v>61.38</v>
      </c>
      <c r="D1949" s="110">
        <v>60.65</v>
      </c>
      <c r="E1949" s="110">
        <v>62.57</v>
      </c>
      <c r="F1949" s="110">
        <v>306.89999999999998</v>
      </c>
      <c r="G1949">
        <v>394260</v>
      </c>
      <c r="H1949" s="110"/>
      <c r="I1949" s="110"/>
      <c r="L1949" s="133">
        <v>44875</v>
      </c>
      <c r="M1949" s="110">
        <v>61.39</v>
      </c>
      <c r="N1949" s="110">
        <v>62.98</v>
      </c>
      <c r="O1949" s="110">
        <v>60.63</v>
      </c>
      <c r="P1949" s="110">
        <v>62.37</v>
      </c>
      <c r="Q1949" s="110">
        <v>306.95</v>
      </c>
      <c r="R1949">
        <v>11744532</v>
      </c>
    </row>
    <row r="1950" spans="1:18" x14ac:dyDescent="0.25">
      <c r="A1950" s="133">
        <v>44876</v>
      </c>
      <c r="B1950" s="110">
        <v>62.71</v>
      </c>
      <c r="C1950" s="110">
        <v>60.87</v>
      </c>
      <c r="D1950" s="110">
        <v>60.71</v>
      </c>
      <c r="E1950" s="110">
        <v>62.63</v>
      </c>
      <c r="F1950" s="110">
        <v>304.35000000000002</v>
      </c>
      <c r="G1950">
        <v>344873</v>
      </c>
      <c r="H1950" s="110"/>
      <c r="I1950" s="110"/>
      <c r="L1950" s="133">
        <v>44876</v>
      </c>
      <c r="M1950" s="110">
        <v>60.89</v>
      </c>
      <c r="N1950" s="110">
        <v>62.8</v>
      </c>
      <c r="O1950" s="110">
        <v>60.73</v>
      </c>
      <c r="P1950" s="110">
        <v>62.8</v>
      </c>
      <c r="Q1950" s="110">
        <v>304.45</v>
      </c>
      <c r="R1950">
        <v>11070742</v>
      </c>
    </row>
    <row r="1951" spans="1:18" x14ac:dyDescent="0.25">
      <c r="A1951" s="133">
        <v>44879</v>
      </c>
      <c r="B1951" s="110">
        <v>61.26</v>
      </c>
      <c r="C1951" s="110">
        <v>60.86</v>
      </c>
      <c r="D1951" s="110">
        <v>60.17</v>
      </c>
      <c r="E1951" s="110">
        <v>60.59</v>
      </c>
      <c r="F1951" s="110">
        <v>304.3</v>
      </c>
      <c r="G1951">
        <v>224803</v>
      </c>
      <c r="H1951" s="110"/>
      <c r="I1951" s="110"/>
      <c r="L1951" s="133">
        <v>44879</v>
      </c>
      <c r="M1951" s="110">
        <v>60.84</v>
      </c>
      <c r="N1951" s="110">
        <v>61.25</v>
      </c>
      <c r="O1951" s="110">
        <v>60.15</v>
      </c>
      <c r="P1951" s="110">
        <v>60.4</v>
      </c>
      <c r="Q1951" s="110">
        <v>304.2</v>
      </c>
      <c r="R1951">
        <v>9122879</v>
      </c>
    </row>
    <row r="1952" spans="1:18" x14ac:dyDescent="0.25">
      <c r="A1952" s="133">
        <v>44880</v>
      </c>
      <c r="B1952" s="110">
        <v>61.98</v>
      </c>
      <c r="C1952" s="110">
        <v>61.85</v>
      </c>
      <c r="D1952" s="110">
        <v>60.65</v>
      </c>
      <c r="E1952" s="110">
        <v>60.8</v>
      </c>
      <c r="F1952" s="110">
        <v>309.25</v>
      </c>
      <c r="G1952">
        <v>345359</v>
      </c>
      <c r="H1952" s="110"/>
      <c r="I1952" s="110"/>
      <c r="L1952" s="133">
        <v>44880</v>
      </c>
      <c r="M1952" s="110">
        <v>61.86</v>
      </c>
      <c r="N1952" s="110">
        <v>62.01</v>
      </c>
      <c r="O1952" s="110">
        <v>60.65</v>
      </c>
      <c r="P1952" s="110">
        <v>60.84</v>
      </c>
      <c r="Q1952" s="110">
        <v>309.3</v>
      </c>
      <c r="R1952">
        <v>7077719</v>
      </c>
    </row>
    <row r="1953" spans="1:18" x14ac:dyDescent="0.25">
      <c r="A1953" s="133">
        <v>44881</v>
      </c>
      <c r="B1953" s="110">
        <v>62.2</v>
      </c>
      <c r="C1953" s="110">
        <v>61.39</v>
      </c>
      <c r="D1953" s="110">
        <v>60.85</v>
      </c>
      <c r="E1953" s="110">
        <v>61.7</v>
      </c>
      <c r="F1953" s="110">
        <v>306.95</v>
      </c>
      <c r="G1953">
        <v>189844</v>
      </c>
      <c r="H1953" s="110"/>
      <c r="I1953" s="110"/>
      <c r="L1953" s="133">
        <v>44881</v>
      </c>
      <c r="M1953" s="110">
        <v>61.41</v>
      </c>
      <c r="N1953" s="110">
        <v>62.19</v>
      </c>
      <c r="O1953" s="110">
        <v>60.82</v>
      </c>
      <c r="P1953" s="110">
        <v>61.77</v>
      </c>
      <c r="Q1953" s="110">
        <v>307.05</v>
      </c>
      <c r="R1953">
        <v>8225494</v>
      </c>
    </row>
    <row r="1954" spans="1:18" x14ac:dyDescent="0.25">
      <c r="A1954" s="133">
        <v>44882</v>
      </c>
      <c r="B1954" s="110">
        <v>61.93</v>
      </c>
      <c r="C1954" s="110">
        <v>61.46</v>
      </c>
      <c r="D1954" s="110">
        <v>61.09</v>
      </c>
      <c r="E1954" s="110">
        <v>61.1</v>
      </c>
      <c r="F1954" s="110">
        <v>307.3</v>
      </c>
      <c r="G1954">
        <v>158639</v>
      </c>
      <c r="H1954" s="110"/>
      <c r="I1954" s="110"/>
      <c r="L1954" s="133">
        <v>44882</v>
      </c>
      <c r="M1954" s="110">
        <v>61.45</v>
      </c>
      <c r="N1954" s="110">
        <v>61.93</v>
      </c>
      <c r="O1954" s="110">
        <v>60.8</v>
      </c>
      <c r="P1954" s="110">
        <v>61.2</v>
      </c>
      <c r="Q1954" s="110">
        <v>307.25</v>
      </c>
      <c r="R1954">
        <v>5164881</v>
      </c>
    </row>
    <row r="1955" spans="1:18" x14ac:dyDescent="0.25">
      <c r="A1955" s="133">
        <v>44883</v>
      </c>
      <c r="B1955" s="110">
        <v>62.49</v>
      </c>
      <c r="C1955" s="110">
        <v>61.86</v>
      </c>
      <c r="D1955" s="110">
        <v>61.15</v>
      </c>
      <c r="E1955" s="110">
        <v>61.55</v>
      </c>
      <c r="F1955" s="110">
        <v>309.3</v>
      </c>
      <c r="G1955">
        <v>324276</v>
      </c>
      <c r="H1955" s="110"/>
      <c r="I1955" s="110"/>
      <c r="L1955" s="133">
        <v>44883</v>
      </c>
      <c r="M1955" s="110">
        <v>61.89</v>
      </c>
      <c r="N1955" s="110">
        <v>62.52</v>
      </c>
      <c r="O1955" s="110">
        <v>61.13</v>
      </c>
      <c r="P1955" s="110">
        <v>61.68</v>
      </c>
      <c r="Q1955" s="110">
        <v>309.45</v>
      </c>
      <c r="R1955">
        <v>8451988</v>
      </c>
    </row>
    <row r="1956" spans="1:18" x14ac:dyDescent="0.25">
      <c r="A1956" s="133">
        <v>44886</v>
      </c>
      <c r="B1956" s="110">
        <v>63.06</v>
      </c>
      <c r="C1956" s="110">
        <v>62.85</v>
      </c>
      <c r="D1956" s="110">
        <v>61.26</v>
      </c>
      <c r="E1956" s="110">
        <v>61.61</v>
      </c>
      <c r="F1956" s="110">
        <v>314.25</v>
      </c>
      <c r="G1956">
        <v>316379</v>
      </c>
      <c r="H1956" s="110"/>
      <c r="I1956" s="110"/>
      <c r="L1956" s="133">
        <v>44886</v>
      </c>
      <c r="M1956" s="110">
        <v>62.79</v>
      </c>
      <c r="N1956" s="110">
        <v>62.99</v>
      </c>
      <c r="O1956" s="110">
        <v>61.24</v>
      </c>
      <c r="P1956" s="110">
        <v>61.81</v>
      </c>
      <c r="Q1956" s="110">
        <v>313.95</v>
      </c>
      <c r="R1956">
        <v>11052657</v>
      </c>
    </row>
    <row r="1957" spans="1:18" x14ac:dyDescent="0.25">
      <c r="A1957" s="133">
        <v>44887</v>
      </c>
      <c r="B1957" s="110">
        <v>63.92</v>
      </c>
      <c r="C1957" s="110">
        <v>63.71</v>
      </c>
      <c r="D1957" s="110">
        <v>62.51</v>
      </c>
      <c r="E1957" s="110">
        <v>63</v>
      </c>
      <c r="F1957" s="110">
        <v>318.55</v>
      </c>
      <c r="G1957">
        <v>484272</v>
      </c>
      <c r="H1957" s="110"/>
      <c r="I1957" s="110"/>
      <c r="L1957" s="133">
        <v>44887</v>
      </c>
      <c r="M1957" s="110">
        <v>63.74</v>
      </c>
      <c r="N1957" s="110">
        <v>64</v>
      </c>
      <c r="O1957" s="110">
        <v>62.49</v>
      </c>
      <c r="P1957" s="110">
        <v>62.97</v>
      </c>
      <c r="Q1957" s="110">
        <v>318.7</v>
      </c>
      <c r="R1957">
        <v>11784103</v>
      </c>
    </row>
    <row r="1958" spans="1:18" x14ac:dyDescent="0.25">
      <c r="A1958" s="133">
        <v>44888</v>
      </c>
      <c r="B1958" s="110">
        <v>65.31</v>
      </c>
      <c r="C1958" s="110">
        <v>65</v>
      </c>
      <c r="D1958" s="110">
        <v>63.8</v>
      </c>
      <c r="E1958" s="110">
        <v>64.06</v>
      </c>
      <c r="F1958" s="110">
        <v>325</v>
      </c>
      <c r="G1958">
        <v>321730</v>
      </c>
      <c r="H1958" s="110"/>
      <c r="I1958" s="110"/>
      <c r="L1958" s="133">
        <v>44888</v>
      </c>
      <c r="M1958" s="110">
        <v>64.989999999999995</v>
      </c>
      <c r="N1958" s="110">
        <v>65.290000000000006</v>
      </c>
      <c r="O1958" s="110">
        <v>63.8</v>
      </c>
      <c r="P1958" s="110">
        <v>64.099999999999994</v>
      </c>
      <c r="Q1958" s="110">
        <v>324.95</v>
      </c>
      <c r="R1958">
        <v>12843010</v>
      </c>
    </row>
    <row r="1959" spans="1:18" x14ac:dyDescent="0.25">
      <c r="A1959" s="133">
        <v>44889</v>
      </c>
      <c r="B1959" s="110">
        <v>65.900000000000006</v>
      </c>
      <c r="C1959" s="110">
        <v>65.66</v>
      </c>
      <c r="D1959" s="110">
        <v>64.959999999999994</v>
      </c>
      <c r="E1959" s="110">
        <v>65</v>
      </c>
      <c r="F1959" s="110">
        <v>328.3</v>
      </c>
      <c r="G1959">
        <v>444728</v>
      </c>
      <c r="H1959" s="110"/>
      <c r="I1959" s="110"/>
      <c r="L1959" s="133">
        <v>44889</v>
      </c>
      <c r="M1959" s="110">
        <v>65.709999999999994</v>
      </c>
      <c r="N1959" s="110">
        <v>65.95</v>
      </c>
      <c r="O1959" s="110">
        <v>65.02</v>
      </c>
      <c r="P1959" s="110">
        <v>65.08</v>
      </c>
      <c r="Q1959" s="110">
        <v>328.55</v>
      </c>
      <c r="R1959">
        <v>7678997</v>
      </c>
    </row>
    <row r="1960" spans="1:18" x14ac:dyDescent="0.25">
      <c r="A1960" s="133">
        <v>44890</v>
      </c>
      <c r="B1960" s="110">
        <v>66.8</v>
      </c>
      <c r="C1960" s="110">
        <v>65.37</v>
      </c>
      <c r="D1960" s="110">
        <v>64.91</v>
      </c>
      <c r="E1960" s="110">
        <v>65.66</v>
      </c>
      <c r="F1960" s="110">
        <v>326.85000000000002</v>
      </c>
      <c r="G1960">
        <v>289907</v>
      </c>
      <c r="H1960" s="110"/>
      <c r="I1960" s="110"/>
      <c r="L1960" s="133">
        <v>44890</v>
      </c>
      <c r="M1960" s="110">
        <v>65.37</v>
      </c>
      <c r="N1960" s="110">
        <v>66.790000000000006</v>
      </c>
      <c r="O1960" s="110">
        <v>64.92</v>
      </c>
      <c r="P1960" s="110">
        <v>65.459999999999994</v>
      </c>
      <c r="Q1960" s="110">
        <v>326.85000000000002</v>
      </c>
      <c r="R1960">
        <v>11092300</v>
      </c>
    </row>
    <row r="1961" spans="1:18" x14ac:dyDescent="0.25">
      <c r="A1961" s="133">
        <v>44893</v>
      </c>
      <c r="B1961" s="110">
        <v>65.69</v>
      </c>
      <c r="C1961" s="110">
        <v>64.78</v>
      </c>
      <c r="D1961" s="110">
        <v>64.5</v>
      </c>
      <c r="E1961" s="110">
        <v>65.239999999999995</v>
      </c>
      <c r="F1961" s="110">
        <v>323.89999999999998</v>
      </c>
      <c r="G1961">
        <v>369606</v>
      </c>
      <c r="H1961" s="110"/>
      <c r="I1961" s="110"/>
      <c r="L1961" s="133">
        <v>44893</v>
      </c>
      <c r="M1961" s="110">
        <v>64.83</v>
      </c>
      <c r="N1961" s="110">
        <v>65.72</v>
      </c>
      <c r="O1961" s="110">
        <v>64.45</v>
      </c>
      <c r="P1961" s="110">
        <v>65.72</v>
      </c>
      <c r="Q1961" s="110">
        <v>324.14999999999998</v>
      </c>
      <c r="R1961">
        <v>6846677</v>
      </c>
    </row>
    <row r="1962" spans="1:18" x14ac:dyDescent="0.25">
      <c r="A1962" s="133">
        <v>44894</v>
      </c>
      <c r="B1962" s="110">
        <v>65.31</v>
      </c>
      <c r="C1962" s="110">
        <v>64.290000000000006</v>
      </c>
      <c r="D1962" s="110">
        <v>64.2</v>
      </c>
      <c r="E1962" s="110">
        <v>64.709999999999994</v>
      </c>
      <c r="F1962" s="110">
        <v>321.45</v>
      </c>
      <c r="G1962">
        <v>166316</v>
      </c>
      <c r="H1962" s="110"/>
      <c r="I1962" s="110"/>
      <c r="L1962" s="133">
        <v>44894</v>
      </c>
      <c r="M1962" s="110">
        <v>64.349999999999994</v>
      </c>
      <c r="N1962" s="110">
        <v>65.31</v>
      </c>
      <c r="O1962" s="110">
        <v>64.2</v>
      </c>
      <c r="P1962" s="110">
        <v>64.95</v>
      </c>
      <c r="Q1962" s="110">
        <v>321.75</v>
      </c>
      <c r="R1962">
        <v>7020591</v>
      </c>
    </row>
    <row r="1963" spans="1:18" x14ac:dyDescent="0.25">
      <c r="A1963" s="133">
        <v>44895</v>
      </c>
      <c r="B1963" s="110">
        <v>64.7</v>
      </c>
      <c r="C1963" s="110">
        <v>62.96</v>
      </c>
      <c r="D1963" s="110">
        <v>62.54</v>
      </c>
      <c r="E1963" s="110">
        <v>64.69</v>
      </c>
      <c r="F1963" s="110">
        <v>314.8</v>
      </c>
      <c r="G1963">
        <v>298400</v>
      </c>
      <c r="H1963" s="110"/>
      <c r="I1963" s="110"/>
      <c r="L1963" s="133">
        <v>44895</v>
      </c>
      <c r="M1963" s="110">
        <v>62.94</v>
      </c>
      <c r="N1963" s="110">
        <v>64.739999999999995</v>
      </c>
      <c r="O1963" s="110">
        <v>62.54</v>
      </c>
      <c r="P1963" s="110">
        <v>64.739999999999995</v>
      </c>
      <c r="Q1963" s="110">
        <v>314.7</v>
      </c>
      <c r="R1963">
        <v>22493064</v>
      </c>
    </row>
    <row r="1964" spans="1:18" x14ac:dyDescent="0.25">
      <c r="A1964" s="133">
        <v>44896</v>
      </c>
      <c r="B1964" s="110">
        <v>64.38</v>
      </c>
      <c r="C1964" s="110">
        <v>64.180000000000007</v>
      </c>
      <c r="D1964" s="110">
        <v>63.02</v>
      </c>
      <c r="E1964" s="110">
        <v>63.26</v>
      </c>
      <c r="F1964" s="110">
        <v>320.89999999999998</v>
      </c>
      <c r="G1964">
        <v>503855</v>
      </c>
      <c r="H1964" s="110"/>
      <c r="I1964" s="110"/>
      <c r="L1964" s="133">
        <v>44896</v>
      </c>
      <c r="M1964" s="110">
        <v>64.180000000000007</v>
      </c>
      <c r="N1964" s="110">
        <v>64.58</v>
      </c>
      <c r="O1964" s="110">
        <v>63.04</v>
      </c>
      <c r="P1964" s="110">
        <v>63.4</v>
      </c>
      <c r="Q1964" s="110">
        <v>320.89999999999998</v>
      </c>
      <c r="R1964">
        <v>9283193</v>
      </c>
    </row>
    <row r="1965" spans="1:18" x14ac:dyDescent="0.25">
      <c r="A1965" s="133">
        <v>44897</v>
      </c>
      <c r="B1965" s="110">
        <v>64.78</v>
      </c>
      <c r="C1965" s="110">
        <v>63.81</v>
      </c>
      <c r="D1965" s="110">
        <v>63.6</v>
      </c>
      <c r="E1965" s="110">
        <v>63.74</v>
      </c>
      <c r="F1965" s="110">
        <v>319.05</v>
      </c>
      <c r="G1965">
        <v>180008</v>
      </c>
      <c r="H1965" s="110"/>
      <c r="I1965" s="110"/>
      <c r="L1965" s="133">
        <v>44897</v>
      </c>
      <c r="M1965" s="110">
        <v>63.83</v>
      </c>
      <c r="N1965" s="110">
        <v>64.8</v>
      </c>
      <c r="O1965" s="110">
        <v>63.58</v>
      </c>
      <c r="P1965" s="110">
        <v>64.11</v>
      </c>
      <c r="Q1965" s="110">
        <v>319.14999999999998</v>
      </c>
      <c r="R1965">
        <v>5350091</v>
      </c>
    </row>
    <row r="1966" spans="1:18" x14ac:dyDescent="0.25">
      <c r="A1966" s="133">
        <v>44900</v>
      </c>
      <c r="B1966" s="110">
        <v>64.64</v>
      </c>
      <c r="C1966" s="110">
        <v>64.5</v>
      </c>
      <c r="D1966" s="110">
        <v>63.09</v>
      </c>
      <c r="E1966" s="110">
        <v>64</v>
      </c>
      <c r="F1966" s="110">
        <v>322.5</v>
      </c>
      <c r="G1966">
        <v>222309</v>
      </c>
      <c r="H1966" s="110"/>
      <c r="I1966" s="110"/>
      <c r="L1966" s="133">
        <v>44900</v>
      </c>
      <c r="M1966" s="110">
        <v>64.5</v>
      </c>
      <c r="N1966" s="110">
        <v>64.66</v>
      </c>
      <c r="O1966" s="110">
        <v>63.11</v>
      </c>
      <c r="P1966" s="110">
        <v>64</v>
      </c>
      <c r="Q1966" s="110">
        <v>322.5</v>
      </c>
      <c r="R1966">
        <v>8881872</v>
      </c>
    </row>
    <row r="1967" spans="1:18" x14ac:dyDescent="0.25">
      <c r="A1967" s="133">
        <v>44901</v>
      </c>
      <c r="B1967" s="110">
        <v>65.319999999999993</v>
      </c>
      <c r="C1967" s="110">
        <v>63.72</v>
      </c>
      <c r="D1967" s="110">
        <v>63.43</v>
      </c>
      <c r="E1967" s="110">
        <v>64.02</v>
      </c>
      <c r="F1967" s="110">
        <v>318.60000000000002</v>
      </c>
      <c r="G1967">
        <v>519259</v>
      </c>
      <c r="H1967" s="110"/>
      <c r="I1967" s="110"/>
      <c r="L1967" s="133">
        <v>44901</v>
      </c>
      <c r="M1967" s="110">
        <v>63.73</v>
      </c>
      <c r="N1967" s="110">
        <v>65.34</v>
      </c>
      <c r="O1967" s="110">
        <v>63.42</v>
      </c>
      <c r="P1967" s="110">
        <v>64.13</v>
      </c>
      <c r="Q1967" s="110">
        <v>318.64999999999998</v>
      </c>
      <c r="R1967">
        <v>13680336</v>
      </c>
    </row>
    <row r="1968" spans="1:18" x14ac:dyDescent="0.25">
      <c r="A1968" s="133">
        <v>44902</v>
      </c>
      <c r="B1968" s="110">
        <v>64.3</v>
      </c>
      <c r="C1968" s="110">
        <v>62.79</v>
      </c>
      <c r="D1968" s="110">
        <v>62.57</v>
      </c>
      <c r="E1968" s="110">
        <v>63.7</v>
      </c>
      <c r="F1968" s="110">
        <v>313.95</v>
      </c>
      <c r="G1968">
        <v>196595</v>
      </c>
      <c r="H1968" s="110"/>
      <c r="I1968" s="110"/>
      <c r="L1968" s="133">
        <v>44902</v>
      </c>
      <c r="M1968" s="110">
        <v>62.78</v>
      </c>
      <c r="N1968" s="110">
        <v>64.31</v>
      </c>
      <c r="O1968" s="110">
        <v>62.53</v>
      </c>
      <c r="P1968" s="110">
        <v>63.81</v>
      </c>
      <c r="Q1968" s="110">
        <v>313.89999999999998</v>
      </c>
      <c r="R1968">
        <v>10711609</v>
      </c>
    </row>
    <row r="1969" spans="1:18" x14ac:dyDescent="0.25">
      <c r="A1969" s="133">
        <v>44903</v>
      </c>
      <c r="B1969" s="110">
        <v>65.19</v>
      </c>
      <c r="C1969" s="110">
        <v>64.900000000000006</v>
      </c>
      <c r="D1969" s="110">
        <v>62.82</v>
      </c>
      <c r="E1969" s="110">
        <v>63.05</v>
      </c>
      <c r="F1969" s="110">
        <v>324.5</v>
      </c>
      <c r="G1969">
        <v>1021953</v>
      </c>
      <c r="H1969" s="110"/>
      <c r="I1969" s="110"/>
      <c r="L1969" s="133">
        <v>44903</v>
      </c>
      <c r="M1969" s="110">
        <v>64.88</v>
      </c>
      <c r="N1969" s="110">
        <v>65.19</v>
      </c>
      <c r="O1969" s="110">
        <v>62.83</v>
      </c>
      <c r="P1969" s="110">
        <v>63.1</v>
      </c>
      <c r="Q1969" s="110">
        <v>324.39999999999998</v>
      </c>
      <c r="R1969">
        <v>15258852</v>
      </c>
    </row>
    <row r="1970" spans="1:18" x14ac:dyDescent="0.25">
      <c r="A1970" s="133">
        <v>44904</v>
      </c>
      <c r="B1970" s="110">
        <v>66.11</v>
      </c>
      <c r="C1970" s="110">
        <v>63.54</v>
      </c>
      <c r="D1970" s="110">
        <v>62.63</v>
      </c>
      <c r="E1970" s="110">
        <v>65.2</v>
      </c>
      <c r="F1970" s="110">
        <v>317.7</v>
      </c>
      <c r="G1970">
        <v>1144757</v>
      </c>
      <c r="H1970" s="110"/>
      <c r="I1970" s="110"/>
      <c r="L1970" s="133">
        <v>44904</v>
      </c>
      <c r="M1970" s="110">
        <v>63.51</v>
      </c>
      <c r="N1970" s="110">
        <v>66.099999999999994</v>
      </c>
      <c r="O1970" s="110">
        <v>62.63</v>
      </c>
      <c r="P1970" s="110">
        <v>65.2</v>
      </c>
      <c r="Q1970" s="110">
        <v>317.55</v>
      </c>
      <c r="R1970">
        <v>19015972</v>
      </c>
    </row>
    <row r="1971" spans="1:18" x14ac:dyDescent="0.25">
      <c r="A1971" s="133">
        <v>44907</v>
      </c>
      <c r="B1971" s="110">
        <v>64.3</v>
      </c>
      <c r="C1971" s="110">
        <v>64.099999999999994</v>
      </c>
      <c r="D1971" s="110">
        <v>62.97</v>
      </c>
      <c r="E1971" s="110">
        <v>63.58</v>
      </c>
      <c r="F1971" s="110">
        <v>320.5</v>
      </c>
      <c r="G1971">
        <v>319880</v>
      </c>
      <c r="H1971" s="110"/>
      <c r="I1971" s="110"/>
      <c r="L1971" s="133">
        <v>44907</v>
      </c>
      <c r="M1971" s="110">
        <v>64.099999999999994</v>
      </c>
      <c r="N1971" s="110">
        <v>64.290000000000006</v>
      </c>
      <c r="O1971" s="110">
        <v>63</v>
      </c>
      <c r="P1971" s="110">
        <v>63.7</v>
      </c>
      <c r="Q1971" s="110">
        <v>320.5</v>
      </c>
      <c r="R1971">
        <v>6776403</v>
      </c>
    </row>
    <row r="1972" spans="1:18" x14ac:dyDescent="0.25">
      <c r="A1972" s="133">
        <v>44908</v>
      </c>
      <c r="B1972" s="110">
        <v>65.61</v>
      </c>
      <c r="C1972" s="110">
        <v>65.31</v>
      </c>
      <c r="D1972" s="110">
        <v>64.28</v>
      </c>
      <c r="E1972" s="110">
        <v>64.33</v>
      </c>
      <c r="F1972" s="110">
        <v>326.55</v>
      </c>
      <c r="G1972">
        <v>376510</v>
      </c>
      <c r="H1972" s="110"/>
      <c r="I1972" s="110"/>
      <c r="L1972" s="133">
        <v>44908</v>
      </c>
      <c r="M1972" s="110">
        <v>65.3</v>
      </c>
      <c r="N1972" s="110">
        <v>65.599999999999994</v>
      </c>
      <c r="O1972" s="110">
        <v>64.2</v>
      </c>
      <c r="P1972" s="110">
        <v>64.2</v>
      </c>
      <c r="Q1972" s="110">
        <v>326.5</v>
      </c>
      <c r="R1972">
        <v>8057444</v>
      </c>
    </row>
    <row r="1973" spans="1:18" x14ac:dyDescent="0.25">
      <c r="A1973" s="133">
        <v>44909</v>
      </c>
      <c r="B1973" s="110">
        <v>66.180000000000007</v>
      </c>
      <c r="C1973" s="110">
        <v>65.540000000000006</v>
      </c>
      <c r="D1973" s="110">
        <v>64.94</v>
      </c>
      <c r="E1973" s="110">
        <v>65.5</v>
      </c>
      <c r="F1973" s="110">
        <v>327.7</v>
      </c>
      <c r="G1973">
        <v>515639</v>
      </c>
      <c r="H1973" s="110"/>
      <c r="I1973" s="110"/>
      <c r="L1973" s="133">
        <v>44909</v>
      </c>
      <c r="M1973" s="110">
        <v>65.56</v>
      </c>
      <c r="N1973" s="110">
        <v>66.2</v>
      </c>
      <c r="O1973" s="110">
        <v>64.94</v>
      </c>
      <c r="P1973" s="110">
        <v>65.58</v>
      </c>
      <c r="Q1973" s="110">
        <v>327.8</v>
      </c>
      <c r="R1973">
        <v>10647771</v>
      </c>
    </row>
    <row r="1974" spans="1:18" x14ac:dyDescent="0.25">
      <c r="A1974" s="133">
        <v>44910</v>
      </c>
      <c r="B1974" s="110">
        <v>66</v>
      </c>
      <c r="C1974" s="110">
        <v>64.11</v>
      </c>
      <c r="D1974" s="110">
        <v>63.84</v>
      </c>
      <c r="E1974" s="110">
        <v>65.41</v>
      </c>
      <c r="F1974" s="110">
        <v>320.55</v>
      </c>
      <c r="G1974">
        <v>252285</v>
      </c>
      <c r="H1974" s="110"/>
      <c r="I1974" s="110"/>
      <c r="L1974" s="133">
        <v>44910</v>
      </c>
      <c r="M1974" s="110">
        <v>64.099999999999994</v>
      </c>
      <c r="N1974" s="110">
        <v>66</v>
      </c>
      <c r="O1974" s="110">
        <v>63.78</v>
      </c>
      <c r="P1974" s="110">
        <v>65.400000000000006</v>
      </c>
      <c r="Q1974" s="110">
        <v>320.5</v>
      </c>
      <c r="R1974">
        <v>8611510</v>
      </c>
    </row>
    <row r="1975" spans="1:18" x14ac:dyDescent="0.25">
      <c r="A1975" s="133">
        <v>44911</v>
      </c>
      <c r="B1975" s="110">
        <v>64.400000000000006</v>
      </c>
      <c r="C1975" s="110">
        <v>62.19</v>
      </c>
      <c r="D1975" s="110">
        <v>61.94</v>
      </c>
      <c r="E1975" s="110">
        <v>63.71</v>
      </c>
      <c r="F1975" s="110">
        <v>310.95</v>
      </c>
      <c r="G1975">
        <v>443831</v>
      </c>
      <c r="H1975" s="110"/>
      <c r="I1975" s="110"/>
      <c r="L1975" s="133">
        <v>44911</v>
      </c>
      <c r="M1975" s="110">
        <v>62.2</v>
      </c>
      <c r="N1975" s="110">
        <v>64.42</v>
      </c>
      <c r="O1975" s="110">
        <v>61.93</v>
      </c>
      <c r="P1975" s="110">
        <v>64</v>
      </c>
      <c r="Q1975" s="110">
        <v>311</v>
      </c>
      <c r="R1975">
        <v>10352375</v>
      </c>
    </row>
    <row r="1976" spans="1:18" x14ac:dyDescent="0.25">
      <c r="A1976" s="133">
        <v>44914</v>
      </c>
      <c r="B1976" s="110">
        <v>63.88</v>
      </c>
      <c r="C1976" s="110">
        <v>63.64</v>
      </c>
      <c r="D1976" s="110">
        <v>62.04</v>
      </c>
      <c r="E1976" s="110">
        <v>62.19</v>
      </c>
      <c r="F1976" s="110">
        <v>318.2</v>
      </c>
      <c r="G1976">
        <v>264313</v>
      </c>
      <c r="H1976" s="110"/>
      <c r="I1976" s="110"/>
      <c r="L1976" s="133">
        <v>44914</v>
      </c>
      <c r="M1976" s="110">
        <v>63.59</v>
      </c>
      <c r="N1976" s="110">
        <v>63.89</v>
      </c>
      <c r="O1976" s="110">
        <v>62.03</v>
      </c>
      <c r="P1976" s="110">
        <v>62.29</v>
      </c>
      <c r="Q1976" s="110">
        <v>317.95</v>
      </c>
      <c r="R1976">
        <v>7187079</v>
      </c>
    </row>
    <row r="1977" spans="1:18" x14ac:dyDescent="0.25">
      <c r="A1977" s="133">
        <v>44915</v>
      </c>
      <c r="B1977" s="110">
        <v>64.790000000000006</v>
      </c>
      <c r="C1977" s="110">
        <v>64.430000000000007</v>
      </c>
      <c r="D1977" s="110">
        <v>62.46</v>
      </c>
      <c r="E1977" s="110">
        <v>63.5</v>
      </c>
      <c r="F1977" s="110">
        <v>322.14999999999998</v>
      </c>
      <c r="G1977">
        <v>357245</v>
      </c>
      <c r="H1977" s="110"/>
      <c r="I1977" s="110"/>
      <c r="L1977" s="133">
        <v>44915</v>
      </c>
      <c r="M1977" s="110">
        <v>64.430000000000007</v>
      </c>
      <c r="N1977" s="110">
        <v>64.8</v>
      </c>
      <c r="O1977" s="110">
        <v>62.51</v>
      </c>
      <c r="P1977" s="110">
        <v>63.4</v>
      </c>
      <c r="Q1977" s="110">
        <v>322.14999999999998</v>
      </c>
      <c r="R1977">
        <v>7891279</v>
      </c>
    </row>
    <row r="1978" spans="1:18" x14ac:dyDescent="0.25">
      <c r="A1978" s="133">
        <v>44916</v>
      </c>
      <c r="B1978" s="110">
        <v>65.86</v>
      </c>
      <c r="C1978" s="110">
        <v>62.89</v>
      </c>
      <c r="D1978" s="110">
        <v>62.3</v>
      </c>
      <c r="E1978" s="110">
        <v>64.63</v>
      </c>
      <c r="F1978" s="110">
        <v>314.45</v>
      </c>
      <c r="G1978">
        <v>672462</v>
      </c>
      <c r="H1978" s="110"/>
      <c r="I1978" s="110"/>
      <c r="L1978" s="133">
        <v>44916</v>
      </c>
      <c r="M1978" s="110">
        <v>62.92</v>
      </c>
      <c r="N1978" s="110">
        <v>65.88</v>
      </c>
      <c r="O1978" s="110">
        <v>62.29</v>
      </c>
      <c r="P1978" s="110">
        <v>64.75</v>
      </c>
      <c r="Q1978" s="110">
        <v>314.60000000000002</v>
      </c>
      <c r="R1978">
        <v>12958461</v>
      </c>
    </row>
    <row r="1979" spans="1:18" x14ac:dyDescent="0.25">
      <c r="A1979" s="133">
        <v>44917</v>
      </c>
      <c r="B1979" s="110">
        <v>63.64</v>
      </c>
      <c r="C1979" s="110">
        <v>62.37</v>
      </c>
      <c r="D1979" s="110">
        <v>61.65</v>
      </c>
      <c r="E1979" s="110">
        <v>63.13</v>
      </c>
      <c r="F1979" s="110">
        <v>311.85000000000002</v>
      </c>
      <c r="G1979">
        <v>318754</v>
      </c>
      <c r="H1979" s="110"/>
      <c r="I1979" s="110"/>
      <c r="L1979" s="133">
        <v>44917</v>
      </c>
      <c r="M1979" s="110">
        <v>62.37</v>
      </c>
      <c r="N1979" s="110">
        <v>63.68</v>
      </c>
      <c r="O1979" s="110">
        <v>61.65</v>
      </c>
      <c r="P1979" s="110">
        <v>63.52</v>
      </c>
      <c r="Q1979" s="110">
        <v>311.85000000000002</v>
      </c>
      <c r="R1979">
        <v>10109450</v>
      </c>
    </row>
    <row r="1980" spans="1:18" x14ac:dyDescent="0.25">
      <c r="A1980" s="133">
        <v>44918</v>
      </c>
      <c r="B1980" s="110">
        <v>61.96</v>
      </c>
      <c r="C1980" s="110">
        <v>58.29</v>
      </c>
      <c r="D1980" s="110">
        <v>57.96</v>
      </c>
      <c r="E1980" s="110">
        <v>61.13</v>
      </c>
      <c r="F1980" s="110">
        <v>291.45</v>
      </c>
      <c r="G1980">
        <v>710865</v>
      </c>
      <c r="H1980" s="110"/>
      <c r="I1980" s="110"/>
      <c r="L1980" s="133">
        <v>44918</v>
      </c>
      <c r="M1980" s="110">
        <v>58.31</v>
      </c>
      <c r="N1980" s="110">
        <v>62.01</v>
      </c>
      <c r="O1980" s="110">
        <v>58.01</v>
      </c>
      <c r="P1980" s="110">
        <v>61.26</v>
      </c>
      <c r="Q1980" s="110">
        <v>291.55</v>
      </c>
      <c r="R1980">
        <v>15310273</v>
      </c>
    </row>
    <row r="1981" spans="1:18" x14ac:dyDescent="0.25">
      <c r="A1981" s="133">
        <v>44921</v>
      </c>
      <c r="B1981" s="110">
        <v>61.53</v>
      </c>
      <c r="C1981" s="110">
        <v>60.95</v>
      </c>
      <c r="D1981" s="110">
        <v>57.64</v>
      </c>
      <c r="E1981" s="110">
        <v>58.29</v>
      </c>
      <c r="F1981" s="110">
        <v>304.75</v>
      </c>
      <c r="G1981">
        <v>288539</v>
      </c>
      <c r="H1981" s="110"/>
      <c r="I1981" s="110"/>
      <c r="L1981" s="133">
        <v>44921</v>
      </c>
      <c r="M1981" s="110">
        <v>60.92</v>
      </c>
      <c r="N1981" s="110">
        <v>61.55</v>
      </c>
      <c r="O1981" s="110">
        <v>57.58</v>
      </c>
      <c r="P1981" s="110">
        <v>58.31</v>
      </c>
      <c r="Q1981" s="110">
        <v>304.60000000000002</v>
      </c>
      <c r="R1981">
        <v>11957127</v>
      </c>
    </row>
    <row r="1982" spans="1:18" x14ac:dyDescent="0.25">
      <c r="A1982" s="133">
        <v>44922</v>
      </c>
      <c r="B1982" s="110">
        <v>61.59</v>
      </c>
      <c r="C1982" s="110">
        <v>61.4</v>
      </c>
      <c r="D1982" s="110">
        <v>60.22</v>
      </c>
      <c r="E1982" s="110">
        <v>61.54</v>
      </c>
      <c r="F1982" s="110">
        <v>307</v>
      </c>
      <c r="G1982">
        <v>346172</v>
      </c>
      <c r="H1982" s="110"/>
      <c r="I1982" s="110"/>
      <c r="L1982" s="133">
        <v>44922</v>
      </c>
      <c r="M1982" s="110">
        <v>61.41</v>
      </c>
      <c r="N1982" s="110">
        <v>61.73</v>
      </c>
      <c r="O1982" s="110">
        <v>60.2</v>
      </c>
      <c r="P1982" s="110">
        <v>61.73</v>
      </c>
      <c r="Q1982" s="110">
        <v>307.05</v>
      </c>
      <c r="R1982">
        <v>7514673</v>
      </c>
    </row>
    <row r="1983" spans="1:18" x14ac:dyDescent="0.25">
      <c r="A1983" s="133">
        <v>44923</v>
      </c>
      <c r="B1983" s="110">
        <v>63.89</v>
      </c>
      <c r="C1983" s="110">
        <v>63.26</v>
      </c>
      <c r="D1983" s="110">
        <v>61.07</v>
      </c>
      <c r="E1983" s="110">
        <v>61.52</v>
      </c>
      <c r="F1983" s="110">
        <v>316.3</v>
      </c>
      <c r="G1983">
        <v>534578</v>
      </c>
      <c r="H1983" s="110"/>
      <c r="I1983" s="110"/>
      <c r="L1983" s="133">
        <v>44923</v>
      </c>
      <c r="M1983" s="110">
        <v>63.22</v>
      </c>
      <c r="N1983" s="110">
        <v>63.9</v>
      </c>
      <c r="O1983" s="110">
        <v>61.08</v>
      </c>
      <c r="P1983" s="110">
        <v>61.66</v>
      </c>
      <c r="Q1983" s="110">
        <v>316.10000000000002</v>
      </c>
      <c r="R1983">
        <v>15241820</v>
      </c>
    </row>
    <row r="1984" spans="1:18" x14ac:dyDescent="0.25">
      <c r="A1984" s="133">
        <v>44924</v>
      </c>
      <c r="B1984" s="110">
        <v>64.59</v>
      </c>
      <c r="C1984" s="110">
        <v>64.2</v>
      </c>
      <c r="D1984" s="110">
        <v>62.13</v>
      </c>
      <c r="E1984" s="110">
        <v>62.81</v>
      </c>
      <c r="F1984" s="110">
        <v>321</v>
      </c>
      <c r="G1984">
        <v>545133</v>
      </c>
      <c r="H1984" s="110"/>
      <c r="I1984" s="110"/>
      <c r="L1984" s="133">
        <v>44924</v>
      </c>
      <c r="M1984" s="110">
        <v>64.23</v>
      </c>
      <c r="N1984" s="110">
        <v>65.2</v>
      </c>
      <c r="O1984" s="110">
        <v>62.11</v>
      </c>
      <c r="P1984" s="110">
        <v>62.88</v>
      </c>
      <c r="Q1984" s="110">
        <v>321.14999999999998</v>
      </c>
      <c r="R1984">
        <v>11607517</v>
      </c>
    </row>
    <row r="1985" spans="1:18" x14ac:dyDescent="0.25">
      <c r="A1985" s="133">
        <v>44925</v>
      </c>
      <c r="B1985" s="110">
        <v>67.33</v>
      </c>
      <c r="C1985" s="110">
        <v>66.709999999999994</v>
      </c>
      <c r="D1985" s="110">
        <v>64.31</v>
      </c>
      <c r="E1985" s="110">
        <v>64.540000000000006</v>
      </c>
      <c r="F1985" s="110">
        <v>333.55</v>
      </c>
      <c r="G1985">
        <v>728941</v>
      </c>
      <c r="H1985" s="110"/>
      <c r="I1985" s="110"/>
      <c r="L1985" s="133">
        <v>44925</v>
      </c>
      <c r="M1985" s="110">
        <v>66.66</v>
      </c>
      <c r="N1985" s="110">
        <v>67.34</v>
      </c>
      <c r="O1985" s="110">
        <v>64.27</v>
      </c>
      <c r="P1985" s="110">
        <v>64.69</v>
      </c>
      <c r="Q1985" s="110">
        <v>333.3</v>
      </c>
      <c r="R1985">
        <v>18364259</v>
      </c>
    </row>
    <row r="1986" spans="1:18" x14ac:dyDescent="0.25">
      <c r="A1986" s="133">
        <v>44928</v>
      </c>
      <c r="B1986" s="110">
        <v>68.06</v>
      </c>
      <c r="C1986" s="110">
        <v>67.23</v>
      </c>
      <c r="D1986" s="110">
        <v>66.489999999999995</v>
      </c>
      <c r="E1986" s="110">
        <v>67.12</v>
      </c>
      <c r="F1986" s="110">
        <v>336.15</v>
      </c>
      <c r="G1986">
        <v>667504</v>
      </c>
      <c r="H1986" s="110"/>
      <c r="I1986" s="110"/>
      <c r="L1986" s="133">
        <v>44928</v>
      </c>
      <c r="M1986" s="110">
        <v>67.23</v>
      </c>
      <c r="N1986" s="110">
        <v>68.08</v>
      </c>
      <c r="O1986" s="110">
        <v>66.5</v>
      </c>
      <c r="P1986" s="110">
        <v>67.17</v>
      </c>
      <c r="Q1986" s="110">
        <v>336.15</v>
      </c>
      <c r="R1986">
        <v>13632732</v>
      </c>
    </row>
    <row r="1987" spans="1:18" x14ac:dyDescent="0.25">
      <c r="A1987" s="133">
        <v>44929</v>
      </c>
      <c r="B1987" s="110">
        <v>68.319999999999993</v>
      </c>
      <c r="C1987" s="110">
        <v>67.36</v>
      </c>
      <c r="D1987" s="110">
        <v>66.95</v>
      </c>
      <c r="E1987" s="110">
        <v>67.28</v>
      </c>
      <c r="F1987" s="110">
        <v>336.8</v>
      </c>
      <c r="G1987">
        <v>253976</v>
      </c>
      <c r="H1987" s="110"/>
      <c r="I1987" s="110"/>
      <c r="L1987" s="133">
        <v>44929</v>
      </c>
      <c r="M1987" s="110">
        <v>67.36</v>
      </c>
      <c r="N1987" s="110">
        <v>68.34</v>
      </c>
      <c r="O1987" s="110">
        <v>66.930000000000007</v>
      </c>
      <c r="P1987" s="110">
        <v>67.400000000000006</v>
      </c>
      <c r="Q1987" s="110">
        <v>336.8</v>
      </c>
      <c r="R1987">
        <v>11333959</v>
      </c>
    </row>
    <row r="1988" spans="1:18" x14ac:dyDescent="0.25">
      <c r="A1988" s="133">
        <v>44930</v>
      </c>
      <c r="B1988" s="110">
        <v>67.7</v>
      </c>
      <c r="C1988" s="110">
        <v>65.41</v>
      </c>
      <c r="D1988" s="110">
        <v>65.069999999999993</v>
      </c>
      <c r="E1988" s="110">
        <v>67.2</v>
      </c>
      <c r="F1988" s="110">
        <v>327.05</v>
      </c>
      <c r="G1988">
        <v>505069</v>
      </c>
      <c r="H1988" s="110"/>
      <c r="I1988" s="110"/>
      <c r="L1988" s="133">
        <v>44930</v>
      </c>
      <c r="M1988" s="110">
        <v>65.38</v>
      </c>
      <c r="N1988" s="110">
        <v>67.7</v>
      </c>
      <c r="O1988" s="110">
        <v>65.010000000000005</v>
      </c>
      <c r="P1988" s="110">
        <v>67.38</v>
      </c>
      <c r="Q1988" s="110">
        <v>326.89999999999998</v>
      </c>
      <c r="R1988">
        <v>12735248</v>
      </c>
    </row>
    <row r="1989" spans="1:18" x14ac:dyDescent="0.25">
      <c r="A1989" s="133">
        <v>44931</v>
      </c>
      <c r="B1989" s="110">
        <v>66.010000000000005</v>
      </c>
      <c r="C1989" s="110">
        <v>65.5</v>
      </c>
      <c r="D1989" s="110">
        <v>64.27</v>
      </c>
      <c r="E1989" s="110">
        <v>65.63</v>
      </c>
      <c r="F1989" s="110">
        <v>327.5</v>
      </c>
      <c r="G1989">
        <v>369714</v>
      </c>
      <c r="H1989" s="110"/>
      <c r="I1989" s="110"/>
      <c r="L1989" s="133">
        <v>44931</v>
      </c>
      <c r="M1989" s="110">
        <v>65.5</v>
      </c>
      <c r="N1989" s="110">
        <v>66.06</v>
      </c>
      <c r="O1989" s="110">
        <v>64.23</v>
      </c>
      <c r="P1989" s="110">
        <v>65.73</v>
      </c>
      <c r="Q1989" s="110">
        <v>327.5</v>
      </c>
      <c r="R1989">
        <v>9144778</v>
      </c>
    </row>
    <row r="1990" spans="1:18" x14ac:dyDescent="0.25">
      <c r="A1990" s="133">
        <v>44932</v>
      </c>
      <c r="B1990" s="110">
        <v>65.75</v>
      </c>
      <c r="C1990" s="110">
        <v>64.069999999999993</v>
      </c>
      <c r="D1990" s="110">
        <v>63.54</v>
      </c>
      <c r="E1990" s="110">
        <v>65.52</v>
      </c>
      <c r="F1990" s="110">
        <v>320.35000000000002</v>
      </c>
      <c r="G1990">
        <v>327095</v>
      </c>
      <c r="H1990" s="110"/>
      <c r="I1990" s="110"/>
      <c r="L1990" s="133">
        <v>44932</v>
      </c>
      <c r="M1990" s="110">
        <v>64.09</v>
      </c>
      <c r="N1990" s="110">
        <v>65.73</v>
      </c>
      <c r="O1990" s="110">
        <v>63.5</v>
      </c>
      <c r="P1990" s="110">
        <v>65.7</v>
      </c>
      <c r="Q1990" s="110">
        <v>320.45</v>
      </c>
      <c r="R1990">
        <v>8893004</v>
      </c>
    </row>
    <row r="1991" spans="1:18" x14ac:dyDescent="0.25">
      <c r="A1991" s="133">
        <v>44935</v>
      </c>
      <c r="B1991" s="110">
        <v>65.680000000000007</v>
      </c>
      <c r="C1991" s="110">
        <v>65.31</v>
      </c>
      <c r="D1991" s="110">
        <v>64.150000000000006</v>
      </c>
      <c r="E1991" s="110">
        <v>64.66</v>
      </c>
      <c r="F1991" s="110">
        <v>326.55</v>
      </c>
      <c r="G1991">
        <v>210819</v>
      </c>
      <c r="H1991" s="110"/>
      <c r="I1991" s="110"/>
      <c r="L1991" s="133">
        <v>44935</v>
      </c>
      <c r="M1991" s="110">
        <v>65.33</v>
      </c>
      <c r="N1991" s="110">
        <v>65.7</v>
      </c>
      <c r="O1991" s="110">
        <v>64.13</v>
      </c>
      <c r="P1991" s="110">
        <v>64.8</v>
      </c>
      <c r="Q1991" s="110">
        <v>326.64999999999998</v>
      </c>
      <c r="R1991">
        <v>6926537</v>
      </c>
    </row>
    <row r="1992" spans="1:18" x14ac:dyDescent="0.25">
      <c r="A1992" s="133">
        <v>44936</v>
      </c>
      <c r="B1992" s="110">
        <v>65.36</v>
      </c>
      <c r="C1992" s="110">
        <v>63.48</v>
      </c>
      <c r="D1992" s="110">
        <v>62.83</v>
      </c>
      <c r="E1992" s="110">
        <v>65.31</v>
      </c>
      <c r="F1992" s="110">
        <v>317.39999999999998</v>
      </c>
      <c r="G1992">
        <v>197011</v>
      </c>
      <c r="H1992" s="110"/>
      <c r="I1992" s="110"/>
      <c r="L1992" s="133">
        <v>44936</v>
      </c>
      <c r="M1992" s="110">
        <v>63.46</v>
      </c>
      <c r="N1992" s="110">
        <v>65.37</v>
      </c>
      <c r="O1992" s="110">
        <v>62.8</v>
      </c>
      <c r="P1992" s="110">
        <v>65.37</v>
      </c>
      <c r="Q1992" s="110">
        <v>317.3</v>
      </c>
      <c r="R1992">
        <v>9573029</v>
      </c>
    </row>
    <row r="1993" spans="1:18" x14ac:dyDescent="0.25">
      <c r="A1993" s="133">
        <v>44937</v>
      </c>
      <c r="B1993" s="110">
        <v>63.94</v>
      </c>
      <c r="C1993" s="110">
        <v>63.56</v>
      </c>
      <c r="D1993" s="110">
        <v>62.45</v>
      </c>
      <c r="E1993" s="110">
        <v>63.62</v>
      </c>
      <c r="F1993" s="110">
        <v>317.8</v>
      </c>
      <c r="G1993">
        <v>284357</v>
      </c>
      <c r="H1993" s="110"/>
      <c r="I1993" s="110"/>
      <c r="L1993" s="133">
        <v>44937</v>
      </c>
      <c r="M1993" s="110">
        <v>63.6</v>
      </c>
      <c r="N1993" s="110">
        <v>63.96</v>
      </c>
      <c r="O1993" s="110">
        <v>62.45</v>
      </c>
      <c r="P1993" s="110">
        <v>63.74</v>
      </c>
      <c r="Q1993" s="110">
        <v>318</v>
      </c>
      <c r="R1993">
        <v>7830184</v>
      </c>
    </row>
    <row r="1994" spans="1:18" x14ac:dyDescent="0.25">
      <c r="A1994" s="133">
        <v>44938</v>
      </c>
      <c r="B1994" s="110">
        <v>63.94</v>
      </c>
      <c r="C1994" s="110">
        <v>63.42</v>
      </c>
      <c r="D1994" s="110">
        <v>62.84</v>
      </c>
      <c r="E1994" s="110">
        <v>63.66</v>
      </c>
      <c r="F1994" s="110">
        <v>317.10000000000002</v>
      </c>
      <c r="G1994">
        <v>153852</v>
      </c>
      <c r="H1994" s="110"/>
      <c r="I1994" s="110"/>
      <c r="L1994" s="133">
        <v>44938</v>
      </c>
      <c r="M1994" s="110">
        <v>63.43</v>
      </c>
      <c r="N1994" s="110">
        <v>63.96</v>
      </c>
      <c r="O1994" s="110">
        <v>62.82</v>
      </c>
      <c r="P1994" s="110">
        <v>63.8</v>
      </c>
      <c r="Q1994" s="110">
        <v>317.14999999999998</v>
      </c>
      <c r="R1994">
        <v>5349609</v>
      </c>
    </row>
    <row r="1995" spans="1:18" x14ac:dyDescent="0.25">
      <c r="A1995" s="133">
        <v>44939</v>
      </c>
      <c r="B1995" s="110">
        <v>65.05</v>
      </c>
      <c r="C1995" s="110">
        <v>64.91</v>
      </c>
      <c r="D1995" s="110">
        <v>63.33</v>
      </c>
      <c r="E1995" s="110">
        <v>63.48</v>
      </c>
      <c r="F1995" s="110">
        <v>324.55</v>
      </c>
      <c r="G1995">
        <v>282588</v>
      </c>
      <c r="H1995" s="110"/>
      <c r="I1995" s="110"/>
      <c r="L1995" s="133">
        <v>44939</v>
      </c>
      <c r="M1995" s="110">
        <v>64.92</v>
      </c>
      <c r="N1995" s="110">
        <v>65.040000000000006</v>
      </c>
      <c r="O1995" s="110">
        <v>63.32</v>
      </c>
      <c r="P1995" s="110">
        <v>63.6</v>
      </c>
      <c r="Q1995" s="110">
        <v>324.60000000000002</v>
      </c>
      <c r="R1995">
        <v>10708251</v>
      </c>
    </row>
    <row r="1996" spans="1:18" x14ac:dyDescent="0.25">
      <c r="A1996" s="133">
        <v>44942</v>
      </c>
      <c r="B1996" s="110">
        <v>65.599999999999994</v>
      </c>
      <c r="C1996" s="110">
        <v>64.569999999999993</v>
      </c>
      <c r="D1996" s="110">
        <v>64.48</v>
      </c>
      <c r="E1996" s="110">
        <v>65.09</v>
      </c>
      <c r="F1996" s="110">
        <v>322.85000000000002</v>
      </c>
      <c r="G1996">
        <v>259127</v>
      </c>
      <c r="H1996" s="110"/>
      <c r="I1996" s="110"/>
      <c r="L1996" s="133">
        <v>44942</v>
      </c>
      <c r="M1996" s="110">
        <v>64.61</v>
      </c>
      <c r="N1996" s="110">
        <v>65.599999999999994</v>
      </c>
      <c r="O1996" s="110">
        <v>64.459999999999994</v>
      </c>
      <c r="P1996" s="110">
        <v>64.98</v>
      </c>
      <c r="Q1996" s="110">
        <v>323.05</v>
      </c>
      <c r="R1996">
        <v>9464206</v>
      </c>
    </row>
    <row r="1997" spans="1:18" x14ac:dyDescent="0.25">
      <c r="A1997" s="133">
        <v>44943</v>
      </c>
      <c r="B1997" s="110">
        <v>65.180000000000007</v>
      </c>
      <c r="C1997" s="110">
        <v>63.9</v>
      </c>
      <c r="D1997" s="110">
        <v>62.42</v>
      </c>
      <c r="E1997" s="110">
        <v>64.78</v>
      </c>
      <c r="F1997" s="110">
        <v>319.5</v>
      </c>
      <c r="G1997">
        <v>236095</v>
      </c>
      <c r="H1997" s="110"/>
      <c r="I1997" s="110"/>
      <c r="L1997" s="133">
        <v>44943</v>
      </c>
      <c r="M1997" s="110">
        <v>63.92</v>
      </c>
      <c r="N1997" s="110">
        <v>65.17</v>
      </c>
      <c r="O1997" s="110">
        <v>62.41</v>
      </c>
      <c r="P1997" s="110">
        <v>64.78</v>
      </c>
      <c r="Q1997" s="110">
        <v>319.60000000000002</v>
      </c>
      <c r="R1997">
        <v>8712534</v>
      </c>
    </row>
    <row r="1998" spans="1:18" x14ac:dyDescent="0.25">
      <c r="A1998" s="133">
        <v>44944</v>
      </c>
      <c r="B1998" s="110">
        <v>64.400000000000006</v>
      </c>
      <c r="C1998" s="110">
        <v>63.44</v>
      </c>
      <c r="D1998" s="110">
        <v>63.17</v>
      </c>
      <c r="E1998" s="110">
        <v>64.09</v>
      </c>
      <c r="F1998" s="110">
        <v>317.2</v>
      </c>
      <c r="G1998">
        <v>160019</v>
      </c>
      <c r="H1998" s="110"/>
      <c r="I1998" s="110"/>
      <c r="L1998" s="133">
        <v>44944</v>
      </c>
      <c r="M1998" s="110">
        <v>63.48</v>
      </c>
      <c r="N1998" s="110">
        <v>64.400000000000006</v>
      </c>
      <c r="O1998" s="110">
        <v>63.16</v>
      </c>
      <c r="P1998" s="110">
        <v>63.98</v>
      </c>
      <c r="Q1998" s="110">
        <v>317.39999999999998</v>
      </c>
      <c r="R1998">
        <v>5458403</v>
      </c>
    </row>
    <row r="1999" spans="1:18" x14ac:dyDescent="0.25">
      <c r="A1999" s="133">
        <v>44945</v>
      </c>
      <c r="B1999" s="110">
        <v>64.239999999999995</v>
      </c>
      <c r="C1999" s="110">
        <v>64.03</v>
      </c>
      <c r="D1999" s="110">
        <v>62.9</v>
      </c>
      <c r="E1999" s="110">
        <v>63.23</v>
      </c>
      <c r="F1999" s="110">
        <v>320.14999999999998</v>
      </c>
      <c r="G1999">
        <v>147115</v>
      </c>
      <c r="H1999" s="110"/>
      <c r="I1999" s="110"/>
      <c r="L1999" s="133">
        <v>44945</v>
      </c>
      <c r="M1999" s="110">
        <v>64.03</v>
      </c>
      <c r="N1999" s="110">
        <v>64.27</v>
      </c>
      <c r="O1999" s="110">
        <v>62.88</v>
      </c>
      <c r="P1999" s="110">
        <v>63.34</v>
      </c>
      <c r="Q1999" s="110">
        <v>320.14999999999998</v>
      </c>
      <c r="R1999">
        <v>4566634</v>
      </c>
    </row>
    <row r="2000" spans="1:18" x14ac:dyDescent="0.25">
      <c r="A2000" s="133">
        <v>44946</v>
      </c>
      <c r="B2000" s="110">
        <v>65.239999999999995</v>
      </c>
      <c r="C2000" s="110">
        <v>63.78</v>
      </c>
      <c r="D2000" s="110">
        <v>63.63</v>
      </c>
      <c r="E2000" s="110">
        <v>64.099999999999994</v>
      </c>
      <c r="F2000" s="110">
        <v>318.89999999999998</v>
      </c>
      <c r="G2000">
        <v>246825</v>
      </c>
      <c r="H2000" s="110"/>
      <c r="I2000" s="110"/>
      <c r="L2000" s="133">
        <v>44946</v>
      </c>
      <c r="M2000" s="110">
        <v>63.79</v>
      </c>
      <c r="N2000" s="110">
        <v>65.27</v>
      </c>
      <c r="O2000" s="110">
        <v>63.61</v>
      </c>
      <c r="P2000" s="110">
        <v>64.16</v>
      </c>
      <c r="Q2000" s="110">
        <v>318.95</v>
      </c>
      <c r="R2000">
        <v>6798143</v>
      </c>
    </row>
    <row r="2001" spans="1:18" x14ac:dyDescent="0.25">
      <c r="A2001" s="133">
        <v>44949</v>
      </c>
      <c r="B2001" s="110">
        <v>65.3</v>
      </c>
      <c r="C2001" s="110">
        <v>64.62</v>
      </c>
      <c r="D2001" s="110">
        <v>63.92</v>
      </c>
      <c r="E2001" s="110">
        <v>64.48</v>
      </c>
      <c r="F2001" s="110">
        <v>323.10000000000002</v>
      </c>
      <c r="G2001">
        <v>410678</v>
      </c>
      <c r="H2001" s="110"/>
      <c r="I2001" s="110"/>
      <c r="L2001" s="133">
        <v>44949</v>
      </c>
      <c r="M2001" s="110">
        <v>64.61</v>
      </c>
      <c r="N2001" s="110">
        <v>65.31</v>
      </c>
      <c r="O2001" s="110">
        <v>63.9</v>
      </c>
      <c r="P2001" s="110">
        <v>64.319999999999993</v>
      </c>
      <c r="Q2001" s="110">
        <v>323.05</v>
      </c>
      <c r="R2001">
        <v>13083365</v>
      </c>
    </row>
    <row r="2002" spans="1:18" x14ac:dyDescent="0.25">
      <c r="A2002" s="133">
        <v>44950</v>
      </c>
      <c r="B2002" s="110">
        <v>65.599999999999994</v>
      </c>
      <c r="C2002" s="110">
        <v>63.94</v>
      </c>
      <c r="D2002" s="110">
        <v>63.65</v>
      </c>
      <c r="E2002" s="110">
        <v>64.819999999999993</v>
      </c>
      <c r="F2002" s="110">
        <v>319.7</v>
      </c>
      <c r="G2002">
        <v>460177</v>
      </c>
      <c r="H2002" s="110"/>
      <c r="I2002" s="110"/>
      <c r="L2002" s="133">
        <v>44950</v>
      </c>
      <c r="M2002" s="110">
        <v>64.03</v>
      </c>
      <c r="N2002" s="110">
        <v>65.599999999999994</v>
      </c>
      <c r="O2002" s="110">
        <v>63.61</v>
      </c>
      <c r="P2002" s="110">
        <v>64.87</v>
      </c>
      <c r="Q2002" s="110">
        <v>320.14999999999998</v>
      </c>
      <c r="R2002">
        <v>8443043</v>
      </c>
    </row>
    <row r="2003" spans="1:18" x14ac:dyDescent="0.25">
      <c r="A2003" s="133">
        <v>44951</v>
      </c>
      <c r="B2003" s="110">
        <v>64.08</v>
      </c>
      <c r="C2003" s="110">
        <v>61.22</v>
      </c>
      <c r="D2003" s="110">
        <v>60.43</v>
      </c>
      <c r="E2003" s="110">
        <v>63.95</v>
      </c>
      <c r="F2003" s="110">
        <v>306.10000000000002</v>
      </c>
      <c r="G2003">
        <v>536821</v>
      </c>
      <c r="H2003" s="110"/>
      <c r="I2003" s="110"/>
      <c r="L2003" s="133">
        <v>44951</v>
      </c>
      <c r="M2003" s="110">
        <v>61.21</v>
      </c>
      <c r="N2003" s="110">
        <v>64.180000000000007</v>
      </c>
      <c r="O2003" s="110">
        <v>60.44</v>
      </c>
      <c r="P2003" s="110">
        <v>64.180000000000007</v>
      </c>
      <c r="Q2003" s="110">
        <v>306.05</v>
      </c>
      <c r="R2003">
        <v>13880215</v>
      </c>
    </row>
    <row r="2004" spans="1:18" x14ac:dyDescent="0.25">
      <c r="A2004" s="133">
        <v>44953</v>
      </c>
      <c r="B2004" s="110">
        <v>61.59</v>
      </c>
      <c r="C2004" s="110">
        <v>58.18</v>
      </c>
      <c r="D2004" s="110">
        <v>57.21</v>
      </c>
      <c r="E2004" s="110">
        <v>61.53</v>
      </c>
      <c r="F2004" s="110">
        <v>290.89999999999998</v>
      </c>
      <c r="G2004">
        <v>929087</v>
      </c>
      <c r="H2004" s="110"/>
      <c r="I2004" s="110"/>
      <c r="L2004" s="133">
        <v>44953</v>
      </c>
      <c r="M2004" s="110">
        <v>58.2</v>
      </c>
      <c r="N2004" s="110">
        <v>61.56</v>
      </c>
      <c r="O2004" s="110">
        <v>57.22</v>
      </c>
      <c r="P2004" s="110">
        <v>61.56</v>
      </c>
      <c r="Q2004" s="110">
        <v>291</v>
      </c>
      <c r="R2004">
        <v>15518076</v>
      </c>
    </row>
    <row r="2005" spans="1:18" x14ac:dyDescent="0.25">
      <c r="A2005" s="133">
        <v>44956</v>
      </c>
      <c r="B2005" s="110">
        <v>60.19</v>
      </c>
      <c r="C2005" s="110">
        <v>58.43</v>
      </c>
      <c r="D2005" s="110">
        <v>56.75</v>
      </c>
      <c r="E2005" s="110">
        <v>58.08</v>
      </c>
      <c r="F2005" s="110">
        <v>292.14999999999998</v>
      </c>
      <c r="G2005">
        <v>519998</v>
      </c>
      <c r="H2005" s="110"/>
      <c r="I2005" s="110"/>
      <c r="L2005" s="133">
        <v>44956</v>
      </c>
      <c r="M2005" s="110">
        <v>58.43</v>
      </c>
      <c r="N2005" s="110">
        <v>60.21</v>
      </c>
      <c r="O2005" s="110">
        <v>56.74</v>
      </c>
      <c r="P2005" s="110">
        <v>58.2</v>
      </c>
      <c r="Q2005" s="110">
        <v>292.14999999999998</v>
      </c>
      <c r="R2005">
        <v>14427918</v>
      </c>
    </row>
    <row r="2006" spans="1:18" x14ac:dyDescent="0.25">
      <c r="A2006" s="133">
        <v>44957</v>
      </c>
      <c r="B2006" s="110">
        <v>61.08</v>
      </c>
      <c r="C2006" s="110">
        <v>60.76</v>
      </c>
      <c r="D2006" s="110">
        <v>58.54</v>
      </c>
      <c r="E2006" s="110">
        <v>59</v>
      </c>
      <c r="F2006" s="110">
        <v>303.8</v>
      </c>
      <c r="G2006">
        <v>475321</v>
      </c>
      <c r="H2006" s="110"/>
      <c r="I2006" s="110"/>
      <c r="L2006" s="133">
        <v>44957</v>
      </c>
      <c r="M2006" s="110">
        <v>60.79</v>
      </c>
      <c r="N2006" s="110">
        <v>61.07</v>
      </c>
      <c r="O2006" s="110">
        <v>58.53</v>
      </c>
      <c r="P2006" s="110">
        <v>58.8</v>
      </c>
      <c r="Q2006" s="110">
        <v>303.95</v>
      </c>
      <c r="R2006">
        <v>12722748</v>
      </c>
    </row>
    <row r="2007" spans="1:18" x14ac:dyDescent="0.25">
      <c r="A2007" s="133">
        <v>44958</v>
      </c>
      <c r="B2007" s="110">
        <v>61.8</v>
      </c>
      <c r="C2007" s="110">
        <v>56.95</v>
      </c>
      <c r="D2007" s="110">
        <v>54.74</v>
      </c>
      <c r="E2007" s="110">
        <v>61.51</v>
      </c>
      <c r="F2007" s="110">
        <v>284.75</v>
      </c>
      <c r="G2007">
        <v>656856</v>
      </c>
      <c r="H2007" s="110"/>
      <c r="I2007" s="110"/>
      <c r="L2007" s="133">
        <v>44958</v>
      </c>
      <c r="M2007" s="110">
        <v>56.89</v>
      </c>
      <c r="N2007" s="110">
        <v>61.8</v>
      </c>
      <c r="O2007" s="110">
        <v>54.73</v>
      </c>
      <c r="P2007" s="110">
        <v>61.4</v>
      </c>
      <c r="Q2007" s="110">
        <v>284.45</v>
      </c>
      <c r="R2007">
        <v>18573785</v>
      </c>
    </row>
    <row r="2008" spans="1:18" x14ac:dyDescent="0.25">
      <c r="A2008" s="133">
        <v>44959</v>
      </c>
      <c r="B2008" s="110">
        <v>58.12</v>
      </c>
      <c r="C2008" s="110">
        <v>57.02</v>
      </c>
      <c r="D2008" s="110">
        <v>55.56</v>
      </c>
      <c r="E2008" s="110">
        <v>56.68</v>
      </c>
      <c r="F2008" s="110">
        <v>285.10000000000002</v>
      </c>
      <c r="G2008">
        <v>687806</v>
      </c>
      <c r="H2008" s="110"/>
      <c r="I2008" s="110"/>
      <c r="L2008" s="133">
        <v>44959</v>
      </c>
      <c r="M2008" s="110">
        <v>57.02</v>
      </c>
      <c r="N2008" s="110">
        <v>58.1</v>
      </c>
      <c r="O2008" s="110">
        <v>55.53</v>
      </c>
      <c r="P2008" s="110">
        <v>56.4</v>
      </c>
      <c r="Q2008" s="110">
        <v>285.10000000000002</v>
      </c>
      <c r="R2008">
        <v>13509048</v>
      </c>
    </row>
    <row r="2009" spans="1:18" x14ac:dyDescent="0.25">
      <c r="A2009" s="133">
        <v>44960</v>
      </c>
      <c r="B2009" s="110">
        <v>59.47</v>
      </c>
      <c r="C2009" s="110">
        <v>59.3</v>
      </c>
      <c r="D2009" s="110">
        <v>55.76</v>
      </c>
      <c r="E2009" s="110">
        <v>57.59</v>
      </c>
      <c r="F2009" s="110">
        <v>296.5</v>
      </c>
      <c r="G2009">
        <v>743857</v>
      </c>
      <c r="H2009" s="110"/>
      <c r="I2009" s="110"/>
      <c r="L2009" s="133">
        <v>44960</v>
      </c>
      <c r="M2009" s="110">
        <v>59.3</v>
      </c>
      <c r="N2009" s="110">
        <v>59.46</v>
      </c>
      <c r="O2009" s="110">
        <v>55.75</v>
      </c>
      <c r="P2009" s="110">
        <v>57.6</v>
      </c>
      <c r="Q2009" s="110">
        <v>296.5</v>
      </c>
      <c r="R2009">
        <v>16406307</v>
      </c>
    </row>
    <row r="2010" spans="1:18" x14ac:dyDescent="0.25">
      <c r="A2010" s="133">
        <v>44963</v>
      </c>
      <c r="B2010" s="110">
        <v>59.86</v>
      </c>
      <c r="C2010" s="110">
        <v>58.91</v>
      </c>
      <c r="D2010" s="110">
        <v>58.72</v>
      </c>
      <c r="E2010" s="110">
        <v>59.4</v>
      </c>
      <c r="F2010" s="110">
        <v>294.55</v>
      </c>
      <c r="G2010">
        <v>441540</v>
      </c>
      <c r="H2010" s="110"/>
      <c r="I2010" s="110"/>
      <c r="L2010" s="133">
        <v>44963</v>
      </c>
      <c r="M2010" s="110">
        <v>58.93</v>
      </c>
      <c r="N2010" s="110">
        <v>59.87</v>
      </c>
      <c r="O2010" s="110">
        <v>58.7</v>
      </c>
      <c r="P2010" s="110">
        <v>59.37</v>
      </c>
      <c r="Q2010" s="110">
        <v>294.64999999999998</v>
      </c>
      <c r="R2010">
        <v>7873736</v>
      </c>
    </row>
    <row r="2011" spans="1:18" x14ac:dyDescent="0.25">
      <c r="A2011" s="133">
        <v>44964</v>
      </c>
      <c r="B2011" s="110">
        <v>60.08</v>
      </c>
      <c r="C2011" s="110">
        <v>58.93</v>
      </c>
      <c r="D2011" s="110">
        <v>58.7</v>
      </c>
      <c r="E2011" s="110">
        <v>59.19</v>
      </c>
      <c r="F2011" s="110">
        <v>294.64999999999998</v>
      </c>
      <c r="G2011">
        <v>179108</v>
      </c>
      <c r="H2011" s="110"/>
      <c r="I2011" s="110"/>
      <c r="L2011" s="133">
        <v>44964</v>
      </c>
      <c r="M2011" s="110">
        <v>58.95</v>
      </c>
      <c r="N2011" s="110">
        <v>60.1</v>
      </c>
      <c r="O2011" s="110">
        <v>58.68</v>
      </c>
      <c r="P2011" s="110">
        <v>59.09</v>
      </c>
      <c r="Q2011" s="110">
        <v>294.75</v>
      </c>
      <c r="R2011">
        <v>6572235</v>
      </c>
    </row>
    <row r="2012" spans="1:18" x14ac:dyDescent="0.25">
      <c r="A2012" s="133">
        <v>44965</v>
      </c>
      <c r="B2012" s="110">
        <v>59.5</v>
      </c>
      <c r="C2012" s="110">
        <v>59.12</v>
      </c>
      <c r="D2012" s="110">
        <v>58.42</v>
      </c>
      <c r="E2012" s="110">
        <v>59.2</v>
      </c>
      <c r="F2012" s="110">
        <v>295.60000000000002</v>
      </c>
      <c r="G2012">
        <v>231341</v>
      </c>
      <c r="H2012" s="110"/>
      <c r="I2012" s="110"/>
      <c r="L2012" s="133">
        <v>44965</v>
      </c>
      <c r="M2012" s="110">
        <v>59.13</v>
      </c>
      <c r="N2012" s="110">
        <v>59.56</v>
      </c>
      <c r="O2012" s="110">
        <v>58.4</v>
      </c>
      <c r="P2012" s="110">
        <v>59.09</v>
      </c>
      <c r="Q2012" s="110">
        <v>295.64999999999998</v>
      </c>
      <c r="R2012">
        <v>5916213</v>
      </c>
    </row>
    <row r="2013" spans="1:18" x14ac:dyDescent="0.25">
      <c r="A2013" s="133">
        <v>44966</v>
      </c>
      <c r="B2013" s="110">
        <v>59.33</v>
      </c>
      <c r="C2013" s="110">
        <v>58.61</v>
      </c>
      <c r="D2013" s="110">
        <v>57.68</v>
      </c>
      <c r="E2013" s="110">
        <v>59.2</v>
      </c>
      <c r="F2013" s="110">
        <v>293.05</v>
      </c>
      <c r="G2013">
        <v>162839</v>
      </c>
      <c r="H2013" s="110"/>
      <c r="I2013" s="110"/>
      <c r="L2013" s="133">
        <v>44966</v>
      </c>
      <c r="M2013" s="110">
        <v>58.6</v>
      </c>
      <c r="N2013" s="110">
        <v>59.36</v>
      </c>
      <c r="O2013" s="110">
        <v>57.63</v>
      </c>
      <c r="P2013" s="110">
        <v>59.1</v>
      </c>
      <c r="Q2013" s="110">
        <v>293</v>
      </c>
      <c r="R2013">
        <v>6239893</v>
      </c>
    </row>
    <row r="2014" spans="1:18" x14ac:dyDescent="0.25">
      <c r="A2014" s="133">
        <v>44967</v>
      </c>
      <c r="B2014" s="110">
        <v>59.9</v>
      </c>
      <c r="C2014" s="110">
        <v>58.77</v>
      </c>
      <c r="D2014" s="110">
        <v>58.18</v>
      </c>
      <c r="E2014" s="110">
        <v>58.27</v>
      </c>
      <c r="F2014" s="110">
        <v>293.85000000000002</v>
      </c>
      <c r="G2014">
        <v>282632</v>
      </c>
      <c r="H2014" s="110"/>
      <c r="I2014" s="110"/>
      <c r="L2014" s="133">
        <v>44967</v>
      </c>
      <c r="M2014" s="110">
        <v>58.78</v>
      </c>
      <c r="N2014" s="110">
        <v>59.9</v>
      </c>
      <c r="O2014" s="110">
        <v>58.17</v>
      </c>
      <c r="P2014" s="110">
        <v>58.17</v>
      </c>
      <c r="Q2014" s="110">
        <v>293.89999999999998</v>
      </c>
      <c r="R2014">
        <v>7552040</v>
      </c>
    </row>
    <row r="2015" spans="1:18" x14ac:dyDescent="0.25">
      <c r="A2015" s="133">
        <v>44970</v>
      </c>
      <c r="B2015" s="110">
        <v>59.16</v>
      </c>
      <c r="C2015" s="110">
        <v>56.92</v>
      </c>
      <c r="D2015" s="110">
        <v>56.8</v>
      </c>
      <c r="E2015" s="110">
        <v>59.15</v>
      </c>
      <c r="F2015" s="110">
        <v>284.60000000000002</v>
      </c>
      <c r="G2015">
        <v>195582</v>
      </c>
      <c r="H2015" s="110"/>
      <c r="I2015" s="110"/>
      <c r="L2015" s="133">
        <v>44970</v>
      </c>
      <c r="M2015" s="110">
        <v>56.94</v>
      </c>
      <c r="N2015" s="110">
        <v>59.16</v>
      </c>
      <c r="O2015" s="110">
        <v>56.77</v>
      </c>
      <c r="P2015" s="110">
        <v>58.78</v>
      </c>
      <c r="Q2015" s="110">
        <v>284.7</v>
      </c>
      <c r="R2015">
        <v>7065234</v>
      </c>
    </row>
    <row r="2016" spans="1:18" x14ac:dyDescent="0.25">
      <c r="A2016" s="133">
        <v>44971</v>
      </c>
      <c r="B2016" s="110">
        <v>58.46</v>
      </c>
      <c r="C2016" s="110">
        <v>58.14</v>
      </c>
      <c r="D2016" s="110">
        <v>56.9</v>
      </c>
      <c r="E2016" s="110">
        <v>57.4</v>
      </c>
      <c r="F2016" s="110">
        <v>290.7</v>
      </c>
      <c r="G2016">
        <v>214058</v>
      </c>
      <c r="H2016" s="110"/>
      <c r="I2016" s="110"/>
      <c r="L2016" s="133">
        <v>44971</v>
      </c>
      <c r="M2016" s="110">
        <v>58.13</v>
      </c>
      <c r="N2016" s="110">
        <v>58.48</v>
      </c>
      <c r="O2016" s="110">
        <v>56.9</v>
      </c>
      <c r="P2016" s="110">
        <v>57.26</v>
      </c>
      <c r="Q2016" s="110">
        <v>290.64999999999998</v>
      </c>
      <c r="R2016">
        <v>10681060</v>
      </c>
    </row>
    <row r="2017" spans="1:18" x14ac:dyDescent="0.25">
      <c r="A2017" s="133">
        <v>44972</v>
      </c>
      <c r="B2017" s="110">
        <v>59.37</v>
      </c>
      <c r="C2017" s="110">
        <v>59.14</v>
      </c>
      <c r="D2017" s="110">
        <v>57.73</v>
      </c>
      <c r="E2017" s="110">
        <v>57.81</v>
      </c>
      <c r="F2017" s="110">
        <v>295.7</v>
      </c>
      <c r="G2017">
        <v>267476</v>
      </c>
      <c r="H2017" s="110"/>
      <c r="I2017" s="110"/>
      <c r="L2017" s="133">
        <v>44972</v>
      </c>
      <c r="M2017" s="110">
        <v>59.18</v>
      </c>
      <c r="N2017" s="110">
        <v>59.4</v>
      </c>
      <c r="O2017" s="110">
        <v>57.71</v>
      </c>
      <c r="P2017" s="110">
        <v>57.97</v>
      </c>
      <c r="Q2017" s="110">
        <v>295.89999999999998</v>
      </c>
      <c r="R2017">
        <v>5382881</v>
      </c>
    </row>
    <row r="2018" spans="1:18" x14ac:dyDescent="0.25">
      <c r="A2018" s="133">
        <v>44973</v>
      </c>
      <c r="B2018" s="110">
        <v>59.71</v>
      </c>
      <c r="C2018" s="110">
        <v>58.97</v>
      </c>
      <c r="D2018" s="110">
        <v>58.83</v>
      </c>
      <c r="E2018" s="110">
        <v>59.6</v>
      </c>
      <c r="F2018" s="110">
        <v>294.85000000000002</v>
      </c>
      <c r="G2018">
        <v>160566</v>
      </c>
      <c r="H2018" s="110"/>
      <c r="I2018" s="110"/>
      <c r="L2018" s="133">
        <v>44973</v>
      </c>
      <c r="M2018" s="110">
        <v>58.99</v>
      </c>
      <c r="N2018" s="110">
        <v>59.73</v>
      </c>
      <c r="O2018" s="110">
        <v>58.81</v>
      </c>
      <c r="P2018" s="110">
        <v>59.56</v>
      </c>
      <c r="Q2018" s="110">
        <v>294.95</v>
      </c>
      <c r="R2018">
        <v>4813057</v>
      </c>
    </row>
    <row r="2019" spans="1:18" x14ac:dyDescent="0.25">
      <c r="A2019" s="133">
        <v>44974</v>
      </c>
      <c r="B2019" s="110">
        <v>59.02</v>
      </c>
      <c r="C2019" s="110">
        <v>58.71</v>
      </c>
      <c r="D2019" s="110">
        <v>58.04</v>
      </c>
      <c r="E2019" s="110">
        <v>58.85</v>
      </c>
      <c r="F2019" s="110">
        <v>293.55</v>
      </c>
      <c r="G2019">
        <v>121555</v>
      </c>
      <c r="H2019" s="110"/>
      <c r="I2019" s="110"/>
      <c r="L2019" s="133">
        <v>44974</v>
      </c>
      <c r="M2019" s="110">
        <v>58.73</v>
      </c>
      <c r="N2019" s="110">
        <v>59.06</v>
      </c>
      <c r="O2019" s="110">
        <v>58.01</v>
      </c>
      <c r="P2019" s="110">
        <v>58.8</v>
      </c>
      <c r="Q2019" s="110">
        <v>293.64999999999998</v>
      </c>
      <c r="R2019">
        <v>6573332</v>
      </c>
    </row>
    <row r="2020" spans="1:18" x14ac:dyDescent="0.25">
      <c r="A2020" s="133">
        <v>44977</v>
      </c>
      <c r="B2020" s="110">
        <v>59.2</v>
      </c>
      <c r="C2020" s="110">
        <v>57.78</v>
      </c>
      <c r="D2020" s="110">
        <v>57.6</v>
      </c>
      <c r="E2020" s="110">
        <v>58.66</v>
      </c>
      <c r="F2020" s="110">
        <v>288.89999999999998</v>
      </c>
      <c r="G2020">
        <v>162001</v>
      </c>
      <c r="H2020" s="110"/>
      <c r="I2020" s="110"/>
      <c r="L2020" s="133">
        <v>44977</v>
      </c>
      <c r="M2020" s="110">
        <v>57.8</v>
      </c>
      <c r="N2020" s="110">
        <v>59.25</v>
      </c>
      <c r="O2020" s="110">
        <v>57.62</v>
      </c>
      <c r="P2020" s="110">
        <v>58.8</v>
      </c>
      <c r="Q2020" s="110">
        <v>289</v>
      </c>
      <c r="R2020">
        <v>4939123</v>
      </c>
    </row>
    <row r="2021" spans="1:18" x14ac:dyDescent="0.25">
      <c r="A2021" s="133">
        <v>44978</v>
      </c>
      <c r="B2021" s="110">
        <v>58.15</v>
      </c>
      <c r="C2021" s="110">
        <v>55.78</v>
      </c>
      <c r="D2021" s="110">
        <v>55.7</v>
      </c>
      <c r="E2021" s="110">
        <v>58.15</v>
      </c>
      <c r="F2021" s="110">
        <v>278.89999999999998</v>
      </c>
      <c r="G2021">
        <v>280529</v>
      </c>
      <c r="H2021" s="110"/>
      <c r="I2021" s="110"/>
      <c r="L2021" s="133">
        <v>44978</v>
      </c>
      <c r="M2021" s="110">
        <v>55.79</v>
      </c>
      <c r="N2021" s="110">
        <v>57.98</v>
      </c>
      <c r="O2021" s="110">
        <v>55.69</v>
      </c>
      <c r="P2021" s="110">
        <v>57.98</v>
      </c>
      <c r="Q2021" s="110">
        <v>278.95</v>
      </c>
      <c r="R2021">
        <v>13397274</v>
      </c>
    </row>
    <row r="2022" spans="1:18" x14ac:dyDescent="0.25">
      <c r="A2022" s="133">
        <v>44979</v>
      </c>
      <c r="B2022" s="110">
        <v>55.65</v>
      </c>
      <c r="C2022" s="110">
        <v>54.82</v>
      </c>
      <c r="D2022" s="110">
        <v>54.17</v>
      </c>
      <c r="E2022" s="110">
        <v>55.6</v>
      </c>
      <c r="F2022" s="110">
        <v>274.10000000000002</v>
      </c>
      <c r="G2022">
        <v>206933</v>
      </c>
      <c r="H2022" s="110"/>
      <c r="I2022" s="110"/>
      <c r="L2022" s="133">
        <v>44979</v>
      </c>
      <c r="M2022" s="110">
        <v>54.83</v>
      </c>
      <c r="N2022" s="110">
        <v>55.6</v>
      </c>
      <c r="O2022" s="110">
        <v>54.1</v>
      </c>
      <c r="P2022" s="110">
        <v>55.6</v>
      </c>
      <c r="Q2022" s="110">
        <v>274.14999999999998</v>
      </c>
      <c r="R2022">
        <v>9232454</v>
      </c>
    </row>
    <row r="2023" spans="1:18" x14ac:dyDescent="0.25">
      <c r="A2023" s="133">
        <v>44980</v>
      </c>
      <c r="B2023" s="110">
        <v>55.33</v>
      </c>
      <c r="C2023" s="110">
        <v>54.81</v>
      </c>
      <c r="D2023" s="110">
        <v>54.12</v>
      </c>
      <c r="E2023" s="110">
        <v>55.33</v>
      </c>
      <c r="F2023" s="110">
        <v>274.05</v>
      </c>
      <c r="G2023">
        <v>258375</v>
      </c>
      <c r="H2023" s="110"/>
      <c r="I2023" s="110"/>
      <c r="L2023" s="133">
        <v>44980</v>
      </c>
      <c r="M2023" s="110">
        <v>54.76</v>
      </c>
      <c r="N2023" s="110">
        <v>55.32</v>
      </c>
      <c r="O2023" s="110">
        <v>54.1</v>
      </c>
      <c r="P2023" s="110">
        <v>55.07</v>
      </c>
      <c r="Q2023" s="110">
        <v>273.8</v>
      </c>
      <c r="R2023">
        <v>7074211</v>
      </c>
    </row>
    <row r="2024" spans="1:18" x14ac:dyDescent="0.25">
      <c r="A2024" s="133">
        <v>44981</v>
      </c>
      <c r="B2024" s="110">
        <v>55.39</v>
      </c>
      <c r="C2024" s="110">
        <v>54.21</v>
      </c>
      <c r="D2024" s="110">
        <v>53.77</v>
      </c>
      <c r="E2024" s="110">
        <v>55.18</v>
      </c>
      <c r="F2024" s="110">
        <v>271.05</v>
      </c>
      <c r="G2024">
        <v>307721</v>
      </c>
      <c r="H2024" s="110"/>
      <c r="I2024" s="110"/>
      <c r="L2024" s="133">
        <v>44981</v>
      </c>
      <c r="M2024" s="110">
        <v>54.22</v>
      </c>
      <c r="N2024" s="110">
        <v>55.38</v>
      </c>
      <c r="O2024" s="110">
        <v>53.76</v>
      </c>
      <c r="P2024" s="110">
        <v>55.05</v>
      </c>
      <c r="Q2024" s="110">
        <v>271.10000000000002</v>
      </c>
      <c r="R2024">
        <v>8263410</v>
      </c>
    </row>
    <row r="2025" spans="1:18" x14ac:dyDescent="0.25">
      <c r="A2025" s="133">
        <v>44984</v>
      </c>
      <c r="B2025" s="110">
        <v>55.42</v>
      </c>
      <c r="C2025" s="110">
        <v>55.25</v>
      </c>
      <c r="D2025" s="110">
        <v>53.95</v>
      </c>
      <c r="E2025" s="110">
        <v>54.21</v>
      </c>
      <c r="F2025" s="110">
        <v>276.25</v>
      </c>
      <c r="G2025">
        <v>207402</v>
      </c>
      <c r="H2025" s="110"/>
      <c r="I2025" s="110"/>
      <c r="L2025" s="133">
        <v>44984</v>
      </c>
      <c r="M2025" s="110">
        <v>55.22</v>
      </c>
      <c r="N2025" s="110">
        <v>55.44</v>
      </c>
      <c r="O2025" s="110">
        <v>53.89</v>
      </c>
      <c r="P2025" s="110">
        <v>54.18</v>
      </c>
      <c r="Q2025" s="110">
        <v>276.10000000000002</v>
      </c>
      <c r="R2025">
        <v>7397267</v>
      </c>
    </row>
    <row r="2026" spans="1:18" x14ac:dyDescent="0.25">
      <c r="A2026" s="133">
        <v>44985</v>
      </c>
      <c r="B2026" s="110">
        <v>56.09</v>
      </c>
      <c r="C2026" s="110">
        <v>55.89</v>
      </c>
      <c r="D2026" s="110">
        <v>54.79</v>
      </c>
      <c r="E2026" s="110">
        <v>55.31</v>
      </c>
      <c r="F2026" s="110">
        <v>279.45</v>
      </c>
      <c r="G2026">
        <v>301817</v>
      </c>
      <c r="H2026" s="110"/>
      <c r="I2026" s="110"/>
      <c r="L2026" s="133">
        <v>44985</v>
      </c>
      <c r="M2026" s="110">
        <v>55.91</v>
      </c>
      <c r="N2026" s="110">
        <v>56.08</v>
      </c>
      <c r="O2026" s="110">
        <v>54.8</v>
      </c>
      <c r="P2026" s="110">
        <v>55.46</v>
      </c>
      <c r="Q2026" s="110">
        <v>279.55</v>
      </c>
      <c r="R2026">
        <v>6161412</v>
      </c>
    </row>
    <row r="2027" spans="1:18" x14ac:dyDescent="0.25">
      <c r="A2027" s="133">
        <v>44986</v>
      </c>
      <c r="B2027" s="110">
        <v>57.89</v>
      </c>
      <c r="C2027" s="110">
        <v>57.72</v>
      </c>
      <c r="D2027" s="110">
        <v>55.8</v>
      </c>
      <c r="E2027" s="110">
        <v>55.8</v>
      </c>
      <c r="F2027" s="110">
        <v>288.60000000000002</v>
      </c>
      <c r="G2027">
        <v>222514</v>
      </c>
      <c r="H2027" s="110"/>
      <c r="I2027" s="110"/>
      <c r="L2027" s="133">
        <v>44986</v>
      </c>
      <c r="M2027" s="110">
        <v>57.76</v>
      </c>
      <c r="N2027" s="110">
        <v>57.9</v>
      </c>
      <c r="O2027" s="110">
        <v>55.74</v>
      </c>
      <c r="P2027" s="110">
        <v>55.98</v>
      </c>
      <c r="Q2027" s="110">
        <v>288.8</v>
      </c>
      <c r="R2027">
        <v>7486961</v>
      </c>
    </row>
    <row r="2028" spans="1:18" x14ac:dyDescent="0.25">
      <c r="A2028" s="133">
        <v>44987</v>
      </c>
      <c r="B2028" s="110">
        <v>58.57</v>
      </c>
      <c r="C2028" s="110">
        <v>58.1</v>
      </c>
      <c r="D2028" s="110">
        <v>57.27</v>
      </c>
      <c r="E2028" s="110">
        <v>57.72</v>
      </c>
      <c r="F2028" s="110">
        <v>290.5</v>
      </c>
      <c r="G2028">
        <v>252004</v>
      </c>
      <c r="H2028" s="110"/>
      <c r="I2028" s="110"/>
      <c r="L2028" s="133">
        <v>44987</v>
      </c>
      <c r="M2028" s="110">
        <v>58.08</v>
      </c>
      <c r="N2028" s="110">
        <v>58.58</v>
      </c>
      <c r="O2028" s="110">
        <v>57.26</v>
      </c>
      <c r="P2028" s="110">
        <v>57.58</v>
      </c>
      <c r="Q2028" s="110">
        <v>290.39999999999998</v>
      </c>
      <c r="R2028">
        <v>7126666</v>
      </c>
    </row>
    <row r="2029" spans="1:18" x14ac:dyDescent="0.25">
      <c r="A2029" s="133">
        <v>44988</v>
      </c>
      <c r="B2029" s="110">
        <v>61.2</v>
      </c>
      <c r="C2029" s="110">
        <v>61.05</v>
      </c>
      <c r="D2029" s="110">
        <v>58.67</v>
      </c>
      <c r="E2029" s="110">
        <v>58.67</v>
      </c>
      <c r="F2029" s="110">
        <v>305.25</v>
      </c>
      <c r="G2029">
        <v>843293</v>
      </c>
      <c r="H2029" s="110"/>
      <c r="I2029" s="110"/>
      <c r="L2029" s="133">
        <v>44988</v>
      </c>
      <c r="M2029" s="110">
        <v>61.04</v>
      </c>
      <c r="N2029" s="110">
        <v>61.2</v>
      </c>
      <c r="O2029" s="110">
        <v>58.7</v>
      </c>
      <c r="P2029" s="110">
        <v>58.79</v>
      </c>
      <c r="Q2029" s="110">
        <v>305.2</v>
      </c>
      <c r="R2029">
        <v>13642093</v>
      </c>
    </row>
    <row r="2030" spans="1:18" x14ac:dyDescent="0.25">
      <c r="A2030" s="133">
        <v>44991</v>
      </c>
      <c r="B2030" s="110">
        <v>61.79</v>
      </c>
      <c r="C2030" s="110">
        <v>61.13</v>
      </c>
      <c r="D2030" s="110">
        <v>60.91</v>
      </c>
      <c r="E2030" s="110">
        <v>61.26</v>
      </c>
      <c r="F2030" s="110">
        <v>305.64999999999998</v>
      </c>
      <c r="G2030">
        <v>296983</v>
      </c>
      <c r="H2030" s="110"/>
      <c r="I2030" s="110"/>
      <c r="L2030" s="133">
        <v>44991</v>
      </c>
      <c r="M2030" s="110">
        <v>61.13</v>
      </c>
      <c r="N2030" s="110">
        <v>61.79</v>
      </c>
      <c r="O2030" s="110">
        <v>60.9</v>
      </c>
      <c r="P2030" s="110">
        <v>61.35</v>
      </c>
      <c r="Q2030" s="110">
        <v>305.64999999999998</v>
      </c>
      <c r="R2030">
        <v>6282170</v>
      </c>
    </row>
    <row r="2031" spans="1:18" x14ac:dyDescent="0.25">
      <c r="A2031" s="133">
        <v>44993</v>
      </c>
      <c r="B2031" s="110">
        <v>62.4</v>
      </c>
      <c r="C2031" s="110">
        <v>62.3</v>
      </c>
      <c r="D2031" s="110">
        <v>60.42</v>
      </c>
      <c r="E2031" s="110">
        <v>60.5</v>
      </c>
      <c r="F2031" s="110">
        <v>311.5</v>
      </c>
      <c r="G2031">
        <v>428724</v>
      </c>
      <c r="H2031" s="110"/>
      <c r="I2031" s="110"/>
      <c r="L2031" s="133">
        <v>44993</v>
      </c>
      <c r="M2031" s="110">
        <v>62.3</v>
      </c>
      <c r="N2031" s="110">
        <v>62.38</v>
      </c>
      <c r="O2031" s="110">
        <v>60.4</v>
      </c>
      <c r="P2031" s="110">
        <v>60.4</v>
      </c>
      <c r="Q2031" s="110">
        <v>311.5</v>
      </c>
      <c r="R2031">
        <v>8044479</v>
      </c>
    </row>
    <row r="2032" spans="1:18" x14ac:dyDescent="0.25">
      <c r="A2032" s="133">
        <v>44994</v>
      </c>
      <c r="B2032" s="110">
        <v>62.75</v>
      </c>
      <c r="C2032" s="110">
        <v>62.07</v>
      </c>
      <c r="D2032" s="110">
        <v>61.83</v>
      </c>
      <c r="E2032" s="110">
        <v>62.3</v>
      </c>
      <c r="F2032" s="110">
        <v>310.35000000000002</v>
      </c>
      <c r="G2032">
        <v>312815</v>
      </c>
      <c r="H2032" s="110"/>
      <c r="I2032" s="110"/>
      <c r="L2032" s="133">
        <v>44994</v>
      </c>
      <c r="M2032" s="110">
        <v>62.07</v>
      </c>
      <c r="N2032" s="110">
        <v>62.74</v>
      </c>
      <c r="O2032" s="110">
        <v>61.82</v>
      </c>
      <c r="P2032" s="110">
        <v>62.34</v>
      </c>
      <c r="Q2032" s="110">
        <v>310.35000000000002</v>
      </c>
      <c r="R2032">
        <v>6850617</v>
      </c>
    </row>
    <row r="2033" spans="1:18" x14ac:dyDescent="0.25">
      <c r="A2033" s="133">
        <v>44995</v>
      </c>
      <c r="B2033" s="110">
        <v>61.23</v>
      </c>
      <c r="C2033" s="110">
        <v>59.62</v>
      </c>
      <c r="D2033" s="110">
        <v>59.07</v>
      </c>
      <c r="E2033" s="110">
        <v>61.1</v>
      </c>
      <c r="F2033" s="110">
        <v>298.10000000000002</v>
      </c>
      <c r="G2033">
        <v>458141</v>
      </c>
      <c r="H2033" s="110"/>
      <c r="I2033" s="110"/>
      <c r="L2033" s="133">
        <v>44995</v>
      </c>
      <c r="M2033" s="110">
        <v>59.64</v>
      </c>
      <c r="N2033" s="110">
        <v>61.4</v>
      </c>
      <c r="O2033" s="110">
        <v>59.08</v>
      </c>
      <c r="P2033" s="110">
        <v>61.3</v>
      </c>
      <c r="Q2033" s="110">
        <v>298.2</v>
      </c>
      <c r="R2033">
        <v>9835952</v>
      </c>
    </row>
    <row r="2034" spans="1:18" x14ac:dyDescent="0.25">
      <c r="A2034" s="133">
        <v>44998</v>
      </c>
      <c r="B2034" s="110">
        <v>60.7</v>
      </c>
      <c r="C2034" s="110">
        <v>57.73</v>
      </c>
      <c r="D2034" s="110">
        <v>57.52</v>
      </c>
      <c r="E2034" s="110">
        <v>59.49</v>
      </c>
      <c r="F2034" s="110">
        <v>288.64999999999998</v>
      </c>
      <c r="G2034">
        <v>359854</v>
      </c>
      <c r="H2034" s="110"/>
      <c r="I2034" s="110"/>
      <c r="L2034" s="133">
        <v>44998</v>
      </c>
      <c r="M2034" s="110">
        <v>57.71</v>
      </c>
      <c r="N2034" s="110">
        <v>60.69</v>
      </c>
      <c r="O2034" s="110">
        <v>57.5</v>
      </c>
      <c r="P2034" s="110">
        <v>59.3</v>
      </c>
      <c r="Q2034" s="110">
        <v>288.55</v>
      </c>
      <c r="R2034">
        <v>11160363</v>
      </c>
    </row>
    <row r="2035" spans="1:18" x14ac:dyDescent="0.25">
      <c r="A2035" s="133">
        <v>44999</v>
      </c>
      <c r="B2035" s="110">
        <v>57.94</v>
      </c>
      <c r="C2035" s="110">
        <v>57.24</v>
      </c>
      <c r="D2035" s="110">
        <v>56.27</v>
      </c>
      <c r="E2035" s="110">
        <v>57.79</v>
      </c>
      <c r="F2035" s="110">
        <v>286.2</v>
      </c>
      <c r="G2035">
        <v>588038</v>
      </c>
      <c r="H2035" s="110"/>
      <c r="I2035" s="110"/>
      <c r="L2035" s="133">
        <v>44999</v>
      </c>
      <c r="M2035" s="110">
        <v>57.26</v>
      </c>
      <c r="N2035" s="110">
        <v>57.94</v>
      </c>
      <c r="O2035" s="110">
        <v>56.27</v>
      </c>
      <c r="P2035" s="110">
        <v>57.76</v>
      </c>
      <c r="Q2035" s="110">
        <v>286.3</v>
      </c>
      <c r="R2035">
        <v>10288358</v>
      </c>
    </row>
    <row r="2036" spans="1:18" x14ac:dyDescent="0.25">
      <c r="A2036" s="133">
        <v>45000</v>
      </c>
      <c r="B2036" s="110">
        <v>58.14</v>
      </c>
      <c r="C2036" s="110">
        <v>56.19</v>
      </c>
      <c r="D2036" s="110">
        <v>55.8</v>
      </c>
      <c r="E2036" s="110">
        <v>57.61</v>
      </c>
      <c r="F2036" s="110">
        <v>280.95</v>
      </c>
      <c r="G2036">
        <v>164195</v>
      </c>
      <c r="H2036" s="110"/>
      <c r="I2036" s="110"/>
      <c r="L2036" s="133">
        <v>45000</v>
      </c>
      <c r="M2036" s="110">
        <v>56.23</v>
      </c>
      <c r="N2036" s="110">
        <v>58.23</v>
      </c>
      <c r="O2036" s="110">
        <v>55.8</v>
      </c>
      <c r="P2036" s="110">
        <v>58.02</v>
      </c>
      <c r="Q2036" s="110">
        <v>281.14999999999998</v>
      </c>
      <c r="R2036">
        <v>6607789</v>
      </c>
    </row>
    <row r="2037" spans="1:18" x14ac:dyDescent="0.25">
      <c r="A2037" s="133">
        <v>45001</v>
      </c>
      <c r="B2037" s="110">
        <v>57.11</v>
      </c>
      <c r="C2037" s="110">
        <v>56.32</v>
      </c>
      <c r="D2037" s="110">
        <v>55.16</v>
      </c>
      <c r="E2037" s="110">
        <v>56.18</v>
      </c>
      <c r="F2037" s="110">
        <v>281.60000000000002</v>
      </c>
      <c r="G2037">
        <v>230376</v>
      </c>
      <c r="H2037" s="110"/>
      <c r="I2037" s="110"/>
      <c r="L2037" s="133">
        <v>45001</v>
      </c>
      <c r="M2037" s="110">
        <v>56.33</v>
      </c>
      <c r="N2037" s="110">
        <v>57.12</v>
      </c>
      <c r="O2037" s="110">
        <v>55.14</v>
      </c>
      <c r="P2037" s="110">
        <v>56</v>
      </c>
      <c r="Q2037" s="110">
        <v>281.64999999999998</v>
      </c>
      <c r="R2037">
        <v>9840727</v>
      </c>
    </row>
    <row r="2038" spans="1:18" x14ac:dyDescent="0.25">
      <c r="A2038" s="133">
        <v>45002</v>
      </c>
      <c r="B2038" s="110">
        <v>57.31</v>
      </c>
      <c r="C2038" s="110">
        <v>56.35</v>
      </c>
      <c r="D2038" s="110">
        <v>55.32</v>
      </c>
      <c r="E2038" s="110">
        <v>57.31</v>
      </c>
      <c r="F2038" s="110">
        <v>281.75</v>
      </c>
      <c r="G2038">
        <v>245246</v>
      </c>
      <c r="H2038" s="110"/>
      <c r="I2038" s="110"/>
      <c r="L2038" s="133">
        <v>45002</v>
      </c>
      <c r="M2038" s="110">
        <v>56.35</v>
      </c>
      <c r="N2038" s="110">
        <v>57.2</v>
      </c>
      <c r="O2038" s="110">
        <v>55.3</v>
      </c>
      <c r="P2038" s="110">
        <v>57</v>
      </c>
      <c r="Q2038" s="110">
        <v>281.75</v>
      </c>
      <c r="R2038">
        <v>8292983</v>
      </c>
    </row>
    <row r="2039" spans="1:18" x14ac:dyDescent="0.25">
      <c r="A2039" s="133">
        <v>45005</v>
      </c>
      <c r="B2039" s="110">
        <v>56.19</v>
      </c>
      <c r="C2039" s="110">
        <v>55.61</v>
      </c>
      <c r="D2039" s="110">
        <v>54.75</v>
      </c>
      <c r="E2039" s="110">
        <v>56.19</v>
      </c>
      <c r="F2039" s="110">
        <v>278.05</v>
      </c>
      <c r="G2039">
        <v>296785</v>
      </c>
      <c r="H2039" s="110"/>
      <c r="I2039" s="110"/>
      <c r="L2039" s="133">
        <v>45005</v>
      </c>
      <c r="M2039" s="110">
        <v>55.6</v>
      </c>
      <c r="N2039" s="110">
        <v>56.07</v>
      </c>
      <c r="O2039" s="110">
        <v>54.76</v>
      </c>
      <c r="P2039" s="110">
        <v>56</v>
      </c>
      <c r="Q2039" s="110">
        <v>278</v>
      </c>
      <c r="R2039">
        <v>8397488</v>
      </c>
    </row>
    <row r="2040" spans="1:18" x14ac:dyDescent="0.25">
      <c r="A2040" s="133">
        <v>45006</v>
      </c>
      <c r="B2040" s="110">
        <v>57.09</v>
      </c>
      <c r="C2040" s="110">
        <v>56.79</v>
      </c>
      <c r="D2040" s="110">
        <v>55.41</v>
      </c>
      <c r="E2040" s="110">
        <v>55.99</v>
      </c>
      <c r="F2040" s="110">
        <v>283.95</v>
      </c>
      <c r="G2040">
        <v>333985</v>
      </c>
      <c r="H2040" s="110"/>
      <c r="I2040" s="110"/>
      <c r="L2040" s="133">
        <v>45006</v>
      </c>
      <c r="M2040" s="110">
        <v>56.8</v>
      </c>
      <c r="N2040" s="110">
        <v>57.09</v>
      </c>
      <c r="O2040" s="110">
        <v>55.42</v>
      </c>
      <c r="P2040" s="110">
        <v>55.94</v>
      </c>
      <c r="Q2040" s="110">
        <v>284</v>
      </c>
      <c r="R2040">
        <v>7330105</v>
      </c>
    </row>
    <row r="2041" spans="1:18" x14ac:dyDescent="0.25">
      <c r="A2041" s="133">
        <v>45007</v>
      </c>
      <c r="B2041" s="110">
        <v>57.68</v>
      </c>
      <c r="C2041" s="110">
        <v>56.95</v>
      </c>
      <c r="D2041" s="110">
        <v>56.79</v>
      </c>
      <c r="E2041" s="110">
        <v>57</v>
      </c>
      <c r="F2041" s="110">
        <v>284.75</v>
      </c>
      <c r="G2041">
        <v>152630</v>
      </c>
      <c r="H2041" s="110"/>
      <c r="I2041" s="110"/>
      <c r="L2041" s="133">
        <v>45007</v>
      </c>
      <c r="M2041" s="110">
        <v>56.97</v>
      </c>
      <c r="N2041" s="110">
        <v>57.69</v>
      </c>
      <c r="O2041" s="110">
        <v>56.77</v>
      </c>
      <c r="P2041" s="110">
        <v>56.97</v>
      </c>
      <c r="Q2041" s="110">
        <v>284.85000000000002</v>
      </c>
      <c r="R2041">
        <v>6038432</v>
      </c>
    </row>
    <row r="2042" spans="1:18" x14ac:dyDescent="0.25">
      <c r="A2042" s="133">
        <v>45008</v>
      </c>
      <c r="B2042" s="110">
        <v>57.4</v>
      </c>
      <c r="C2042" s="110">
        <v>56.15</v>
      </c>
      <c r="D2042" s="110">
        <v>55.91</v>
      </c>
      <c r="E2042" s="110">
        <v>56.71</v>
      </c>
      <c r="F2042" s="110">
        <v>280.75</v>
      </c>
      <c r="G2042">
        <v>159278</v>
      </c>
      <c r="H2042" s="110"/>
      <c r="I2042" s="110"/>
      <c r="L2042" s="133">
        <v>45008</v>
      </c>
      <c r="M2042" s="110">
        <v>56.12</v>
      </c>
      <c r="N2042" s="110">
        <v>57.4</v>
      </c>
      <c r="O2042" s="110">
        <v>55.87</v>
      </c>
      <c r="P2042" s="110">
        <v>56.85</v>
      </c>
      <c r="Q2042" s="110">
        <v>280.60000000000002</v>
      </c>
      <c r="R2042">
        <v>5882865</v>
      </c>
    </row>
    <row r="2043" spans="1:18" x14ac:dyDescent="0.25">
      <c r="A2043" s="133">
        <v>45009</v>
      </c>
      <c r="B2043" s="110">
        <v>56.28</v>
      </c>
      <c r="C2043" s="110">
        <v>54.74</v>
      </c>
      <c r="D2043" s="110">
        <v>54.46</v>
      </c>
      <c r="E2043" s="110">
        <v>55.81</v>
      </c>
      <c r="F2043" s="110">
        <v>273.7</v>
      </c>
      <c r="G2043">
        <v>426607</v>
      </c>
      <c r="H2043" s="110"/>
      <c r="I2043" s="110"/>
      <c r="L2043" s="133">
        <v>45009</v>
      </c>
      <c r="M2043" s="110">
        <v>54.76</v>
      </c>
      <c r="N2043" s="110">
        <v>56.29</v>
      </c>
      <c r="O2043" s="110">
        <v>54.47</v>
      </c>
      <c r="P2043" s="110">
        <v>55.93</v>
      </c>
      <c r="Q2043" s="110">
        <v>273.8</v>
      </c>
      <c r="R2043">
        <v>6442538</v>
      </c>
    </row>
    <row r="2044" spans="1:18" x14ac:dyDescent="0.25">
      <c r="A2044" s="133">
        <v>45012</v>
      </c>
      <c r="B2044" s="110">
        <v>55.82</v>
      </c>
      <c r="C2044" s="110">
        <v>55.41</v>
      </c>
      <c r="D2044" s="110">
        <v>54.51</v>
      </c>
      <c r="E2044" s="110">
        <v>54.81</v>
      </c>
      <c r="F2044" s="110">
        <v>277.05</v>
      </c>
      <c r="G2044">
        <v>180735</v>
      </c>
      <c r="H2044" s="110"/>
      <c r="I2044" s="110"/>
      <c r="L2044" s="133">
        <v>45012</v>
      </c>
      <c r="M2044" s="110">
        <v>55.44</v>
      </c>
      <c r="N2044" s="110">
        <v>55.84</v>
      </c>
      <c r="O2044" s="110">
        <v>54.5</v>
      </c>
      <c r="P2044" s="110">
        <v>54.99</v>
      </c>
      <c r="Q2044" s="110">
        <v>277.2</v>
      </c>
      <c r="R2044">
        <v>6354846</v>
      </c>
    </row>
    <row r="2045" spans="1:18" x14ac:dyDescent="0.25">
      <c r="A2045" s="133">
        <v>45013</v>
      </c>
      <c r="B2045" s="110">
        <v>56.2</v>
      </c>
      <c r="C2045" s="110">
        <v>55.07</v>
      </c>
      <c r="D2045" s="110">
        <v>54.55</v>
      </c>
      <c r="E2045" s="110">
        <v>55.44</v>
      </c>
      <c r="F2045" s="110">
        <v>275.35000000000002</v>
      </c>
      <c r="G2045">
        <v>149947</v>
      </c>
      <c r="H2045" s="110"/>
      <c r="I2045" s="110"/>
      <c r="L2045" s="133">
        <v>45013</v>
      </c>
      <c r="M2045" s="110">
        <v>55.03</v>
      </c>
      <c r="N2045" s="110">
        <v>56.38</v>
      </c>
      <c r="O2045" s="110">
        <v>54.55</v>
      </c>
      <c r="P2045" s="110">
        <v>55.48</v>
      </c>
      <c r="Q2045" s="110">
        <v>275.14999999999998</v>
      </c>
      <c r="R2045">
        <v>5261212</v>
      </c>
    </row>
    <row r="2046" spans="1:18" x14ac:dyDescent="0.25">
      <c r="A2046" s="133">
        <v>45014</v>
      </c>
      <c r="B2046" s="110">
        <v>56.49</v>
      </c>
      <c r="C2046" s="110">
        <v>55.96</v>
      </c>
      <c r="D2046" s="110">
        <v>54.81</v>
      </c>
      <c r="E2046" s="110">
        <v>55.37</v>
      </c>
      <c r="F2046" s="110">
        <v>279.8</v>
      </c>
      <c r="G2046">
        <v>3727403</v>
      </c>
      <c r="H2046" s="110"/>
      <c r="I2046" s="110"/>
      <c r="L2046" s="133">
        <v>45014</v>
      </c>
      <c r="M2046" s="110">
        <v>56.21</v>
      </c>
      <c r="N2046" s="110">
        <v>56.52</v>
      </c>
      <c r="O2046" s="110">
        <v>54.82</v>
      </c>
      <c r="P2046" s="110">
        <v>55.18</v>
      </c>
      <c r="Q2046" s="110">
        <v>281.05</v>
      </c>
      <c r="R2046">
        <v>15684111</v>
      </c>
    </row>
    <row r="2047" spans="1:18" x14ac:dyDescent="0.25">
      <c r="A2047" s="133">
        <v>45016</v>
      </c>
      <c r="B2047" s="110">
        <v>57.14</v>
      </c>
      <c r="C2047" s="110">
        <v>56.9</v>
      </c>
      <c r="D2047" s="110">
        <v>56.22</v>
      </c>
      <c r="E2047" s="110">
        <v>56.22</v>
      </c>
      <c r="F2047" s="110">
        <v>284.5</v>
      </c>
      <c r="G2047">
        <v>706526</v>
      </c>
      <c r="H2047" s="110"/>
      <c r="I2047" s="110"/>
      <c r="L2047" s="133">
        <v>45016</v>
      </c>
      <c r="M2047" s="110">
        <v>56.89</v>
      </c>
      <c r="N2047" s="110">
        <v>57.17</v>
      </c>
      <c r="O2047" s="110">
        <v>56.42</v>
      </c>
      <c r="P2047" s="110">
        <v>56.77</v>
      </c>
      <c r="Q2047" s="110">
        <v>284.45</v>
      </c>
      <c r="R2047">
        <v>6938673</v>
      </c>
    </row>
    <row r="2048" spans="1:18" x14ac:dyDescent="0.25">
      <c r="A2048" s="133">
        <v>45019</v>
      </c>
      <c r="B2048" s="110">
        <v>57.57</v>
      </c>
      <c r="C2048" s="110">
        <v>57.43</v>
      </c>
      <c r="D2048" s="110">
        <v>56.86</v>
      </c>
      <c r="E2048" s="110">
        <v>57.21</v>
      </c>
      <c r="F2048" s="110">
        <v>287.14999999999998</v>
      </c>
      <c r="G2048">
        <v>205084</v>
      </c>
      <c r="H2048" s="110"/>
      <c r="I2048" s="110"/>
      <c r="L2048" s="133">
        <v>45019</v>
      </c>
      <c r="M2048" s="110">
        <v>57.44</v>
      </c>
      <c r="N2048" s="110">
        <v>57.59</v>
      </c>
      <c r="O2048" s="110">
        <v>56.86</v>
      </c>
      <c r="P2048" s="110">
        <v>57.34</v>
      </c>
      <c r="Q2048" s="110">
        <v>287.2</v>
      </c>
      <c r="R2048">
        <v>3857744</v>
      </c>
    </row>
    <row r="2049" spans="1:18" x14ac:dyDescent="0.25">
      <c r="A2049" s="133">
        <v>45021</v>
      </c>
      <c r="B2049" s="110">
        <v>57.63</v>
      </c>
      <c r="C2049" s="110">
        <v>56.86</v>
      </c>
      <c r="D2049" s="110">
        <v>56.28</v>
      </c>
      <c r="E2049" s="110">
        <v>57.46</v>
      </c>
      <c r="F2049" s="110">
        <v>284.3</v>
      </c>
      <c r="G2049">
        <v>127088</v>
      </c>
      <c r="H2049" s="110"/>
      <c r="I2049" s="110"/>
      <c r="L2049" s="133">
        <v>45021</v>
      </c>
      <c r="M2049" s="110">
        <v>56.85</v>
      </c>
      <c r="N2049" s="110">
        <v>57.63</v>
      </c>
      <c r="O2049" s="110">
        <v>56.24</v>
      </c>
      <c r="P2049" s="110">
        <v>57.63</v>
      </c>
      <c r="Q2049" s="110">
        <v>284.25</v>
      </c>
      <c r="R2049">
        <v>4617050</v>
      </c>
    </row>
    <row r="2050" spans="1:18" x14ac:dyDescent="0.25">
      <c r="A2050" s="133">
        <v>45022</v>
      </c>
      <c r="B2050" s="110">
        <v>57.7</v>
      </c>
      <c r="C2050" s="110">
        <v>56.91</v>
      </c>
      <c r="D2050" s="110">
        <v>56.4</v>
      </c>
      <c r="E2050" s="110">
        <v>56.71</v>
      </c>
      <c r="F2050" s="110">
        <v>284.55</v>
      </c>
      <c r="G2050">
        <v>271378</v>
      </c>
      <c r="H2050" s="110"/>
      <c r="I2050" s="110"/>
      <c r="L2050" s="133">
        <v>45022</v>
      </c>
      <c r="M2050" s="110">
        <v>56.91</v>
      </c>
      <c r="N2050" s="110">
        <v>57.7</v>
      </c>
      <c r="O2050" s="110">
        <v>56.42</v>
      </c>
      <c r="P2050" s="110">
        <v>56.84</v>
      </c>
      <c r="Q2050" s="110">
        <v>284.55</v>
      </c>
      <c r="R2050">
        <v>5665424</v>
      </c>
    </row>
    <row r="2051" spans="1:18" x14ac:dyDescent="0.25">
      <c r="A2051" s="133">
        <v>45026</v>
      </c>
      <c r="B2051" s="110">
        <v>57.35</v>
      </c>
      <c r="C2051" s="110">
        <v>56.63</v>
      </c>
      <c r="D2051" s="110">
        <v>56.51</v>
      </c>
      <c r="E2051" s="110">
        <v>56.93</v>
      </c>
      <c r="F2051" s="110">
        <v>283.14999999999998</v>
      </c>
      <c r="G2051">
        <v>165197</v>
      </c>
      <c r="H2051" s="110"/>
      <c r="I2051" s="110"/>
      <c r="L2051" s="133">
        <v>45026</v>
      </c>
      <c r="M2051" s="110">
        <v>56.66</v>
      </c>
      <c r="N2051" s="110">
        <v>57.34</v>
      </c>
      <c r="O2051" s="110">
        <v>56.48</v>
      </c>
      <c r="P2051" s="110">
        <v>57.17</v>
      </c>
      <c r="Q2051" s="110">
        <v>283.3</v>
      </c>
      <c r="R2051">
        <v>3768541</v>
      </c>
    </row>
    <row r="2052" spans="1:18" x14ac:dyDescent="0.25">
      <c r="A2052" s="133">
        <v>45027</v>
      </c>
      <c r="B2052" s="110">
        <v>58.43</v>
      </c>
      <c r="C2052" s="110">
        <v>57.58</v>
      </c>
      <c r="D2052" s="110">
        <v>57.26</v>
      </c>
      <c r="E2052" s="110">
        <v>57.26</v>
      </c>
      <c r="F2052" s="110">
        <v>287.89999999999998</v>
      </c>
      <c r="G2052">
        <v>187963</v>
      </c>
      <c r="H2052" s="110"/>
      <c r="I2052" s="110"/>
      <c r="L2052" s="133">
        <v>45027</v>
      </c>
      <c r="M2052" s="110">
        <v>57.58</v>
      </c>
      <c r="N2052" s="110">
        <v>58.44</v>
      </c>
      <c r="O2052" s="110">
        <v>57.4</v>
      </c>
      <c r="P2052" s="110">
        <v>57.4</v>
      </c>
      <c r="Q2052" s="110">
        <v>287.89999999999998</v>
      </c>
      <c r="R2052">
        <v>7206608</v>
      </c>
    </row>
    <row r="2053" spans="1:18" x14ac:dyDescent="0.25">
      <c r="A2053" s="133">
        <v>45028</v>
      </c>
      <c r="B2053" s="110">
        <v>57.69</v>
      </c>
      <c r="C2053" s="110">
        <v>57.21</v>
      </c>
      <c r="D2053" s="110">
        <v>56.74</v>
      </c>
      <c r="E2053" s="110">
        <v>57.67</v>
      </c>
      <c r="F2053" s="110">
        <v>286.05</v>
      </c>
      <c r="G2053">
        <v>186907</v>
      </c>
      <c r="H2053" s="110"/>
      <c r="I2053" s="110"/>
      <c r="L2053" s="133">
        <v>45028</v>
      </c>
      <c r="M2053" s="110">
        <v>57.22</v>
      </c>
      <c r="N2053" s="110">
        <v>57.7</v>
      </c>
      <c r="O2053" s="110">
        <v>56.7</v>
      </c>
      <c r="P2053" s="110">
        <v>57.58</v>
      </c>
      <c r="Q2053" s="110">
        <v>286.10000000000002</v>
      </c>
      <c r="R2053">
        <v>4707437</v>
      </c>
    </row>
    <row r="2054" spans="1:18" x14ac:dyDescent="0.25">
      <c r="A2054" s="133">
        <v>45029</v>
      </c>
      <c r="B2054" s="110">
        <v>58.39</v>
      </c>
      <c r="C2054" s="110">
        <v>58.23</v>
      </c>
      <c r="D2054" s="110">
        <v>56.98</v>
      </c>
      <c r="E2054" s="110">
        <v>57.19</v>
      </c>
      <c r="F2054" s="110">
        <v>291.14999999999998</v>
      </c>
      <c r="G2054">
        <v>171940</v>
      </c>
      <c r="H2054" s="110"/>
      <c r="I2054" s="110"/>
      <c r="L2054" s="133">
        <v>45029</v>
      </c>
      <c r="M2054" s="110">
        <v>58.25</v>
      </c>
      <c r="N2054" s="110">
        <v>58.38</v>
      </c>
      <c r="O2054" s="110">
        <v>56.97</v>
      </c>
      <c r="P2054" s="110">
        <v>57.08</v>
      </c>
      <c r="Q2054" s="110">
        <v>291.25</v>
      </c>
      <c r="R2054">
        <v>5688026</v>
      </c>
    </row>
    <row r="2055" spans="1:18" x14ac:dyDescent="0.25">
      <c r="A2055" s="133">
        <v>45033</v>
      </c>
      <c r="B2055" s="110">
        <v>59.6</v>
      </c>
      <c r="C2055" s="110">
        <v>59.48</v>
      </c>
      <c r="D2055" s="110">
        <v>57.68</v>
      </c>
      <c r="E2055" s="110">
        <v>58.23</v>
      </c>
      <c r="F2055" s="110">
        <v>297.39999999999998</v>
      </c>
      <c r="G2055">
        <v>222955</v>
      </c>
      <c r="H2055" s="110"/>
      <c r="I2055" s="110"/>
      <c r="L2055" s="133">
        <v>45033</v>
      </c>
      <c r="M2055" s="110">
        <v>59.49</v>
      </c>
      <c r="N2055" s="110">
        <v>59.6</v>
      </c>
      <c r="O2055" s="110">
        <v>57.66</v>
      </c>
      <c r="P2055" s="110">
        <v>58.2</v>
      </c>
      <c r="Q2055" s="110">
        <v>297.45</v>
      </c>
      <c r="R2055">
        <v>9078989</v>
      </c>
    </row>
    <row r="2056" spans="1:18" x14ac:dyDescent="0.25">
      <c r="A2056" s="133">
        <v>45034</v>
      </c>
      <c r="B2056" s="110">
        <v>60.08</v>
      </c>
      <c r="C2056" s="110">
        <v>59.83</v>
      </c>
      <c r="D2056" s="110">
        <v>59.02</v>
      </c>
      <c r="E2056" s="110">
        <v>59.62</v>
      </c>
      <c r="F2056" s="110">
        <v>299.14999999999998</v>
      </c>
      <c r="G2056">
        <v>215728</v>
      </c>
      <c r="H2056" s="110"/>
      <c r="I2056" s="110"/>
      <c r="L2056" s="133">
        <v>45034</v>
      </c>
      <c r="M2056" s="110">
        <v>59.84</v>
      </c>
      <c r="N2056" s="110">
        <v>60.08</v>
      </c>
      <c r="O2056" s="110">
        <v>59</v>
      </c>
      <c r="P2056" s="110">
        <v>59.77</v>
      </c>
      <c r="Q2056" s="110">
        <v>299.2</v>
      </c>
      <c r="R2056">
        <v>6607228</v>
      </c>
    </row>
    <row r="2057" spans="1:18" x14ac:dyDescent="0.25">
      <c r="A2057" s="133">
        <v>45035</v>
      </c>
      <c r="B2057" s="110">
        <v>60.2</v>
      </c>
      <c r="C2057" s="110">
        <v>59.03</v>
      </c>
      <c r="D2057" s="110">
        <v>58.69</v>
      </c>
      <c r="E2057" s="110">
        <v>59.83</v>
      </c>
      <c r="F2057" s="110">
        <v>295.14999999999998</v>
      </c>
      <c r="G2057">
        <v>118595</v>
      </c>
      <c r="H2057" s="110"/>
      <c r="I2057" s="110"/>
      <c r="L2057" s="133">
        <v>45035</v>
      </c>
      <c r="M2057" s="110">
        <v>59.01</v>
      </c>
      <c r="N2057" s="110">
        <v>60.23</v>
      </c>
      <c r="O2057" s="110">
        <v>58.68</v>
      </c>
      <c r="P2057" s="110">
        <v>59.8</v>
      </c>
      <c r="Q2057" s="110">
        <v>295.05</v>
      </c>
      <c r="R2057">
        <v>4510457</v>
      </c>
    </row>
    <row r="2058" spans="1:18" x14ac:dyDescent="0.25">
      <c r="A2058" s="133">
        <v>45036</v>
      </c>
      <c r="B2058" s="110">
        <v>59.56</v>
      </c>
      <c r="C2058" s="110">
        <v>59.32</v>
      </c>
      <c r="D2058" s="110">
        <v>59.03</v>
      </c>
      <c r="E2058" s="110">
        <v>59.04</v>
      </c>
      <c r="F2058" s="110">
        <v>296.60000000000002</v>
      </c>
      <c r="G2058">
        <v>154740</v>
      </c>
      <c r="H2058" s="110"/>
      <c r="I2058" s="110"/>
      <c r="L2058" s="133">
        <v>45036</v>
      </c>
      <c r="M2058" s="110">
        <v>59.33</v>
      </c>
      <c r="N2058" s="110">
        <v>59.58</v>
      </c>
      <c r="O2058" s="110">
        <v>59.01</v>
      </c>
      <c r="P2058" s="110">
        <v>59.14</v>
      </c>
      <c r="Q2058" s="110">
        <v>296.64999999999998</v>
      </c>
      <c r="R2058">
        <v>3807652</v>
      </c>
    </row>
    <row r="2059" spans="1:18" x14ac:dyDescent="0.25">
      <c r="A2059" s="133">
        <v>45037</v>
      </c>
      <c r="B2059" s="110">
        <v>59.4</v>
      </c>
      <c r="C2059" s="110">
        <v>59.06</v>
      </c>
      <c r="D2059" s="110">
        <v>58.31</v>
      </c>
      <c r="E2059" s="110">
        <v>59.32</v>
      </c>
      <c r="F2059" s="110">
        <v>295.3</v>
      </c>
      <c r="G2059">
        <v>140540</v>
      </c>
      <c r="H2059" s="110"/>
      <c r="I2059" s="110"/>
      <c r="L2059" s="133">
        <v>45037</v>
      </c>
      <c r="M2059" s="110">
        <v>59.06</v>
      </c>
      <c r="N2059" s="110">
        <v>59.4</v>
      </c>
      <c r="O2059" s="110">
        <v>58.3</v>
      </c>
      <c r="P2059" s="110">
        <v>59.32</v>
      </c>
      <c r="Q2059" s="110">
        <v>295.3</v>
      </c>
      <c r="R2059">
        <v>4314438</v>
      </c>
    </row>
    <row r="2060" spans="1:18" x14ac:dyDescent="0.25">
      <c r="A2060" s="133">
        <v>45040</v>
      </c>
      <c r="B2060" s="110">
        <v>60.71</v>
      </c>
      <c r="C2060" s="110">
        <v>60.57</v>
      </c>
      <c r="D2060" s="110">
        <v>59.22</v>
      </c>
      <c r="E2060" s="110">
        <v>59.22</v>
      </c>
      <c r="F2060" s="110">
        <v>302.85000000000002</v>
      </c>
      <c r="G2060">
        <v>467289</v>
      </c>
      <c r="H2060" s="110"/>
      <c r="I2060" s="110"/>
      <c r="L2060" s="133">
        <v>45040</v>
      </c>
      <c r="M2060" s="110">
        <v>60.59</v>
      </c>
      <c r="N2060" s="110">
        <v>60.75</v>
      </c>
      <c r="O2060" s="110">
        <v>59.23</v>
      </c>
      <c r="P2060" s="110">
        <v>59.38</v>
      </c>
      <c r="Q2060" s="110">
        <v>302.95</v>
      </c>
      <c r="R2060">
        <v>7679714</v>
      </c>
    </row>
    <row r="2061" spans="1:18" x14ac:dyDescent="0.25">
      <c r="A2061" s="133">
        <v>45041</v>
      </c>
      <c r="B2061" s="110">
        <v>62.19</v>
      </c>
      <c r="C2061" s="110">
        <v>61.53</v>
      </c>
      <c r="D2061" s="110">
        <v>60.7</v>
      </c>
      <c r="E2061" s="110">
        <v>61.42</v>
      </c>
      <c r="F2061" s="110">
        <v>307.64999999999998</v>
      </c>
      <c r="G2061">
        <v>280934</v>
      </c>
      <c r="H2061" s="110"/>
      <c r="I2061" s="110"/>
      <c r="L2061" s="133">
        <v>45041</v>
      </c>
      <c r="M2061" s="110">
        <v>61.54</v>
      </c>
      <c r="N2061" s="110">
        <v>62.19</v>
      </c>
      <c r="O2061" s="110">
        <v>60.75</v>
      </c>
      <c r="P2061" s="110">
        <v>60.78</v>
      </c>
      <c r="Q2061" s="110">
        <v>307.7</v>
      </c>
      <c r="R2061">
        <v>9050205</v>
      </c>
    </row>
    <row r="2062" spans="1:18" x14ac:dyDescent="0.25">
      <c r="A2062" s="133">
        <v>45042</v>
      </c>
      <c r="B2062" s="110">
        <v>62.01</v>
      </c>
      <c r="C2062" s="110">
        <v>61.88</v>
      </c>
      <c r="D2062" s="110">
        <v>61.03</v>
      </c>
      <c r="E2062" s="110">
        <v>61.54</v>
      </c>
      <c r="F2062" s="110">
        <v>309.39999999999998</v>
      </c>
      <c r="G2062">
        <v>183611</v>
      </c>
      <c r="H2062" s="110"/>
      <c r="I2062" s="110"/>
      <c r="L2062" s="133">
        <v>45042</v>
      </c>
      <c r="M2062" s="110">
        <v>61.93</v>
      </c>
      <c r="N2062" s="110">
        <v>62.04</v>
      </c>
      <c r="O2062" s="110">
        <v>61.04</v>
      </c>
      <c r="P2062" s="110">
        <v>61.41</v>
      </c>
      <c r="Q2062" s="110">
        <v>309.64999999999998</v>
      </c>
      <c r="R2062">
        <v>4241074</v>
      </c>
    </row>
    <row r="2063" spans="1:18" x14ac:dyDescent="0.25">
      <c r="A2063" s="133">
        <v>45043</v>
      </c>
      <c r="B2063" s="110">
        <v>62.1</v>
      </c>
      <c r="C2063" s="110">
        <v>61.79</v>
      </c>
      <c r="D2063" s="110">
        <v>61.38</v>
      </c>
      <c r="E2063" s="110">
        <v>61.38</v>
      </c>
      <c r="F2063" s="110">
        <v>308.95</v>
      </c>
      <c r="G2063">
        <v>108254</v>
      </c>
      <c r="H2063" s="110"/>
      <c r="I2063" s="110"/>
      <c r="L2063" s="133">
        <v>45043</v>
      </c>
      <c r="M2063" s="110">
        <v>61.8</v>
      </c>
      <c r="N2063" s="110">
        <v>62.1</v>
      </c>
      <c r="O2063" s="110">
        <v>61.3</v>
      </c>
      <c r="P2063" s="110">
        <v>61.3</v>
      </c>
      <c r="Q2063" s="110">
        <v>309</v>
      </c>
      <c r="R2063">
        <v>3885217</v>
      </c>
    </row>
    <row r="2064" spans="1:18" x14ac:dyDescent="0.25">
      <c r="A2064" s="133">
        <v>45044</v>
      </c>
      <c r="B2064" s="110">
        <v>63.6</v>
      </c>
      <c r="C2064" s="110">
        <v>63.47</v>
      </c>
      <c r="D2064" s="110">
        <v>61.99</v>
      </c>
      <c r="E2064" s="110">
        <v>61.99</v>
      </c>
      <c r="F2064" s="110">
        <v>317.35000000000002</v>
      </c>
      <c r="G2064">
        <v>241522</v>
      </c>
      <c r="H2064" s="110"/>
      <c r="I2064" s="110"/>
      <c r="L2064" s="133">
        <v>45044</v>
      </c>
      <c r="M2064" s="110">
        <v>63.49</v>
      </c>
      <c r="N2064" s="110">
        <v>63.62</v>
      </c>
      <c r="O2064" s="110">
        <v>61.9</v>
      </c>
      <c r="P2064" s="110">
        <v>61.9</v>
      </c>
      <c r="Q2064" s="110">
        <v>317.45</v>
      </c>
      <c r="R2064">
        <v>6994297</v>
      </c>
    </row>
    <row r="2065" spans="1:18" x14ac:dyDescent="0.25">
      <c r="A2065" s="133">
        <v>45048</v>
      </c>
      <c r="B2065" s="110">
        <v>64.290000000000006</v>
      </c>
      <c r="C2065" s="110">
        <v>64</v>
      </c>
      <c r="D2065" s="110">
        <v>63.47</v>
      </c>
      <c r="E2065" s="110">
        <v>63.63</v>
      </c>
      <c r="F2065" s="110">
        <v>320</v>
      </c>
      <c r="G2065">
        <v>227421</v>
      </c>
      <c r="H2065" s="110"/>
      <c r="I2065" s="110"/>
      <c r="L2065" s="133">
        <v>45048</v>
      </c>
      <c r="M2065" s="110">
        <v>64</v>
      </c>
      <c r="N2065" s="110">
        <v>64.31</v>
      </c>
      <c r="O2065" s="110">
        <v>63.5</v>
      </c>
      <c r="P2065" s="110">
        <v>63.74</v>
      </c>
      <c r="Q2065" s="110">
        <v>320</v>
      </c>
      <c r="R2065">
        <v>5931824</v>
      </c>
    </row>
    <row r="2066" spans="1:18" x14ac:dyDescent="0.25">
      <c r="A2066" s="133">
        <v>45049</v>
      </c>
      <c r="B2066" s="110">
        <v>64.06</v>
      </c>
      <c r="C2066" s="110">
        <v>63.95</v>
      </c>
      <c r="D2066" s="110">
        <v>63.21</v>
      </c>
      <c r="E2066" s="110">
        <v>63.3</v>
      </c>
      <c r="F2066" s="110">
        <v>319.75</v>
      </c>
      <c r="G2066">
        <v>124610</v>
      </c>
      <c r="H2066" s="110"/>
      <c r="I2066" s="110"/>
      <c r="L2066" s="133">
        <v>45049</v>
      </c>
      <c r="M2066" s="110">
        <v>63.9</v>
      </c>
      <c r="N2066" s="110">
        <v>64.08</v>
      </c>
      <c r="O2066" s="110">
        <v>63.2</v>
      </c>
      <c r="P2066" s="110">
        <v>63.3</v>
      </c>
      <c r="Q2066" s="110">
        <v>319.5</v>
      </c>
      <c r="R2066">
        <v>3572917</v>
      </c>
    </row>
    <row r="2067" spans="1:18" x14ac:dyDescent="0.25">
      <c r="A2067" s="133">
        <v>45050</v>
      </c>
      <c r="B2067" s="110">
        <v>64.849999999999994</v>
      </c>
      <c r="C2067" s="110">
        <v>64.760000000000005</v>
      </c>
      <c r="D2067" s="110">
        <v>63.41</v>
      </c>
      <c r="E2067" s="110">
        <v>64.08</v>
      </c>
      <c r="F2067" s="110">
        <v>323.8</v>
      </c>
      <c r="G2067">
        <v>324031</v>
      </c>
      <c r="H2067" s="110"/>
      <c r="I2067" s="110"/>
      <c r="L2067" s="133">
        <v>45050</v>
      </c>
      <c r="M2067" s="110">
        <v>64.77</v>
      </c>
      <c r="N2067" s="110">
        <v>64.89</v>
      </c>
      <c r="O2067" s="110">
        <v>63.4</v>
      </c>
      <c r="P2067" s="110">
        <v>64.099999999999994</v>
      </c>
      <c r="Q2067" s="110">
        <v>323.85000000000002</v>
      </c>
      <c r="R2067">
        <v>5935785</v>
      </c>
    </row>
    <row r="2068" spans="1:18" x14ac:dyDescent="0.25">
      <c r="A2068" s="133">
        <v>45051</v>
      </c>
      <c r="B2068" s="110">
        <v>65.33</v>
      </c>
      <c r="C2068" s="110">
        <v>63.71</v>
      </c>
      <c r="D2068" s="110">
        <v>63.33</v>
      </c>
      <c r="E2068" s="110">
        <v>64.7</v>
      </c>
      <c r="F2068" s="110">
        <v>318.55</v>
      </c>
      <c r="G2068">
        <v>183492</v>
      </c>
      <c r="H2068" s="110"/>
      <c r="I2068" s="110"/>
      <c r="L2068" s="133">
        <v>45051</v>
      </c>
      <c r="M2068" s="110">
        <v>63.71</v>
      </c>
      <c r="N2068" s="110">
        <v>65.37</v>
      </c>
      <c r="O2068" s="110">
        <v>63.35</v>
      </c>
      <c r="P2068" s="110">
        <v>64.39</v>
      </c>
      <c r="Q2068" s="110">
        <v>318.55</v>
      </c>
      <c r="R2068">
        <v>6603718</v>
      </c>
    </row>
    <row r="2069" spans="1:18" x14ac:dyDescent="0.25">
      <c r="A2069" s="133">
        <v>45054</v>
      </c>
      <c r="B2069" s="110">
        <v>64.150000000000006</v>
      </c>
      <c r="C2069" s="110">
        <v>62.67</v>
      </c>
      <c r="D2069" s="110">
        <v>60.5</v>
      </c>
      <c r="E2069" s="110">
        <v>63.99</v>
      </c>
      <c r="F2069" s="110">
        <v>313.35000000000002</v>
      </c>
      <c r="G2069">
        <v>1239419</v>
      </c>
      <c r="H2069" s="110"/>
      <c r="I2069" s="110"/>
      <c r="L2069" s="133">
        <v>45054</v>
      </c>
      <c r="M2069" s="110">
        <v>62.64</v>
      </c>
      <c r="N2069" s="110">
        <v>64.14</v>
      </c>
      <c r="O2069" s="110">
        <v>60.47</v>
      </c>
      <c r="P2069" s="110">
        <v>63.64</v>
      </c>
      <c r="Q2069" s="110">
        <v>313.2</v>
      </c>
      <c r="R2069">
        <v>27862996</v>
      </c>
    </row>
    <row r="2070" spans="1:18" x14ac:dyDescent="0.25">
      <c r="A2070" s="133">
        <v>45055</v>
      </c>
      <c r="B2070" s="110">
        <v>63.49</v>
      </c>
      <c r="C2070" s="110">
        <v>60.56</v>
      </c>
      <c r="D2070" s="110">
        <v>60.3</v>
      </c>
      <c r="E2070" s="110">
        <v>63.49</v>
      </c>
      <c r="F2070" s="110">
        <v>302.8</v>
      </c>
      <c r="G2070">
        <v>1434724</v>
      </c>
      <c r="H2070" s="110"/>
      <c r="I2070" s="110"/>
      <c r="L2070" s="133">
        <v>45055</v>
      </c>
      <c r="M2070" s="110">
        <v>60.57</v>
      </c>
      <c r="N2070" s="110">
        <v>63.34</v>
      </c>
      <c r="O2070" s="110">
        <v>60.27</v>
      </c>
      <c r="P2070" s="110">
        <v>63.3</v>
      </c>
      <c r="Q2070" s="110">
        <v>302.85000000000002</v>
      </c>
      <c r="R2070">
        <v>23603069</v>
      </c>
    </row>
    <row r="2071" spans="1:18" x14ac:dyDescent="0.25">
      <c r="A2071" s="133">
        <v>45056</v>
      </c>
      <c r="B2071" s="110">
        <v>60.47</v>
      </c>
      <c r="C2071" s="110">
        <v>60.2</v>
      </c>
      <c r="D2071" s="110">
        <v>58.61</v>
      </c>
      <c r="E2071" s="110">
        <v>60.2</v>
      </c>
      <c r="F2071" s="110">
        <v>301</v>
      </c>
      <c r="G2071">
        <v>594619</v>
      </c>
      <c r="H2071" s="110"/>
      <c r="I2071" s="110"/>
      <c r="L2071" s="133">
        <v>45056</v>
      </c>
      <c r="M2071" s="110">
        <v>60.16</v>
      </c>
      <c r="N2071" s="110">
        <v>60.54</v>
      </c>
      <c r="O2071" s="110">
        <v>58.6</v>
      </c>
      <c r="P2071" s="110">
        <v>59.96</v>
      </c>
      <c r="Q2071" s="110">
        <v>300.8</v>
      </c>
      <c r="R2071">
        <v>14590135</v>
      </c>
    </row>
    <row r="2072" spans="1:18" x14ac:dyDescent="0.25">
      <c r="A2072" s="133">
        <v>45057</v>
      </c>
      <c r="B2072" s="110">
        <v>61.11</v>
      </c>
      <c r="C2072" s="110">
        <v>60.29</v>
      </c>
      <c r="D2072" s="110">
        <v>60.03</v>
      </c>
      <c r="E2072" s="110">
        <v>60.4</v>
      </c>
      <c r="F2072" s="110">
        <v>301.45</v>
      </c>
      <c r="G2072">
        <v>637822</v>
      </c>
      <c r="H2072" s="110"/>
      <c r="I2072" s="110"/>
      <c r="L2072" s="133">
        <v>45057</v>
      </c>
      <c r="M2072" s="110">
        <v>60.22</v>
      </c>
      <c r="N2072" s="110">
        <v>61.12</v>
      </c>
      <c r="O2072" s="110">
        <v>60</v>
      </c>
      <c r="P2072" s="110">
        <v>60.4</v>
      </c>
      <c r="Q2072" s="110">
        <v>301.10000000000002</v>
      </c>
      <c r="R2072">
        <v>7286043</v>
      </c>
    </row>
    <row r="2073" spans="1:18" x14ac:dyDescent="0.25">
      <c r="A2073" s="133">
        <v>45058</v>
      </c>
      <c r="B2073" s="110">
        <v>60.45</v>
      </c>
      <c r="C2073" s="110">
        <v>59.42</v>
      </c>
      <c r="D2073" s="110">
        <v>59.22</v>
      </c>
      <c r="E2073" s="110">
        <v>60.29</v>
      </c>
      <c r="F2073" s="110">
        <v>297.10000000000002</v>
      </c>
      <c r="G2073">
        <v>435830</v>
      </c>
      <c r="H2073" s="110"/>
      <c r="I2073" s="110"/>
      <c r="L2073" s="133">
        <v>45058</v>
      </c>
      <c r="M2073" s="110">
        <v>59.4</v>
      </c>
      <c r="N2073" s="110">
        <v>60.46</v>
      </c>
      <c r="O2073" s="110">
        <v>59.2</v>
      </c>
      <c r="P2073" s="110">
        <v>60.2</v>
      </c>
      <c r="Q2073" s="110">
        <v>297</v>
      </c>
      <c r="R2073">
        <v>6951857</v>
      </c>
    </row>
    <row r="2074" spans="1:18" x14ac:dyDescent="0.25">
      <c r="A2074" s="133">
        <v>45061</v>
      </c>
      <c r="B2074" s="110">
        <v>60.86</v>
      </c>
      <c r="C2074" s="110">
        <v>60.71</v>
      </c>
      <c r="D2074" s="110">
        <v>59.13</v>
      </c>
      <c r="E2074" s="110">
        <v>59.52</v>
      </c>
      <c r="F2074" s="110">
        <v>303.55</v>
      </c>
      <c r="G2074">
        <v>556076</v>
      </c>
      <c r="H2074" s="110"/>
      <c r="I2074" s="110"/>
      <c r="L2074" s="133">
        <v>45061</v>
      </c>
      <c r="M2074" s="110">
        <v>60.68</v>
      </c>
      <c r="N2074" s="110">
        <v>60.89</v>
      </c>
      <c r="O2074" s="110">
        <v>59.12</v>
      </c>
      <c r="P2074" s="110">
        <v>59.76</v>
      </c>
      <c r="Q2074" s="110">
        <v>303.39999999999998</v>
      </c>
      <c r="R2074">
        <v>7166978</v>
      </c>
    </row>
    <row r="2075" spans="1:18" x14ac:dyDescent="0.25">
      <c r="A2075" s="133">
        <v>45062</v>
      </c>
      <c r="B2075" s="110">
        <v>62.15</v>
      </c>
      <c r="C2075" s="110">
        <v>61.01</v>
      </c>
      <c r="D2075" s="110">
        <v>60.9</v>
      </c>
      <c r="E2075" s="110">
        <v>60.95</v>
      </c>
      <c r="F2075" s="110">
        <v>305.05</v>
      </c>
      <c r="G2075">
        <v>1095434</v>
      </c>
      <c r="H2075" s="110"/>
      <c r="I2075" s="110"/>
      <c r="L2075" s="133">
        <v>45062</v>
      </c>
      <c r="M2075" s="110">
        <v>61.03</v>
      </c>
      <c r="N2075" s="110">
        <v>62.19</v>
      </c>
      <c r="O2075" s="110">
        <v>60.87</v>
      </c>
      <c r="P2075" s="110">
        <v>61</v>
      </c>
      <c r="Q2075" s="110">
        <v>305.14999999999998</v>
      </c>
      <c r="R2075">
        <v>10887626</v>
      </c>
    </row>
    <row r="2076" spans="1:18" x14ac:dyDescent="0.25">
      <c r="A2076" s="133">
        <v>45063</v>
      </c>
      <c r="B2076" s="110">
        <v>61.62</v>
      </c>
      <c r="C2076" s="110">
        <v>60.49</v>
      </c>
      <c r="D2076" s="110">
        <v>59.95</v>
      </c>
      <c r="E2076" s="110">
        <v>61.44</v>
      </c>
      <c r="F2076" s="110">
        <v>302.45</v>
      </c>
      <c r="G2076">
        <v>305247</v>
      </c>
      <c r="H2076" s="110"/>
      <c r="I2076" s="110"/>
      <c r="L2076" s="133">
        <v>45063</v>
      </c>
      <c r="M2076" s="110">
        <v>60.54</v>
      </c>
      <c r="N2076" s="110">
        <v>61.6</v>
      </c>
      <c r="O2076" s="110">
        <v>59.91</v>
      </c>
      <c r="P2076" s="110">
        <v>61.18</v>
      </c>
      <c r="Q2076" s="110">
        <v>302.7</v>
      </c>
      <c r="R2076">
        <v>8109780</v>
      </c>
    </row>
    <row r="2077" spans="1:18" x14ac:dyDescent="0.25">
      <c r="A2077" s="133">
        <v>45064</v>
      </c>
      <c r="B2077" s="110">
        <v>61.08</v>
      </c>
      <c r="C2077" s="110">
        <v>59.02</v>
      </c>
      <c r="D2077" s="110">
        <v>58.81</v>
      </c>
      <c r="E2077" s="110">
        <v>60.81</v>
      </c>
      <c r="F2077" s="110">
        <v>295.10000000000002</v>
      </c>
      <c r="G2077">
        <v>186151</v>
      </c>
      <c r="H2077" s="110"/>
      <c r="I2077" s="110"/>
      <c r="L2077" s="133">
        <v>45064</v>
      </c>
      <c r="M2077" s="110">
        <v>59.03</v>
      </c>
      <c r="N2077" s="110">
        <v>61.1</v>
      </c>
      <c r="O2077" s="110">
        <v>58.8</v>
      </c>
      <c r="P2077" s="110">
        <v>61</v>
      </c>
      <c r="Q2077" s="110">
        <v>295.14999999999998</v>
      </c>
      <c r="R2077">
        <v>8179149</v>
      </c>
    </row>
    <row r="2078" spans="1:18" x14ac:dyDescent="0.25">
      <c r="A2078" s="133">
        <v>45065</v>
      </c>
      <c r="B2078" s="110">
        <v>59.7</v>
      </c>
      <c r="C2078" s="110">
        <v>59.58</v>
      </c>
      <c r="D2078" s="110">
        <v>58.26</v>
      </c>
      <c r="E2078" s="110">
        <v>59.28</v>
      </c>
      <c r="F2078" s="110">
        <v>297.89999999999998</v>
      </c>
      <c r="G2078">
        <v>247499</v>
      </c>
      <c r="H2078" s="110"/>
      <c r="I2078" s="110"/>
      <c r="L2078" s="133">
        <v>45065</v>
      </c>
      <c r="M2078" s="110">
        <v>59.56</v>
      </c>
      <c r="N2078" s="110">
        <v>59.78</v>
      </c>
      <c r="O2078" s="110">
        <v>58.27</v>
      </c>
      <c r="P2078" s="110">
        <v>59.4</v>
      </c>
      <c r="Q2078" s="110">
        <v>297.8</v>
      </c>
      <c r="R2078">
        <v>6343566</v>
      </c>
    </row>
    <row r="2079" spans="1:18" x14ac:dyDescent="0.25">
      <c r="A2079" s="133">
        <v>45068</v>
      </c>
      <c r="B2079" s="110">
        <v>60.32</v>
      </c>
      <c r="C2079" s="110">
        <v>60.15</v>
      </c>
      <c r="D2079" s="110">
        <v>59.4</v>
      </c>
      <c r="E2079" s="110">
        <v>59.45</v>
      </c>
      <c r="F2079" s="110">
        <v>300.75</v>
      </c>
      <c r="G2079">
        <v>259293</v>
      </c>
      <c r="H2079" s="110"/>
      <c r="I2079" s="110"/>
      <c r="L2079" s="133">
        <v>45068</v>
      </c>
      <c r="M2079" s="110">
        <v>60.19</v>
      </c>
      <c r="N2079" s="110">
        <v>60.33</v>
      </c>
      <c r="O2079" s="110">
        <v>59.37</v>
      </c>
      <c r="P2079" s="110">
        <v>59.76</v>
      </c>
      <c r="Q2079" s="110">
        <v>300.95</v>
      </c>
      <c r="R2079">
        <v>3436842</v>
      </c>
    </row>
    <row r="2080" spans="1:18" x14ac:dyDescent="0.25">
      <c r="A2080" s="133">
        <v>45069</v>
      </c>
      <c r="B2080" s="110">
        <v>60.9</v>
      </c>
      <c r="C2080" s="110">
        <v>60.43</v>
      </c>
      <c r="D2080" s="110">
        <v>60.24</v>
      </c>
      <c r="E2080" s="110">
        <v>60.45</v>
      </c>
      <c r="F2080" s="110">
        <v>302.14999999999998</v>
      </c>
      <c r="G2080">
        <v>131218</v>
      </c>
      <c r="H2080" s="110"/>
      <c r="I2080" s="110"/>
      <c r="L2080" s="133">
        <v>45069</v>
      </c>
      <c r="M2080" s="110">
        <v>60.41</v>
      </c>
      <c r="N2080" s="110">
        <v>60.9</v>
      </c>
      <c r="O2080" s="110">
        <v>60.23</v>
      </c>
      <c r="P2080" s="110">
        <v>60.39</v>
      </c>
      <c r="Q2080" s="110">
        <v>302.05</v>
      </c>
      <c r="R2080">
        <v>3133104</v>
      </c>
    </row>
    <row r="2081" spans="1:18" x14ac:dyDescent="0.25">
      <c r="A2081" s="133">
        <v>45070</v>
      </c>
      <c r="B2081" s="110">
        <v>60.65</v>
      </c>
      <c r="C2081" s="110">
        <v>59.96</v>
      </c>
      <c r="D2081" s="110">
        <v>59.67</v>
      </c>
      <c r="E2081" s="110">
        <v>60.03</v>
      </c>
      <c r="F2081" s="110">
        <v>299.8</v>
      </c>
      <c r="G2081">
        <v>231371</v>
      </c>
      <c r="H2081" s="110"/>
      <c r="I2081" s="110"/>
      <c r="L2081" s="133">
        <v>45070</v>
      </c>
      <c r="M2081" s="110">
        <v>59.92</v>
      </c>
      <c r="N2081" s="110">
        <v>60.64</v>
      </c>
      <c r="O2081" s="110">
        <v>59.63</v>
      </c>
      <c r="P2081" s="110">
        <v>60.18</v>
      </c>
      <c r="Q2081" s="110">
        <v>299.60000000000002</v>
      </c>
      <c r="R2081">
        <v>3290843</v>
      </c>
    </row>
    <row r="2082" spans="1:18" x14ac:dyDescent="0.25">
      <c r="A2082" s="133">
        <v>45071</v>
      </c>
      <c r="B2082" s="110">
        <v>60.06</v>
      </c>
      <c r="C2082" s="110">
        <v>59.92</v>
      </c>
      <c r="D2082" s="110">
        <v>59.25</v>
      </c>
      <c r="E2082" s="110">
        <v>59.95</v>
      </c>
      <c r="F2082" s="110">
        <v>299.60000000000002</v>
      </c>
      <c r="G2082">
        <v>209362</v>
      </c>
      <c r="H2082" s="110"/>
      <c r="I2082" s="110"/>
      <c r="L2082" s="133">
        <v>45071</v>
      </c>
      <c r="M2082" s="110">
        <v>59.93</v>
      </c>
      <c r="N2082" s="110">
        <v>60.06</v>
      </c>
      <c r="O2082" s="110">
        <v>59.23</v>
      </c>
      <c r="P2082" s="110">
        <v>59.8</v>
      </c>
      <c r="Q2082" s="110">
        <v>299.64999999999998</v>
      </c>
      <c r="R2082">
        <v>4169967</v>
      </c>
    </row>
    <row r="2083" spans="1:18" x14ac:dyDescent="0.25">
      <c r="A2083" s="133">
        <v>45072</v>
      </c>
      <c r="B2083" s="110">
        <v>61.54</v>
      </c>
      <c r="C2083" s="110">
        <v>61.34</v>
      </c>
      <c r="D2083" s="110">
        <v>60.11</v>
      </c>
      <c r="E2083" s="110">
        <v>60.25</v>
      </c>
      <c r="F2083" s="110">
        <v>306.7</v>
      </c>
      <c r="G2083">
        <v>274379</v>
      </c>
      <c r="H2083" s="110"/>
      <c r="I2083" s="110"/>
      <c r="L2083" s="133">
        <v>45072</v>
      </c>
      <c r="M2083" s="110">
        <v>61.34</v>
      </c>
      <c r="N2083" s="110">
        <v>61.55</v>
      </c>
      <c r="O2083" s="110">
        <v>60.03</v>
      </c>
      <c r="P2083" s="110">
        <v>60.18</v>
      </c>
      <c r="Q2083" s="110">
        <v>306.7</v>
      </c>
      <c r="R2083">
        <v>6474729</v>
      </c>
    </row>
    <row r="2084" spans="1:18" x14ac:dyDescent="0.25">
      <c r="A2084" s="133">
        <v>45075</v>
      </c>
      <c r="B2084" s="110">
        <v>62.08</v>
      </c>
      <c r="C2084" s="110">
        <v>61.41</v>
      </c>
      <c r="D2084" s="110">
        <v>61.16</v>
      </c>
      <c r="E2084" s="110">
        <v>61.95</v>
      </c>
      <c r="F2084" s="110">
        <v>307.05</v>
      </c>
      <c r="G2084">
        <v>311294</v>
      </c>
      <c r="H2084" s="110"/>
      <c r="I2084" s="110"/>
      <c r="L2084" s="133">
        <v>45075</v>
      </c>
      <c r="M2084" s="110">
        <v>61.42</v>
      </c>
      <c r="N2084" s="110">
        <v>62.1</v>
      </c>
      <c r="O2084" s="110">
        <v>61.17</v>
      </c>
      <c r="P2084" s="110">
        <v>61.8</v>
      </c>
      <c r="Q2084" s="110">
        <v>307.10000000000002</v>
      </c>
      <c r="R2084">
        <v>5505440</v>
      </c>
    </row>
    <row r="2085" spans="1:18" x14ac:dyDescent="0.25">
      <c r="A2085" s="133">
        <v>45076</v>
      </c>
      <c r="B2085" s="110">
        <v>61.76</v>
      </c>
      <c r="C2085" s="110">
        <v>61.57</v>
      </c>
      <c r="D2085" s="110">
        <v>61.05</v>
      </c>
      <c r="E2085" s="110">
        <v>61.41</v>
      </c>
      <c r="F2085" s="110">
        <v>307.85000000000002</v>
      </c>
      <c r="G2085">
        <v>114860</v>
      </c>
      <c r="H2085" s="110"/>
      <c r="I2085" s="110"/>
      <c r="L2085" s="133">
        <v>45076</v>
      </c>
      <c r="M2085" s="110">
        <v>61.54</v>
      </c>
      <c r="N2085" s="110">
        <v>61.79</v>
      </c>
      <c r="O2085" s="110">
        <v>61.05</v>
      </c>
      <c r="P2085" s="110">
        <v>61.43</v>
      </c>
      <c r="Q2085" s="110">
        <v>307.7</v>
      </c>
      <c r="R2085">
        <v>3248773</v>
      </c>
    </row>
    <row r="2086" spans="1:18" x14ac:dyDescent="0.25">
      <c r="A2086" s="133">
        <v>45077</v>
      </c>
      <c r="B2086" s="110">
        <v>62.3</v>
      </c>
      <c r="C2086" s="110">
        <v>61.93</v>
      </c>
      <c r="D2086" s="110">
        <v>60.91</v>
      </c>
      <c r="E2086" s="110">
        <v>61.44</v>
      </c>
      <c r="F2086" s="110">
        <v>309.64999999999998</v>
      </c>
      <c r="G2086">
        <v>318302</v>
      </c>
      <c r="H2086" s="110"/>
      <c r="I2086" s="110"/>
      <c r="L2086" s="133">
        <v>45077</v>
      </c>
      <c r="M2086" s="110">
        <v>61.94</v>
      </c>
      <c r="N2086" s="110">
        <v>62.33</v>
      </c>
      <c r="O2086" s="110">
        <v>60.92</v>
      </c>
      <c r="P2086" s="110">
        <v>61.48</v>
      </c>
      <c r="Q2086" s="110">
        <v>309.7</v>
      </c>
      <c r="R2086">
        <v>5536730</v>
      </c>
    </row>
    <row r="2087" spans="1:18" x14ac:dyDescent="0.25">
      <c r="A2087" s="133">
        <v>45078</v>
      </c>
      <c r="B2087" s="110">
        <v>62.31</v>
      </c>
      <c r="C2087" s="110">
        <v>61.89</v>
      </c>
      <c r="D2087" s="110">
        <v>61.69</v>
      </c>
      <c r="E2087" s="110">
        <v>61.8</v>
      </c>
      <c r="F2087" s="110">
        <v>309.45</v>
      </c>
      <c r="G2087">
        <v>323271</v>
      </c>
      <c r="H2087" s="110"/>
      <c r="I2087" s="110"/>
      <c r="L2087" s="133">
        <v>45078</v>
      </c>
      <c r="M2087" s="110">
        <v>61.88</v>
      </c>
      <c r="N2087" s="110">
        <v>62.3</v>
      </c>
      <c r="O2087" s="110">
        <v>61.74</v>
      </c>
      <c r="P2087" s="110">
        <v>61.8</v>
      </c>
      <c r="Q2087" s="110">
        <v>309.39999999999998</v>
      </c>
      <c r="R2087">
        <v>4686805</v>
      </c>
    </row>
    <row r="2088" spans="1:18" x14ac:dyDescent="0.25">
      <c r="A2088" s="133">
        <v>45079</v>
      </c>
      <c r="B2088" s="110">
        <v>63.06</v>
      </c>
      <c r="C2088" s="110">
        <v>62.73</v>
      </c>
      <c r="D2088" s="110">
        <v>62</v>
      </c>
      <c r="E2088" s="110">
        <v>62</v>
      </c>
      <c r="F2088" s="110">
        <v>313.64999999999998</v>
      </c>
      <c r="G2088">
        <v>488008</v>
      </c>
      <c r="H2088" s="110"/>
      <c r="I2088" s="110"/>
      <c r="L2088" s="133">
        <v>45079</v>
      </c>
      <c r="M2088" s="110">
        <v>62.75</v>
      </c>
      <c r="N2088" s="110">
        <v>63.09</v>
      </c>
      <c r="O2088" s="110">
        <v>61.96</v>
      </c>
      <c r="P2088" s="110">
        <v>62.06</v>
      </c>
      <c r="Q2088" s="110">
        <v>313.75</v>
      </c>
      <c r="R2088">
        <v>6380170</v>
      </c>
    </row>
    <row r="2089" spans="1:18" x14ac:dyDescent="0.25">
      <c r="A2089" s="133">
        <v>45082</v>
      </c>
      <c r="B2089" s="110">
        <v>63.19</v>
      </c>
      <c r="C2089" s="110">
        <v>62.42</v>
      </c>
      <c r="D2089" s="110">
        <v>62.32</v>
      </c>
      <c r="E2089" s="110">
        <v>62.81</v>
      </c>
      <c r="F2089" s="110">
        <v>312.10000000000002</v>
      </c>
      <c r="G2089">
        <v>158428</v>
      </c>
      <c r="H2089" s="110"/>
      <c r="I2089" s="110"/>
      <c r="L2089" s="133">
        <v>45082</v>
      </c>
      <c r="M2089" s="110">
        <v>62.4</v>
      </c>
      <c r="N2089" s="110">
        <v>63.17</v>
      </c>
      <c r="O2089" s="110">
        <v>62.31</v>
      </c>
      <c r="P2089" s="110">
        <v>63.09</v>
      </c>
      <c r="Q2089" s="110">
        <v>312</v>
      </c>
      <c r="R2089">
        <v>4397874</v>
      </c>
    </row>
    <row r="2090" spans="1:18" x14ac:dyDescent="0.25">
      <c r="A2090" s="133">
        <v>45083</v>
      </c>
      <c r="B2090" s="110">
        <v>62.66</v>
      </c>
      <c r="C2090" s="110">
        <v>62.38</v>
      </c>
      <c r="D2090" s="110">
        <v>61.81</v>
      </c>
      <c r="E2090" s="110">
        <v>62.6</v>
      </c>
      <c r="F2090" s="110">
        <v>311.89999999999998</v>
      </c>
      <c r="G2090">
        <v>210153</v>
      </c>
      <c r="H2090" s="110"/>
      <c r="I2090" s="110"/>
      <c r="L2090" s="133">
        <v>45083</v>
      </c>
      <c r="M2090" s="110">
        <v>62.35</v>
      </c>
      <c r="N2090" s="110">
        <v>62.68</v>
      </c>
      <c r="O2090" s="110">
        <v>61.78</v>
      </c>
      <c r="P2090" s="110">
        <v>62.58</v>
      </c>
      <c r="Q2090" s="110">
        <v>311.75</v>
      </c>
      <c r="R2090">
        <v>3370325</v>
      </c>
    </row>
    <row r="2091" spans="1:18" x14ac:dyDescent="0.25">
      <c r="A2091" s="133">
        <v>45084</v>
      </c>
      <c r="B2091" s="110">
        <v>63.3</v>
      </c>
      <c r="C2091" s="110">
        <v>63</v>
      </c>
      <c r="D2091" s="110">
        <v>62.42</v>
      </c>
      <c r="E2091" s="110">
        <v>62.43</v>
      </c>
      <c r="F2091" s="110">
        <v>315</v>
      </c>
      <c r="G2091">
        <v>247903</v>
      </c>
      <c r="H2091" s="110"/>
      <c r="I2091" s="110"/>
      <c r="L2091" s="133">
        <v>45084</v>
      </c>
      <c r="M2091" s="110">
        <v>63</v>
      </c>
      <c r="N2091" s="110">
        <v>63.3</v>
      </c>
      <c r="O2091" s="110">
        <v>62.52</v>
      </c>
      <c r="P2091" s="110">
        <v>62.58</v>
      </c>
      <c r="Q2091" s="110">
        <v>315</v>
      </c>
      <c r="R2091">
        <v>4175476</v>
      </c>
    </row>
    <row r="2092" spans="1:18" x14ac:dyDescent="0.25">
      <c r="A2092" s="133">
        <v>45085</v>
      </c>
      <c r="B2092" s="110">
        <v>63.49</v>
      </c>
      <c r="C2092" s="110">
        <v>62.43</v>
      </c>
      <c r="D2092" s="110">
        <v>62.18</v>
      </c>
      <c r="E2092" s="110">
        <v>63.49</v>
      </c>
      <c r="F2092" s="110">
        <v>312.14999999999998</v>
      </c>
      <c r="G2092">
        <v>277478</v>
      </c>
      <c r="H2092" s="110"/>
      <c r="I2092" s="110"/>
      <c r="L2092" s="133">
        <v>45085</v>
      </c>
      <c r="M2092" s="110">
        <v>62.46</v>
      </c>
      <c r="N2092" s="110">
        <v>63.31</v>
      </c>
      <c r="O2092" s="110">
        <v>62.2</v>
      </c>
      <c r="P2092" s="110">
        <v>63.28</v>
      </c>
      <c r="Q2092" s="110">
        <v>312.3</v>
      </c>
      <c r="R2092">
        <v>3707334</v>
      </c>
    </row>
    <row r="2093" spans="1:18" x14ac:dyDescent="0.25">
      <c r="A2093" s="133">
        <v>45086</v>
      </c>
      <c r="B2093" s="110">
        <v>62.65</v>
      </c>
      <c r="C2093" s="110">
        <v>62.18</v>
      </c>
      <c r="D2093" s="110">
        <v>61.97</v>
      </c>
      <c r="E2093" s="110">
        <v>62.51</v>
      </c>
      <c r="F2093" s="110">
        <v>310.89999999999998</v>
      </c>
      <c r="G2093">
        <v>125568</v>
      </c>
      <c r="H2093" s="110"/>
      <c r="I2093" s="110"/>
      <c r="L2093" s="133">
        <v>45086</v>
      </c>
      <c r="M2093" s="110">
        <v>62.2</v>
      </c>
      <c r="N2093" s="110">
        <v>62.65</v>
      </c>
      <c r="O2093" s="110">
        <v>62</v>
      </c>
      <c r="P2093" s="110">
        <v>62.65</v>
      </c>
      <c r="Q2093" s="110">
        <v>311</v>
      </c>
      <c r="R2093">
        <v>3720275</v>
      </c>
    </row>
    <row r="2094" spans="1:18" x14ac:dyDescent="0.25">
      <c r="A2094" s="133">
        <v>45089</v>
      </c>
      <c r="B2094" s="110">
        <v>63.08</v>
      </c>
      <c r="C2094" s="110">
        <v>62.98</v>
      </c>
      <c r="D2094" s="110">
        <v>62.04</v>
      </c>
      <c r="E2094" s="110">
        <v>62.64</v>
      </c>
      <c r="F2094" s="110">
        <v>314.89999999999998</v>
      </c>
      <c r="G2094">
        <v>147818</v>
      </c>
      <c r="H2094" s="110"/>
      <c r="I2094" s="110"/>
      <c r="L2094" s="133">
        <v>45089</v>
      </c>
      <c r="M2094" s="110">
        <v>62.98</v>
      </c>
      <c r="N2094" s="110">
        <v>63.08</v>
      </c>
      <c r="O2094" s="110">
        <v>62.03</v>
      </c>
      <c r="P2094" s="110">
        <v>62.6</v>
      </c>
      <c r="Q2094" s="110">
        <v>314.89999999999998</v>
      </c>
      <c r="R2094">
        <v>3776249</v>
      </c>
    </row>
    <row r="2095" spans="1:18" x14ac:dyDescent="0.25">
      <c r="A2095" s="133">
        <v>45090</v>
      </c>
      <c r="B2095" s="110">
        <v>63.25</v>
      </c>
      <c r="C2095" s="110">
        <v>62.98</v>
      </c>
      <c r="D2095" s="110">
        <v>62.71</v>
      </c>
      <c r="E2095" s="110">
        <v>63.05</v>
      </c>
      <c r="F2095" s="110">
        <v>314.89999999999998</v>
      </c>
      <c r="G2095">
        <v>193818</v>
      </c>
      <c r="H2095" s="110"/>
      <c r="I2095" s="110"/>
      <c r="L2095" s="133">
        <v>45090</v>
      </c>
      <c r="M2095" s="110">
        <v>62.98</v>
      </c>
      <c r="N2095" s="110">
        <v>63.28</v>
      </c>
      <c r="O2095" s="110">
        <v>62.65</v>
      </c>
      <c r="P2095" s="110">
        <v>63.2</v>
      </c>
      <c r="Q2095" s="110">
        <v>314.89999999999998</v>
      </c>
      <c r="R2095">
        <v>3615916</v>
      </c>
    </row>
    <row r="2096" spans="1:18" x14ac:dyDescent="0.25">
      <c r="A2096" s="133">
        <v>45091</v>
      </c>
      <c r="B2096" s="110">
        <v>61.4</v>
      </c>
      <c r="C2096" s="110">
        <v>60.89</v>
      </c>
      <c r="D2096" s="110">
        <v>60.61</v>
      </c>
      <c r="E2096" s="110">
        <v>60.88</v>
      </c>
      <c r="F2096" s="110">
        <v>304.45</v>
      </c>
      <c r="G2096">
        <v>333552</v>
      </c>
      <c r="H2096" s="110"/>
      <c r="I2096" s="110"/>
      <c r="L2096" s="133">
        <v>45091</v>
      </c>
      <c r="M2096" s="110">
        <v>60.89</v>
      </c>
      <c r="N2096" s="110">
        <v>61.43</v>
      </c>
      <c r="O2096" s="110">
        <v>60.6</v>
      </c>
      <c r="P2096" s="110">
        <v>60.9</v>
      </c>
      <c r="Q2096" s="110">
        <v>304.45</v>
      </c>
      <c r="R2096">
        <v>6079409</v>
      </c>
    </row>
    <row r="2097" spans="1:18" x14ac:dyDescent="0.25">
      <c r="A2097" s="133">
        <v>45092</v>
      </c>
      <c r="B2097" s="110">
        <v>61.04</v>
      </c>
      <c r="C2097" s="110">
        <v>59.36</v>
      </c>
      <c r="D2097" s="110">
        <v>59.22</v>
      </c>
      <c r="E2097" s="110">
        <v>60.73</v>
      </c>
      <c r="F2097" s="110">
        <v>296.8</v>
      </c>
      <c r="G2097">
        <v>347599</v>
      </c>
      <c r="H2097" s="110"/>
      <c r="I2097" s="110"/>
      <c r="L2097" s="133">
        <v>45092</v>
      </c>
      <c r="M2097" s="110">
        <v>59.36</v>
      </c>
      <c r="N2097" s="110">
        <v>61.07</v>
      </c>
      <c r="O2097" s="110">
        <v>59.19</v>
      </c>
      <c r="P2097" s="110">
        <v>60.9</v>
      </c>
      <c r="Q2097" s="110">
        <v>296.8</v>
      </c>
      <c r="R2097">
        <v>5959180</v>
      </c>
    </row>
    <row r="2098" spans="1:18" x14ac:dyDescent="0.25">
      <c r="A2098" s="133">
        <v>45093</v>
      </c>
      <c r="B2098" s="110">
        <v>61</v>
      </c>
      <c r="C2098" s="110">
        <v>60.77</v>
      </c>
      <c r="D2098" s="110">
        <v>59.5</v>
      </c>
      <c r="E2098" s="110">
        <v>59.57</v>
      </c>
      <c r="F2098" s="110">
        <v>303.85000000000002</v>
      </c>
      <c r="G2098">
        <v>445363</v>
      </c>
      <c r="H2098" s="110"/>
      <c r="I2098" s="110"/>
      <c r="L2098" s="133">
        <v>45093</v>
      </c>
      <c r="M2098" s="110">
        <v>60.75</v>
      </c>
      <c r="N2098" s="110">
        <v>61</v>
      </c>
      <c r="O2098" s="110">
        <v>59.52</v>
      </c>
      <c r="P2098" s="110">
        <v>59.68</v>
      </c>
      <c r="Q2098" s="110">
        <v>303.75</v>
      </c>
      <c r="R2098">
        <v>5511476</v>
      </c>
    </row>
    <row r="2099" spans="1:18" x14ac:dyDescent="0.25">
      <c r="A2099" s="133">
        <v>45096</v>
      </c>
      <c r="B2099" s="110">
        <v>61.46</v>
      </c>
      <c r="C2099" s="110">
        <v>60.99</v>
      </c>
      <c r="D2099" s="110">
        <v>60.42</v>
      </c>
      <c r="E2099" s="110">
        <v>60.8</v>
      </c>
      <c r="F2099" s="110">
        <v>304.95</v>
      </c>
      <c r="G2099">
        <v>347018</v>
      </c>
      <c r="H2099" s="110"/>
      <c r="I2099" s="110"/>
      <c r="L2099" s="133">
        <v>45096</v>
      </c>
      <c r="M2099" s="110">
        <v>61</v>
      </c>
      <c r="N2099" s="110">
        <v>61.44</v>
      </c>
      <c r="O2099" s="110">
        <v>60.44</v>
      </c>
      <c r="P2099" s="110">
        <v>60.79</v>
      </c>
      <c r="Q2099" s="110">
        <v>305</v>
      </c>
      <c r="R2099">
        <v>4902552</v>
      </c>
    </row>
    <row r="2100" spans="1:18" x14ac:dyDescent="0.25">
      <c r="A2100" s="133">
        <v>45097</v>
      </c>
      <c r="B2100" s="110">
        <v>61.37</v>
      </c>
      <c r="C2100" s="110">
        <v>61.24</v>
      </c>
      <c r="D2100" s="110">
        <v>60.5</v>
      </c>
      <c r="E2100" s="110">
        <v>60.92</v>
      </c>
      <c r="F2100" s="110">
        <v>306.2</v>
      </c>
      <c r="G2100">
        <v>150488</v>
      </c>
      <c r="H2100" s="110"/>
      <c r="I2100" s="110"/>
      <c r="L2100" s="133">
        <v>45097</v>
      </c>
      <c r="M2100" s="110">
        <v>61.28</v>
      </c>
      <c r="N2100" s="110">
        <v>61.38</v>
      </c>
      <c r="O2100" s="110">
        <v>60.49</v>
      </c>
      <c r="P2100" s="110">
        <v>61</v>
      </c>
      <c r="Q2100" s="110">
        <v>306.39999999999998</v>
      </c>
      <c r="R2100">
        <v>4708574</v>
      </c>
    </row>
    <row r="2101" spans="1:18" x14ac:dyDescent="0.25">
      <c r="A2101" s="133">
        <v>45098</v>
      </c>
      <c r="B2101" s="110">
        <v>61.88</v>
      </c>
      <c r="C2101" s="110">
        <v>61.32</v>
      </c>
      <c r="D2101" s="110">
        <v>60.91</v>
      </c>
      <c r="E2101" s="110">
        <v>61.3</v>
      </c>
      <c r="F2101" s="110">
        <v>306.60000000000002</v>
      </c>
      <c r="G2101">
        <v>157849</v>
      </c>
      <c r="H2101" s="110"/>
      <c r="I2101" s="110"/>
      <c r="L2101" s="133">
        <v>45098</v>
      </c>
      <c r="M2101" s="110">
        <v>61.33</v>
      </c>
      <c r="N2101" s="110">
        <v>61.89</v>
      </c>
      <c r="O2101" s="110">
        <v>60.9</v>
      </c>
      <c r="P2101" s="110">
        <v>61.28</v>
      </c>
      <c r="Q2101" s="110">
        <v>306.64999999999998</v>
      </c>
      <c r="R2101">
        <v>5573827</v>
      </c>
    </row>
    <row r="2102" spans="1:18" x14ac:dyDescent="0.25">
      <c r="A2102" s="133">
        <v>45099</v>
      </c>
      <c r="B2102" s="110">
        <v>61.39</v>
      </c>
      <c r="C2102" s="110">
        <v>60.16</v>
      </c>
      <c r="D2102" s="110">
        <v>59.84</v>
      </c>
      <c r="E2102" s="110">
        <v>61.2</v>
      </c>
      <c r="F2102" s="110">
        <v>300.8</v>
      </c>
      <c r="G2102">
        <v>149831</v>
      </c>
      <c r="H2102" s="110"/>
      <c r="I2102" s="110"/>
      <c r="L2102" s="133">
        <v>45099</v>
      </c>
      <c r="M2102" s="110">
        <v>60.18</v>
      </c>
      <c r="N2102" s="110">
        <v>61.4</v>
      </c>
      <c r="O2102" s="110">
        <v>59.84</v>
      </c>
      <c r="P2102" s="110">
        <v>61.2</v>
      </c>
      <c r="Q2102" s="110">
        <v>300.89999999999998</v>
      </c>
      <c r="R2102">
        <v>4184430</v>
      </c>
    </row>
    <row r="2103" spans="1:18" x14ac:dyDescent="0.25">
      <c r="A2103" s="133">
        <v>45100</v>
      </c>
      <c r="B2103" s="110">
        <v>60.22</v>
      </c>
      <c r="C2103" s="110">
        <v>59.22</v>
      </c>
      <c r="D2103" s="110">
        <v>58.93</v>
      </c>
      <c r="E2103" s="110">
        <v>60.16</v>
      </c>
      <c r="F2103" s="110">
        <v>296.10000000000002</v>
      </c>
      <c r="G2103">
        <v>149023</v>
      </c>
      <c r="H2103" s="110"/>
      <c r="I2103" s="110"/>
      <c r="L2103" s="133">
        <v>45100</v>
      </c>
      <c r="M2103" s="110">
        <v>59.28</v>
      </c>
      <c r="N2103" s="110">
        <v>60.34</v>
      </c>
      <c r="O2103" s="110">
        <v>58.92</v>
      </c>
      <c r="P2103" s="110">
        <v>60.24</v>
      </c>
      <c r="Q2103" s="110">
        <v>296.39999999999998</v>
      </c>
      <c r="R2103">
        <v>4739916</v>
      </c>
    </row>
    <row r="2104" spans="1:18" x14ac:dyDescent="0.25">
      <c r="A2104" s="133">
        <v>45103</v>
      </c>
      <c r="B2104" s="110">
        <v>59.49</v>
      </c>
      <c r="C2104" s="110">
        <v>58.71</v>
      </c>
      <c r="D2104" s="110">
        <v>58.29</v>
      </c>
      <c r="E2104" s="110">
        <v>59.3</v>
      </c>
      <c r="F2104" s="110">
        <v>293.55</v>
      </c>
      <c r="G2104">
        <v>140299</v>
      </c>
      <c r="H2104" s="110"/>
      <c r="I2104" s="110"/>
      <c r="L2104" s="133">
        <v>45103</v>
      </c>
      <c r="M2104" s="110">
        <v>58.75</v>
      </c>
      <c r="N2104" s="110">
        <v>59.5</v>
      </c>
      <c r="O2104" s="110">
        <v>58.33</v>
      </c>
      <c r="P2104" s="110">
        <v>59.28</v>
      </c>
      <c r="Q2104" s="110">
        <v>293.75</v>
      </c>
      <c r="R2104">
        <v>5601930</v>
      </c>
    </row>
    <row r="2105" spans="1:18" x14ac:dyDescent="0.25">
      <c r="A2105" s="133">
        <v>45104</v>
      </c>
      <c r="B2105" s="110">
        <v>59.38</v>
      </c>
      <c r="C2105" s="110">
        <v>59.22</v>
      </c>
      <c r="D2105" s="110">
        <v>58.78</v>
      </c>
      <c r="E2105" s="110">
        <v>58.78</v>
      </c>
      <c r="F2105" s="110">
        <v>296.10000000000002</v>
      </c>
      <c r="G2105">
        <v>71602</v>
      </c>
      <c r="H2105" s="110"/>
      <c r="I2105" s="110"/>
      <c r="L2105" s="133">
        <v>45104</v>
      </c>
      <c r="M2105" s="110">
        <v>59.21</v>
      </c>
      <c r="N2105" s="110">
        <v>59.4</v>
      </c>
      <c r="O2105" s="110">
        <v>58.83</v>
      </c>
      <c r="P2105" s="110">
        <v>58.93</v>
      </c>
      <c r="Q2105" s="110">
        <v>296.05</v>
      </c>
      <c r="R2105">
        <v>4182838</v>
      </c>
    </row>
    <row r="2106" spans="1:18" x14ac:dyDescent="0.25">
      <c r="A2106" s="133">
        <v>45105</v>
      </c>
      <c r="B2106" s="110">
        <v>59.79</v>
      </c>
      <c r="C2106" s="110">
        <v>59.35</v>
      </c>
      <c r="D2106" s="110">
        <v>59.14</v>
      </c>
      <c r="E2106" s="110">
        <v>59.5</v>
      </c>
      <c r="F2106" s="110">
        <v>296.75</v>
      </c>
      <c r="G2106">
        <v>207619</v>
      </c>
      <c r="H2106" s="110"/>
      <c r="I2106" s="110"/>
      <c r="L2106" s="133">
        <v>45105</v>
      </c>
      <c r="M2106" s="110">
        <v>59.32</v>
      </c>
      <c r="N2106" s="110">
        <v>59.94</v>
      </c>
      <c r="O2106" s="110">
        <v>59.12</v>
      </c>
      <c r="P2106" s="110">
        <v>59.46</v>
      </c>
      <c r="Q2106" s="110">
        <v>296.60000000000002</v>
      </c>
      <c r="R2106">
        <v>5245062</v>
      </c>
    </row>
    <row r="2107" spans="1:18" x14ac:dyDescent="0.25">
      <c r="A2107" s="133">
        <v>45107</v>
      </c>
      <c r="B2107" s="110">
        <v>60.6</v>
      </c>
      <c r="C2107" s="110">
        <v>60.36</v>
      </c>
      <c r="D2107" s="110">
        <v>59.51</v>
      </c>
      <c r="E2107" s="110">
        <v>59.65</v>
      </c>
      <c r="F2107" s="110">
        <v>301.8</v>
      </c>
      <c r="G2107">
        <v>360612</v>
      </c>
      <c r="H2107" s="110"/>
      <c r="I2107" s="110"/>
      <c r="L2107" s="133">
        <v>45107</v>
      </c>
      <c r="M2107" s="110">
        <v>60.37</v>
      </c>
      <c r="N2107" s="110">
        <v>60.64</v>
      </c>
      <c r="O2107" s="110">
        <v>59.5</v>
      </c>
      <c r="P2107" s="110">
        <v>59.86</v>
      </c>
      <c r="Q2107" s="110">
        <v>301.85000000000002</v>
      </c>
      <c r="R2107">
        <v>4127658</v>
      </c>
    </row>
    <row r="2108" spans="1:18" x14ac:dyDescent="0.25">
      <c r="A2108" s="133">
        <v>45110</v>
      </c>
      <c r="B2108" s="110">
        <v>64.180000000000007</v>
      </c>
      <c r="C2108" s="110">
        <v>63.68</v>
      </c>
      <c r="D2108" s="110">
        <v>60.47</v>
      </c>
      <c r="E2108" s="110">
        <v>60.47</v>
      </c>
      <c r="F2108" s="110">
        <v>318.39999999999998</v>
      </c>
      <c r="G2108">
        <v>575016</v>
      </c>
      <c r="H2108" s="110"/>
      <c r="I2108" s="110"/>
      <c r="L2108" s="133">
        <v>45110</v>
      </c>
      <c r="M2108" s="110">
        <v>63.7</v>
      </c>
      <c r="N2108" s="110">
        <v>64.180000000000007</v>
      </c>
      <c r="O2108" s="110">
        <v>60.51</v>
      </c>
      <c r="P2108" s="110">
        <v>60.6</v>
      </c>
      <c r="Q2108" s="110">
        <v>318.5</v>
      </c>
      <c r="R2108">
        <v>18497978</v>
      </c>
    </row>
    <row r="2109" spans="1:18" x14ac:dyDescent="0.25">
      <c r="A2109" s="133">
        <v>45111</v>
      </c>
      <c r="B2109" s="110">
        <v>65.12</v>
      </c>
      <c r="C2109" s="110">
        <v>64.290000000000006</v>
      </c>
      <c r="D2109" s="110">
        <v>63.49</v>
      </c>
      <c r="E2109" s="110">
        <v>64</v>
      </c>
      <c r="F2109" s="110">
        <v>321.45</v>
      </c>
      <c r="G2109">
        <v>578512</v>
      </c>
      <c r="H2109" s="110"/>
      <c r="I2109" s="110"/>
      <c r="L2109" s="133">
        <v>45111</v>
      </c>
      <c r="M2109" s="110">
        <v>64.33</v>
      </c>
      <c r="N2109" s="110">
        <v>65.14</v>
      </c>
      <c r="O2109" s="110">
        <v>63.51</v>
      </c>
      <c r="P2109" s="110">
        <v>64.14</v>
      </c>
      <c r="Q2109" s="110">
        <v>321.64999999999998</v>
      </c>
      <c r="R2109">
        <v>14042359</v>
      </c>
    </row>
    <row r="2110" spans="1:18" x14ac:dyDescent="0.25">
      <c r="A2110" s="133">
        <v>45112</v>
      </c>
      <c r="B2110" s="110">
        <v>65.02</v>
      </c>
      <c r="C2110" s="110">
        <v>64.400000000000006</v>
      </c>
      <c r="D2110" s="110">
        <v>64.06</v>
      </c>
      <c r="E2110" s="110">
        <v>64.569999999999993</v>
      </c>
      <c r="F2110" s="110">
        <v>322</v>
      </c>
      <c r="G2110">
        <v>226116</v>
      </c>
      <c r="H2110" s="110"/>
      <c r="I2110" s="110"/>
      <c r="L2110" s="133">
        <v>45112</v>
      </c>
      <c r="M2110" s="110">
        <v>64.42</v>
      </c>
      <c r="N2110" s="110">
        <v>65.03</v>
      </c>
      <c r="O2110" s="110">
        <v>64.06</v>
      </c>
      <c r="P2110" s="110">
        <v>64.34</v>
      </c>
      <c r="Q2110" s="110">
        <v>322.10000000000002</v>
      </c>
      <c r="R2110">
        <v>5866117</v>
      </c>
    </row>
    <row r="2111" spans="1:18" x14ac:dyDescent="0.25">
      <c r="A2111" s="133">
        <v>45113</v>
      </c>
      <c r="B2111" s="110">
        <v>65.87</v>
      </c>
      <c r="C2111" s="110">
        <v>65.2</v>
      </c>
      <c r="D2111" s="110">
        <v>64.099999999999994</v>
      </c>
      <c r="E2111" s="110">
        <v>64.400000000000006</v>
      </c>
      <c r="F2111" s="110">
        <v>326</v>
      </c>
      <c r="G2111">
        <v>232428</v>
      </c>
      <c r="H2111" s="110"/>
      <c r="I2111" s="110"/>
      <c r="L2111" s="133">
        <v>45113</v>
      </c>
      <c r="M2111" s="110">
        <v>65.17</v>
      </c>
      <c r="N2111" s="110">
        <v>65.86</v>
      </c>
      <c r="O2111" s="110">
        <v>64.05</v>
      </c>
      <c r="P2111" s="110">
        <v>64.400000000000006</v>
      </c>
      <c r="Q2111" s="110">
        <v>325.85000000000002</v>
      </c>
      <c r="R2111">
        <v>8776776</v>
      </c>
    </row>
    <row r="2112" spans="1:18" x14ac:dyDescent="0.25">
      <c r="A2112" s="133">
        <v>45114</v>
      </c>
      <c r="B2112" s="110">
        <v>67.319999999999993</v>
      </c>
      <c r="C2112" s="110">
        <v>66.709999999999994</v>
      </c>
      <c r="D2112" s="110">
        <v>64.14</v>
      </c>
      <c r="E2112" s="110">
        <v>65.099999999999994</v>
      </c>
      <c r="F2112" s="110">
        <v>333.55</v>
      </c>
      <c r="G2112">
        <v>654718</v>
      </c>
      <c r="H2112" s="110"/>
      <c r="I2112" s="110"/>
      <c r="L2112" s="133">
        <v>45114</v>
      </c>
      <c r="M2112" s="110">
        <v>66.739999999999995</v>
      </c>
      <c r="N2112" s="110">
        <v>67.34</v>
      </c>
      <c r="O2112" s="110">
        <v>64.13</v>
      </c>
      <c r="P2112" s="110">
        <v>65.03</v>
      </c>
      <c r="Q2112" s="110">
        <v>333.7</v>
      </c>
      <c r="R2112">
        <v>11844474</v>
      </c>
    </row>
    <row r="2113" spans="1:18" x14ac:dyDescent="0.25">
      <c r="A2113" s="133">
        <v>45117</v>
      </c>
      <c r="B2113" s="110">
        <v>67.900000000000006</v>
      </c>
      <c r="C2113" s="110">
        <v>66.84</v>
      </c>
      <c r="D2113" s="110">
        <v>66.400000000000006</v>
      </c>
      <c r="E2113" s="110">
        <v>67.05</v>
      </c>
      <c r="F2113" s="110">
        <v>334.2</v>
      </c>
      <c r="G2113">
        <v>690901</v>
      </c>
      <c r="H2113" s="110"/>
      <c r="I2113" s="110"/>
      <c r="L2113" s="133">
        <v>45117</v>
      </c>
      <c r="M2113" s="110">
        <v>66.8</v>
      </c>
      <c r="N2113" s="110">
        <v>67.900000000000006</v>
      </c>
      <c r="O2113" s="110">
        <v>66.400000000000006</v>
      </c>
      <c r="P2113" s="110">
        <v>67.12</v>
      </c>
      <c r="Q2113" s="110">
        <v>334</v>
      </c>
      <c r="R2113">
        <v>10051541</v>
      </c>
    </row>
    <row r="2114" spans="1:18" x14ac:dyDescent="0.25">
      <c r="A2114" s="133">
        <v>45118</v>
      </c>
      <c r="B2114" s="110">
        <v>67.31</v>
      </c>
      <c r="C2114" s="110">
        <v>66.44</v>
      </c>
      <c r="D2114" s="110">
        <v>66.06</v>
      </c>
      <c r="E2114" s="110">
        <v>67.069999999999993</v>
      </c>
      <c r="F2114" s="110">
        <v>332.2</v>
      </c>
      <c r="G2114">
        <v>266075</v>
      </c>
      <c r="H2114" s="110"/>
      <c r="I2114" s="110"/>
      <c r="L2114" s="133">
        <v>45118</v>
      </c>
      <c r="M2114" s="110">
        <v>66.459999999999994</v>
      </c>
      <c r="N2114" s="110">
        <v>67.290000000000006</v>
      </c>
      <c r="O2114" s="110">
        <v>66.05</v>
      </c>
      <c r="P2114" s="110">
        <v>66.959999999999994</v>
      </c>
      <c r="Q2114" s="110">
        <v>332.3</v>
      </c>
      <c r="R2114">
        <v>4937625</v>
      </c>
    </row>
    <row r="2115" spans="1:18" x14ac:dyDescent="0.25">
      <c r="A2115" s="133">
        <v>45119</v>
      </c>
      <c r="B2115" s="110">
        <v>67.23</v>
      </c>
      <c r="C2115" s="110">
        <v>66.25</v>
      </c>
      <c r="D2115" s="110">
        <v>66.08</v>
      </c>
      <c r="E2115" s="110">
        <v>66.61</v>
      </c>
      <c r="F2115" s="110">
        <v>331.25</v>
      </c>
      <c r="G2115">
        <v>119397</v>
      </c>
      <c r="H2115" s="110"/>
      <c r="I2115" s="110"/>
      <c r="L2115" s="133">
        <v>45119</v>
      </c>
      <c r="M2115" s="110">
        <v>66.25</v>
      </c>
      <c r="N2115" s="110">
        <v>67.23</v>
      </c>
      <c r="O2115" s="110">
        <v>66.11</v>
      </c>
      <c r="P2115" s="110">
        <v>66.75</v>
      </c>
      <c r="Q2115" s="110">
        <v>331.25</v>
      </c>
      <c r="R2115">
        <v>4830874</v>
      </c>
    </row>
    <row r="2116" spans="1:18" x14ac:dyDescent="0.25">
      <c r="A2116" s="133">
        <v>45120</v>
      </c>
      <c r="B2116" s="110">
        <v>66.790000000000006</v>
      </c>
      <c r="C2116" s="110">
        <v>64.319999999999993</v>
      </c>
      <c r="D2116" s="110">
        <v>63.95</v>
      </c>
      <c r="E2116" s="110">
        <v>66.790000000000006</v>
      </c>
      <c r="F2116" s="110">
        <v>321.60000000000002</v>
      </c>
      <c r="G2116">
        <v>549367</v>
      </c>
      <c r="H2116" s="110"/>
      <c r="I2116" s="110"/>
      <c r="L2116" s="133">
        <v>45120</v>
      </c>
      <c r="M2116" s="110">
        <v>64.34</v>
      </c>
      <c r="N2116" s="110">
        <v>67</v>
      </c>
      <c r="O2116" s="110">
        <v>63.96</v>
      </c>
      <c r="P2116" s="110">
        <v>66.61</v>
      </c>
      <c r="Q2116" s="110">
        <v>321.7</v>
      </c>
      <c r="R2116">
        <v>8856290</v>
      </c>
    </row>
    <row r="2117" spans="1:18" x14ac:dyDescent="0.25">
      <c r="A2117" s="133">
        <v>45121</v>
      </c>
      <c r="B2117" s="110">
        <v>65.709999999999994</v>
      </c>
      <c r="C2117" s="110">
        <v>65.3</v>
      </c>
      <c r="D2117" s="110">
        <v>64.42</v>
      </c>
      <c r="E2117" s="110">
        <v>64.44</v>
      </c>
      <c r="F2117" s="110">
        <v>326.5</v>
      </c>
      <c r="G2117">
        <v>188289</v>
      </c>
      <c r="H2117" s="110"/>
      <c r="I2117" s="110"/>
      <c r="L2117" s="133">
        <v>45121</v>
      </c>
      <c r="M2117" s="110">
        <v>65.319999999999993</v>
      </c>
      <c r="N2117" s="110">
        <v>65.739999999999995</v>
      </c>
      <c r="O2117" s="110">
        <v>64.400000000000006</v>
      </c>
      <c r="P2117" s="110">
        <v>64.52</v>
      </c>
      <c r="Q2117" s="110">
        <v>326.60000000000002</v>
      </c>
      <c r="R2117">
        <v>6635103</v>
      </c>
    </row>
    <row r="2118" spans="1:18" x14ac:dyDescent="0.25">
      <c r="A2118" s="133">
        <v>45124</v>
      </c>
      <c r="B2118" s="110">
        <v>66.95</v>
      </c>
      <c r="C2118" s="110">
        <v>66.739999999999995</v>
      </c>
      <c r="D2118" s="110">
        <v>65.02</v>
      </c>
      <c r="E2118" s="110">
        <v>65.599999999999994</v>
      </c>
      <c r="F2118" s="110">
        <v>333.7</v>
      </c>
      <c r="G2118">
        <v>177201</v>
      </c>
      <c r="H2118" s="110"/>
      <c r="I2118" s="110"/>
      <c r="L2118" s="133">
        <v>45124</v>
      </c>
      <c r="M2118" s="110">
        <v>66.739999999999995</v>
      </c>
      <c r="N2118" s="110">
        <v>66.959999999999994</v>
      </c>
      <c r="O2118" s="110">
        <v>65</v>
      </c>
      <c r="P2118" s="110">
        <v>65.599999999999994</v>
      </c>
      <c r="Q2118" s="110">
        <v>333.7</v>
      </c>
      <c r="R2118">
        <v>7415423</v>
      </c>
    </row>
    <row r="2119" spans="1:18" x14ac:dyDescent="0.25">
      <c r="A2119" s="133">
        <v>45125</v>
      </c>
      <c r="B2119" s="110">
        <v>67.12</v>
      </c>
      <c r="C2119" s="110">
        <v>65.66</v>
      </c>
      <c r="D2119" s="110">
        <v>65.33</v>
      </c>
      <c r="E2119" s="110">
        <v>67</v>
      </c>
      <c r="F2119" s="110">
        <v>328.3</v>
      </c>
      <c r="G2119">
        <v>562600</v>
      </c>
      <c r="H2119" s="110"/>
      <c r="I2119" s="110"/>
      <c r="L2119" s="133">
        <v>45125</v>
      </c>
      <c r="M2119" s="110">
        <v>65.69</v>
      </c>
      <c r="N2119" s="110">
        <v>67.14</v>
      </c>
      <c r="O2119" s="110">
        <v>65.349999999999994</v>
      </c>
      <c r="P2119" s="110">
        <v>67</v>
      </c>
      <c r="Q2119" s="110">
        <v>328.45</v>
      </c>
      <c r="R2119">
        <v>7225940</v>
      </c>
    </row>
    <row r="2120" spans="1:18" x14ac:dyDescent="0.25">
      <c r="A2120" s="133">
        <v>45126</v>
      </c>
      <c r="B2120" s="110">
        <v>67.849999999999994</v>
      </c>
      <c r="C2120" s="110">
        <v>67.69</v>
      </c>
      <c r="D2120" s="110">
        <v>65.56</v>
      </c>
      <c r="E2120" s="110">
        <v>66</v>
      </c>
      <c r="F2120" s="110">
        <v>338.45</v>
      </c>
      <c r="G2120">
        <v>300525</v>
      </c>
      <c r="H2120" s="110"/>
      <c r="I2120" s="110"/>
      <c r="L2120" s="133">
        <v>45126</v>
      </c>
      <c r="M2120" s="110">
        <v>67.69</v>
      </c>
      <c r="N2120" s="110">
        <v>67.86</v>
      </c>
      <c r="O2120" s="110">
        <v>65.55</v>
      </c>
      <c r="P2120" s="110">
        <v>65.959999999999994</v>
      </c>
      <c r="Q2120" s="110">
        <v>338.45</v>
      </c>
      <c r="R2120">
        <v>11925138</v>
      </c>
    </row>
    <row r="2121" spans="1:18" x14ac:dyDescent="0.25">
      <c r="A2121" s="133">
        <v>45127</v>
      </c>
      <c r="B2121" s="110">
        <v>69</v>
      </c>
      <c r="C2121" s="110">
        <v>67.959999999999994</v>
      </c>
      <c r="D2121" s="110">
        <v>67.48</v>
      </c>
      <c r="E2121" s="110">
        <v>67.89</v>
      </c>
      <c r="F2121" s="110">
        <v>339.8</v>
      </c>
      <c r="G2121">
        <v>664823</v>
      </c>
      <c r="H2121" s="110"/>
      <c r="I2121" s="110"/>
      <c r="L2121" s="133">
        <v>45127</v>
      </c>
      <c r="M2121" s="110">
        <v>68</v>
      </c>
      <c r="N2121" s="110">
        <v>69</v>
      </c>
      <c r="O2121" s="110">
        <v>67.48</v>
      </c>
      <c r="P2121" s="110">
        <v>68</v>
      </c>
      <c r="Q2121" s="110">
        <v>340</v>
      </c>
      <c r="R2121">
        <v>10972865</v>
      </c>
    </row>
    <row r="2122" spans="1:18" x14ac:dyDescent="0.25">
      <c r="A2122" s="133">
        <v>45128</v>
      </c>
      <c r="B2122" s="110">
        <v>68.930000000000007</v>
      </c>
      <c r="C2122" s="110">
        <v>67.61</v>
      </c>
      <c r="D2122" s="110">
        <v>67.42</v>
      </c>
      <c r="E2122" s="110">
        <v>67.86</v>
      </c>
      <c r="F2122" s="110">
        <v>338.05</v>
      </c>
      <c r="G2122">
        <v>285782</v>
      </c>
      <c r="H2122" s="110"/>
      <c r="I2122" s="110"/>
      <c r="L2122" s="133">
        <v>45128</v>
      </c>
      <c r="M2122" s="110">
        <v>67.63</v>
      </c>
      <c r="N2122" s="110">
        <v>68.930000000000007</v>
      </c>
      <c r="O2122" s="110">
        <v>67.41</v>
      </c>
      <c r="P2122" s="110">
        <v>68</v>
      </c>
      <c r="Q2122" s="110">
        <v>338.15</v>
      </c>
      <c r="R2122">
        <v>6256108</v>
      </c>
    </row>
    <row r="2123" spans="1:18" x14ac:dyDescent="0.25">
      <c r="A2123" s="133">
        <v>45131</v>
      </c>
      <c r="B2123" s="110">
        <v>70.260000000000005</v>
      </c>
      <c r="C2123" s="110">
        <v>67.94</v>
      </c>
      <c r="D2123" s="110">
        <v>66.819999999999993</v>
      </c>
      <c r="E2123" s="110">
        <v>67.86</v>
      </c>
      <c r="F2123" s="110">
        <v>339.7</v>
      </c>
      <c r="G2123">
        <v>897072</v>
      </c>
      <c r="H2123" s="110"/>
      <c r="I2123" s="110"/>
      <c r="L2123" s="133">
        <v>45131</v>
      </c>
      <c r="M2123" s="110">
        <v>67.94</v>
      </c>
      <c r="N2123" s="110">
        <v>70.28</v>
      </c>
      <c r="O2123" s="110">
        <v>66.849999999999994</v>
      </c>
      <c r="P2123" s="110">
        <v>68</v>
      </c>
      <c r="Q2123" s="110">
        <v>339.7</v>
      </c>
      <c r="R2123">
        <v>25290586</v>
      </c>
    </row>
    <row r="2124" spans="1:18" x14ac:dyDescent="0.25">
      <c r="A2124" s="133">
        <v>45132</v>
      </c>
      <c r="B2124" s="110">
        <v>68.58</v>
      </c>
      <c r="C2124" s="110">
        <v>66.56</v>
      </c>
      <c r="D2124" s="110">
        <v>66</v>
      </c>
      <c r="E2124" s="110">
        <v>68.400000000000006</v>
      </c>
      <c r="F2124" s="110">
        <v>332.8</v>
      </c>
      <c r="G2124">
        <v>640242</v>
      </c>
      <c r="H2124" s="110"/>
      <c r="I2124" s="110"/>
      <c r="L2124" s="133">
        <v>45132</v>
      </c>
      <c r="M2124" s="110">
        <v>66.569999999999993</v>
      </c>
      <c r="N2124" s="110">
        <v>68.58</v>
      </c>
      <c r="O2124" s="110">
        <v>66</v>
      </c>
      <c r="P2124" s="110">
        <v>68.400000000000006</v>
      </c>
      <c r="Q2124" s="110">
        <v>332.85</v>
      </c>
      <c r="R2124">
        <v>12649891</v>
      </c>
    </row>
    <row r="2125" spans="1:18" x14ac:dyDescent="0.25">
      <c r="A2125" s="133">
        <v>45133</v>
      </c>
      <c r="B2125" s="110">
        <v>67.599999999999994</v>
      </c>
      <c r="C2125" s="110">
        <v>67.430000000000007</v>
      </c>
      <c r="D2125" s="110">
        <v>66.69</v>
      </c>
      <c r="E2125" s="110">
        <v>66.81</v>
      </c>
      <c r="F2125" s="110">
        <v>337.15</v>
      </c>
      <c r="G2125">
        <v>290208</v>
      </c>
      <c r="H2125" s="110"/>
      <c r="I2125" s="110"/>
      <c r="L2125" s="133">
        <v>45133</v>
      </c>
      <c r="M2125" s="110">
        <v>67.459999999999994</v>
      </c>
      <c r="N2125" s="110">
        <v>67.66</v>
      </c>
      <c r="O2125" s="110">
        <v>66.709999999999994</v>
      </c>
      <c r="P2125" s="110">
        <v>67.010000000000005</v>
      </c>
      <c r="Q2125" s="110">
        <v>337.3</v>
      </c>
      <c r="R2125">
        <v>9476832</v>
      </c>
    </row>
    <row r="2126" spans="1:18" x14ac:dyDescent="0.25">
      <c r="A2126" s="133">
        <v>45134</v>
      </c>
      <c r="B2126" s="110">
        <v>69.92</v>
      </c>
      <c r="C2126" s="110">
        <v>68.959999999999994</v>
      </c>
      <c r="D2126" s="110">
        <v>67.8</v>
      </c>
      <c r="E2126" s="110">
        <v>67.8</v>
      </c>
      <c r="F2126" s="110">
        <v>344.8</v>
      </c>
      <c r="G2126">
        <v>503509</v>
      </c>
      <c r="H2126" s="110"/>
      <c r="I2126" s="110"/>
      <c r="L2126" s="133">
        <v>45134</v>
      </c>
      <c r="M2126" s="110">
        <v>68.959999999999994</v>
      </c>
      <c r="N2126" s="110">
        <v>69.930000000000007</v>
      </c>
      <c r="O2126" s="110">
        <v>67.7</v>
      </c>
      <c r="P2126" s="110">
        <v>67.760000000000005</v>
      </c>
      <c r="Q2126" s="110">
        <v>344.8</v>
      </c>
      <c r="R2126">
        <v>13362371</v>
      </c>
    </row>
    <row r="2127" spans="1:18" x14ac:dyDescent="0.25">
      <c r="A2127" s="133">
        <v>45135</v>
      </c>
      <c r="B2127" s="110">
        <v>69.260000000000005</v>
      </c>
      <c r="C2127" s="110">
        <v>68.650000000000006</v>
      </c>
      <c r="D2127" s="110">
        <v>68.25</v>
      </c>
      <c r="E2127" s="110">
        <v>69.02</v>
      </c>
      <c r="F2127" s="110">
        <v>343.25</v>
      </c>
      <c r="G2127">
        <v>259973</v>
      </c>
      <c r="H2127" s="110"/>
      <c r="I2127" s="110"/>
      <c r="L2127" s="133">
        <v>45135</v>
      </c>
      <c r="M2127" s="110">
        <v>68.650000000000006</v>
      </c>
      <c r="N2127" s="110">
        <v>69.260000000000005</v>
      </c>
      <c r="O2127" s="110">
        <v>68.22</v>
      </c>
      <c r="P2127" s="110">
        <v>69.19</v>
      </c>
      <c r="Q2127" s="110">
        <v>343.25</v>
      </c>
      <c r="R2127">
        <v>6401817</v>
      </c>
    </row>
    <row r="2128" spans="1:18" x14ac:dyDescent="0.25">
      <c r="A2128" s="133">
        <v>45138</v>
      </c>
      <c r="B2128" s="110">
        <v>69.33</v>
      </c>
      <c r="C2128" s="110">
        <v>68.86</v>
      </c>
      <c r="D2128" s="110">
        <v>68.540000000000006</v>
      </c>
      <c r="E2128" s="110">
        <v>69</v>
      </c>
      <c r="F2128" s="110">
        <v>344.3</v>
      </c>
      <c r="G2128">
        <v>256794</v>
      </c>
      <c r="H2128" s="110"/>
      <c r="I2128" s="110"/>
      <c r="L2128" s="133">
        <v>45138</v>
      </c>
      <c r="M2128" s="110">
        <v>68.87</v>
      </c>
      <c r="N2128" s="110">
        <v>69.34</v>
      </c>
      <c r="O2128" s="110">
        <v>68.540000000000006</v>
      </c>
      <c r="P2128" s="110">
        <v>68.98</v>
      </c>
      <c r="Q2128" s="110">
        <v>344.35</v>
      </c>
      <c r="R2128">
        <v>4587240</v>
      </c>
    </row>
    <row r="2129" spans="1:18" x14ac:dyDescent="0.25">
      <c r="A2129" s="133">
        <v>45139</v>
      </c>
      <c r="B2129" s="110">
        <v>69.209999999999994</v>
      </c>
      <c r="C2129" s="110">
        <v>68.11</v>
      </c>
      <c r="D2129" s="110">
        <v>67.63</v>
      </c>
      <c r="E2129" s="110">
        <v>68.95</v>
      </c>
      <c r="F2129" s="110">
        <v>340.55</v>
      </c>
      <c r="G2129">
        <v>430524</v>
      </c>
      <c r="H2129" s="110"/>
      <c r="I2129" s="110"/>
      <c r="L2129" s="133">
        <v>45139</v>
      </c>
      <c r="M2129" s="110">
        <v>68.13</v>
      </c>
      <c r="N2129" s="110">
        <v>69.2</v>
      </c>
      <c r="O2129" s="110">
        <v>67.61</v>
      </c>
      <c r="P2129" s="110">
        <v>69.11</v>
      </c>
      <c r="Q2129" s="110">
        <v>340.65</v>
      </c>
      <c r="R2129">
        <v>4518554</v>
      </c>
    </row>
    <row r="2130" spans="1:18" x14ac:dyDescent="0.25">
      <c r="A2130" s="133">
        <v>45140</v>
      </c>
      <c r="B2130" s="110">
        <v>68.14</v>
      </c>
      <c r="C2130" s="110">
        <v>65.47</v>
      </c>
      <c r="D2130" s="110">
        <v>64.760000000000005</v>
      </c>
      <c r="E2130" s="110">
        <v>68</v>
      </c>
      <c r="F2130" s="110">
        <v>327.35000000000002</v>
      </c>
      <c r="G2130">
        <v>294895</v>
      </c>
      <c r="H2130" s="110"/>
      <c r="I2130" s="110"/>
      <c r="L2130" s="133">
        <v>45140</v>
      </c>
      <c r="M2130" s="110">
        <v>65.45</v>
      </c>
      <c r="N2130" s="110">
        <v>68.099999999999994</v>
      </c>
      <c r="O2130" s="110">
        <v>64.75</v>
      </c>
      <c r="P2130" s="110">
        <v>68</v>
      </c>
      <c r="Q2130" s="110">
        <v>327.25</v>
      </c>
      <c r="R2130">
        <v>11199143</v>
      </c>
    </row>
    <row r="2131" spans="1:18" x14ac:dyDescent="0.25">
      <c r="A2131" s="133">
        <v>45141</v>
      </c>
      <c r="B2131" s="110">
        <v>66.42</v>
      </c>
      <c r="C2131" s="110">
        <v>65.41</v>
      </c>
      <c r="D2131" s="110">
        <v>64.89</v>
      </c>
      <c r="E2131" s="110">
        <v>65.34</v>
      </c>
      <c r="F2131" s="110">
        <v>327.05</v>
      </c>
      <c r="G2131">
        <v>717506</v>
      </c>
      <c r="H2131" s="110"/>
      <c r="I2131" s="110"/>
      <c r="L2131" s="133">
        <v>45141</v>
      </c>
      <c r="M2131" s="110">
        <v>65.45</v>
      </c>
      <c r="N2131" s="110">
        <v>66.430000000000007</v>
      </c>
      <c r="O2131" s="110">
        <v>64.900000000000006</v>
      </c>
      <c r="P2131" s="110">
        <v>65.44</v>
      </c>
      <c r="Q2131" s="110">
        <v>327.25</v>
      </c>
      <c r="R2131">
        <v>6720985</v>
      </c>
    </row>
    <row r="2132" spans="1:18" x14ac:dyDescent="0.25">
      <c r="A2132" s="133">
        <v>45142</v>
      </c>
      <c r="B2132" s="110">
        <v>66.900000000000006</v>
      </c>
      <c r="C2132" s="110">
        <v>65.75</v>
      </c>
      <c r="D2132" s="110">
        <v>65.349999999999994</v>
      </c>
      <c r="E2132" s="110">
        <v>65.599999999999994</v>
      </c>
      <c r="F2132" s="110">
        <v>328.75</v>
      </c>
      <c r="G2132">
        <v>355456</v>
      </c>
      <c r="H2132" s="110"/>
      <c r="I2132" s="110"/>
      <c r="L2132" s="133">
        <v>45142</v>
      </c>
      <c r="M2132" s="110">
        <v>65.75</v>
      </c>
      <c r="N2132" s="110">
        <v>66.94</v>
      </c>
      <c r="O2132" s="110">
        <v>65.34</v>
      </c>
      <c r="P2132" s="110">
        <v>65.61</v>
      </c>
      <c r="Q2132" s="110">
        <v>328.75</v>
      </c>
      <c r="R2132">
        <v>7154048</v>
      </c>
    </row>
    <row r="2133" spans="1:18" x14ac:dyDescent="0.25">
      <c r="A2133" s="133">
        <v>45145</v>
      </c>
      <c r="B2133" s="110">
        <v>66.400000000000006</v>
      </c>
      <c r="C2133" s="110">
        <v>65.7</v>
      </c>
      <c r="D2133" s="110">
        <v>65.55</v>
      </c>
      <c r="E2133" s="110">
        <v>65.760000000000005</v>
      </c>
      <c r="F2133" s="110">
        <v>328.5</v>
      </c>
      <c r="G2133">
        <v>382074</v>
      </c>
      <c r="H2133" s="110"/>
      <c r="I2133" s="110"/>
      <c r="L2133" s="133">
        <v>45145</v>
      </c>
      <c r="M2133" s="110">
        <v>65.73</v>
      </c>
      <c r="N2133" s="110">
        <v>66.400000000000006</v>
      </c>
      <c r="O2133" s="110">
        <v>65.540000000000006</v>
      </c>
      <c r="P2133" s="110">
        <v>65.92</v>
      </c>
      <c r="Q2133" s="110">
        <v>328.65</v>
      </c>
      <c r="R2133">
        <v>5806926</v>
      </c>
    </row>
    <row r="2134" spans="1:18" x14ac:dyDescent="0.25">
      <c r="A2134" s="133">
        <v>45146</v>
      </c>
      <c r="B2134" s="110">
        <v>67.959999999999994</v>
      </c>
      <c r="C2134" s="110">
        <v>67.760000000000005</v>
      </c>
      <c r="D2134" s="110">
        <v>65.66</v>
      </c>
      <c r="E2134" s="110">
        <v>65.66</v>
      </c>
      <c r="F2134" s="110">
        <v>338.8</v>
      </c>
      <c r="G2134">
        <v>207814</v>
      </c>
      <c r="H2134" s="110"/>
      <c r="I2134" s="110"/>
      <c r="L2134" s="133">
        <v>45146</v>
      </c>
      <c r="M2134" s="110">
        <v>67.75</v>
      </c>
      <c r="N2134" s="110">
        <v>67.959999999999994</v>
      </c>
      <c r="O2134" s="110">
        <v>65.8</v>
      </c>
      <c r="P2134" s="110">
        <v>65.8</v>
      </c>
      <c r="Q2134" s="110">
        <v>338.75</v>
      </c>
      <c r="R2134">
        <v>8423589</v>
      </c>
    </row>
    <row r="2135" spans="1:18" x14ac:dyDescent="0.25">
      <c r="A2135" s="133">
        <v>45147</v>
      </c>
      <c r="B2135" s="110">
        <v>68.25</v>
      </c>
      <c r="C2135" s="110">
        <v>67.17</v>
      </c>
      <c r="D2135" s="110">
        <v>66.41</v>
      </c>
      <c r="E2135" s="110">
        <v>67.599999999999994</v>
      </c>
      <c r="F2135" s="110">
        <v>335.85</v>
      </c>
      <c r="G2135">
        <v>819519</v>
      </c>
      <c r="H2135" s="110"/>
      <c r="I2135" s="110"/>
      <c r="L2135" s="133">
        <v>45147</v>
      </c>
      <c r="M2135" s="110">
        <v>67.22</v>
      </c>
      <c r="N2135" s="110">
        <v>67.87</v>
      </c>
      <c r="O2135" s="110">
        <v>66.400000000000006</v>
      </c>
      <c r="P2135" s="110">
        <v>67.66</v>
      </c>
      <c r="Q2135" s="110">
        <v>336.1</v>
      </c>
      <c r="R2135">
        <v>7294768</v>
      </c>
    </row>
    <row r="2136" spans="1:18" x14ac:dyDescent="0.25">
      <c r="A2136" s="133">
        <v>45148</v>
      </c>
      <c r="B2136" s="110">
        <v>67.59</v>
      </c>
      <c r="C2136" s="110">
        <v>66.23</v>
      </c>
      <c r="D2136" s="110">
        <v>65.88</v>
      </c>
      <c r="E2136" s="110">
        <v>67.59</v>
      </c>
      <c r="F2136" s="110">
        <v>331.15</v>
      </c>
      <c r="G2136">
        <v>298545</v>
      </c>
      <c r="H2136" s="110"/>
      <c r="I2136" s="110"/>
      <c r="L2136" s="133">
        <v>45148</v>
      </c>
      <c r="M2136" s="110">
        <v>66.25</v>
      </c>
      <c r="N2136" s="110">
        <v>67.5</v>
      </c>
      <c r="O2136" s="110">
        <v>65.88</v>
      </c>
      <c r="P2136" s="110">
        <v>67.16</v>
      </c>
      <c r="Q2136" s="110">
        <v>331.25</v>
      </c>
      <c r="R2136">
        <v>8343599</v>
      </c>
    </row>
    <row r="2137" spans="1:18" x14ac:dyDescent="0.25">
      <c r="A2137" s="133">
        <v>45149</v>
      </c>
      <c r="B2137" s="110">
        <v>67.709999999999994</v>
      </c>
      <c r="C2137" s="110">
        <v>66.41</v>
      </c>
      <c r="D2137" s="110">
        <v>65.98</v>
      </c>
      <c r="E2137" s="110">
        <v>66.599999999999994</v>
      </c>
      <c r="F2137" s="110">
        <v>332.05</v>
      </c>
      <c r="G2137">
        <v>590154</v>
      </c>
      <c r="H2137" s="110"/>
      <c r="I2137" s="110"/>
      <c r="L2137" s="133">
        <v>45149</v>
      </c>
      <c r="M2137" s="110">
        <v>66.42</v>
      </c>
      <c r="N2137" s="110">
        <v>67.75</v>
      </c>
      <c r="O2137" s="110">
        <v>65.94</v>
      </c>
      <c r="P2137" s="110">
        <v>66.52</v>
      </c>
      <c r="Q2137" s="110">
        <v>332.1</v>
      </c>
      <c r="R2137">
        <v>8916824</v>
      </c>
    </row>
    <row r="2138" spans="1:18" x14ac:dyDescent="0.25">
      <c r="A2138" s="133">
        <v>45152</v>
      </c>
      <c r="B2138" s="110">
        <v>66.400000000000006</v>
      </c>
      <c r="C2138" s="110">
        <v>65.900000000000006</v>
      </c>
      <c r="D2138" s="110">
        <v>64.63</v>
      </c>
      <c r="E2138" s="110">
        <v>66.400000000000006</v>
      </c>
      <c r="F2138" s="110">
        <v>329.5</v>
      </c>
      <c r="G2138">
        <v>218451</v>
      </c>
      <c r="H2138" s="110"/>
      <c r="I2138" s="110"/>
      <c r="L2138" s="133">
        <v>45152</v>
      </c>
      <c r="M2138" s="110">
        <v>65.91</v>
      </c>
      <c r="N2138" s="110">
        <v>66.38</v>
      </c>
      <c r="O2138" s="110">
        <v>64.599999999999994</v>
      </c>
      <c r="P2138" s="110">
        <v>66.38</v>
      </c>
      <c r="Q2138" s="110">
        <v>329.55</v>
      </c>
      <c r="R2138">
        <v>8901369</v>
      </c>
    </row>
    <row r="2139" spans="1:18" x14ac:dyDescent="0.25">
      <c r="A2139" s="133">
        <v>45154</v>
      </c>
      <c r="B2139" s="110">
        <v>66.13</v>
      </c>
      <c r="C2139" s="110">
        <v>65.599999999999994</v>
      </c>
      <c r="D2139" s="110">
        <v>64.61</v>
      </c>
      <c r="E2139" s="110">
        <v>65.73</v>
      </c>
      <c r="F2139" s="110">
        <v>328</v>
      </c>
      <c r="G2139">
        <v>134223</v>
      </c>
      <c r="H2139" s="110"/>
      <c r="I2139" s="110"/>
      <c r="L2139" s="133">
        <v>45154</v>
      </c>
      <c r="M2139" s="110">
        <v>65.599999999999994</v>
      </c>
      <c r="N2139" s="110">
        <v>66.16</v>
      </c>
      <c r="O2139" s="110">
        <v>64.63</v>
      </c>
      <c r="P2139" s="110">
        <v>65.599999999999994</v>
      </c>
      <c r="Q2139" s="110">
        <v>328</v>
      </c>
      <c r="R2139">
        <v>4567410</v>
      </c>
    </row>
    <row r="2140" spans="1:18" x14ac:dyDescent="0.25">
      <c r="A2140" s="133">
        <v>45155</v>
      </c>
      <c r="B2140" s="110">
        <v>66.64</v>
      </c>
      <c r="C2140" s="110">
        <v>65.97</v>
      </c>
      <c r="D2140" s="110">
        <v>65.34</v>
      </c>
      <c r="E2140" s="110">
        <v>65.680000000000007</v>
      </c>
      <c r="F2140" s="110">
        <v>329.85</v>
      </c>
      <c r="G2140">
        <v>187586</v>
      </c>
      <c r="H2140" s="110"/>
      <c r="I2140" s="110"/>
      <c r="L2140" s="133">
        <v>45155</v>
      </c>
      <c r="M2140" s="110">
        <v>65.97</v>
      </c>
      <c r="N2140" s="110">
        <v>66.64</v>
      </c>
      <c r="O2140" s="110">
        <v>65.319999999999993</v>
      </c>
      <c r="P2140" s="110">
        <v>65.59</v>
      </c>
      <c r="Q2140" s="110">
        <v>329.85</v>
      </c>
      <c r="R2140">
        <v>6624578</v>
      </c>
    </row>
    <row r="2141" spans="1:18" x14ac:dyDescent="0.25">
      <c r="A2141" s="133">
        <v>45156</v>
      </c>
      <c r="B2141" s="110">
        <v>66.67</v>
      </c>
      <c r="C2141" s="110">
        <v>65.61</v>
      </c>
      <c r="D2141" s="110">
        <v>65.45</v>
      </c>
      <c r="E2141" s="110">
        <v>65.45</v>
      </c>
      <c r="F2141" s="110">
        <v>328.05</v>
      </c>
      <c r="G2141">
        <v>665173</v>
      </c>
      <c r="H2141" s="110"/>
      <c r="I2141" s="110"/>
      <c r="L2141" s="133">
        <v>45156</v>
      </c>
      <c r="M2141" s="110">
        <v>65.650000000000006</v>
      </c>
      <c r="N2141" s="110">
        <v>66.680000000000007</v>
      </c>
      <c r="O2141" s="110">
        <v>65.459999999999994</v>
      </c>
      <c r="P2141" s="110">
        <v>65.790000000000006</v>
      </c>
      <c r="Q2141" s="110">
        <v>328.25</v>
      </c>
      <c r="R2141">
        <v>6144696</v>
      </c>
    </row>
    <row r="2142" spans="1:18" x14ac:dyDescent="0.25">
      <c r="A2142" s="133">
        <v>45159</v>
      </c>
      <c r="B2142" s="110">
        <v>66.180000000000007</v>
      </c>
      <c r="C2142" s="110">
        <v>65.63</v>
      </c>
      <c r="D2142" s="110">
        <v>65.510000000000005</v>
      </c>
      <c r="E2142" s="110">
        <v>65.53</v>
      </c>
      <c r="F2142" s="110">
        <v>328.15</v>
      </c>
      <c r="G2142">
        <v>168709</v>
      </c>
      <c r="H2142" s="110"/>
      <c r="I2142" s="110"/>
      <c r="L2142" s="133">
        <v>45159</v>
      </c>
      <c r="M2142" s="110">
        <v>65.63</v>
      </c>
      <c r="N2142" s="110">
        <v>66.2</v>
      </c>
      <c r="O2142" s="110">
        <v>65.5</v>
      </c>
      <c r="P2142" s="110">
        <v>65.7</v>
      </c>
      <c r="Q2142" s="110">
        <v>328.15</v>
      </c>
      <c r="R2142">
        <v>5406223</v>
      </c>
    </row>
    <row r="2143" spans="1:18" x14ac:dyDescent="0.25">
      <c r="A2143" s="133">
        <v>45160</v>
      </c>
      <c r="B2143" s="110">
        <v>65.95</v>
      </c>
      <c r="C2143" s="110">
        <v>65.209999999999994</v>
      </c>
      <c r="D2143" s="110">
        <v>65.099999999999994</v>
      </c>
      <c r="E2143" s="110">
        <v>65.95</v>
      </c>
      <c r="F2143" s="110">
        <v>326.05</v>
      </c>
      <c r="G2143">
        <v>511665</v>
      </c>
      <c r="H2143" s="110"/>
      <c r="I2143" s="110"/>
      <c r="L2143" s="133">
        <v>45160</v>
      </c>
      <c r="M2143" s="110">
        <v>65.23</v>
      </c>
      <c r="N2143" s="110">
        <v>65.900000000000006</v>
      </c>
      <c r="O2143" s="110">
        <v>65.09</v>
      </c>
      <c r="P2143" s="110">
        <v>65.81</v>
      </c>
      <c r="Q2143" s="110">
        <v>326.14999999999998</v>
      </c>
      <c r="R2143">
        <v>5084690</v>
      </c>
    </row>
    <row r="2144" spans="1:18" x14ac:dyDescent="0.25">
      <c r="A2144" s="133">
        <v>45161</v>
      </c>
      <c r="B2144" s="110">
        <v>67.06</v>
      </c>
      <c r="C2144" s="110">
        <v>66.5</v>
      </c>
      <c r="D2144" s="110">
        <v>65.260000000000005</v>
      </c>
      <c r="E2144" s="110">
        <v>65.41</v>
      </c>
      <c r="F2144" s="110">
        <v>332.5</v>
      </c>
      <c r="G2144">
        <v>566946</v>
      </c>
      <c r="H2144" s="110"/>
      <c r="I2144" s="110"/>
      <c r="L2144" s="133">
        <v>45161</v>
      </c>
      <c r="M2144" s="110">
        <v>66.52</v>
      </c>
      <c r="N2144" s="110">
        <v>67.09</v>
      </c>
      <c r="O2144" s="110">
        <v>65.239999999999995</v>
      </c>
      <c r="P2144" s="110">
        <v>65.48</v>
      </c>
      <c r="Q2144" s="110">
        <v>332.6</v>
      </c>
      <c r="R2144">
        <v>10502380</v>
      </c>
    </row>
    <row r="2145" spans="1:18" x14ac:dyDescent="0.25">
      <c r="A2145" s="133">
        <v>45162</v>
      </c>
      <c r="B2145" s="110">
        <v>67.5</v>
      </c>
      <c r="C2145" s="110">
        <v>66.36</v>
      </c>
      <c r="D2145" s="110">
        <v>66.14</v>
      </c>
      <c r="E2145" s="110">
        <v>67.150000000000006</v>
      </c>
      <c r="F2145" s="110">
        <v>331.8</v>
      </c>
      <c r="G2145">
        <v>197716</v>
      </c>
      <c r="H2145" s="110"/>
      <c r="I2145" s="110"/>
      <c r="L2145" s="133">
        <v>45162</v>
      </c>
      <c r="M2145" s="110">
        <v>66.36</v>
      </c>
      <c r="N2145" s="110">
        <v>67.5</v>
      </c>
      <c r="O2145" s="110">
        <v>66.14</v>
      </c>
      <c r="P2145" s="110">
        <v>66.98</v>
      </c>
      <c r="Q2145" s="110">
        <v>331.8</v>
      </c>
      <c r="R2145">
        <v>6073830</v>
      </c>
    </row>
    <row r="2146" spans="1:18" x14ac:dyDescent="0.25">
      <c r="A2146" s="133">
        <v>45163</v>
      </c>
      <c r="B2146" s="110">
        <v>66.45</v>
      </c>
      <c r="C2146" s="110">
        <v>65.099999999999994</v>
      </c>
      <c r="D2146" s="110">
        <v>65</v>
      </c>
      <c r="E2146" s="110">
        <v>65.599999999999994</v>
      </c>
      <c r="F2146" s="110">
        <v>325.5</v>
      </c>
      <c r="G2146">
        <v>740369</v>
      </c>
      <c r="H2146" s="110"/>
      <c r="I2146" s="110"/>
      <c r="L2146" s="133">
        <v>45163</v>
      </c>
      <c r="M2146" s="110">
        <v>65.12</v>
      </c>
      <c r="N2146" s="110">
        <v>66.47</v>
      </c>
      <c r="O2146" s="110">
        <v>65</v>
      </c>
      <c r="P2146" s="110">
        <v>66.099999999999994</v>
      </c>
      <c r="Q2146" s="110">
        <v>325.60000000000002</v>
      </c>
      <c r="R2146">
        <v>6112706</v>
      </c>
    </row>
    <row r="2147" spans="1:18" x14ac:dyDescent="0.25">
      <c r="A2147" s="133">
        <v>45166</v>
      </c>
      <c r="B2147" s="110">
        <v>65.7</v>
      </c>
      <c r="C2147" s="110">
        <v>65.290000000000006</v>
      </c>
      <c r="D2147" s="110">
        <v>65.14</v>
      </c>
      <c r="E2147" s="110">
        <v>65.400000000000006</v>
      </c>
      <c r="F2147" s="110">
        <v>326.45</v>
      </c>
      <c r="G2147">
        <v>385411</v>
      </c>
      <c r="H2147" s="110"/>
      <c r="I2147" s="110"/>
      <c r="L2147" s="133">
        <v>45166</v>
      </c>
      <c r="M2147" s="110">
        <v>65.33</v>
      </c>
      <c r="N2147" s="110">
        <v>65.739999999999995</v>
      </c>
      <c r="O2147" s="110">
        <v>65.11</v>
      </c>
      <c r="P2147" s="110">
        <v>65.45</v>
      </c>
      <c r="Q2147" s="110">
        <v>326.64999999999998</v>
      </c>
      <c r="R2147">
        <v>3003980</v>
      </c>
    </row>
    <row r="2148" spans="1:18" x14ac:dyDescent="0.25">
      <c r="A2148" s="133">
        <v>45167</v>
      </c>
      <c r="B2148" s="110">
        <v>65.989999999999995</v>
      </c>
      <c r="C2148" s="110">
        <v>65.319999999999993</v>
      </c>
      <c r="D2148" s="110">
        <v>65.14</v>
      </c>
      <c r="E2148" s="110">
        <v>65.989999999999995</v>
      </c>
      <c r="F2148" s="110">
        <v>326.60000000000002</v>
      </c>
      <c r="G2148">
        <v>323388</v>
      </c>
      <c r="H2148" s="110"/>
      <c r="I2148" s="110"/>
      <c r="L2148" s="133">
        <v>45167</v>
      </c>
      <c r="M2148" s="110">
        <v>65.319999999999993</v>
      </c>
      <c r="N2148" s="110">
        <v>65.87</v>
      </c>
      <c r="O2148" s="110">
        <v>65.099999999999994</v>
      </c>
      <c r="P2148" s="110">
        <v>65.680000000000007</v>
      </c>
      <c r="Q2148" s="110">
        <v>326.60000000000002</v>
      </c>
      <c r="R2148">
        <v>3152872</v>
      </c>
    </row>
    <row r="2149" spans="1:18" x14ac:dyDescent="0.25">
      <c r="A2149" s="133">
        <v>45168</v>
      </c>
      <c r="B2149" s="110">
        <v>66.16</v>
      </c>
      <c r="C2149" s="110">
        <v>65.099999999999994</v>
      </c>
      <c r="D2149" s="110">
        <v>64.98</v>
      </c>
      <c r="E2149" s="110">
        <v>66.16</v>
      </c>
      <c r="F2149" s="110">
        <v>325.5</v>
      </c>
      <c r="G2149">
        <v>169580</v>
      </c>
      <c r="H2149" s="110"/>
      <c r="I2149" s="110"/>
      <c r="L2149" s="133">
        <v>45168</v>
      </c>
      <c r="M2149" s="110">
        <v>65.11</v>
      </c>
      <c r="N2149" s="110">
        <v>65.88</v>
      </c>
      <c r="O2149" s="110">
        <v>64.959999999999994</v>
      </c>
      <c r="P2149" s="110">
        <v>65.599999999999994</v>
      </c>
      <c r="Q2149" s="110">
        <v>325.55</v>
      </c>
      <c r="R2149">
        <v>3351166</v>
      </c>
    </row>
    <row r="2150" spans="1:18" x14ac:dyDescent="0.25">
      <c r="A2150" s="133">
        <v>45169</v>
      </c>
      <c r="B2150" s="110">
        <v>65.48</v>
      </c>
      <c r="C2150" s="110">
        <v>64.099999999999994</v>
      </c>
      <c r="D2150" s="110">
        <v>63.88</v>
      </c>
      <c r="E2150" s="110">
        <v>65.2</v>
      </c>
      <c r="F2150" s="110">
        <v>320.5</v>
      </c>
      <c r="G2150">
        <v>155473</v>
      </c>
      <c r="H2150" s="110"/>
      <c r="I2150" s="110"/>
      <c r="L2150" s="133">
        <v>45169</v>
      </c>
      <c r="M2150" s="110">
        <v>64.08</v>
      </c>
      <c r="N2150" s="110">
        <v>65.459999999999994</v>
      </c>
      <c r="O2150" s="110">
        <v>63.85</v>
      </c>
      <c r="P2150" s="110">
        <v>65.11</v>
      </c>
      <c r="Q2150" s="110">
        <v>320.39999999999998</v>
      </c>
      <c r="R2150">
        <v>6435321</v>
      </c>
    </row>
    <row r="2151" spans="1:18" x14ac:dyDescent="0.25">
      <c r="A2151" s="133">
        <v>45170</v>
      </c>
      <c r="B2151" s="110">
        <v>66.040000000000006</v>
      </c>
      <c r="C2151" s="110">
        <v>65.680000000000007</v>
      </c>
      <c r="D2151" s="110">
        <v>64.11</v>
      </c>
      <c r="E2151" s="110">
        <v>64.3</v>
      </c>
      <c r="F2151" s="110">
        <v>328.4</v>
      </c>
      <c r="G2151">
        <v>385220</v>
      </c>
      <c r="H2151" s="110"/>
      <c r="I2151" s="110"/>
      <c r="L2151" s="133">
        <v>45170</v>
      </c>
      <c r="M2151" s="110">
        <v>65.680000000000007</v>
      </c>
      <c r="N2151" s="110">
        <v>66.069999999999993</v>
      </c>
      <c r="O2151" s="110">
        <v>63.94</v>
      </c>
      <c r="P2151" s="110">
        <v>64.319999999999993</v>
      </c>
      <c r="Q2151" s="110">
        <v>328.4</v>
      </c>
      <c r="R2151">
        <v>7224028</v>
      </c>
    </row>
    <row r="2152" spans="1:18" x14ac:dyDescent="0.25">
      <c r="A2152" s="133">
        <v>45173</v>
      </c>
      <c r="B2152" s="110">
        <v>67.7</v>
      </c>
      <c r="C2152" s="110">
        <v>67.34</v>
      </c>
      <c r="D2152" s="110">
        <v>65.48</v>
      </c>
      <c r="E2152" s="110">
        <v>65.81</v>
      </c>
      <c r="F2152" s="110">
        <v>336.7</v>
      </c>
      <c r="G2152">
        <v>289426</v>
      </c>
      <c r="H2152" s="110"/>
      <c r="I2152" s="110"/>
      <c r="L2152" s="133">
        <v>45173</v>
      </c>
      <c r="M2152" s="110">
        <v>67.31</v>
      </c>
      <c r="N2152" s="110">
        <v>67.72</v>
      </c>
      <c r="O2152" s="110">
        <v>65.459999999999994</v>
      </c>
      <c r="P2152" s="110">
        <v>65.91</v>
      </c>
      <c r="Q2152" s="110">
        <v>336.55</v>
      </c>
      <c r="R2152">
        <v>9300691</v>
      </c>
    </row>
    <row r="2153" spans="1:18" x14ac:dyDescent="0.25">
      <c r="A2153" s="133">
        <v>45174</v>
      </c>
      <c r="B2153" s="110">
        <v>68.23</v>
      </c>
      <c r="C2153" s="110">
        <v>67.66</v>
      </c>
      <c r="D2153" s="110">
        <v>66.78</v>
      </c>
      <c r="E2153" s="110">
        <v>67.569999999999993</v>
      </c>
      <c r="F2153" s="110">
        <v>338.3</v>
      </c>
      <c r="G2153">
        <v>454044</v>
      </c>
      <c r="H2153" s="110"/>
      <c r="I2153" s="110"/>
      <c r="L2153" s="133">
        <v>45174</v>
      </c>
      <c r="M2153" s="110">
        <v>67.69</v>
      </c>
      <c r="N2153" s="110">
        <v>68.260000000000005</v>
      </c>
      <c r="O2153" s="110">
        <v>66.77</v>
      </c>
      <c r="P2153" s="110">
        <v>67.42</v>
      </c>
      <c r="Q2153" s="110">
        <v>338.45</v>
      </c>
      <c r="R2153">
        <v>6995992</v>
      </c>
    </row>
    <row r="2154" spans="1:18" x14ac:dyDescent="0.25">
      <c r="A2154" s="133">
        <v>45175</v>
      </c>
      <c r="B2154" s="110">
        <v>67.94</v>
      </c>
      <c r="C2154" s="110">
        <v>66.849999999999994</v>
      </c>
      <c r="D2154" s="110">
        <v>66.52</v>
      </c>
      <c r="E2154" s="110">
        <v>67.94</v>
      </c>
      <c r="F2154" s="110">
        <v>334.25</v>
      </c>
      <c r="G2154">
        <v>112411</v>
      </c>
      <c r="H2154" s="110"/>
      <c r="I2154" s="110"/>
      <c r="L2154" s="133">
        <v>45175</v>
      </c>
      <c r="M2154" s="110">
        <v>66.84</v>
      </c>
      <c r="N2154" s="110">
        <v>67.849999999999994</v>
      </c>
      <c r="O2154" s="110">
        <v>66.510000000000005</v>
      </c>
      <c r="P2154" s="110">
        <v>67.849999999999994</v>
      </c>
      <c r="Q2154" s="110">
        <v>334.2</v>
      </c>
      <c r="R2154">
        <v>4505165</v>
      </c>
    </row>
    <row r="2155" spans="1:18" x14ac:dyDescent="0.25">
      <c r="A2155" s="133">
        <v>45176</v>
      </c>
      <c r="B2155" s="110">
        <v>67.86</v>
      </c>
      <c r="C2155" s="110">
        <v>67.709999999999994</v>
      </c>
      <c r="D2155" s="110">
        <v>66.69</v>
      </c>
      <c r="E2155" s="110">
        <v>66.98</v>
      </c>
      <c r="F2155" s="110">
        <v>338.55</v>
      </c>
      <c r="G2155">
        <v>335398</v>
      </c>
      <c r="H2155" s="110"/>
      <c r="I2155" s="110"/>
      <c r="L2155" s="133">
        <v>45176</v>
      </c>
      <c r="M2155" s="110">
        <v>67.73</v>
      </c>
      <c r="N2155" s="110">
        <v>67.900000000000006</v>
      </c>
      <c r="O2155" s="110">
        <v>66.72</v>
      </c>
      <c r="P2155" s="110">
        <v>66.84</v>
      </c>
      <c r="Q2155" s="110">
        <v>338.65</v>
      </c>
      <c r="R2155">
        <v>5716713</v>
      </c>
    </row>
    <row r="2156" spans="1:18" x14ac:dyDescent="0.25">
      <c r="A2156" s="133">
        <v>45177</v>
      </c>
      <c r="B2156" s="110">
        <v>68.69</v>
      </c>
      <c r="C2156" s="110">
        <v>67.77</v>
      </c>
      <c r="D2156" s="110">
        <v>67.099999999999994</v>
      </c>
      <c r="E2156" s="110">
        <v>67.8</v>
      </c>
      <c r="F2156" s="110">
        <v>338.85</v>
      </c>
      <c r="G2156">
        <v>192218</v>
      </c>
      <c r="H2156" s="110"/>
      <c r="I2156" s="110"/>
      <c r="L2156" s="133">
        <v>45177</v>
      </c>
      <c r="M2156" s="110">
        <v>67.819999999999993</v>
      </c>
      <c r="N2156" s="110">
        <v>68.7</v>
      </c>
      <c r="O2156" s="110">
        <v>67.099999999999994</v>
      </c>
      <c r="P2156" s="110">
        <v>67.8</v>
      </c>
      <c r="Q2156" s="110">
        <v>339.1</v>
      </c>
      <c r="R2156">
        <v>7260594</v>
      </c>
    </row>
    <row r="2157" spans="1:18" x14ac:dyDescent="0.25">
      <c r="A2157" s="133">
        <v>45180</v>
      </c>
      <c r="B2157" s="110">
        <v>72.599999999999994</v>
      </c>
      <c r="C2157" s="110">
        <v>72.010000000000005</v>
      </c>
      <c r="D2157" s="110">
        <v>68.05</v>
      </c>
      <c r="E2157" s="110">
        <v>68.349999999999994</v>
      </c>
      <c r="F2157" s="110">
        <v>360.05</v>
      </c>
      <c r="G2157">
        <v>836227</v>
      </c>
      <c r="H2157" s="110"/>
      <c r="I2157" s="110"/>
      <c r="L2157" s="133">
        <v>45180</v>
      </c>
      <c r="M2157" s="110">
        <v>71.989999999999995</v>
      </c>
      <c r="N2157" s="110">
        <v>72.599999999999994</v>
      </c>
      <c r="O2157" s="110">
        <v>68.06</v>
      </c>
      <c r="P2157" s="110">
        <v>68.180000000000007</v>
      </c>
      <c r="Q2157" s="110">
        <v>359.95</v>
      </c>
      <c r="R2157">
        <v>26571751</v>
      </c>
    </row>
    <row r="2158" spans="1:18" x14ac:dyDescent="0.25">
      <c r="A2158" s="133">
        <v>45181</v>
      </c>
      <c r="B2158" s="110">
        <v>72.709999999999994</v>
      </c>
      <c r="C2158" s="110">
        <v>69.75</v>
      </c>
      <c r="D2158" s="110">
        <v>69.44</v>
      </c>
      <c r="E2158" s="110">
        <v>72.709999999999994</v>
      </c>
      <c r="F2158" s="110">
        <v>348.75</v>
      </c>
      <c r="G2158">
        <v>732397</v>
      </c>
      <c r="H2158" s="110"/>
      <c r="I2158" s="110"/>
      <c r="L2158" s="133">
        <v>45181</v>
      </c>
      <c r="M2158" s="110">
        <v>69.760000000000005</v>
      </c>
      <c r="N2158" s="110">
        <v>72.59</v>
      </c>
      <c r="O2158" s="110">
        <v>69.44</v>
      </c>
      <c r="P2158" s="110">
        <v>72.400000000000006</v>
      </c>
      <c r="Q2158" s="110">
        <v>348.8</v>
      </c>
      <c r="R2158">
        <v>12805258</v>
      </c>
    </row>
    <row r="2159" spans="1:18" x14ac:dyDescent="0.25">
      <c r="A2159" s="133">
        <v>45182</v>
      </c>
      <c r="B2159" s="110">
        <v>73.11</v>
      </c>
      <c r="C2159" s="110">
        <v>72.95</v>
      </c>
      <c r="D2159" s="110">
        <v>69.02</v>
      </c>
      <c r="E2159" s="110">
        <v>69.63</v>
      </c>
      <c r="F2159" s="110">
        <v>364.75</v>
      </c>
      <c r="G2159">
        <v>548825</v>
      </c>
      <c r="H2159" s="110"/>
      <c r="I2159" s="110"/>
      <c r="L2159" s="133">
        <v>45182</v>
      </c>
      <c r="M2159" s="110">
        <v>72.95</v>
      </c>
      <c r="N2159" s="110">
        <v>73.06</v>
      </c>
      <c r="O2159" s="110">
        <v>69.010000000000005</v>
      </c>
      <c r="P2159" s="110">
        <v>69.739999999999995</v>
      </c>
      <c r="Q2159" s="110">
        <v>364.75</v>
      </c>
      <c r="R2159">
        <v>14701345</v>
      </c>
    </row>
    <row r="2160" spans="1:18" x14ac:dyDescent="0.25">
      <c r="A2160" s="133">
        <v>45183</v>
      </c>
      <c r="B2160" s="110">
        <v>73.760000000000005</v>
      </c>
      <c r="C2160" s="110">
        <v>73.010000000000005</v>
      </c>
      <c r="D2160" s="110">
        <v>72.16</v>
      </c>
      <c r="E2160" s="110">
        <v>72.98</v>
      </c>
      <c r="F2160" s="110">
        <v>365.05</v>
      </c>
      <c r="G2160">
        <v>539644</v>
      </c>
      <c r="H2160" s="110"/>
      <c r="I2160" s="110"/>
      <c r="L2160" s="133">
        <v>45183</v>
      </c>
      <c r="M2160" s="110">
        <v>73</v>
      </c>
      <c r="N2160" s="110">
        <v>73.739999999999995</v>
      </c>
      <c r="O2160" s="110">
        <v>72.180000000000007</v>
      </c>
      <c r="P2160" s="110">
        <v>73.2</v>
      </c>
      <c r="Q2160" s="110">
        <v>365</v>
      </c>
      <c r="R2160">
        <v>10663824</v>
      </c>
    </row>
    <row r="2161" spans="1:18" x14ac:dyDescent="0.25">
      <c r="A2161" s="133">
        <v>45184</v>
      </c>
      <c r="B2161" s="110">
        <v>73.67</v>
      </c>
      <c r="C2161" s="110">
        <v>72.959999999999994</v>
      </c>
      <c r="D2161" s="110">
        <v>72.400000000000006</v>
      </c>
      <c r="E2161" s="110">
        <v>73.33</v>
      </c>
      <c r="F2161" s="110">
        <v>364.8</v>
      </c>
      <c r="G2161">
        <v>441454</v>
      </c>
      <c r="H2161" s="110"/>
      <c r="I2161" s="110"/>
      <c r="L2161" s="133">
        <v>45184</v>
      </c>
      <c r="M2161" s="110">
        <v>72.97</v>
      </c>
      <c r="N2161" s="110">
        <v>73.680000000000007</v>
      </c>
      <c r="O2161" s="110">
        <v>72.400000000000006</v>
      </c>
      <c r="P2161" s="110">
        <v>73.45</v>
      </c>
      <c r="Q2161" s="110">
        <v>364.85</v>
      </c>
      <c r="R2161">
        <v>7514308</v>
      </c>
    </row>
    <row r="2162" spans="1:18" x14ac:dyDescent="0.25">
      <c r="A2162" s="133">
        <v>45187</v>
      </c>
      <c r="B2162" s="110">
        <v>75.400000000000006</v>
      </c>
      <c r="C2162" s="110">
        <v>74.42</v>
      </c>
      <c r="D2162" s="110">
        <v>72.89</v>
      </c>
      <c r="E2162" s="110">
        <v>73.2</v>
      </c>
      <c r="F2162" s="110">
        <v>372.1</v>
      </c>
      <c r="G2162">
        <v>489000</v>
      </c>
      <c r="H2162" s="110"/>
      <c r="I2162" s="110"/>
      <c r="L2162" s="133">
        <v>45187</v>
      </c>
      <c r="M2162" s="110">
        <v>74.45</v>
      </c>
      <c r="N2162" s="110">
        <v>75.400000000000006</v>
      </c>
      <c r="O2162" s="110">
        <v>72.81</v>
      </c>
      <c r="P2162" s="110">
        <v>73.180000000000007</v>
      </c>
      <c r="Q2162" s="110">
        <v>372.25</v>
      </c>
      <c r="R2162">
        <v>18069348</v>
      </c>
    </row>
    <row r="2163" spans="1:18" x14ac:dyDescent="0.25">
      <c r="A2163" s="133">
        <v>45189</v>
      </c>
      <c r="B2163" s="110">
        <v>75.2</v>
      </c>
      <c r="C2163" s="110">
        <v>74.2</v>
      </c>
      <c r="D2163" s="110">
        <v>73.38</v>
      </c>
      <c r="E2163" s="110">
        <v>74.19</v>
      </c>
      <c r="F2163" s="110">
        <v>371</v>
      </c>
      <c r="G2163">
        <v>242518</v>
      </c>
      <c r="H2163" s="110"/>
      <c r="I2163" s="110"/>
      <c r="L2163" s="133">
        <v>45189</v>
      </c>
      <c r="M2163" s="110">
        <v>74.2</v>
      </c>
      <c r="N2163" s="110">
        <v>75.239999999999995</v>
      </c>
      <c r="O2163" s="110">
        <v>73.39</v>
      </c>
      <c r="P2163" s="110">
        <v>74.02</v>
      </c>
      <c r="Q2163" s="110">
        <v>371</v>
      </c>
      <c r="R2163">
        <v>9138188</v>
      </c>
    </row>
    <row r="2164" spans="1:18" x14ac:dyDescent="0.25">
      <c r="A2164" s="133">
        <v>45190</v>
      </c>
      <c r="B2164" s="110">
        <v>75.209999999999994</v>
      </c>
      <c r="C2164" s="110">
        <v>72.84</v>
      </c>
      <c r="D2164" s="110">
        <v>72.12</v>
      </c>
      <c r="E2164" s="110">
        <v>73.83</v>
      </c>
      <c r="F2164" s="110">
        <v>364.2</v>
      </c>
      <c r="G2164">
        <v>455389</v>
      </c>
      <c r="H2164" s="110"/>
      <c r="I2164" s="110"/>
      <c r="L2164" s="133">
        <v>45190</v>
      </c>
      <c r="M2164" s="110">
        <v>72.89</v>
      </c>
      <c r="N2164" s="110">
        <v>75.239999999999995</v>
      </c>
      <c r="O2164" s="110">
        <v>72.12</v>
      </c>
      <c r="P2164" s="110">
        <v>74</v>
      </c>
      <c r="Q2164" s="110">
        <v>364.45</v>
      </c>
      <c r="R2164">
        <v>14802024</v>
      </c>
    </row>
    <row r="2165" spans="1:18" x14ac:dyDescent="0.25">
      <c r="A2165" s="133">
        <v>45191</v>
      </c>
      <c r="B2165" s="110">
        <v>77.17</v>
      </c>
      <c r="C2165" s="110">
        <v>76.569999999999993</v>
      </c>
      <c r="D2165" s="110">
        <v>73.69</v>
      </c>
      <c r="E2165" s="110">
        <v>73.69</v>
      </c>
      <c r="F2165" s="110">
        <v>382.85</v>
      </c>
      <c r="G2165">
        <v>882953</v>
      </c>
      <c r="H2165" s="110"/>
      <c r="I2165" s="110"/>
      <c r="L2165" s="133">
        <v>45191</v>
      </c>
      <c r="M2165" s="110">
        <v>76.59</v>
      </c>
      <c r="N2165" s="110">
        <v>77.2</v>
      </c>
      <c r="O2165" s="110">
        <v>73.7</v>
      </c>
      <c r="P2165" s="110">
        <v>73.7</v>
      </c>
      <c r="Q2165" s="110">
        <v>382.95</v>
      </c>
      <c r="R2165">
        <v>32802763</v>
      </c>
    </row>
    <row r="2166" spans="1:18" x14ac:dyDescent="0.25">
      <c r="A2166" s="133">
        <v>45194</v>
      </c>
      <c r="B2166" s="110">
        <v>76.89</v>
      </c>
      <c r="C2166" s="110">
        <v>75.02</v>
      </c>
      <c r="D2166" s="110">
        <v>74.75</v>
      </c>
      <c r="E2166" s="110">
        <v>76.8</v>
      </c>
      <c r="F2166" s="110">
        <v>375.1</v>
      </c>
      <c r="G2166">
        <v>356747</v>
      </c>
      <c r="H2166" s="110"/>
      <c r="I2166" s="110"/>
      <c r="L2166" s="133">
        <v>45194</v>
      </c>
      <c r="M2166" s="110">
        <v>75.010000000000005</v>
      </c>
      <c r="N2166" s="110">
        <v>76.790000000000006</v>
      </c>
      <c r="O2166" s="110">
        <v>74.739999999999995</v>
      </c>
      <c r="P2166" s="110">
        <v>76.790000000000006</v>
      </c>
      <c r="Q2166" s="110">
        <v>375.05</v>
      </c>
      <c r="R2166">
        <v>13715793</v>
      </c>
    </row>
    <row r="2167" spans="1:18" x14ac:dyDescent="0.25">
      <c r="A2167" s="133">
        <v>45195</v>
      </c>
      <c r="B2167" s="110">
        <v>75.72</v>
      </c>
      <c r="C2167" s="110">
        <v>73.95</v>
      </c>
      <c r="D2167" s="110">
        <v>73.7</v>
      </c>
      <c r="E2167" s="110">
        <v>75.44</v>
      </c>
      <c r="F2167" s="110">
        <v>369.75</v>
      </c>
      <c r="G2167">
        <v>338388</v>
      </c>
      <c r="H2167" s="110"/>
      <c r="I2167" s="110"/>
      <c r="L2167" s="133">
        <v>45195</v>
      </c>
      <c r="M2167" s="110">
        <v>74.010000000000005</v>
      </c>
      <c r="N2167" s="110">
        <v>75.760000000000005</v>
      </c>
      <c r="O2167" s="110">
        <v>73.650000000000006</v>
      </c>
      <c r="P2167" s="110">
        <v>75.25</v>
      </c>
      <c r="Q2167" s="110">
        <v>370.05</v>
      </c>
      <c r="R2167">
        <v>9778851</v>
      </c>
    </row>
    <row r="2168" spans="1:18" x14ac:dyDescent="0.25">
      <c r="A2168" s="133">
        <v>45196</v>
      </c>
      <c r="B2168" s="110">
        <v>74.989999999999995</v>
      </c>
      <c r="C2168" s="110">
        <v>74.849999999999994</v>
      </c>
      <c r="D2168" s="110">
        <v>73.13</v>
      </c>
      <c r="E2168" s="110">
        <v>73.959999999999994</v>
      </c>
      <c r="F2168" s="110">
        <v>374.25</v>
      </c>
      <c r="G2168">
        <v>312032</v>
      </c>
      <c r="H2168" s="110"/>
      <c r="I2168" s="110"/>
      <c r="L2168" s="133">
        <v>45196</v>
      </c>
      <c r="M2168" s="110">
        <v>74.849999999999994</v>
      </c>
      <c r="N2168" s="110">
        <v>74.98</v>
      </c>
      <c r="O2168" s="110">
        <v>73.12</v>
      </c>
      <c r="P2168" s="110">
        <v>74</v>
      </c>
      <c r="Q2168" s="110">
        <v>374.25</v>
      </c>
      <c r="R2168">
        <v>10680414</v>
      </c>
    </row>
    <row r="2169" spans="1:18" x14ac:dyDescent="0.25">
      <c r="A2169" s="133">
        <v>45197</v>
      </c>
      <c r="B2169" s="110">
        <v>76.62</v>
      </c>
      <c r="C2169" s="110">
        <v>74.930000000000007</v>
      </c>
      <c r="D2169" s="110">
        <v>74.7</v>
      </c>
      <c r="E2169" s="110">
        <v>75.38</v>
      </c>
      <c r="F2169" s="110">
        <v>374.65</v>
      </c>
      <c r="G2169">
        <v>581985</v>
      </c>
      <c r="H2169" s="110"/>
      <c r="I2169" s="110"/>
      <c r="L2169" s="133">
        <v>45197</v>
      </c>
      <c r="M2169" s="110">
        <v>74.91</v>
      </c>
      <c r="N2169" s="110">
        <v>76.67</v>
      </c>
      <c r="O2169" s="110">
        <v>74.67</v>
      </c>
      <c r="P2169" s="110">
        <v>75.19</v>
      </c>
      <c r="Q2169" s="110">
        <v>374.55</v>
      </c>
      <c r="R2169">
        <v>15995038</v>
      </c>
    </row>
    <row r="2170" spans="1:18" x14ac:dyDescent="0.25">
      <c r="A2170" s="133">
        <v>45198</v>
      </c>
      <c r="B2170" s="110">
        <v>75.88</v>
      </c>
      <c r="C2170" s="110">
        <v>75.27</v>
      </c>
      <c r="D2170" s="110">
        <v>74.5</v>
      </c>
      <c r="E2170" s="110">
        <v>75.55</v>
      </c>
      <c r="F2170" s="110">
        <v>376.35</v>
      </c>
      <c r="G2170">
        <v>379260</v>
      </c>
      <c r="H2170" s="110"/>
      <c r="I2170" s="110"/>
      <c r="L2170" s="133">
        <v>45198</v>
      </c>
      <c r="M2170" s="110">
        <v>75.25</v>
      </c>
      <c r="N2170" s="110">
        <v>75.91</v>
      </c>
      <c r="O2170" s="110">
        <v>74.5</v>
      </c>
      <c r="P2170" s="110">
        <v>75.39</v>
      </c>
      <c r="Q2170" s="110">
        <v>376.25</v>
      </c>
      <c r="R2170">
        <v>9556659</v>
      </c>
    </row>
    <row r="2171" spans="1:18" x14ac:dyDescent="0.25">
      <c r="A2171" s="133">
        <v>45202</v>
      </c>
      <c r="B2171" s="110">
        <v>77.3</v>
      </c>
      <c r="C2171" s="110">
        <v>76.89</v>
      </c>
      <c r="D2171" s="110">
        <v>74.72</v>
      </c>
      <c r="E2171" s="110">
        <v>75.3</v>
      </c>
      <c r="F2171" s="110">
        <v>384.45</v>
      </c>
      <c r="G2171">
        <v>403248</v>
      </c>
      <c r="H2171" s="110"/>
      <c r="I2171" s="110"/>
      <c r="L2171" s="133">
        <v>45202</v>
      </c>
      <c r="M2171" s="110">
        <v>76.89</v>
      </c>
      <c r="N2171" s="110">
        <v>77.3</v>
      </c>
      <c r="O2171" s="110">
        <v>74.72</v>
      </c>
      <c r="P2171" s="110">
        <v>75.25</v>
      </c>
      <c r="Q2171" s="110">
        <v>384.45</v>
      </c>
      <c r="R2171">
        <v>8663129</v>
      </c>
    </row>
    <row r="2172" spans="1:18" x14ac:dyDescent="0.25">
      <c r="A2172" s="133">
        <v>45203</v>
      </c>
      <c r="B2172" s="110">
        <v>76.599999999999994</v>
      </c>
      <c r="C2172" s="110">
        <v>74.62</v>
      </c>
      <c r="D2172" s="110">
        <v>74.08</v>
      </c>
      <c r="E2172" s="110">
        <v>76.400000000000006</v>
      </c>
      <c r="F2172" s="110">
        <v>373.1</v>
      </c>
      <c r="G2172">
        <v>253638</v>
      </c>
      <c r="H2172" s="110"/>
      <c r="I2172" s="110"/>
      <c r="L2172" s="133">
        <v>45203</v>
      </c>
      <c r="M2172" s="110">
        <v>74.64</v>
      </c>
      <c r="N2172" s="110">
        <v>76.66</v>
      </c>
      <c r="O2172" s="110">
        <v>74.08</v>
      </c>
      <c r="P2172" s="110">
        <v>76.66</v>
      </c>
      <c r="Q2172" s="110">
        <v>373.2</v>
      </c>
      <c r="R2172">
        <v>10623172</v>
      </c>
    </row>
    <row r="2173" spans="1:18" x14ac:dyDescent="0.25">
      <c r="A2173" s="133">
        <v>45204</v>
      </c>
      <c r="B2173" s="110">
        <v>75.92</v>
      </c>
      <c r="C2173" s="110">
        <v>74.209999999999994</v>
      </c>
      <c r="D2173" s="110">
        <v>74</v>
      </c>
      <c r="E2173" s="110">
        <v>75.13</v>
      </c>
      <c r="F2173" s="110">
        <v>371.05</v>
      </c>
      <c r="G2173">
        <v>220305</v>
      </c>
      <c r="H2173" s="110"/>
      <c r="I2173" s="110"/>
      <c r="L2173" s="133">
        <v>45204</v>
      </c>
      <c r="M2173" s="110">
        <v>74.260000000000005</v>
      </c>
      <c r="N2173" s="110">
        <v>75.930000000000007</v>
      </c>
      <c r="O2173" s="110">
        <v>74.099999999999994</v>
      </c>
      <c r="P2173" s="110">
        <v>75.05</v>
      </c>
      <c r="Q2173" s="110">
        <v>371.3</v>
      </c>
      <c r="R2173">
        <v>7313210</v>
      </c>
    </row>
    <row r="2174" spans="1:18" x14ac:dyDescent="0.25">
      <c r="A2174" s="133">
        <v>45205</v>
      </c>
      <c r="B2174" s="110">
        <v>76.180000000000007</v>
      </c>
      <c r="C2174" s="110">
        <v>75.05</v>
      </c>
      <c r="D2174" s="110">
        <v>74.2</v>
      </c>
      <c r="E2174" s="110">
        <v>74.989999999999995</v>
      </c>
      <c r="F2174" s="110">
        <v>375.25</v>
      </c>
      <c r="G2174">
        <v>250662</v>
      </c>
      <c r="H2174" s="110"/>
      <c r="I2174" s="110"/>
      <c r="L2174" s="133">
        <v>45205</v>
      </c>
      <c r="M2174" s="110">
        <v>75.06</v>
      </c>
      <c r="N2174" s="110">
        <v>76.19</v>
      </c>
      <c r="O2174" s="110">
        <v>74.2</v>
      </c>
      <c r="P2174" s="110">
        <v>74.69</v>
      </c>
      <c r="Q2174" s="110">
        <v>375.3</v>
      </c>
      <c r="R2174">
        <v>6948282</v>
      </c>
    </row>
    <row r="2175" spans="1:18" x14ac:dyDescent="0.25">
      <c r="A2175" s="133">
        <v>45208</v>
      </c>
      <c r="B2175" s="110">
        <v>74.180000000000007</v>
      </c>
      <c r="C2175" s="110">
        <v>73.010000000000005</v>
      </c>
      <c r="D2175" s="110">
        <v>72.62</v>
      </c>
      <c r="E2175" s="110">
        <v>74</v>
      </c>
      <c r="F2175" s="110">
        <v>365.05</v>
      </c>
      <c r="G2175">
        <v>185541</v>
      </c>
      <c r="H2175" s="110"/>
      <c r="I2175" s="110"/>
      <c r="L2175" s="133">
        <v>45208</v>
      </c>
      <c r="M2175" s="110">
        <v>73.069999999999993</v>
      </c>
      <c r="N2175" s="110">
        <v>74.33</v>
      </c>
      <c r="O2175" s="110">
        <v>72.62</v>
      </c>
      <c r="P2175" s="110">
        <v>74</v>
      </c>
      <c r="Q2175" s="110">
        <v>365.35</v>
      </c>
      <c r="R2175">
        <v>6243682</v>
      </c>
    </row>
    <row r="2176" spans="1:18" x14ac:dyDescent="0.25">
      <c r="A2176" s="133">
        <v>45209</v>
      </c>
      <c r="B2176" s="110">
        <v>74.599999999999994</v>
      </c>
      <c r="C2176" s="110">
        <v>74.48</v>
      </c>
      <c r="D2176" s="110">
        <v>73.599999999999994</v>
      </c>
      <c r="E2176" s="110">
        <v>73.61</v>
      </c>
      <c r="F2176" s="110">
        <v>372.4</v>
      </c>
      <c r="G2176">
        <v>183319</v>
      </c>
      <c r="H2176" s="110"/>
      <c r="I2176" s="110"/>
      <c r="L2176" s="133">
        <v>45209</v>
      </c>
      <c r="M2176" s="110">
        <v>74.5</v>
      </c>
      <c r="N2176" s="110">
        <v>74.61</v>
      </c>
      <c r="O2176" s="110">
        <v>73.53</v>
      </c>
      <c r="P2176" s="110">
        <v>73.63</v>
      </c>
      <c r="Q2176" s="110">
        <v>372.5</v>
      </c>
      <c r="R2176">
        <v>4800511</v>
      </c>
    </row>
    <row r="2177" spans="1:18" x14ac:dyDescent="0.25">
      <c r="A2177" s="133">
        <v>45210</v>
      </c>
      <c r="B2177" s="110">
        <v>75</v>
      </c>
      <c r="C2177" s="110">
        <v>73.91</v>
      </c>
      <c r="D2177" s="110">
        <v>73.72</v>
      </c>
      <c r="E2177" s="110">
        <v>74.48</v>
      </c>
      <c r="F2177" s="110">
        <v>369.55</v>
      </c>
      <c r="G2177">
        <v>207784</v>
      </c>
      <c r="H2177" s="110"/>
      <c r="I2177" s="110"/>
      <c r="L2177" s="133">
        <v>45210</v>
      </c>
      <c r="M2177" s="110">
        <v>73.97</v>
      </c>
      <c r="N2177" s="110">
        <v>75</v>
      </c>
      <c r="O2177" s="110">
        <v>73.7</v>
      </c>
      <c r="P2177" s="110">
        <v>74.41</v>
      </c>
      <c r="Q2177" s="110">
        <v>369.85</v>
      </c>
      <c r="R2177">
        <v>7271140</v>
      </c>
    </row>
    <row r="2178" spans="1:18" x14ac:dyDescent="0.25">
      <c r="A2178" s="133">
        <v>45211</v>
      </c>
      <c r="B2178" s="110">
        <v>74.77</v>
      </c>
      <c r="C2178" s="110">
        <v>73.87</v>
      </c>
      <c r="D2178" s="110">
        <v>73.650000000000006</v>
      </c>
      <c r="E2178" s="110">
        <v>74.3</v>
      </c>
      <c r="F2178" s="110">
        <v>369.35</v>
      </c>
      <c r="G2178">
        <v>87465</v>
      </c>
      <c r="H2178" s="110"/>
      <c r="I2178" s="110"/>
      <c r="L2178" s="133">
        <v>45211</v>
      </c>
      <c r="M2178" s="110">
        <v>73.86</v>
      </c>
      <c r="N2178" s="110">
        <v>74.760000000000005</v>
      </c>
      <c r="O2178" s="110">
        <v>73.59</v>
      </c>
      <c r="P2178" s="110">
        <v>74.28</v>
      </c>
      <c r="Q2178" s="110">
        <v>369.3</v>
      </c>
      <c r="R2178">
        <v>3770114</v>
      </c>
    </row>
    <row r="2179" spans="1:18" x14ac:dyDescent="0.25">
      <c r="A2179" s="133">
        <v>45212</v>
      </c>
      <c r="B2179" s="110">
        <v>73.86</v>
      </c>
      <c r="C2179" s="110">
        <v>73.290000000000006</v>
      </c>
      <c r="D2179" s="110">
        <v>72</v>
      </c>
      <c r="E2179" s="110">
        <v>73.7</v>
      </c>
      <c r="F2179" s="110">
        <v>366.45</v>
      </c>
      <c r="G2179">
        <v>310876</v>
      </c>
      <c r="H2179" s="110"/>
      <c r="I2179" s="110"/>
      <c r="L2179" s="133">
        <v>45212</v>
      </c>
      <c r="M2179" s="110">
        <v>73.31</v>
      </c>
      <c r="N2179" s="110">
        <v>73.87</v>
      </c>
      <c r="O2179" s="110">
        <v>71.959999999999994</v>
      </c>
      <c r="P2179" s="110">
        <v>73.680000000000007</v>
      </c>
      <c r="Q2179" s="110">
        <v>366.55</v>
      </c>
      <c r="R2179">
        <v>6481528</v>
      </c>
    </row>
    <row r="2180" spans="1:18" x14ac:dyDescent="0.25">
      <c r="A2180" s="133">
        <v>45215</v>
      </c>
      <c r="B2180" s="110">
        <v>74.92</v>
      </c>
      <c r="C2180" s="110">
        <v>74.239999999999995</v>
      </c>
      <c r="D2180" s="110">
        <v>73.06</v>
      </c>
      <c r="E2180" s="110">
        <v>73.069999999999993</v>
      </c>
      <c r="F2180" s="110">
        <v>371.2</v>
      </c>
      <c r="G2180">
        <v>207381</v>
      </c>
      <c r="H2180" s="110"/>
      <c r="I2180" s="110"/>
      <c r="L2180" s="133">
        <v>45215</v>
      </c>
      <c r="M2180" s="110">
        <v>74.27</v>
      </c>
      <c r="N2180" s="110">
        <v>74.959999999999994</v>
      </c>
      <c r="O2180" s="110">
        <v>73</v>
      </c>
      <c r="P2180" s="110">
        <v>73.2</v>
      </c>
      <c r="Q2180" s="110">
        <v>371.35</v>
      </c>
      <c r="R2180">
        <v>6301261</v>
      </c>
    </row>
    <row r="2181" spans="1:18" x14ac:dyDescent="0.25">
      <c r="A2181" s="133">
        <v>45216</v>
      </c>
      <c r="B2181" s="110">
        <v>75.64</v>
      </c>
      <c r="C2181" s="110">
        <v>75.489999999999995</v>
      </c>
      <c r="D2181" s="110">
        <v>74.510000000000005</v>
      </c>
      <c r="E2181" s="110">
        <v>74.510000000000005</v>
      </c>
      <c r="F2181" s="110">
        <v>377.45</v>
      </c>
      <c r="G2181">
        <v>318155</v>
      </c>
      <c r="H2181" s="110"/>
      <c r="I2181" s="110"/>
      <c r="L2181" s="133">
        <v>45216</v>
      </c>
      <c r="M2181" s="110">
        <v>75.510000000000005</v>
      </c>
      <c r="N2181" s="110">
        <v>75.680000000000007</v>
      </c>
      <c r="O2181" s="110">
        <v>74.3</v>
      </c>
      <c r="P2181" s="110">
        <v>74.7</v>
      </c>
      <c r="Q2181" s="110">
        <v>377.55</v>
      </c>
      <c r="R2181">
        <v>7101320</v>
      </c>
    </row>
    <row r="2182" spans="1:18" x14ac:dyDescent="0.25">
      <c r="A2182" s="133">
        <v>45217</v>
      </c>
      <c r="B2182" s="110">
        <v>75.650000000000006</v>
      </c>
      <c r="C2182" s="110">
        <v>74.36</v>
      </c>
      <c r="D2182" s="110">
        <v>74.099999999999994</v>
      </c>
      <c r="E2182" s="110">
        <v>75.48</v>
      </c>
      <c r="F2182" s="110">
        <v>371.8</v>
      </c>
      <c r="G2182">
        <v>126222</v>
      </c>
      <c r="H2182" s="110"/>
      <c r="I2182" s="110"/>
      <c r="L2182" s="133">
        <v>45217</v>
      </c>
      <c r="M2182" s="110">
        <v>74.37</v>
      </c>
      <c r="N2182" s="110">
        <v>75.66</v>
      </c>
      <c r="O2182" s="110">
        <v>74.06</v>
      </c>
      <c r="P2182" s="110">
        <v>75.33</v>
      </c>
      <c r="Q2182" s="110">
        <v>371.85</v>
      </c>
      <c r="R2182">
        <v>3632494</v>
      </c>
    </row>
    <row r="2183" spans="1:18" x14ac:dyDescent="0.25">
      <c r="A2183" s="133">
        <v>45218</v>
      </c>
      <c r="B2183" s="110">
        <v>75.180000000000007</v>
      </c>
      <c r="C2183" s="110">
        <v>74.87</v>
      </c>
      <c r="D2183" s="110">
        <v>73.459999999999994</v>
      </c>
      <c r="E2183" s="110">
        <v>74.17</v>
      </c>
      <c r="F2183" s="110">
        <v>374.35</v>
      </c>
      <c r="G2183">
        <v>113159</v>
      </c>
      <c r="H2183" s="110"/>
      <c r="I2183" s="110"/>
      <c r="L2183" s="133">
        <v>45218</v>
      </c>
      <c r="M2183" s="110">
        <v>74.790000000000006</v>
      </c>
      <c r="N2183" s="110">
        <v>75.19</v>
      </c>
      <c r="O2183" s="110">
        <v>73.42</v>
      </c>
      <c r="P2183" s="110">
        <v>74</v>
      </c>
      <c r="Q2183" s="110">
        <v>373.95</v>
      </c>
      <c r="R2183">
        <v>4828534</v>
      </c>
    </row>
    <row r="2184" spans="1:18" x14ac:dyDescent="0.25">
      <c r="A2184" s="133">
        <v>45219</v>
      </c>
      <c r="B2184" s="110">
        <v>75</v>
      </c>
      <c r="C2184" s="110">
        <v>73.84</v>
      </c>
      <c r="D2184" s="110">
        <v>73.11</v>
      </c>
      <c r="E2184" s="110">
        <v>74.400000000000006</v>
      </c>
      <c r="F2184" s="110">
        <v>369.2</v>
      </c>
      <c r="G2184">
        <v>232245</v>
      </c>
      <c r="H2184" s="110"/>
      <c r="I2184" s="110"/>
      <c r="L2184" s="133">
        <v>45219</v>
      </c>
      <c r="M2184" s="110">
        <v>73.86</v>
      </c>
      <c r="N2184" s="110">
        <v>74.98</v>
      </c>
      <c r="O2184" s="110">
        <v>73.099999999999994</v>
      </c>
      <c r="P2184" s="110">
        <v>74.39</v>
      </c>
      <c r="Q2184" s="110">
        <v>369.3</v>
      </c>
      <c r="R2184">
        <v>7621955</v>
      </c>
    </row>
    <row r="2185" spans="1:18" x14ac:dyDescent="0.25">
      <c r="A2185" s="133">
        <v>45222</v>
      </c>
      <c r="B2185" s="110">
        <v>74.27</v>
      </c>
      <c r="C2185" s="110">
        <v>70.97</v>
      </c>
      <c r="D2185" s="110">
        <v>70.05</v>
      </c>
      <c r="E2185" s="110">
        <v>73.84</v>
      </c>
      <c r="F2185" s="110">
        <v>354.85</v>
      </c>
      <c r="G2185">
        <v>212315</v>
      </c>
      <c r="H2185" s="110"/>
      <c r="I2185" s="110"/>
      <c r="L2185" s="133">
        <v>45222</v>
      </c>
      <c r="M2185" s="110">
        <v>71.11</v>
      </c>
      <c r="N2185" s="110">
        <v>74.290000000000006</v>
      </c>
      <c r="O2185" s="110">
        <v>70.8</v>
      </c>
      <c r="P2185" s="110">
        <v>73.86</v>
      </c>
      <c r="Q2185" s="110">
        <v>355.55</v>
      </c>
      <c r="R2185">
        <v>9497007</v>
      </c>
    </row>
    <row r="2186" spans="1:18" x14ac:dyDescent="0.25">
      <c r="A2186" s="133">
        <v>45224</v>
      </c>
      <c r="B2186" s="110">
        <v>72.2</v>
      </c>
      <c r="C2186" s="110">
        <v>70.709999999999994</v>
      </c>
      <c r="D2186" s="110">
        <v>69.88</v>
      </c>
      <c r="E2186" s="110">
        <v>71.92</v>
      </c>
      <c r="F2186" s="110">
        <v>353.55</v>
      </c>
      <c r="G2186">
        <v>139395</v>
      </c>
      <c r="H2186" s="110"/>
      <c r="I2186" s="110"/>
      <c r="L2186" s="133">
        <v>45224</v>
      </c>
      <c r="M2186" s="110">
        <v>70.75</v>
      </c>
      <c r="N2186" s="110">
        <v>72.17</v>
      </c>
      <c r="O2186" s="110">
        <v>69.83</v>
      </c>
      <c r="P2186" s="110">
        <v>72</v>
      </c>
      <c r="Q2186" s="110">
        <v>353.75</v>
      </c>
      <c r="R2186">
        <v>6278105</v>
      </c>
    </row>
    <row r="2187" spans="1:18" x14ac:dyDescent="0.25">
      <c r="A2187" s="133">
        <v>45225</v>
      </c>
      <c r="B2187" s="110">
        <v>72.27</v>
      </c>
      <c r="C2187" s="110">
        <v>71.97</v>
      </c>
      <c r="D2187" s="110">
        <v>68.44</v>
      </c>
      <c r="E2187" s="110">
        <v>70.39</v>
      </c>
      <c r="F2187" s="110">
        <v>359.85</v>
      </c>
      <c r="G2187">
        <v>744406</v>
      </c>
      <c r="H2187" s="110"/>
      <c r="I2187" s="110"/>
      <c r="L2187" s="133">
        <v>45225</v>
      </c>
      <c r="M2187" s="110">
        <v>71.87</v>
      </c>
      <c r="N2187" s="110">
        <v>72.28</v>
      </c>
      <c r="O2187" s="110">
        <v>68.42</v>
      </c>
      <c r="P2187" s="110">
        <v>70.19</v>
      </c>
      <c r="Q2187" s="110">
        <v>359.35</v>
      </c>
      <c r="R2187">
        <v>12237292</v>
      </c>
    </row>
    <row r="2188" spans="1:18" x14ac:dyDescent="0.25">
      <c r="A2188" s="133">
        <v>45226</v>
      </c>
      <c r="B2188" s="110">
        <v>77.540000000000006</v>
      </c>
      <c r="C2188" s="110">
        <v>76.14</v>
      </c>
      <c r="D2188" s="110">
        <v>72.209999999999994</v>
      </c>
      <c r="E2188" s="110">
        <v>72.209999999999994</v>
      </c>
      <c r="F2188" s="110">
        <v>380.7</v>
      </c>
      <c r="G2188">
        <v>1385344</v>
      </c>
      <c r="H2188" s="110"/>
      <c r="I2188" s="110"/>
      <c r="L2188" s="133">
        <v>45226</v>
      </c>
      <c r="M2188" s="110">
        <v>76.16</v>
      </c>
      <c r="N2188" s="110">
        <v>77.56</v>
      </c>
      <c r="O2188" s="110">
        <v>72.239999999999995</v>
      </c>
      <c r="P2188" s="110">
        <v>72.34</v>
      </c>
      <c r="Q2188" s="110">
        <v>380.8</v>
      </c>
      <c r="R2188">
        <v>27201958</v>
      </c>
    </row>
    <row r="2189" spans="1:18" x14ac:dyDescent="0.25">
      <c r="A2189" s="133">
        <v>45229</v>
      </c>
      <c r="B2189" s="110">
        <v>77.17</v>
      </c>
      <c r="C2189" s="110">
        <v>76.510000000000005</v>
      </c>
      <c r="D2189" s="110">
        <v>75.599999999999994</v>
      </c>
      <c r="E2189" s="110">
        <v>76.400000000000006</v>
      </c>
      <c r="F2189" s="110">
        <v>382.55</v>
      </c>
      <c r="G2189">
        <v>341159</v>
      </c>
      <c r="H2189" s="110"/>
      <c r="I2189" s="110"/>
      <c r="L2189" s="133">
        <v>45229</v>
      </c>
      <c r="M2189" s="110">
        <v>76.52</v>
      </c>
      <c r="N2189" s="110">
        <v>77.19</v>
      </c>
      <c r="O2189" s="110">
        <v>75.599999999999994</v>
      </c>
      <c r="P2189" s="110">
        <v>76.400000000000006</v>
      </c>
      <c r="Q2189" s="110">
        <v>382.6</v>
      </c>
      <c r="R2189">
        <v>7619529</v>
      </c>
    </row>
    <row r="2190" spans="1:18" x14ac:dyDescent="0.25">
      <c r="A2190" s="133">
        <v>45230</v>
      </c>
      <c r="B2190" s="110">
        <v>78.11</v>
      </c>
      <c r="C2190" s="110">
        <v>76.849999999999994</v>
      </c>
      <c r="D2190" s="110">
        <v>76.650000000000006</v>
      </c>
      <c r="E2190" s="110">
        <v>76.650000000000006</v>
      </c>
      <c r="F2190" s="110">
        <v>384.25</v>
      </c>
      <c r="G2190">
        <v>801927</v>
      </c>
      <c r="H2190" s="110"/>
      <c r="I2190" s="110"/>
      <c r="L2190" s="133">
        <v>45230</v>
      </c>
      <c r="M2190" s="110">
        <v>76.87</v>
      </c>
      <c r="N2190" s="110">
        <v>78.13</v>
      </c>
      <c r="O2190" s="110">
        <v>76.62</v>
      </c>
      <c r="P2190" s="110">
        <v>76.760000000000005</v>
      </c>
      <c r="Q2190" s="110">
        <v>384.35</v>
      </c>
      <c r="R2190">
        <v>9887787</v>
      </c>
    </row>
    <row r="2191" spans="1:18" x14ac:dyDescent="0.25">
      <c r="A2191" s="133">
        <v>45231</v>
      </c>
      <c r="B2191" s="110">
        <v>77.13</v>
      </c>
      <c r="C2191" s="110">
        <v>76.64</v>
      </c>
      <c r="D2191" s="110">
        <v>76.05</v>
      </c>
      <c r="E2191" s="110">
        <v>76.819999999999993</v>
      </c>
      <c r="F2191" s="110">
        <v>383.2</v>
      </c>
      <c r="G2191">
        <v>374750</v>
      </c>
      <c r="H2191" s="110"/>
      <c r="I2191" s="110"/>
      <c r="L2191" s="133">
        <v>45231</v>
      </c>
      <c r="M2191" s="110">
        <v>76.66</v>
      </c>
      <c r="N2191" s="110">
        <v>77.180000000000007</v>
      </c>
      <c r="O2191" s="110">
        <v>76</v>
      </c>
      <c r="P2191" s="110">
        <v>76.86</v>
      </c>
      <c r="Q2191" s="110">
        <v>383.3</v>
      </c>
      <c r="R2191">
        <v>6438456</v>
      </c>
    </row>
    <row r="2192" spans="1:18" x14ac:dyDescent="0.25">
      <c r="A2192" s="133">
        <v>45232</v>
      </c>
      <c r="B2192" s="110">
        <v>78.33</v>
      </c>
      <c r="C2192" s="110">
        <v>77.63</v>
      </c>
      <c r="D2192" s="110">
        <v>76.95</v>
      </c>
      <c r="E2192" s="110">
        <v>77.31</v>
      </c>
      <c r="F2192" s="110">
        <v>388.15</v>
      </c>
      <c r="G2192">
        <v>201951</v>
      </c>
      <c r="H2192" s="110"/>
      <c r="I2192" s="110"/>
      <c r="L2192" s="133">
        <v>45232</v>
      </c>
      <c r="M2192" s="110">
        <v>77.63</v>
      </c>
      <c r="N2192" s="110">
        <v>78.37</v>
      </c>
      <c r="O2192" s="110">
        <v>76.900000000000006</v>
      </c>
      <c r="P2192" s="110">
        <v>77.39</v>
      </c>
      <c r="Q2192" s="110">
        <v>388.15</v>
      </c>
      <c r="R2192">
        <v>6292204</v>
      </c>
    </row>
    <row r="2193" spans="1:18" x14ac:dyDescent="0.25">
      <c r="A2193" s="133">
        <v>45233</v>
      </c>
      <c r="B2193" s="110">
        <v>78.55</v>
      </c>
      <c r="C2193" s="110">
        <v>77.459999999999994</v>
      </c>
      <c r="D2193" s="110">
        <v>77.28</v>
      </c>
      <c r="E2193" s="110">
        <v>78.010000000000005</v>
      </c>
      <c r="F2193" s="110">
        <v>387.3</v>
      </c>
      <c r="G2193">
        <v>765297</v>
      </c>
      <c r="H2193" s="110"/>
      <c r="I2193" s="110"/>
      <c r="L2193" s="133">
        <v>45233</v>
      </c>
      <c r="M2193" s="110">
        <v>77.5</v>
      </c>
      <c r="N2193" s="110">
        <v>78.56</v>
      </c>
      <c r="O2193" s="110">
        <v>77.400000000000006</v>
      </c>
      <c r="P2193" s="110">
        <v>78.19</v>
      </c>
      <c r="Q2193" s="110">
        <v>387.5</v>
      </c>
      <c r="R2193">
        <v>5032067</v>
      </c>
    </row>
    <row r="2194" spans="1:18" x14ac:dyDescent="0.25">
      <c r="A2194" s="133">
        <v>45236</v>
      </c>
      <c r="B2194" s="110">
        <v>78.2</v>
      </c>
      <c r="C2194" s="110">
        <v>76.849999999999994</v>
      </c>
      <c r="D2194" s="110">
        <v>76.599999999999994</v>
      </c>
      <c r="E2194" s="110">
        <v>77.790000000000006</v>
      </c>
      <c r="F2194" s="110">
        <v>384.25</v>
      </c>
      <c r="G2194">
        <v>207624</v>
      </c>
      <c r="H2194" s="110"/>
      <c r="I2194" s="110"/>
      <c r="L2194" s="133">
        <v>45236</v>
      </c>
      <c r="M2194" s="110">
        <v>76.98</v>
      </c>
      <c r="N2194" s="110">
        <v>78.22</v>
      </c>
      <c r="O2194" s="110">
        <v>76.680000000000007</v>
      </c>
      <c r="P2194" s="110">
        <v>77.8</v>
      </c>
      <c r="Q2194" s="110">
        <v>384.9</v>
      </c>
      <c r="R2194">
        <v>4339512</v>
      </c>
    </row>
    <row r="2195" spans="1:18" x14ac:dyDescent="0.25">
      <c r="A2195" s="133">
        <v>45237</v>
      </c>
      <c r="B2195" s="110">
        <v>78</v>
      </c>
      <c r="C2195" s="110">
        <v>77.56</v>
      </c>
      <c r="D2195" s="110">
        <v>76.53</v>
      </c>
      <c r="E2195" s="110">
        <v>76.88</v>
      </c>
      <c r="F2195" s="110">
        <v>387.8</v>
      </c>
      <c r="G2195">
        <v>139681</v>
      </c>
      <c r="H2195" s="110"/>
      <c r="I2195" s="110"/>
      <c r="L2195" s="133">
        <v>45237</v>
      </c>
      <c r="M2195" s="110">
        <v>77.510000000000005</v>
      </c>
      <c r="N2195" s="110">
        <v>78.03</v>
      </c>
      <c r="O2195" s="110">
        <v>76.5</v>
      </c>
      <c r="P2195" s="110">
        <v>77</v>
      </c>
      <c r="Q2195" s="110">
        <v>387.55</v>
      </c>
      <c r="R2195">
        <v>4751044</v>
      </c>
    </row>
    <row r="2196" spans="1:18" x14ac:dyDescent="0.25">
      <c r="A2196" s="133">
        <v>45238</v>
      </c>
      <c r="B2196" s="110">
        <v>78.16</v>
      </c>
      <c r="C2196" s="110">
        <v>76.989999999999995</v>
      </c>
      <c r="D2196" s="110">
        <v>76.87</v>
      </c>
      <c r="E2196" s="110">
        <v>77.8</v>
      </c>
      <c r="F2196" s="110">
        <v>384.95</v>
      </c>
      <c r="G2196">
        <v>390502</v>
      </c>
      <c r="H2196" s="110"/>
      <c r="I2196" s="110"/>
      <c r="L2196" s="133">
        <v>45238</v>
      </c>
      <c r="M2196" s="110">
        <v>77</v>
      </c>
      <c r="N2196" s="110">
        <v>78.16</v>
      </c>
      <c r="O2196" s="110">
        <v>76.88</v>
      </c>
      <c r="P2196" s="110">
        <v>77.8</v>
      </c>
      <c r="Q2196" s="110">
        <v>385</v>
      </c>
      <c r="R2196">
        <v>4464502</v>
      </c>
    </row>
    <row r="2197" spans="1:18" x14ac:dyDescent="0.25">
      <c r="A2197" s="133">
        <v>45239</v>
      </c>
      <c r="B2197" s="110">
        <v>77.88</v>
      </c>
      <c r="C2197" s="110">
        <v>76.81</v>
      </c>
      <c r="D2197" s="110">
        <v>76.67</v>
      </c>
      <c r="E2197" s="110">
        <v>77.069999999999993</v>
      </c>
      <c r="F2197" s="110">
        <v>384.05</v>
      </c>
      <c r="G2197">
        <v>750600</v>
      </c>
      <c r="H2197" s="110"/>
      <c r="I2197" s="110"/>
      <c r="L2197" s="133">
        <v>45239</v>
      </c>
      <c r="M2197" s="110">
        <v>76.8</v>
      </c>
      <c r="N2197" s="110">
        <v>77.84</v>
      </c>
      <c r="O2197" s="110">
        <v>76.66</v>
      </c>
      <c r="P2197" s="110">
        <v>77.2</v>
      </c>
      <c r="Q2197" s="110">
        <v>384</v>
      </c>
      <c r="R2197">
        <v>5132798</v>
      </c>
    </row>
    <row r="2198" spans="1:18" x14ac:dyDescent="0.25">
      <c r="A2198" s="133">
        <v>45240</v>
      </c>
      <c r="B2198" s="110">
        <v>77.61</v>
      </c>
      <c r="C2198" s="110">
        <v>77.489999999999995</v>
      </c>
      <c r="D2198" s="110">
        <v>76.31</v>
      </c>
      <c r="E2198" s="110">
        <v>76.540000000000006</v>
      </c>
      <c r="F2198" s="110">
        <v>387.45</v>
      </c>
      <c r="G2198">
        <v>199380</v>
      </c>
      <c r="H2198" s="110"/>
      <c r="I2198" s="110"/>
      <c r="L2198" s="133">
        <v>45240</v>
      </c>
      <c r="M2198" s="110">
        <v>77.48</v>
      </c>
      <c r="N2198" s="110">
        <v>77.64</v>
      </c>
      <c r="O2198" s="110">
        <v>76.2</v>
      </c>
      <c r="P2198" s="110">
        <v>76.599999999999994</v>
      </c>
      <c r="Q2198" s="110">
        <v>387.4</v>
      </c>
      <c r="R2198">
        <v>3213479</v>
      </c>
    </row>
    <row r="2199" spans="1:18" x14ac:dyDescent="0.25">
      <c r="A2199" s="133">
        <v>45242</v>
      </c>
      <c r="B2199" s="110">
        <v>78.2</v>
      </c>
      <c r="C2199" s="110">
        <v>77.63</v>
      </c>
      <c r="D2199" s="110">
        <v>77.5</v>
      </c>
      <c r="E2199" s="110">
        <v>78</v>
      </c>
      <c r="F2199" s="110">
        <v>388.15</v>
      </c>
      <c r="G2199">
        <v>92137</v>
      </c>
      <c r="H2199" s="110"/>
      <c r="I2199" s="110"/>
      <c r="L2199" s="133">
        <v>45242</v>
      </c>
      <c r="M2199" s="110">
        <v>77.66</v>
      </c>
      <c r="N2199" s="110">
        <v>78.180000000000007</v>
      </c>
      <c r="O2199" s="110">
        <v>77.5</v>
      </c>
      <c r="P2199" s="110">
        <v>78.08</v>
      </c>
      <c r="Q2199" s="110">
        <v>388.3</v>
      </c>
      <c r="R2199">
        <v>730703</v>
      </c>
    </row>
    <row r="2200" spans="1:18" x14ac:dyDescent="0.25">
      <c r="A2200" s="133">
        <v>45243</v>
      </c>
      <c r="B2200" s="110">
        <v>81.12</v>
      </c>
      <c r="C2200" s="110">
        <v>80.849999999999994</v>
      </c>
      <c r="D2200" s="110">
        <v>77.400000000000006</v>
      </c>
      <c r="E2200" s="110">
        <v>77.58</v>
      </c>
      <c r="F2200" s="110">
        <v>404.25</v>
      </c>
      <c r="G2200">
        <v>628368</v>
      </c>
      <c r="H2200" s="110"/>
      <c r="I2200" s="110"/>
      <c r="L2200" s="133">
        <v>45243</v>
      </c>
      <c r="M2200" s="110">
        <v>80.89</v>
      </c>
      <c r="N2200" s="110">
        <v>81.13</v>
      </c>
      <c r="O2200" s="110">
        <v>77.39</v>
      </c>
      <c r="P2200" s="110">
        <v>77.63</v>
      </c>
      <c r="Q2200" s="110">
        <v>404.45</v>
      </c>
      <c r="R2200">
        <v>12386692</v>
      </c>
    </row>
    <row r="2201" spans="1:18" x14ac:dyDescent="0.25">
      <c r="A2201" s="133">
        <v>45245</v>
      </c>
      <c r="B2201" s="110">
        <v>82.2</v>
      </c>
      <c r="C2201" s="110">
        <v>81.5</v>
      </c>
      <c r="D2201" s="110">
        <v>81.209999999999994</v>
      </c>
      <c r="E2201" s="110">
        <v>81.67</v>
      </c>
      <c r="F2201" s="110">
        <v>407.5</v>
      </c>
      <c r="G2201">
        <v>633115</v>
      </c>
      <c r="H2201" s="110"/>
      <c r="I2201" s="110"/>
      <c r="L2201" s="133">
        <v>45245</v>
      </c>
      <c r="M2201" s="110">
        <v>81.48</v>
      </c>
      <c r="N2201" s="110">
        <v>82.2</v>
      </c>
      <c r="O2201" s="110">
        <v>81.23</v>
      </c>
      <c r="P2201" s="110">
        <v>81.599999999999994</v>
      </c>
      <c r="Q2201" s="110">
        <v>407.4</v>
      </c>
      <c r="R2201">
        <v>6863624</v>
      </c>
    </row>
    <row r="2202" spans="1:18" x14ac:dyDescent="0.25">
      <c r="A2202" s="133">
        <v>45246</v>
      </c>
      <c r="B2202" s="110">
        <v>81.92</v>
      </c>
      <c r="C2202" s="110">
        <v>81.180000000000007</v>
      </c>
      <c r="D2202" s="110">
        <v>80.78</v>
      </c>
      <c r="E2202" s="110">
        <v>81.45</v>
      </c>
      <c r="F2202" s="110">
        <v>405.9</v>
      </c>
      <c r="G2202">
        <v>267271</v>
      </c>
      <c r="H2202" s="110"/>
      <c r="I2202" s="110"/>
      <c r="L2202" s="133">
        <v>45246</v>
      </c>
      <c r="M2202" s="110">
        <v>81.19</v>
      </c>
      <c r="N2202" s="110">
        <v>81.93</v>
      </c>
      <c r="O2202" s="110">
        <v>80.81</v>
      </c>
      <c r="P2202" s="110">
        <v>81.599999999999994</v>
      </c>
      <c r="Q2202" s="110">
        <v>405.95</v>
      </c>
      <c r="R2202">
        <v>3499762</v>
      </c>
    </row>
    <row r="2203" spans="1:18" x14ac:dyDescent="0.25">
      <c r="A2203" s="133">
        <v>45247</v>
      </c>
      <c r="B2203" s="110">
        <v>80</v>
      </c>
      <c r="C2203" s="110">
        <v>79.540000000000006</v>
      </c>
      <c r="D2203" s="110">
        <v>79.010000000000005</v>
      </c>
      <c r="E2203" s="110">
        <v>80</v>
      </c>
      <c r="F2203" s="110">
        <v>397.7</v>
      </c>
      <c r="G2203">
        <v>179832</v>
      </c>
      <c r="H2203" s="110"/>
      <c r="I2203" s="110"/>
      <c r="L2203" s="133">
        <v>45247</v>
      </c>
      <c r="M2203" s="110">
        <v>79.56</v>
      </c>
      <c r="N2203" s="110">
        <v>80.94</v>
      </c>
      <c r="O2203" s="110">
        <v>79.010000000000005</v>
      </c>
      <c r="P2203" s="110">
        <v>79.8</v>
      </c>
      <c r="Q2203" s="110">
        <v>397.8</v>
      </c>
      <c r="R2203">
        <v>7797752</v>
      </c>
    </row>
    <row r="2204" spans="1:18" x14ac:dyDescent="0.25">
      <c r="A2204" s="133">
        <v>45250</v>
      </c>
      <c r="B2204" s="110">
        <v>80.989999999999995</v>
      </c>
      <c r="C2204" s="110">
        <v>79.84</v>
      </c>
      <c r="D2204" s="110">
        <v>79.5</v>
      </c>
      <c r="E2204" s="110">
        <v>79.709999999999994</v>
      </c>
      <c r="F2204" s="110">
        <v>399.2</v>
      </c>
      <c r="G2204">
        <v>278776</v>
      </c>
      <c r="H2204" s="110"/>
      <c r="I2204" s="110"/>
      <c r="L2204" s="133">
        <v>45250</v>
      </c>
      <c r="M2204" s="110">
        <v>79.83</v>
      </c>
      <c r="N2204" s="110">
        <v>80.989999999999995</v>
      </c>
      <c r="O2204" s="110">
        <v>79.42</v>
      </c>
      <c r="P2204" s="110">
        <v>79.88</v>
      </c>
      <c r="Q2204" s="110">
        <v>399.15</v>
      </c>
      <c r="R2204">
        <v>4411488</v>
      </c>
    </row>
    <row r="2205" spans="1:18" x14ac:dyDescent="0.25">
      <c r="A2205" s="133">
        <v>45251</v>
      </c>
      <c r="B2205" s="110">
        <v>80.63</v>
      </c>
      <c r="C2205" s="110">
        <v>79.42</v>
      </c>
      <c r="D2205" s="110">
        <v>78.8</v>
      </c>
      <c r="E2205" s="110">
        <v>79.91</v>
      </c>
      <c r="F2205" s="110">
        <v>397.1</v>
      </c>
      <c r="G2205">
        <v>213957</v>
      </c>
      <c r="H2205" s="110"/>
      <c r="I2205" s="110"/>
      <c r="L2205" s="133">
        <v>45251</v>
      </c>
      <c r="M2205" s="110">
        <v>79.44</v>
      </c>
      <c r="N2205" s="110">
        <v>80.569999999999993</v>
      </c>
      <c r="O2205" s="110">
        <v>78.819999999999993</v>
      </c>
      <c r="P2205" s="110">
        <v>80.03</v>
      </c>
      <c r="Q2205" s="110">
        <v>397.2</v>
      </c>
      <c r="R2205">
        <v>3970392</v>
      </c>
    </row>
    <row r="2206" spans="1:18" x14ac:dyDescent="0.25">
      <c r="A2206" s="133">
        <v>45252</v>
      </c>
      <c r="B2206" s="110">
        <v>80.2</v>
      </c>
      <c r="C2206" s="110">
        <v>78.92</v>
      </c>
      <c r="D2206" s="110">
        <v>78.37</v>
      </c>
      <c r="E2206" s="110">
        <v>79.650000000000006</v>
      </c>
      <c r="F2206" s="110">
        <v>394.6</v>
      </c>
      <c r="G2206">
        <v>90908</v>
      </c>
      <c r="H2206" s="110"/>
      <c r="I2206" s="110"/>
      <c r="L2206" s="133">
        <v>45252</v>
      </c>
      <c r="M2206" s="110">
        <v>78.930000000000007</v>
      </c>
      <c r="N2206" s="110">
        <v>80.239999999999995</v>
      </c>
      <c r="O2206" s="110">
        <v>78.36</v>
      </c>
      <c r="P2206" s="110">
        <v>79.59</v>
      </c>
      <c r="Q2206" s="110">
        <v>394.65</v>
      </c>
      <c r="R2206">
        <v>3138570</v>
      </c>
    </row>
    <row r="2207" spans="1:18" x14ac:dyDescent="0.25">
      <c r="A2207" s="133">
        <v>45253</v>
      </c>
      <c r="B2207" s="110">
        <v>79.430000000000007</v>
      </c>
      <c r="C2207" s="110">
        <v>78.62</v>
      </c>
      <c r="D2207" s="110">
        <v>78.53</v>
      </c>
      <c r="E2207" s="110">
        <v>79.2</v>
      </c>
      <c r="F2207" s="110">
        <v>393.1</v>
      </c>
      <c r="G2207">
        <v>88648</v>
      </c>
      <c r="H2207" s="110"/>
      <c r="I2207" s="110"/>
      <c r="L2207" s="133">
        <v>45253</v>
      </c>
      <c r="M2207" s="110">
        <v>78.650000000000006</v>
      </c>
      <c r="N2207" s="110">
        <v>79.45</v>
      </c>
      <c r="O2207" s="110">
        <v>78.52</v>
      </c>
      <c r="P2207" s="110">
        <v>79.16</v>
      </c>
      <c r="Q2207" s="110">
        <v>393.25</v>
      </c>
      <c r="R2207">
        <v>2596514</v>
      </c>
    </row>
    <row r="2208" spans="1:18" x14ac:dyDescent="0.25">
      <c r="A2208" s="133">
        <v>45254</v>
      </c>
      <c r="B2208" s="110">
        <v>79.12</v>
      </c>
      <c r="C2208" s="110">
        <v>77.97</v>
      </c>
      <c r="D2208" s="110">
        <v>77.84</v>
      </c>
      <c r="E2208" s="110">
        <v>78.790000000000006</v>
      </c>
      <c r="F2208" s="110">
        <v>389.85</v>
      </c>
      <c r="G2208">
        <v>397933</v>
      </c>
      <c r="H2208" s="110"/>
      <c r="I2208" s="110"/>
      <c r="L2208" s="133">
        <v>45254</v>
      </c>
      <c r="M2208" s="110">
        <v>77.959999999999994</v>
      </c>
      <c r="N2208" s="110">
        <v>79.16</v>
      </c>
      <c r="O2208" s="110">
        <v>77.8</v>
      </c>
      <c r="P2208" s="110">
        <v>78.88</v>
      </c>
      <c r="Q2208" s="110">
        <v>389.8</v>
      </c>
      <c r="R2208">
        <v>2615380</v>
      </c>
    </row>
    <row r="2209" spans="1:18" x14ac:dyDescent="0.25">
      <c r="A2209" s="133">
        <v>45258</v>
      </c>
      <c r="B2209" s="110">
        <v>79.87</v>
      </c>
      <c r="C2209" s="110">
        <v>79.180000000000007</v>
      </c>
      <c r="D2209" s="110">
        <v>77.97</v>
      </c>
      <c r="E2209" s="110">
        <v>77.97</v>
      </c>
      <c r="F2209" s="110">
        <v>395.9</v>
      </c>
      <c r="G2209">
        <v>520194</v>
      </c>
      <c r="H2209" s="110"/>
      <c r="I2209" s="110"/>
      <c r="L2209" s="133">
        <v>45258</v>
      </c>
      <c r="M2209" s="110">
        <v>79.22</v>
      </c>
      <c r="N2209" s="110">
        <v>79.900000000000006</v>
      </c>
      <c r="O2209" s="110">
        <v>78</v>
      </c>
      <c r="P2209" s="110">
        <v>78</v>
      </c>
      <c r="Q2209" s="110">
        <v>396.1</v>
      </c>
      <c r="R2209">
        <v>4626113</v>
      </c>
    </row>
    <row r="2210" spans="1:18" x14ac:dyDescent="0.25">
      <c r="A2210" s="133">
        <v>45259</v>
      </c>
      <c r="B2210" s="110">
        <v>80.95</v>
      </c>
      <c r="C2210" s="110">
        <v>80.569999999999993</v>
      </c>
      <c r="D2210" s="110">
        <v>79.45</v>
      </c>
      <c r="E2210" s="110">
        <v>79.62</v>
      </c>
      <c r="F2210" s="110">
        <v>402.85</v>
      </c>
      <c r="G2210">
        <v>163055</v>
      </c>
      <c r="H2210" s="110"/>
      <c r="I2210" s="110"/>
      <c r="L2210" s="133">
        <v>45259</v>
      </c>
      <c r="M2210" s="110">
        <v>80.55</v>
      </c>
      <c r="N2210" s="110">
        <v>80.94</v>
      </c>
      <c r="O2210" s="110">
        <v>79.42</v>
      </c>
      <c r="P2210" s="110">
        <v>79.77</v>
      </c>
      <c r="Q2210" s="110">
        <v>402.75</v>
      </c>
      <c r="R2210">
        <v>5498966</v>
      </c>
    </row>
    <row r="2211" spans="1:18" x14ac:dyDescent="0.25">
      <c r="A2211" s="133">
        <v>45260</v>
      </c>
      <c r="B2211" s="110">
        <v>81.2</v>
      </c>
      <c r="C2211" s="110">
        <v>80.680000000000007</v>
      </c>
      <c r="D2211" s="110">
        <v>80.05</v>
      </c>
      <c r="E2211" s="110">
        <v>80.540000000000006</v>
      </c>
      <c r="F2211" s="110">
        <v>403.4</v>
      </c>
      <c r="G2211">
        <v>329980</v>
      </c>
      <c r="H2211" s="110"/>
      <c r="I2211" s="110"/>
      <c r="L2211" s="133">
        <v>45260</v>
      </c>
      <c r="M2211" s="110">
        <v>80.61</v>
      </c>
      <c r="N2211" s="110">
        <v>81.28</v>
      </c>
      <c r="O2211" s="110">
        <v>80.040000000000006</v>
      </c>
      <c r="P2211" s="110">
        <v>80.400000000000006</v>
      </c>
      <c r="Q2211" s="110">
        <v>403.05</v>
      </c>
      <c r="R2211">
        <v>7898329</v>
      </c>
    </row>
    <row r="2212" spans="1:18" x14ac:dyDescent="0.25">
      <c r="A2212" s="133">
        <v>45261</v>
      </c>
      <c r="B2212" s="110">
        <v>83.8</v>
      </c>
      <c r="C2212" s="110">
        <v>82.04</v>
      </c>
      <c r="D2212" s="110">
        <v>80.81</v>
      </c>
      <c r="E2212" s="110">
        <v>80.81</v>
      </c>
      <c r="F2212" s="110">
        <v>410.2</v>
      </c>
      <c r="G2212">
        <v>662617</v>
      </c>
      <c r="H2212" s="110"/>
      <c r="I2212" s="110"/>
      <c r="L2212" s="133">
        <v>45261</v>
      </c>
      <c r="M2212" s="110">
        <v>82.06</v>
      </c>
      <c r="N2212" s="110">
        <v>83.81</v>
      </c>
      <c r="O2212" s="110">
        <v>81</v>
      </c>
      <c r="P2212" s="110">
        <v>81.099999999999994</v>
      </c>
      <c r="Q2212" s="110">
        <v>410.3</v>
      </c>
      <c r="R2212">
        <v>9940229</v>
      </c>
    </row>
    <row r="2213" spans="1:18" x14ac:dyDescent="0.25">
      <c r="A2213" s="133">
        <v>45264</v>
      </c>
      <c r="B2213" s="110">
        <v>85.83</v>
      </c>
      <c r="C2213" s="110">
        <v>85.31</v>
      </c>
      <c r="D2213" s="110">
        <v>83.41</v>
      </c>
      <c r="E2213" s="110">
        <v>83.41</v>
      </c>
      <c r="F2213" s="110">
        <v>426.55</v>
      </c>
      <c r="G2213">
        <v>927988</v>
      </c>
      <c r="H2213" s="110"/>
      <c r="I2213" s="110"/>
      <c r="L2213" s="133">
        <v>45264</v>
      </c>
      <c r="M2213" s="110">
        <v>85.39</v>
      </c>
      <c r="N2213" s="110">
        <v>85.8</v>
      </c>
      <c r="O2213" s="110">
        <v>83.71</v>
      </c>
      <c r="P2213" s="110">
        <v>83.9</v>
      </c>
      <c r="Q2213" s="110">
        <v>426.95</v>
      </c>
      <c r="R2213">
        <v>11068052</v>
      </c>
    </row>
    <row r="2214" spans="1:18" x14ac:dyDescent="0.25">
      <c r="A2214" s="133">
        <v>45265</v>
      </c>
      <c r="B2214" s="110">
        <v>87.47</v>
      </c>
      <c r="C2214" s="110">
        <v>86.9</v>
      </c>
      <c r="D2214" s="110">
        <v>85.2</v>
      </c>
      <c r="E2214" s="110">
        <v>85.6</v>
      </c>
      <c r="F2214" s="110">
        <v>434.5</v>
      </c>
      <c r="G2214">
        <v>541743</v>
      </c>
      <c r="H2214" s="110"/>
      <c r="I2214" s="110"/>
      <c r="L2214" s="133">
        <v>45265</v>
      </c>
      <c r="M2214" s="110">
        <v>86.91</v>
      </c>
      <c r="N2214" s="110">
        <v>87.48</v>
      </c>
      <c r="O2214" s="110">
        <v>85.17</v>
      </c>
      <c r="P2214" s="110">
        <v>85.59</v>
      </c>
      <c r="Q2214" s="110">
        <v>434.55</v>
      </c>
      <c r="R2214">
        <v>9696939</v>
      </c>
    </row>
    <row r="2215" spans="1:18" x14ac:dyDescent="0.25">
      <c r="A2215" s="133">
        <v>45266</v>
      </c>
      <c r="B2215" s="110">
        <v>88.2</v>
      </c>
      <c r="C2215" s="110">
        <v>87.48</v>
      </c>
      <c r="D2215" s="110">
        <v>85.75</v>
      </c>
      <c r="E2215" s="110">
        <v>86.9</v>
      </c>
      <c r="F2215" s="110">
        <v>437.4</v>
      </c>
      <c r="G2215">
        <v>799424</v>
      </c>
      <c r="H2215" s="110"/>
      <c r="I2215" s="110"/>
      <c r="L2215" s="133">
        <v>45266</v>
      </c>
      <c r="M2215" s="110">
        <v>87.49</v>
      </c>
      <c r="N2215" s="110">
        <v>88.26</v>
      </c>
      <c r="O2215" s="110">
        <v>85.74</v>
      </c>
      <c r="P2215" s="110">
        <v>86.91</v>
      </c>
      <c r="Q2215" s="110">
        <v>437.45</v>
      </c>
      <c r="R2215">
        <v>7841840</v>
      </c>
    </row>
    <row r="2216" spans="1:18" x14ac:dyDescent="0.25">
      <c r="A2216" s="133">
        <v>45267</v>
      </c>
      <c r="B2216" s="110">
        <v>87.83</v>
      </c>
      <c r="C2216" s="110">
        <v>87.08</v>
      </c>
      <c r="D2216" s="110">
        <v>86.01</v>
      </c>
      <c r="E2216" s="110">
        <v>87.39</v>
      </c>
      <c r="F2216" s="110">
        <v>435.4</v>
      </c>
      <c r="G2216">
        <v>334330</v>
      </c>
      <c r="H2216" s="110"/>
      <c r="I2216" s="110"/>
      <c r="L2216" s="133">
        <v>45267</v>
      </c>
      <c r="M2216" s="110">
        <v>87.12</v>
      </c>
      <c r="N2216" s="110">
        <v>87.83</v>
      </c>
      <c r="O2216" s="110">
        <v>85.97</v>
      </c>
      <c r="P2216" s="110">
        <v>87.29</v>
      </c>
      <c r="Q2216" s="110">
        <v>435.6</v>
      </c>
      <c r="R2216">
        <v>5740979</v>
      </c>
    </row>
    <row r="2217" spans="1:18" x14ac:dyDescent="0.25">
      <c r="A2217" s="133">
        <v>45268</v>
      </c>
      <c r="B2217" s="110">
        <v>88.09</v>
      </c>
      <c r="C2217" s="110">
        <v>87.69</v>
      </c>
      <c r="D2217" s="110">
        <v>86.03</v>
      </c>
      <c r="E2217" s="110">
        <v>87.09</v>
      </c>
      <c r="F2217" s="110">
        <v>438.45</v>
      </c>
      <c r="G2217">
        <v>259490</v>
      </c>
      <c r="H2217" s="110"/>
      <c r="I2217" s="110"/>
      <c r="L2217" s="133">
        <v>45268</v>
      </c>
      <c r="M2217" s="110">
        <v>87.71</v>
      </c>
      <c r="N2217" s="110">
        <v>88.2</v>
      </c>
      <c r="O2217" s="110">
        <v>86.05</v>
      </c>
      <c r="P2217" s="110">
        <v>87.32</v>
      </c>
      <c r="Q2217" s="110">
        <v>438.55</v>
      </c>
      <c r="R2217">
        <v>8015793</v>
      </c>
    </row>
    <row r="2218" spans="1:18" x14ac:dyDescent="0.25">
      <c r="A2218" s="133">
        <v>45271</v>
      </c>
      <c r="B2218" s="110">
        <v>89.88</v>
      </c>
      <c r="C2218" s="110">
        <v>89.29</v>
      </c>
      <c r="D2218" s="110">
        <v>87.72</v>
      </c>
      <c r="E2218" s="110">
        <v>87.82</v>
      </c>
      <c r="F2218" s="110">
        <v>446.45</v>
      </c>
      <c r="G2218">
        <v>365565</v>
      </c>
      <c r="H2218" s="110"/>
      <c r="I2218" s="110"/>
      <c r="L2218" s="133">
        <v>45271</v>
      </c>
      <c r="M2218" s="110">
        <v>89.34</v>
      </c>
      <c r="N2218" s="110">
        <v>89.9</v>
      </c>
      <c r="O2218" s="110">
        <v>87.67</v>
      </c>
      <c r="P2218" s="110">
        <v>88</v>
      </c>
      <c r="Q2218" s="110">
        <v>446.7</v>
      </c>
      <c r="R2218">
        <v>7034375</v>
      </c>
    </row>
    <row r="2219" spans="1:18" x14ac:dyDescent="0.25">
      <c r="A2219" s="133">
        <v>45272</v>
      </c>
      <c r="B2219" s="110">
        <v>89.9</v>
      </c>
      <c r="C2219" s="110">
        <v>88.84</v>
      </c>
      <c r="D2219" s="110">
        <v>88.47</v>
      </c>
      <c r="E2219" s="110">
        <v>89.63</v>
      </c>
      <c r="F2219" s="110">
        <v>444.2</v>
      </c>
      <c r="G2219">
        <v>129337</v>
      </c>
      <c r="H2219" s="110"/>
      <c r="I2219" s="110"/>
      <c r="L2219" s="133">
        <v>45272</v>
      </c>
      <c r="M2219" s="110">
        <v>88.91</v>
      </c>
      <c r="N2219" s="110">
        <v>89.91</v>
      </c>
      <c r="O2219" s="110">
        <v>88.44</v>
      </c>
      <c r="P2219" s="110">
        <v>89.68</v>
      </c>
      <c r="Q2219" s="110">
        <v>444.55</v>
      </c>
      <c r="R2219">
        <v>5113481</v>
      </c>
    </row>
    <row r="2220" spans="1:18" x14ac:dyDescent="0.25">
      <c r="A2220" s="133">
        <v>45273</v>
      </c>
      <c r="B2220" s="110">
        <v>90.46</v>
      </c>
      <c r="C2220" s="110">
        <v>89.84</v>
      </c>
      <c r="D2220" s="110">
        <v>88.92</v>
      </c>
      <c r="E2220" s="110">
        <v>89.01</v>
      </c>
      <c r="F2220" s="110">
        <v>449.2</v>
      </c>
      <c r="G2220">
        <v>598657</v>
      </c>
      <c r="H2220" s="110"/>
      <c r="I2220" s="110"/>
      <c r="L2220" s="133">
        <v>45273</v>
      </c>
      <c r="M2220" s="110">
        <v>89.85</v>
      </c>
      <c r="N2220" s="110">
        <v>90.54</v>
      </c>
      <c r="O2220" s="110">
        <v>88.9</v>
      </c>
      <c r="P2220" s="110">
        <v>89.2</v>
      </c>
      <c r="Q2220" s="110">
        <v>449.25</v>
      </c>
      <c r="R2220">
        <v>6602455</v>
      </c>
    </row>
    <row r="2221" spans="1:18" x14ac:dyDescent="0.25">
      <c r="A2221" s="133">
        <v>45274</v>
      </c>
      <c r="B2221" s="110">
        <v>90.94</v>
      </c>
      <c r="C2221" s="110">
        <v>89.63</v>
      </c>
      <c r="D2221" s="110">
        <v>89.45</v>
      </c>
      <c r="E2221" s="110">
        <v>90.68</v>
      </c>
      <c r="F2221" s="110">
        <v>448.15</v>
      </c>
      <c r="G2221">
        <v>589335</v>
      </c>
      <c r="H2221" s="110"/>
      <c r="I2221" s="110"/>
      <c r="L2221" s="133">
        <v>45274</v>
      </c>
      <c r="M2221" s="110">
        <v>89.64</v>
      </c>
      <c r="N2221" s="110">
        <v>90.94</v>
      </c>
      <c r="O2221" s="110">
        <v>89.4</v>
      </c>
      <c r="P2221" s="110">
        <v>90.7</v>
      </c>
      <c r="Q2221" s="110">
        <v>448.2</v>
      </c>
      <c r="R2221">
        <v>4360785</v>
      </c>
    </row>
    <row r="2222" spans="1:18" x14ac:dyDescent="0.25">
      <c r="A2222" s="133">
        <v>45275</v>
      </c>
      <c r="B2222" s="110">
        <v>90.55</v>
      </c>
      <c r="C2222" s="110">
        <v>89.83</v>
      </c>
      <c r="D2222" s="110">
        <v>88.32</v>
      </c>
      <c r="E2222" s="110">
        <v>90.35</v>
      </c>
      <c r="F2222" s="110">
        <v>449.15</v>
      </c>
      <c r="G2222">
        <v>537819</v>
      </c>
      <c r="H2222" s="110"/>
      <c r="I2222" s="110"/>
      <c r="L2222" s="133">
        <v>45275</v>
      </c>
      <c r="M2222" s="110">
        <v>89.83</v>
      </c>
      <c r="N2222" s="110">
        <v>90.57</v>
      </c>
      <c r="O2222" s="110">
        <v>88.22</v>
      </c>
      <c r="P2222" s="110">
        <v>90.2</v>
      </c>
      <c r="Q2222" s="110">
        <v>449.15</v>
      </c>
      <c r="R2222">
        <v>11049526</v>
      </c>
    </row>
    <row r="2223" spans="1:18" x14ac:dyDescent="0.25">
      <c r="A2223" s="133">
        <v>45278</v>
      </c>
      <c r="B2223" s="110">
        <v>90.18</v>
      </c>
      <c r="C2223" s="110">
        <v>88.41</v>
      </c>
      <c r="D2223" s="110">
        <v>88.13</v>
      </c>
      <c r="E2223" s="110">
        <v>89.99</v>
      </c>
      <c r="F2223" s="110">
        <v>442.05</v>
      </c>
      <c r="G2223">
        <v>825257</v>
      </c>
      <c r="H2223" s="110"/>
      <c r="I2223" s="110"/>
      <c r="L2223" s="133">
        <v>45278</v>
      </c>
      <c r="M2223" s="110">
        <v>88.36</v>
      </c>
      <c r="N2223" s="110">
        <v>90.19</v>
      </c>
      <c r="O2223" s="110">
        <v>88.15</v>
      </c>
      <c r="P2223" s="110">
        <v>89.84</v>
      </c>
      <c r="Q2223" s="110">
        <v>441.8</v>
      </c>
      <c r="R2223">
        <v>6302607</v>
      </c>
    </row>
    <row r="2224" spans="1:18" x14ac:dyDescent="0.25">
      <c r="A2224" s="133">
        <v>45279</v>
      </c>
      <c r="B2224" s="110">
        <v>89.96</v>
      </c>
      <c r="C2224" s="110">
        <v>89.17</v>
      </c>
      <c r="D2224" s="110">
        <v>87.9</v>
      </c>
      <c r="E2224" s="110">
        <v>88.5</v>
      </c>
      <c r="F2224" s="110">
        <v>445.85</v>
      </c>
      <c r="G2224">
        <v>278844</v>
      </c>
      <c r="H2224" s="110"/>
      <c r="I2224" s="110"/>
      <c r="L2224" s="133">
        <v>45279</v>
      </c>
      <c r="M2224" s="110">
        <v>89.19</v>
      </c>
      <c r="N2224" s="110">
        <v>89.98</v>
      </c>
      <c r="O2224" s="110">
        <v>87.86</v>
      </c>
      <c r="P2224" s="110">
        <v>88.79</v>
      </c>
      <c r="Q2224" s="110">
        <v>445.95</v>
      </c>
      <c r="R2224">
        <v>6952918</v>
      </c>
    </row>
    <row r="2225" spans="1:18" x14ac:dyDescent="0.25">
      <c r="A2225" s="133">
        <v>45280</v>
      </c>
      <c r="B2225" s="110">
        <v>90.06</v>
      </c>
      <c r="C2225" s="110">
        <v>85.2</v>
      </c>
      <c r="D2225" s="110">
        <v>84.79</v>
      </c>
      <c r="E2225" s="110">
        <v>89.96</v>
      </c>
      <c r="F2225" s="110">
        <v>426</v>
      </c>
      <c r="G2225">
        <v>216791</v>
      </c>
      <c r="H2225" s="110"/>
      <c r="I2225" s="110"/>
      <c r="L2225" s="133">
        <v>45280</v>
      </c>
      <c r="M2225" s="110">
        <v>85.19</v>
      </c>
      <c r="N2225" s="110">
        <v>90.06</v>
      </c>
      <c r="O2225" s="110">
        <v>84.8</v>
      </c>
      <c r="P2225" s="110">
        <v>89.69</v>
      </c>
      <c r="Q2225" s="110">
        <v>425.95</v>
      </c>
      <c r="R2225">
        <v>7808602</v>
      </c>
    </row>
    <row r="2226" spans="1:18" x14ac:dyDescent="0.25">
      <c r="A2226" s="133">
        <v>45281</v>
      </c>
      <c r="B2226" s="110">
        <v>86.6</v>
      </c>
      <c r="C2226" s="110">
        <v>86.41</v>
      </c>
      <c r="D2226" s="110">
        <v>82.66</v>
      </c>
      <c r="E2226" s="110">
        <v>84.31</v>
      </c>
      <c r="F2226" s="110">
        <v>432.05</v>
      </c>
      <c r="G2226">
        <v>576144</v>
      </c>
      <c r="H2226" s="110"/>
      <c r="I2226" s="110"/>
      <c r="L2226" s="133">
        <v>45281</v>
      </c>
      <c r="M2226" s="110">
        <v>86.39</v>
      </c>
      <c r="N2226" s="110">
        <v>86.59</v>
      </c>
      <c r="O2226" s="110">
        <v>82.69</v>
      </c>
      <c r="P2226" s="110">
        <v>84.6</v>
      </c>
      <c r="Q2226" s="110">
        <v>431.95</v>
      </c>
      <c r="R2226">
        <v>7752149</v>
      </c>
    </row>
    <row r="2227" spans="1:18" x14ac:dyDescent="0.25">
      <c r="A2227" s="133">
        <v>45282</v>
      </c>
      <c r="B2227" s="110">
        <v>87.06</v>
      </c>
      <c r="C2227" s="110">
        <v>85.22</v>
      </c>
      <c r="D2227" s="110">
        <v>84.64</v>
      </c>
      <c r="E2227" s="110">
        <v>86.89</v>
      </c>
      <c r="F2227" s="110">
        <v>426.1</v>
      </c>
      <c r="G2227">
        <v>291780</v>
      </c>
      <c r="H2227" s="110"/>
      <c r="I2227" s="110"/>
      <c r="L2227" s="133">
        <v>45282</v>
      </c>
      <c r="M2227" s="110">
        <v>85.21</v>
      </c>
      <c r="N2227" s="110">
        <v>87.09</v>
      </c>
      <c r="O2227" s="110">
        <v>84.62</v>
      </c>
      <c r="P2227" s="110">
        <v>87</v>
      </c>
      <c r="Q2227" s="110">
        <v>426.05</v>
      </c>
      <c r="R2227">
        <v>5469650</v>
      </c>
    </row>
    <row r="2228" spans="1:18" x14ac:dyDescent="0.25">
      <c r="A2228" s="133">
        <v>45286</v>
      </c>
      <c r="B2228" s="110">
        <v>86.13</v>
      </c>
      <c r="C2228" s="110">
        <v>85.01</v>
      </c>
      <c r="D2228" s="110">
        <v>84.93</v>
      </c>
      <c r="E2228" s="110">
        <v>85.26</v>
      </c>
      <c r="F2228" s="110">
        <v>425.05</v>
      </c>
      <c r="G2228">
        <v>368179</v>
      </c>
      <c r="H2228" s="110"/>
      <c r="I2228" s="110"/>
      <c r="L2228" s="133">
        <v>45286</v>
      </c>
      <c r="M2228" s="110">
        <v>85.08</v>
      </c>
      <c r="N2228" s="110">
        <v>86.12</v>
      </c>
      <c r="O2228" s="110">
        <v>84.92</v>
      </c>
      <c r="P2228" s="110">
        <v>85.6</v>
      </c>
      <c r="Q2228" s="110">
        <v>425.4</v>
      </c>
      <c r="R2228">
        <v>3498287</v>
      </c>
    </row>
    <row r="2229" spans="1:18" x14ac:dyDescent="0.25">
      <c r="A2229" s="133">
        <v>45287</v>
      </c>
      <c r="B2229" s="110">
        <v>87.05</v>
      </c>
      <c r="C2229" s="110">
        <v>86.52</v>
      </c>
      <c r="D2229" s="110">
        <v>85.27</v>
      </c>
      <c r="E2229" s="110">
        <v>85.27</v>
      </c>
      <c r="F2229" s="110">
        <v>432.6</v>
      </c>
      <c r="G2229">
        <v>189157</v>
      </c>
      <c r="H2229" s="110"/>
      <c r="I2229" s="110"/>
      <c r="L2229" s="133">
        <v>45287</v>
      </c>
      <c r="M2229" s="110">
        <v>86.5</v>
      </c>
      <c r="N2229" s="110">
        <v>87.05</v>
      </c>
      <c r="O2229" s="110">
        <v>85.3</v>
      </c>
      <c r="P2229" s="110">
        <v>85.38</v>
      </c>
      <c r="Q2229" s="110">
        <v>432.5</v>
      </c>
      <c r="R2229">
        <v>5269888</v>
      </c>
    </row>
    <row r="2230" spans="1:18" x14ac:dyDescent="0.25">
      <c r="A2230" s="133">
        <v>45288</v>
      </c>
      <c r="B2230" s="110">
        <v>89.33</v>
      </c>
      <c r="C2230" s="110">
        <v>88.18</v>
      </c>
      <c r="D2230" s="110">
        <v>87.8</v>
      </c>
      <c r="E2230" s="110">
        <v>88.01</v>
      </c>
      <c r="F2230" s="110">
        <v>440.9</v>
      </c>
      <c r="G2230">
        <v>681565</v>
      </c>
      <c r="H2230" s="110"/>
      <c r="I2230" s="110"/>
      <c r="L2230" s="133">
        <v>45288</v>
      </c>
      <c r="M2230" s="110">
        <v>88.22</v>
      </c>
      <c r="N2230" s="110">
        <v>89.34</v>
      </c>
      <c r="O2230" s="110">
        <v>87.88</v>
      </c>
      <c r="P2230" s="110">
        <v>88.2</v>
      </c>
      <c r="Q2230" s="110">
        <v>441.1</v>
      </c>
      <c r="R2230">
        <v>14230016</v>
      </c>
    </row>
    <row r="2231" spans="1:18" x14ac:dyDescent="0.25">
      <c r="A2231" s="133">
        <v>45289</v>
      </c>
      <c r="B2231" s="110">
        <v>88.68</v>
      </c>
      <c r="C2231" s="110">
        <v>87.54</v>
      </c>
      <c r="D2231" s="110">
        <v>87.2</v>
      </c>
      <c r="E2231" s="110">
        <v>88.68</v>
      </c>
      <c r="F2231" s="110">
        <v>437.7</v>
      </c>
      <c r="G2231">
        <v>163580</v>
      </c>
      <c r="H2231" s="110"/>
      <c r="I2231" s="110"/>
      <c r="L2231" s="133">
        <v>45289</v>
      </c>
      <c r="M2231" s="110">
        <v>87.5</v>
      </c>
      <c r="N2231" s="110">
        <v>88.4</v>
      </c>
      <c r="O2231" s="110">
        <v>87.19</v>
      </c>
      <c r="P2231" s="110">
        <v>88.4</v>
      </c>
      <c r="Q2231" s="110">
        <v>437.5</v>
      </c>
      <c r="R2231">
        <v>4172955</v>
      </c>
    </row>
    <row r="2232" spans="1:18" x14ac:dyDescent="0.25">
      <c r="A2232" s="133">
        <v>45292</v>
      </c>
      <c r="B2232" s="110">
        <v>89.16</v>
      </c>
      <c r="C2232" s="110">
        <v>88.59</v>
      </c>
      <c r="D2232" s="110">
        <v>87.7</v>
      </c>
      <c r="E2232" s="110">
        <v>88</v>
      </c>
      <c r="F2232" s="110">
        <v>442.95</v>
      </c>
      <c r="G2232">
        <v>549388</v>
      </c>
      <c r="H2232" s="110"/>
      <c r="I2232" s="110"/>
      <c r="L2232" s="133">
        <v>45292</v>
      </c>
      <c r="M2232" s="110">
        <v>88.48</v>
      </c>
      <c r="N2232" s="110">
        <v>89.18</v>
      </c>
      <c r="O2232" s="110">
        <v>87.6</v>
      </c>
      <c r="P2232" s="110">
        <v>88.1</v>
      </c>
      <c r="Q2232" s="110">
        <v>442.4</v>
      </c>
      <c r="R2232">
        <v>4340269</v>
      </c>
    </row>
    <row r="2233" spans="1:18" x14ac:dyDescent="0.25">
      <c r="A2233" s="133">
        <v>45293</v>
      </c>
      <c r="B2233" s="110">
        <v>90.09</v>
      </c>
      <c r="C2233" s="110">
        <v>88.81</v>
      </c>
      <c r="D2233" s="110">
        <v>88.03</v>
      </c>
      <c r="E2233" s="110">
        <v>88.46</v>
      </c>
      <c r="F2233" s="110">
        <v>444.05</v>
      </c>
      <c r="G2233">
        <v>586480</v>
      </c>
      <c r="H2233" s="110"/>
      <c r="I2233" s="110"/>
      <c r="L2233" s="133">
        <v>45293</v>
      </c>
      <c r="M2233" s="110">
        <v>88.79</v>
      </c>
      <c r="N2233" s="110">
        <v>90.1</v>
      </c>
      <c r="O2233" s="110">
        <v>88.04</v>
      </c>
      <c r="P2233" s="110">
        <v>88.37</v>
      </c>
      <c r="Q2233" s="110">
        <v>443.95</v>
      </c>
      <c r="R2233">
        <v>6633634</v>
      </c>
    </row>
    <row r="2234" spans="1:18" x14ac:dyDescent="0.25">
      <c r="A2234" s="133">
        <v>45294</v>
      </c>
      <c r="B2234" s="110">
        <v>92.57</v>
      </c>
      <c r="C2234" s="110">
        <v>91.64</v>
      </c>
      <c r="D2234" s="110">
        <v>88.88</v>
      </c>
      <c r="E2234" s="110">
        <v>90</v>
      </c>
      <c r="F2234" s="110">
        <v>458.2</v>
      </c>
      <c r="G2234">
        <v>1491368</v>
      </c>
      <c r="H2234" s="110"/>
      <c r="I2234" s="110"/>
      <c r="L2234" s="133">
        <v>45294</v>
      </c>
      <c r="M2234" s="110">
        <v>91.65</v>
      </c>
      <c r="N2234" s="110">
        <v>92.55</v>
      </c>
      <c r="O2234" s="110">
        <v>88.87</v>
      </c>
      <c r="P2234" s="110">
        <v>90</v>
      </c>
      <c r="Q2234" s="110">
        <v>458.25</v>
      </c>
      <c r="R2234">
        <v>19401080</v>
      </c>
    </row>
    <row r="2235" spans="1:18" x14ac:dyDescent="0.25">
      <c r="A2235" s="133">
        <v>45295</v>
      </c>
      <c r="B2235" s="110">
        <v>93.37</v>
      </c>
      <c r="C2235" s="110">
        <v>93.1</v>
      </c>
      <c r="D2235" s="110">
        <v>91.45</v>
      </c>
      <c r="E2235" s="110">
        <v>92.67</v>
      </c>
      <c r="F2235" s="110">
        <v>465.5</v>
      </c>
      <c r="G2235">
        <v>321404</v>
      </c>
      <c r="H2235" s="110"/>
      <c r="I2235" s="110"/>
      <c r="L2235" s="133">
        <v>45295</v>
      </c>
      <c r="M2235" s="110">
        <v>93.06</v>
      </c>
      <c r="N2235" s="110">
        <v>93.36</v>
      </c>
      <c r="O2235" s="110">
        <v>91.4</v>
      </c>
      <c r="P2235" s="110">
        <v>92.46</v>
      </c>
      <c r="Q2235" s="110">
        <v>465.3</v>
      </c>
      <c r="R2235">
        <v>8796821</v>
      </c>
    </row>
    <row r="2236" spans="1:18" x14ac:dyDescent="0.25">
      <c r="A2236" s="133">
        <v>45296</v>
      </c>
      <c r="B2236" s="110">
        <v>93.86</v>
      </c>
      <c r="C2236" s="110">
        <v>92.4</v>
      </c>
      <c r="D2236" s="110">
        <v>91.18</v>
      </c>
      <c r="E2236" s="110">
        <v>93.73</v>
      </c>
      <c r="F2236" s="110">
        <v>462</v>
      </c>
      <c r="G2236">
        <v>462063</v>
      </c>
      <c r="H2236" s="110"/>
      <c r="I2236" s="110"/>
      <c r="L2236" s="133">
        <v>45296</v>
      </c>
      <c r="M2236" s="110">
        <v>92.39</v>
      </c>
      <c r="N2236" s="110">
        <v>93.85</v>
      </c>
      <c r="O2236" s="110">
        <v>91.17</v>
      </c>
      <c r="P2236" s="110">
        <v>93.6</v>
      </c>
      <c r="Q2236" s="110">
        <v>461.95</v>
      </c>
      <c r="R2236">
        <v>6910476</v>
      </c>
    </row>
    <row r="2237" spans="1:18" x14ac:dyDescent="0.25">
      <c r="A2237" s="133">
        <v>45299</v>
      </c>
      <c r="B2237" s="110">
        <v>92.63</v>
      </c>
      <c r="C2237" s="110">
        <v>90.07</v>
      </c>
      <c r="D2237" s="110">
        <v>89.82</v>
      </c>
      <c r="E2237" s="110">
        <v>92.4</v>
      </c>
      <c r="F2237" s="110">
        <v>450.35</v>
      </c>
      <c r="G2237">
        <v>415268</v>
      </c>
      <c r="H2237" s="110"/>
      <c r="I2237" s="110"/>
      <c r="L2237" s="133">
        <v>45299</v>
      </c>
      <c r="M2237" s="110">
        <v>90.1</v>
      </c>
      <c r="N2237" s="110">
        <v>92.6</v>
      </c>
      <c r="O2237" s="110">
        <v>89.83</v>
      </c>
      <c r="P2237" s="110">
        <v>92.3</v>
      </c>
      <c r="Q2237" s="110">
        <v>450.5</v>
      </c>
      <c r="R2237">
        <v>5801166</v>
      </c>
    </row>
    <row r="2238" spans="1:18" x14ac:dyDescent="0.25">
      <c r="A2238" s="133">
        <v>45300</v>
      </c>
      <c r="B2238" s="110">
        <v>91.8</v>
      </c>
      <c r="C2238" s="110">
        <v>90.03</v>
      </c>
      <c r="D2238" s="110">
        <v>89.87</v>
      </c>
      <c r="E2238" s="110">
        <v>90.52</v>
      </c>
      <c r="F2238" s="110">
        <v>450.15</v>
      </c>
      <c r="G2238">
        <v>277510</v>
      </c>
      <c r="H2238" s="110"/>
      <c r="I2238" s="110"/>
      <c r="L2238" s="133">
        <v>45300</v>
      </c>
      <c r="M2238" s="110">
        <v>90.08</v>
      </c>
      <c r="N2238" s="110">
        <v>91.8</v>
      </c>
      <c r="O2238" s="110">
        <v>89.84</v>
      </c>
      <c r="P2238" s="110">
        <v>90.78</v>
      </c>
      <c r="Q2238" s="110">
        <v>450.4</v>
      </c>
      <c r="R2238">
        <v>5632708</v>
      </c>
    </row>
    <row r="2239" spans="1:18" x14ac:dyDescent="0.25">
      <c r="A2239" s="133">
        <v>45301</v>
      </c>
      <c r="B2239" s="110">
        <v>90.75</v>
      </c>
      <c r="C2239" s="110">
        <v>89.7</v>
      </c>
      <c r="D2239" s="110">
        <v>88.63</v>
      </c>
      <c r="E2239" s="110">
        <v>90.75</v>
      </c>
      <c r="F2239" s="110">
        <v>448.5</v>
      </c>
      <c r="G2239">
        <v>261555</v>
      </c>
      <c r="H2239" s="110"/>
      <c r="I2239" s="110"/>
      <c r="L2239" s="133">
        <v>45301</v>
      </c>
      <c r="M2239" s="110">
        <v>89.75</v>
      </c>
      <c r="N2239" s="110">
        <v>90.5</v>
      </c>
      <c r="O2239" s="110">
        <v>88.61</v>
      </c>
      <c r="P2239" s="110">
        <v>90.22</v>
      </c>
      <c r="Q2239" s="110">
        <v>448.75</v>
      </c>
      <c r="R2239">
        <v>5328213</v>
      </c>
    </row>
    <row r="2240" spans="1:18" x14ac:dyDescent="0.25">
      <c r="A2240" s="133">
        <v>45302</v>
      </c>
      <c r="B2240" s="110">
        <v>91.52</v>
      </c>
      <c r="C2240" s="110">
        <v>90.86</v>
      </c>
      <c r="D2240" s="110">
        <v>90.05</v>
      </c>
      <c r="E2240" s="110">
        <v>90.49</v>
      </c>
      <c r="F2240" s="110">
        <v>454.3</v>
      </c>
      <c r="G2240">
        <v>576801</v>
      </c>
      <c r="H2240" s="110"/>
      <c r="I2240" s="110"/>
      <c r="L2240" s="133">
        <v>45302</v>
      </c>
      <c r="M2240" s="110">
        <v>90.9</v>
      </c>
      <c r="N2240" s="110">
        <v>91.54</v>
      </c>
      <c r="O2240" s="110">
        <v>90.05</v>
      </c>
      <c r="P2240" s="110">
        <v>90.28</v>
      </c>
      <c r="Q2240" s="110">
        <v>454.5</v>
      </c>
      <c r="R2240">
        <v>4349511</v>
      </c>
    </row>
    <row r="2241" spans="1:18" x14ac:dyDescent="0.25">
      <c r="A2241" s="133">
        <v>45303</v>
      </c>
      <c r="B2241" s="110">
        <v>93.19</v>
      </c>
      <c r="C2241" s="110">
        <v>92.42</v>
      </c>
      <c r="D2241" s="110">
        <v>90.6</v>
      </c>
      <c r="E2241" s="110">
        <v>91.05</v>
      </c>
      <c r="F2241" s="110">
        <v>462.1</v>
      </c>
      <c r="G2241">
        <v>374033</v>
      </c>
      <c r="H2241" s="110"/>
      <c r="I2241" s="110"/>
      <c r="L2241" s="133">
        <v>45303</v>
      </c>
      <c r="M2241" s="110">
        <v>92.45</v>
      </c>
      <c r="N2241" s="110">
        <v>93.2</v>
      </c>
      <c r="O2241" s="110">
        <v>90.58</v>
      </c>
      <c r="P2241" s="110">
        <v>91.2</v>
      </c>
      <c r="Q2241" s="110">
        <v>462.25</v>
      </c>
      <c r="R2241">
        <v>9041865</v>
      </c>
    </row>
    <row r="2242" spans="1:18" x14ac:dyDescent="0.25">
      <c r="A2242" s="133">
        <v>45306</v>
      </c>
      <c r="B2242" s="110">
        <v>93.7</v>
      </c>
      <c r="C2242" s="110">
        <v>93.13</v>
      </c>
      <c r="D2242" s="110">
        <v>92.48</v>
      </c>
      <c r="E2242" s="110">
        <v>93.03</v>
      </c>
      <c r="F2242" s="110">
        <v>465.65</v>
      </c>
      <c r="G2242">
        <v>129932</v>
      </c>
      <c r="H2242" s="110"/>
      <c r="I2242" s="110"/>
      <c r="L2242" s="133">
        <v>45306</v>
      </c>
      <c r="M2242" s="110">
        <v>93.08</v>
      </c>
      <c r="N2242" s="110">
        <v>93.67</v>
      </c>
      <c r="O2242" s="110">
        <v>92.48</v>
      </c>
      <c r="P2242" s="110">
        <v>93.15</v>
      </c>
      <c r="Q2242" s="110">
        <v>465.4</v>
      </c>
      <c r="R2242">
        <v>3470549</v>
      </c>
    </row>
    <row r="2243" spans="1:18" x14ac:dyDescent="0.25">
      <c r="A2243" s="133">
        <v>45307</v>
      </c>
      <c r="B2243" s="110">
        <v>94.28</v>
      </c>
      <c r="C2243" s="110">
        <v>92.94</v>
      </c>
      <c r="D2243" s="110">
        <v>92.19</v>
      </c>
      <c r="E2243" s="110">
        <v>93</v>
      </c>
      <c r="F2243" s="110">
        <v>464.7</v>
      </c>
      <c r="G2243">
        <v>397597</v>
      </c>
      <c r="H2243" s="110"/>
      <c r="I2243" s="110"/>
      <c r="L2243" s="133">
        <v>45307</v>
      </c>
      <c r="M2243" s="110">
        <v>92.99</v>
      </c>
      <c r="N2243" s="110">
        <v>94.27</v>
      </c>
      <c r="O2243" s="110">
        <v>92.24</v>
      </c>
      <c r="P2243" s="110">
        <v>92.93</v>
      </c>
      <c r="Q2243" s="110">
        <v>464.95</v>
      </c>
      <c r="R2243">
        <v>5208291</v>
      </c>
    </row>
    <row r="2244" spans="1:18" x14ac:dyDescent="0.25">
      <c r="A2244" s="133">
        <v>45308</v>
      </c>
      <c r="B2244" s="110">
        <v>93.15</v>
      </c>
      <c r="C2244" s="110">
        <v>91.32</v>
      </c>
      <c r="D2244" s="110">
        <v>90.45</v>
      </c>
      <c r="E2244" s="110">
        <v>91.97</v>
      </c>
      <c r="F2244" s="110">
        <v>456.6</v>
      </c>
      <c r="G2244">
        <v>235504</v>
      </c>
      <c r="H2244" s="110"/>
      <c r="I2244" s="110"/>
      <c r="L2244" s="133">
        <v>45308</v>
      </c>
      <c r="M2244" s="110">
        <v>91.36</v>
      </c>
      <c r="N2244" s="110">
        <v>93.2</v>
      </c>
      <c r="O2244" s="110">
        <v>90.52</v>
      </c>
      <c r="P2244" s="110">
        <v>91.21</v>
      </c>
      <c r="Q2244" s="110">
        <v>456.8</v>
      </c>
      <c r="R2244">
        <v>6733674</v>
      </c>
    </row>
    <row r="2245" spans="1:18" x14ac:dyDescent="0.25">
      <c r="A2245" s="133">
        <v>45309</v>
      </c>
      <c r="B2245" s="110">
        <v>92.06</v>
      </c>
      <c r="C2245" s="110">
        <v>91.55</v>
      </c>
      <c r="D2245" s="110">
        <v>88.35</v>
      </c>
      <c r="E2245" s="110">
        <v>91.04</v>
      </c>
      <c r="F2245" s="110">
        <v>457.75</v>
      </c>
      <c r="G2245">
        <v>397766</v>
      </c>
      <c r="H2245" s="110"/>
      <c r="I2245" s="110"/>
      <c r="L2245" s="133">
        <v>45309</v>
      </c>
      <c r="M2245" s="110">
        <v>91.65</v>
      </c>
      <c r="N2245" s="110">
        <v>92.1</v>
      </c>
      <c r="O2245" s="110">
        <v>88.3</v>
      </c>
      <c r="P2245" s="110">
        <v>91.16</v>
      </c>
      <c r="Q2245" s="110">
        <v>458.25</v>
      </c>
      <c r="R2245">
        <v>6984884</v>
      </c>
    </row>
    <row r="2246" spans="1:18" x14ac:dyDescent="0.25">
      <c r="A2246" s="133">
        <v>45310</v>
      </c>
      <c r="B2246" s="110">
        <v>93.51</v>
      </c>
      <c r="C2246" s="110">
        <v>93.32</v>
      </c>
      <c r="D2246" s="110">
        <v>91.98</v>
      </c>
      <c r="E2246" s="110">
        <v>92.33</v>
      </c>
      <c r="F2246" s="110">
        <v>466.6</v>
      </c>
      <c r="G2246">
        <v>314888</v>
      </c>
      <c r="H2246" s="110"/>
      <c r="I2246" s="110"/>
      <c r="L2246" s="133">
        <v>45310</v>
      </c>
      <c r="M2246" s="110">
        <v>93.33</v>
      </c>
      <c r="N2246" s="110">
        <v>93.57</v>
      </c>
      <c r="O2246" s="110">
        <v>91.96</v>
      </c>
      <c r="P2246" s="110">
        <v>92.2</v>
      </c>
      <c r="Q2246" s="110">
        <v>466.65</v>
      </c>
      <c r="R2246">
        <v>6451009</v>
      </c>
    </row>
    <row r="2247" spans="1:18" x14ac:dyDescent="0.25">
      <c r="A2247" s="133">
        <v>45311</v>
      </c>
      <c r="B2247" s="110">
        <v>96.39</v>
      </c>
      <c r="C2247" s="110">
        <v>95.34</v>
      </c>
      <c r="D2247" s="110">
        <v>92.9</v>
      </c>
      <c r="E2247" s="110">
        <v>93.6</v>
      </c>
      <c r="F2247" s="110">
        <v>476.7</v>
      </c>
      <c r="G2247">
        <v>233935</v>
      </c>
      <c r="H2247" s="110"/>
      <c r="I2247" s="110"/>
      <c r="L2247" s="133">
        <v>45311</v>
      </c>
      <c r="M2247" s="110">
        <v>95.4</v>
      </c>
      <c r="N2247" s="110">
        <v>96.44</v>
      </c>
      <c r="O2247" s="110">
        <v>92.87</v>
      </c>
      <c r="P2247" s="110">
        <v>93.75</v>
      </c>
      <c r="Q2247" s="110">
        <v>477</v>
      </c>
      <c r="R2247">
        <v>5187720</v>
      </c>
    </row>
    <row r="2248" spans="1:18" x14ac:dyDescent="0.25">
      <c r="A2248" s="133">
        <v>45314</v>
      </c>
      <c r="B2248" s="110">
        <v>96.98</v>
      </c>
      <c r="C2248" s="110">
        <v>91.27</v>
      </c>
      <c r="D2248" s="110">
        <v>90.13</v>
      </c>
      <c r="E2248" s="110">
        <v>96.07</v>
      </c>
      <c r="F2248" s="110">
        <v>456.35</v>
      </c>
      <c r="G2248">
        <v>457503</v>
      </c>
      <c r="H2248" s="110"/>
      <c r="I2248" s="110"/>
      <c r="L2248" s="133">
        <v>45314</v>
      </c>
      <c r="M2248" s="110">
        <v>91.18</v>
      </c>
      <c r="N2248" s="110">
        <v>96.98</v>
      </c>
      <c r="O2248" s="110">
        <v>90.05</v>
      </c>
      <c r="P2248" s="110">
        <v>96.48</v>
      </c>
      <c r="Q2248" s="110">
        <v>455.9</v>
      </c>
      <c r="R2248">
        <v>13555912</v>
      </c>
    </row>
    <row r="2249" spans="1:18" x14ac:dyDescent="0.25">
      <c r="A2249" s="133">
        <v>45315</v>
      </c>
      <c r="B2249" s="110">
        <v>91.95</v>
      </c>
      <c r="C2249" s="110">
        <v>90.86</v>
      </c>
      <c r="D2249" s="110">
        <v>88.56</v>
      </c>
      <c r="E2249" s="110">
        <v>91.95</v>
      </c>
      <c r="F2249" s="110">
        <v>454.3</v>
      </c>
      <c r="G2249">
        <v>948764</v>
      </c>
      <c r="H2249" s="110"/>
      <c r="I2249" s="110"/>
      <c r="L2249" s="133">
        <v>45315</v>
      </c>
      <c r="M2249" s="110">
        <v>90.86</v>
      </c>
      <c r="N2249" s="110">
        <v>91.93</v>
      </c>
      <c r="O2249" s="110">
        <v>88.6</v>
      </c>
      <c r="P2249" s="110">
        <v>91.76</v>
      </c>
      <c r="Q2249" s="110">
        <v>454.3</v>
      </c>
      <c r="R2249">
        <v>20807636</v>
      </c>
    </row>
    <row r="2250" spans="1:18" x14ac:dyDescent="0.25">
      <c r="A2250" s="133">
        <v>45316</v>
      </c>
      <c r="B2250" s="110">
        <v>93.92</v>
      </c>
      <c r="C2250" s="110">
        <v>93.03</v>
      </c>
      <c r="D2250" s="110">
        <v>90.75</v>
      </c>
      <c r="E2250" s="110">
        <v>91.15</v>
      </c>
      <c r="F2250" s="110">
        <v>465.15</v>
      </c>
      <c r="G2250">
        <v>10290034</v>
      </c>
      <c r="H2250" s="110"/>
      <c r="I2250" s="110"/>
      <c r="L2250" s="133">
        <v>45316</v>
      </c>
      <c r="M2250" s="110">
        <v>93.06</v>
      </c>
      <c r="N2250" s="110">
        <v>93.89</v>
      </c>
      <c r="O2250" s="110">
        <v>90.68</v>
      </c>
      <c r="P2250" s="110">
        <v>91.02</v>
      </c>
      <c r="Q2250" s="110">
        <v>465.3</v>
      </c>
      <c r="R2250">
        <v>12355761</v>
      </c>
    </row>
    <row r="2251" spans="1:18" x14ac:dyDescent="0.25">
      <c r="A2251" s="133">
        <v>45320</v>
      </c>
      <c r="B2251" s="110">
        <v>96</v>
      </c>
      <c r="C2251" s="110">
        <v>94.95</v>
      </c>
      <c r="D2251" s="110">
        <v>93.65</v>
      </c>
      <c r="E2251" s="110">
        <v>94.08</v>
      </c>
      <c r="F2251" s="110">
        <v>474.75</v>
      </c>
      <c r="G2251">
        <v>232825</v>
      </c>
      <c r="H2251" s="110"/>
      <c r="I2251" s="110"/>
      <c r="L2251" s="133">
        <v>45320</v>
      </c>
      <c r="M2251" s="110">
        <v>94.91</v>
      </c>
      <c r="N2251" s="110">
        <v>96</v>
      </c>
      <c r="O2251" s="110">
        <v>93.62</v>
      </c>
      <c r="P2251" s="110">
        <v>93.98</v>
      </c>
      <c r="Q2251" s="110">
        <v>474.55</v>
      </c>
      <c r="R2251">
        <v>8802489</v>
      </c>
    </row>
    <row r="2252" spans="1:18" x14ac:dyDescent="0.25">
      <c r="A2252" s="133">
        <v>45321</v>
      </c>
      <c r="B2252" s="110">
        <v>96.96</v>
      </c>
      <c r="C2252" s="110">
        <v>95.42</v>
      </c>
      <c r="D2252" s="110">
        <v>94.41</v>
      </c>
      <c r="E2252" s="110">
        <v>94.95</v>
      </c>
      <c r="F2252" s="110">
        <v>477.1</v>
      </c>
      <c r="G2252">
        <v>429209</v>
      </c>
      <c r="H2252" s="110"/>
      <c r="I2252" s="110"/>
      <c r="L2252" s="133">
        <v>45321</v>
      </c>
      <c r="M2252" s="110">
        <v>95.47</v>
      </c>
      <c r="N2252" s="110">
        <v>96.96</v>
      </c>
      <c r="O2252" s="110">
        <v>94.41</v>
      </c>
      <c r="P2252" s="110">
        <v>95.02</v>
      </c>
      <c r="Q2252" s="110">
        <v>477.35</v>
      </c>
      <c r="R2252">
        <v>6019338</v>
      </c>
    </row>
    <row r="2253" spans="1:18" x14ac:dyDescent="0.25">
      <c r="A2253" s="133">
        <v>45322</v>
      </c>
      <c r="B2253" s="110">
        <v>97.04</v>
      </c>
      <c r="C2253" s="110">
        <v>96.37</v>
      </c>
      <c r="D2253" s="110">
        <v>94.4</v>
      </c>
      <c r="E2253" s="110">
        <v>96.17</v>
      </c>
      <c r="F2253" s="110">
        <v>481.85</v>
      </c>
      <c r="G2253">
        <v>359525</v>
      </c>
      <c r="H2253" s="110"/>
      <c r="I2253" s="110"/>
      <c r="L2253" s="133">
        <v>45322</v>
      </c>
      <c r="M2253" s="110">
        <v>96.4</v>
      </c>
      <c r="N2253" s="110">
        <v>97</v>
      </c>
      <c r="O2253" s="110">
        <v>94.37</v>
      </c>
      <c r="P2253" s="110">
        <v>95.71</v>
      </c>
      <c r="Q2253" s="110">
        <v>482</v>
      </c>
      <c r="R2253">
        <v>6643283</v>
      </c>
    </row>
    <row r="2254" spans="1:18" x14ac:dyDescent="0.25">
      <c r="A2254" s="133">
        <v>45323</v>
      </c>
      <c r="B2254" s="110">
        <v>101.04</v>
      </c>
      <c r="C2254" s="110">
        <v>100.28</v>
      </c>
      <c r="D2254" s="110">
        <v>95.9</v>
      </c>
      <c r="E2254" s="110">
        <v>96.77</v>
      </c>
      <c r="F2254" s="110">
        <v>501.4</v>
      </c>
      <c r="G2254">
        <v>734006</v>
      </c>
      <c r="H2254" s="110"/>
      <c r="I2254" s="110"/>
      <c r="L2254" s="133">
        <v>45323</v>
      </c>
      <c r="M2254" s="110">
        <v>100.3</v>
      </c>
      <c r="N2254" s="110">
        <v>101</v>
      </c>
      <c r="O2254" s="110">
        <v>95.87</v>
      </c>
      <c r="P2254" s="110">
        <v>96.6</v>
      </c>
      <c r="Q2254" s="110">
        <v>501.5</v>
      </c>
      <c r="R2254">
        <v>15487108</v>
      </c>
    </row>
    <row r="2255" spans="1:18" x14ac:dyDescent="0.25">
      <c r="A2255" s="133">
        <v>45324</v>
      </c>
      <c r="B2255" s="110">
        <v>104.41</v>
      </c>
      <c r="C2255" s="110">
        <v>102.88</v>
      </c>
      <c r="D2255" s="110">
        <v>101.34</v>
      </c>
      <c r="E2255" s="110">
        <v>101.34</v>
      </c>
      <c r="F2255" s="110">
        <v>514.4</v>
      </c>
      <c r="G2255">
        <v>387459</v>
      </c>
      <c r="H2255" s="110"/>
      <c r="I2255" s="110"/>
      <c r="L2255" s="133">
        <v>45324</v>
      </c>
      <c r="M2255" s="110">
        <v>102.87</v>
      </c>
      <c r="N2255" s="110">
        <v>104.46</v>
      </c>
      <c r="O2255" s="110">
        <v>101.3</v>
      </c>
      <c r="P2255" s="110">
        <v>101.4</v>
      </c>
      <c r="Q2255" s="110">
        <v>514.35</v>
      </c>
      <c r="R2255">
        <v>14018869</v>
      </c>
    </row>
    <row r="2256" spans="1:18" x14ac:dyDescent="0.25">
      <c r="A2256" s="133">
        <v>45327</v>
      </c>
      <c r="B2256" s="110">
        <v>105.46</v>
      </c>
      <c r="C2256" s="110">
        <v>104.05</v>
      </c>
      <c r="D2256" s="110">
        <v>102.26</v>
      </c>
      <c r="E2256" s="110">
        <v>103.73</v>
      </c>
      <c r="F2256" s="110">
        <v>520.25</v>
      </c>
      <c r="G2256">
        <v>496793</v>
      </c>
      <c r="H2256" s="110"/>
      <c r="I2256" s="110"/>
      <c r="L2256" s="133">
        <v>45327</v>
      </c>
      <c r="M2256" s="110">
        <v>104.05</v>
      </c>
      <c r="N2256" s="110">
        <v>105.49</v>
      </c>
      <c r="O2256" s="110">
        <v>102.29</v>
      </c>
      <c r="P2256" s="110">
        <v>103.74</v>
      </c>
      <c r="Q2256" s="110">
        <v>520.25</v>
      </c>
      <c r="R2256">
        <v>8228172</v>
      </c>
    </row>
    <row r="2257" spans="1:18" x14ac:dyDescent="0.25">
      <c r="A2257" s="133">
        <v>45328</v>
      </c>
      <c r="B2257" s="110">
        <v>104.56</v>
      </c>
      <c r="C2257" s="110">
        <v>104.25</v>
      </c>
      <c r="D2257" s="110">
        <v>102.87</v>
      </c>
      <c r="E2257" s="110">
        <v>104.25</v>
      </c>
      <c r="F2257" s="110">
        <v>521.25</v>
      </c>
      <c r="G2257">
        <v>269491</v>
      </c>
      <c r="H2257" s="110"/>
      <c r="I2257" s="110"/>
      <c r="L2257" s="133">
        <v>45328</v>
      </c>
      <c r="M2257" s="110">
        <v>104.29</v>
      </c>
      <c r="N2257" s="110">
        <v>104.57</v>
      </c>
      <c r="O2257" s="110">
        <v>102.87</v>
      </c>
      <c r="P2257" s="110">
        <v>104.39</v>
      </c>
      <c r="Q2257" s="110">
        <v>521.45000000000005</v>
      </c>
      <c r="R2257">
        <v>5144575</v>
      </c>
    </row>
    <row r="2258" spans="1:18" x14ac:dyDescent="0.25">
      <c r="A2258" s="133">
        <v>45329</v>
      </c>
      <c r="B2258" s="110">
        <v>112</v>
      </c>
      <c r="C2258" s="110">
        <v>110.74</v>
      </c>
      <c r="D2258" s="110">
        <v>106.11</v>
      </c>
      <c r="E2258" s="110">
        <v>106.11</v>
      </c>
      <c r="F2258" s="110">
        <v>553.70000000000005</v>
      </c>
      <c r="G2258">
        <v>932546</v>
      </c>
      <c r="H2258" s="110"/>
      <c r="I2258" s="110"/>
      <c r="L2258" s="133">
        <v>45329</v>
      </c>
      <c r="M2258" s="110">
        <v>110.43</v>
      </c>
      <c r="N2258" s="110">
        <v>112.1</v>
      </c>
      <c r="O2258" s="110">
        <v>106</v>
      </c>
      <c r="P2258" s="110">
        <v>106.22</v>
      </c>
      <c r="Q2258" s="110">
        <v>552.15</v>
      </c>
      <c r="R2258">
        <v>18728266</v>
      </c>
    </row>
    <row r="2259" spans="1:18" x14ac:dyDescent="0.25">
      <c r="A2259" s="133">
        <v>45330</v>
      </c>
      <c r="B2259" s="110">
        <v>116</v>
      </c>
      <c r="C2259" s="110">
        <v>113.87</v>
      </c>
      <c r="D2259" s="110">
        <v>111.4</v>
      </c>
      <c r="E2259" s="110">
        <v>113.47</v>
      </c>
      <c r="F2259" s="110">
        <v>569.35</v>
      </c>
      <c r="G2259">
        <v>1320651</v>
      </c>
      <c r="H2259" s="110"/>
      <c r="I2259" s="110"/>
      <c r="L2259" s="133">
        <v>45330</v>
      </c>
      <c r="M2259" s="110">
        <v>113.85</v>
      </c>
      <c r="N2259" s="110">
        <v>115.98</v>
      </c>
      <c r="O2259" s="110">
        <v>111.41</v>
      </c>
      <c r="P2259" s="110">
        <v>113</v>
      </c>
      <c r="Q2259" s="110">
        <v>569.25</v>
      </c>
      <c r="R2259">
        <v>23256838</v>
      </c>
    </row>
    <row r="2260" spans="1:18" x14ac:dyDescent="0.25">
      <c r="A2260" s="133">
        <v>45331</v>
      </c>
      <c r="B2260" s="110">
        <v>115.27</v>
      </c>
      <c r="C2260" s="110">
        <v>114.14</v>
      </c>
      <c r="D2260" s="110">
        <v>109.65</v>
      </c>
      <c r="E2260" s="110">
        <v>114.78</v>
      </c>
      <c r="F2260" s="110">
        <v>570.70000000000005</v>
      </c>
      <c r="G2260">
        <v>972858</v>
      </c>
      <c r="H2260" s="110"/>
      <c r="I2260" s="110"/>
      <c r="L2260" s="133">
        <v>45331</v>
      </c>
      <c r="M2260" s="110">
        <v>114.2</v>
      </c>
      <c r="N2260" s="110">
        <v>115.2</v>
      </c>
      <c r="O2260" s="110">
        <v>109.65</v>
      </c>
      <c r="P2260" s="110">
        <v>114.6</v>
      </c>
      <c r="Q2260" s="110">
        <v>571</v>
      </c>
      <c r="R2260">
        <v>15269130</v>
      </c>
    </row>
    <row r="2261" spans="1:18" x14ac:dyDescent="0.25">
      <c r="A2261" s="133">
        <v>45334</v>
      </c>
      <c r="B2261" s="110">
        <v>115</v>
      </c>
      <c r="C2261" s="110">
        <v>109.05</v>
      </c>
      <c r="D2261" s="110">
        <v>108.24</v>
      </c>
      <c r="E2261" s="110">
        <v>114.28</v>
      </c>
      <c r="F2261" s="110">
        <v>545.25</v>
      </c>
      <c r="G2261">
        <v>659018</v>
      </c>
      <c r="H2261" s="110"/>
      <c r="I2261" s="110"/>
      <c r="L2261" s="133">
        <v>45334</v>
      </c>
      <c r="M2261" s="110">
        <v>109.15</v>
      </c>
      <c r="N2261" s="110">
        <v>115</v>
      </c>
      <c r="O2261" s="110">
        <v>108.28</v>
      </c>
      <c r="P2261" s="110">
        <v>114.8</v>
      </c>
      <c r="Q2261" s="110">
        <v>545.75</v>
      </c>
      <c r="R2261">
        <v>10242724</v>
      </c>
    </row>
    <row r="2262" spans="1:18" x14ac:dyDescent="0.25">
      <c r="A2262" s="133">
        <v>45335</v>
      </c>
      <c r="B2262" s="110">
        <v>110.94</v>
      </c>
      <c r="C2262" s="110">
        <v>110.43</v>
      </c>
      <c r="D2262" s="110">
        <v>106.94</v>
      </c>
      <c r="E2262" s="110">
        <v>109.43</v>
      </c>
      <c r="F2262" s="110">
        <v>552.15</v>
      </c>
      <c r="G2262">
        <v>558233</v>
      </c>
      <c r="H2262" s="110"/>
      <c r="I2262" s="110"/>
      <c r="L2262" s="133">
        <v>45335</v>
      </c>
      <c r="M2262" s="110">
        <v>110.44</v>
      </c>
      <c r="N2262" s="110">
        <v>110.95</v>
      </c>
      <c r="O2262" s="110">
        <v>106.92</v>
      </c>
      <c r="P2262" s="110">
        <v>109.6</v>
      </c>
      <c r="Q2262" s="110">
        <v>552.20000000000005</v>
      </c>
      <c r="R2262">
        <v>8923300</v>
      </c>
    </row>
    <row r="2263" spans="1:18" x14ac:dyDescent="0.25">
      <c r="A2263" s="133">
        <v>45336</v>
      </c>
      <c r="B2263" s="110">
        <v>113.8</v>
      </c>
      <c r="C2263" s="110">
        <v>113.22</v>
      </c>
      <c r="D2263" s="110">
        <v>108.61</v>
      </c>
      <c r="E2263" s="110">
        <v>109.14</v>
      </c>
      <c r="F2263" s="110">
        <v>566.1</v>
      </c>
      <c r="G2263">
        <v>218924</v>
      </c>
      <c r="H2263" s="110"/>
      <c r="I2263" s="110"/>
      <c r="L2263" s="133">
        <v>45336</v>
      </c>
      <c r="M2263" s="110">
        <v>113.29</v>
      </c>
      <c r="N2263" s="110">
        <v>113.79</v>
      </c>
      <c r="O2263" s="110">
        <v>108.6</v>
      </c>
      <c r="P2263" s="110">
        <v>109</v>
      </c>
      <c r="Q2263" s="110">
        <v>566.45000000000005</v>
      </c>
      <c r="R2263">
        <v>8214118</v>
      </c>
    </row>
    <row r="2264" spans="1:18" x14ac:dyDescent="0.25">
      <c r="A2264" s="133">
        <v>45337</v>
      </c>
      <c r="B2264" s="110">
        <v>118.9</v>
      </c>
      <c r="C2264" s="110">
        <v>117.44</v>
      </c>
      <c r="D2264" s="110">
        <v>113.53</v>
      </c>
      <c r="E2264" s="110">
        <v>113.97</v>
      </c>
      <c r="F2264" s="110">
        <v>587.20000000000005</v>
      </c>
      <c r="G2264">
        <v>623259</v>
      </c>
      <c r="H2264" s="110"/>
      <c r="I2264" s="110"/>
      <c r="L2264" s="133">
        <v>45337</v>
      </c>
      <c r="M2264" s="110">
        <v>117.41</v>
      </c>
      <c r="N2264" s="110">
        <v>118.94</v>
      </c>
      <c r="O2264" s="110">
        <v>113.52</v>
      </c>
      <c r="P2264" s="110">
        <v>113.81</v>
      </c>
      <c r="Q2264" s="110">
        <v>587.04999999999995</v>
      </c>
      <c r="R2264">
        <v>16040567</v>
      </c>
    </row>
    <row r="2265" spans="1:18" x14ac:dyDescent="0.25">
      <c r="A2265" s="133">
        <v>45338</v>
      </c>
      <c r="B2265" s="110">
        <v>117.93</v>
      </c>
      <c r="C2265" s="110">
        <v>117.14</v>
      </c>
      <c r="D2265" s="110">
        <v>115.27</v>
      </c>
      <c r="E2265" s="110">
        <v>117.93</v>
      </c>
      <c r="F2265" s="110">
        <v>585.70000000000005</v>
      </c>
      <c r="G2265">
        <v>528268</v>
      </c>
      <c r="H2265" s="110"/>
      <c r="I2265" s="110"/>
      <c r="L2265" s="133">
        <v>45338</v>
      </c>
      <c r="M2265" s="110">
        <v>117.17</v>
      </c>
      <c r="N2265" s="110">
        <v>117.96</v>
      </c>
      <c r="O2265" s="110">
        <v>115.26</v>
      </c>
      <c r="P2265" s="110">
        <v>117.62</v>
      </c>
      <c r="Q2265" s="110">
        <v>585.85</v>
      </c>
      <c r="R2265">
        <v>9037719</v>
      </c>
    </row>
    <row r="2266" spans="1:18" x14ac:dyDescent="0.25">
      <c r="A2266" s="133">
        <v>45341</v>
      </c>
      <c r="B2266" s="110">
        <v>117.53</v>
      </c>
      <c r="C2266" s="110">
        <v>114.39</v>
      </c>
      <c r="D2266" s="110">
        <v>113.99</v>
      </c>
      <c r="E2266" s="110">
        <v>117.23</v>
      </c>
      <c r="F2266" s="110">
        <v>571.95000000000005</v>
      </c>
      <c r="G2266">
        <v>377399</v>
      </c>
      <c r="H2266" s="110"/>
      <c r="I2266" s="110"/>
      <c r="L2266" s="133">
        <v>45341</v>
      </c>
      <c r="M2266" s="110">
        <v>114.57</v>
      </c>
      <c r="N2266" s="110">
        <v>117.59</v>
      </c>
      <c r="O2266" s="110">
        <v>114.03</v>
      </c>
      <c r="P2266" s="110">
        <v>117.46</v>
      </c>
      <c r="Q2266" s="110">
        <v>572.85</v>
      </c>
      <c r="R2266">
        <v>6050861</v>
      </c>
    </row>
    <row r="2267" spans="1:18" x14ac:dyDescent="0.25">
      <c r="A2267" s="133">
        <v>45342</v>
      </c>
      <c r="B2267" s="110">
        <v>114.58</v>
      </c>
      <c r="C2267" s="110">
        <v>113.79</v>
      </c>
      <c r="D2267" s="110">
        <v>113.47</v>
      </c>
      <c r="E2267" s="110">
        <v>114.53</v>
      </c>
      <c r="F2267" s="110">
        <v>568.95000000000005</v>
      </c>
      <c r="G2267">
        <v>266322</v>
      </c>
      <c r="H2267" s="110"/>
      <c r="I2267" s="110"/>
      <c r="L2267" s="133">
        <v>45342</v>
      </c>
      <c r="M2267" s="110">
        <v>113.8</v>
      </c>
      <c r="N2267" s="110">
        <v>114.57</v>
      </c>
      <c r="O2267" s="110">
        <v>113.44</v>
      </c>
      <c r="P2267" s="110">
        <v>114.3</v>
      </c>
      <c r="Q2267" s="110">
        <v>569</v>
      </c>
      <c r="R2267">
        <v>4651560</v>
      </c>
    </row>
    <row r="2268" spans="1:18" x14ac:dyDescent="0.25">
      <c r="A2268" s="133">
        <v>45343</v>
      </c>
      <c r="B2268" s="110">
        <v>116.56</v>
      </c>
      <c r="C2268" s="110">
        <v>113.56</v>
      </c>
      <c r="D2268" s="110">
        <v>112.88</v>
      </c>
      <c r="E2268" s="110">
        <v>113.8</v>
      </c>
      <c r="F2268" s="110">
        <v>567.79999999999995</v>
      </c>
      <c r="G2268">
        <v>475838</v>
      </c>
      <c r="H2268" s="110"/>
      <c r="I2268" s="110"/>
      <c r="L2268" s="133">
        <v>45343</v>
      </c>
      <c r="M2268" s="110">
        <v>113.47</v>
      </c>
      <c r="N2268" s="110">
        <v>116.55</v>
      </c>
      <c r="O2268" s="110">
        <v>112.81</v>
      </c>
      <c r="P2268" s="110">
        <v>113.9</v>
      </c>
      <c r="Q2268" s="110">
        <v>567.35</v>
      </c>
      <c r="R2268">
        <v>11221001</v>
      </c>
    </row>
    <row r="2269" spans="1:18" x14ac:dyDescent="0.25">
      <c r="A2269" s="133">
        <v>45344</v>
      </c>
      <c r="B2269" s="110">
        <v>116.92</v>
      </c>
      <c r="C2269" s="110">
        <v>116.47</v>
      </c>
      <c r="D2269" s="110">
        <v>112.68</v>
      </c>
      <c r="E2269" s="110">
        <v>114.55</v>
      </c>
      <c r="F2269" s="110">
        <v>582.35</v>
      </c>
      <c r="G2269">
        <v>567626</v>
      </c>
      <c r="H2269" s="110"/>
      <c r="I2269" s="110"/>
      <c r="L2269" s="133">
        <v>45344</v>
      </c>
      <c r="M2269" s="110">
        <v>116.44</v>
      </c>
      <c r="N2269" s="110">
        <v>116.94</v>
      </c>
      <c r="O2269" s="110">
        <v>112.69</v>
      </c>
      <c r="P2269" s="110">
        <v>114.6</v>
      </c>
      <c r="Q2269" s="110">
        <v>582.20000000000005</v>
      </c>
      <c r="R2269">
        <v>8046194</v>
      </c>
    </row>
    <row r="2270" spans="1:18" x14ac:dyDescent="0.25">
      <c r="A2270" s="133">
        <v>45345</v>
      </c>
      <c r="B2270" s="110">
        <v>119.75</v>
      </c>
      <c r="C2270" s="110">
        <v>116</v>
      </c>
      <c r="D2270" s="110">
        <v>115.68</v>
      </c>
      <c r="E2270" s="110">
        <v>117.16</v>
      </c>
      <c r="F2270" s="110">
        <v>580</v>
      </c>
      <c r="G2270">
        <v>1244681</v>
      </c>
      <c r="H2270" s="110"/>
      <c r="I2270" s="110"/>
      <c r="L2270" s="133">
        <v>45345</v>
      </c>
      <c r="M2270" s="110">
        <v>116.09</v>
      </c>
      <c r="N2270" s="110">
        <v>119.76</v>
      </c>
      <c r="O2270" s="110">
        <v>115.63</v>
      </c>
      <c r="P2270" s="110">
        <v>117</v>
      </c>
      <c r="Q2270" s="110">
        <v>580.45000000000005</v>
      </c>
      <c r="R2270">
        <v>16451936</v>
      </c>
    </row>
    <row r="2271" spans="1:18" x14ac:dyDescent="0.25">
      <c r="A2271" s="133">
        <v>45348</v>
      </c>
      <c r="B2271" s="110">
        <v>116.93</v>
      </c>
      <c r="C2271" s="110">
        <v>114.56</v>
      </c>
      <c r="D2271" s="110">
        <v>114.04</v>
      </c>
      <c r="E2271" s="110">
        <v>116.93</v>
      </c>
      <c r="F2271" s="110">
        <v>572.79999999999995</v>
      </c>
      <c r="G2271">
        <v>392290</v>
      </c>
      <c r="H2271" s="110"/>
      <c r="I2271" s="110"/>
      <c r="L2271" s="133">
        <v>45348</v>
      </c>
      <c r="M2271" s="110">
        <v>114.65</v>
      </c>
      <c r="N2271" s="110">
        <v>116.8</v>
      </c>
      <c r="O2271" s="110">
        <v>114</v>
      </c>
      <c r="P2271" s="110">
        <v>116.8</v>
      </c>
      <c r="Q2271" s="110">
        <v>573.25</v>
      </c>
      <c r="R2271">
        <v>8106910</v>
      </c>
    </row>
    <row r="2272" spans="1:18" x14ac:dyDescent="0.25">
      <c r="A2272" s="133">
        <v>45349</v>
      </c>
      <c r="B2272" s="110">
        <v>116.9</v>
      </c>
      <c r="C2272" s="110">
        <v>114.42</v>
      </c>
      <c r="D2272" s="110">
        <v>113.46</v>
      </c>
      <c r="E2272" s="110">
        <v>116.36</v>
      </c>
      <c r="F2272" s="110">
        <v>572.1</v>
      </c>
      <c r="G2272">
        <v>464466</v>
      </c>
      <c r="H2272" s="110"/>
      <c r="I2272" s="110"/>
      <c r="L2272" s="133">
        <v>45349</v>
      </c>
      <c r="M2272" s="110">
        <v>114.38</v>
      </c>
      <c r="N2272" s="110">
        <v>116.86</v>
      </c>
      <c r="O2272" s="110">
        <v>113.46</v>
      </c>
      <c r="P2272" s="110">
        <v>115.86</v>
      </c>
      <c r="Q2272" s="110">
        <v>571.9</v>
      </c>
      <c r="R2272">
        <v>10702657</v>
      </c>
    </row>
    <row r="2273" spans="1:18" x14ac:dyDescent="0.25">
      <c r="A2273" s="133">
        <v>45350</v>
      </c>
      <c r="B2273" s="110">
        <v>114.9</v>
      </c>
      <c r="C2273" s="110">
        <v>110.07</v>
      </c>
      <c r="D2273" s="110">
        <v>109.53</v>
      </c>
      <c r="E2273" s="110">
        <v>114.79</v>
      </c>
      <c r="F2273" s="110">
        <v>550.35</v>
      </c>
      <c r="G2273">
        <v>566111</v>
      </c>
      <c r="H2273" s="110"/>
      <c r="I2273" s="110"/>
      <c r="L2273" s="133">
        <v>45350</v>
      </c>
      <c r="M2273" s="110">
        <v>110.09</v>
      </c>
      <c r="N2273" s="110">
        <v>114.95</v>
      </c>
      <c r="O2273" s="110">
        <v>109.53</v>
      </c>
      <c r="P2273" s="110">
        <v>114.9</v>
      </c>
      <c r="Q2273" s="110">
        <v>550.45000000000005</v>
      </c>
      <c r="R2273">
        <v>12561517</v>
      </c>
    </row>
    <row r="2274" spans="1:18" x14ac:dyDescent="0.25">
      <c r="A2274" s="133">
        <v>45351</v>
      </c>
      <c r="B2274" s="110">
        <v>113.58</v>
      </c>
      <c r="C2274" s="110">
        <v>112.99</v>
      </c>
      <c r="D2274" s="110">
        <v>108.93</v>
      </c>
      <c r="E2274" s="110">
        <v>110.08</v>
      </c>
      <c r="F2274" s="110">
        <v>564.95000000000005</v>
      </c>
      <c r="G2274">
        <v>416522</v>
      </c>
      <c r="H2274" s="110"/>
      <c r="I2274" s="110"/>
      <c r="L2274" s="133">
        <v>45351</v>
      </c>
      <c r="M2274" s="110">
        <v>112.89</v>
      </c>
      <c r="N2274" s="110">
        <v>113.59</v>
      </c>
      <c r="O2274" s="110">
        <v>108.85</v>
      </c>
      <c r="P2274" s="110">
        <v>110.21</v>
      </c>
      <c r="Q2274" s="110">
        <v>564.45000000000005</v>
      </c>
      <c r="R2274">
        <v>9705711</v>
      </c>
    </row>
    <row r="2275" spans="1:18" x14ac:dyDescent="0.25">
      <c r="A2275" s="133">
        <v>45352</v>
      </c>
      <c r="B2275" s="110">
        <v>115.9</v>
      </c>
      <c r="C2275" s="110">
        <v>115.71</v>
      </c>
      <c r="D2275" s="110">
        <v>113.2</v>
      </c>
      <c r="E2275" s="110">
        <v>114</v>
      </c>
      <c r="F2275" s="110">
        <v>578.54999999999995</v>
      </c>
      <c r="G2275">
        <v>449920</v>
      </c>
      <c r="H2275" s="110"/>
      <c r="I2275" s="110"/>
      <c r="L2275" s="133">
        <v>45352</v>
      </c>
      <c r="M2275" s="110">
        <v>115.73</v>
      </c>
      <c r="N2275" s="110">
        <v>115.88</v>
      </c>
      <c r="O2275" s="110">
        <v>113.6</v>
      </c>
      <c r="P2275" s="110">
        <v>114</v>
      </c>
      <c r="Q2275" s="110">
        <v>578.65</v>
      </c>
      <c r="R2275">
        <v>7369785</v>
      </c>
    </row>
    <row r="2276" spans="1:18" x14ac:dyDescent="0.25">
      <c r="A2276" s="133">
        <v>45353</v>
      </c>
      <c r="B2276" s="110">
        <v>118.2</v>
      </c>
      <c r="C2276" s="110">
        <v>117.34</v>
      </c>
      <c r="D2276" s="110">
        <v>116.1</v>
      </c>
      <c r="E2276" s="110">
        <v>116.39</v>
      </c>
      <c r="F2276" s="110">
        <v>586.70000000000005</v>
      </c>
      <c r="G2276">
        <v>49424</v>
      </c>
      <c r="H2276" s="110"/>
      <c r="I2276" s="110"/>
      <c r="L2276" s="133">
        <v>45353</v>
      </c>
      <c r="M2276" s="110">
        <v>117.35</v>
      </c>
      <c r="N2276" s="110">
        <v>118.24</v>
      </c>
      <c r="O2276" s="110">
        <v>116</v>
      </c>
      <c r="P2276" s="110">
        <v>116.17</v>
      </c>
      <c r="Q2276" s="110">
        <v>586.75</v>
      </c>
      <c r="R2276">
        <v>1882834</v>
      </c>
    </row>
    <row r="2277" spans="1:18" x14ac:dyDescent="0.25">
      <c r="A2277" s="133">
        <v>45355</v>
      </c>
      <c r="B2277" s="110">
        <v>118.88</v>
      </c>
      <c r="C2277" s="110">
        <v>118.36</v>
      </c>
      <c r="D2277" s="110">
        <v>116.8</v>
      </c>
      <c r="E2277" s="110">
        <v>117.43</v>
      </c>
      <c r="F2277" s="110">
        <v>591.79999999999995</v>
      </c>
      <c r="G2277">
        <v>242224</v>
      </c>
      <c r="H2277" s="110"/>
      <c r="I2277" s="110"/>
      <c r="L2277" s="133">
        <v>45355</v>
      </c>
      <c r="M2277" s="110">
        <v>118.38</v>
      </c>
      <c r="N2277" s="110">
        <v>118.89</v>
      </c>
      <c r="O2277" s="110">
        <v>116.8</v>
      </c>
      <c r="P2277" s="110">
        <v>117.76</v>
      </c>
      <c r="Q2277" s="110">
        <v>591.9</v>
      </c>
      <c r="R2277">
        <v>6901156</v>
      </c>
    </row>
    <row r="2278" spans="1:18" x14ac:dyDescent="0.25">
      <c r="A2278" s="133">
        <v>45356</v>
      </c>
      <c r="B2278" s="110">
        <v>120.78</v>
      </c>
      <c r="C2278" s="110">
        <v>120.49</v>
      </c>
      <c r="D2278" s="110">
        <v>117.7</v>
      </c>
      <c r="E2278" s="110">
        <v>118.35</v>
      </c>
      <c r="F2278" s="110">
        <v>602.45000000000005</v>
      </c>
      <c r="G2278">
        <v>323252</v>
      </c>
      <c r="H2278" s="110"/>
      <c r="I2278" s="110"/>
      <c r="L2278" s="133">
        <v>45356</v>
      </c>
      <c r="M2278" s="110">
        <v>120.49</v>
      </c>
      <c r="N2278" s="110">
        <v>120.8</v>
      </c>
      <c r="O2278" s="110">
        <v>117.62</v>
      </c>
      <c r="P2278" s="110">
        <v>118.16</v>
      </c>
      <c r="Q2278" s="110">
        <v>602.45000000000005</v>
      </c>
      <c r="R2278">
        <v>11114961</v>
      </c>
    </row>
    <row r="2279" spans="1:18" x14ac:dyDescent="0.25">
      <c r="A2279" s="133">
        <v>45357</v>
      </c>
      <c r="B2279" s="110">
        <v>121.2</v>
      </c>
      <c r="C2279" s="110">
        <v>119.95</v>
      </c>
      <c r="D2279" s="110">
        <v>117</v>
      </c>
      <c r="E2279" s="110">
        <v>120.65</v>
      </c>
      <c r="F2279" s="110">
        <v>599.75</v>
      </c>
      <c r="G2279">
        <v>1287854</v>
      </c>
      <c r="H2279" s="110"/>
      <c r="I2279" s="110"/>
      <c r="L2279" s="133">
        <v>45357</v>
      </c>
      <c r="M2279" s="110">
        <v>120</v>
      </c>
      <c r="N2279" s="110">
        <v>121.26</v>
      </c>
      <c r="O2279" s="110">
        <v>117.02</v>
      </c>
      <c r="P2279" s="110">
        <v>120.8</v>
      </c>
      <c r="Q2279" s="110">
        <v>600</v>
      </c>
      <c r="R2279">
        <v>8864146</v>
      </c>
    </row>
    <row r="2280" spans="1:18" x14ac:dyDescent="0.25">
      <c r="A2280" s="133">
        <v>45358</v>
      </c>
      <c r="B2280" s="110">
        <v>121.14</v>
      </c>
      <c r="C2280" s="110">
        <v>119.57</v>
      </c>
      <c r="D2280" s="110">
        <v>118.84</v>
      </c>
      <c r="E2280" s="110">
        <v>120</v>
      </c>
      <c r="F2280" s="110">
        <v>597.85</v>
      </c>
      <c r="G2280">
        <v>122796</v>
      </c>
      <c r="H2280" s="110"/>
      <c r="I2280" s="110"/>
      <c r="L2280" s="133">
        <v>45358</v>
      </c>
      <c r="M2280" s="110">
        <v>119.59</v>
      </c>
      <c r="N2280" s="110">
        <v>121.1</v>
      </c>
      <c r="O2280" s="110">
        <v>118.8</v>
      </c>
      <c r="P2280" s="110">
        <v>120.02</v>
      </c>
      <c r="Q2280" s="110">
        <v>597.95000000000005</v>
      </c>
      <c r="R2280">
        <v>5932111</v>
      </c>
    </row>
    <row r="2281" spans="1:18" x14ac:dyDescent="0.25">
      <c r="A2281" s="133">
        <v>45362</v>
      </c>
      <c r="B2281" s="110">
        <v>120.4</v>
      </c>
      <c r="C2281" s="110">
        <v>117.2</v>
      </c>
      <c r="D2281" s="110">
        <v>116.89</v>
      </c>
      <c r="E2281" s="110">
        <v>119.57</v>
      </c>
      <c r="F2281" s="110">
        <v>586</v>
      </c>
      <c r="G2281">
        <v>188192</v>
      </c>
      <c r="H2281" s="110"/>
      <c r="I2281" s="110"/>
      <c r="L2281" s="133">
        <v>45362</v>
      </c>
      <c r="M2281" s="110">
        <v>117.25</v>
      </c>
      <c r="N2281" s="110">
        <v>120.48</v>
      </c>
      <c r="O2281" s="110">
        <v>116.84</v>
      </c>
      <c r="P2281" s="110">
        <v>119.59</v>
      </c>
      <c r="Q2281" s="110">
        <v>586.25</v>
      </c>
      <c r="R2281">
        <v>6354256</v>
      </c>
    </row>
    <row r="2282" spans="1:18" x14ac:dyDescent="0.25">
      <c r="A2282" s="133">
        <v>45363</v>
      </c>
      <c r="B2282" s="110">
        <v>117.81</v>
      </c>
      <c r="C2282" s="110">
        <v>113.48</v>
      </c>
      <c r="D2282" s="110">
        <v>112.98</v>
      </c>
      <c r="E2282" s="110">
        <v>117.2</v>
      </c>
      <c r="F2282" s="110">
        <v>567.4</v>
      </c>
      <c r="G2282">
        <v>297984</v>
      </c>
      <c r="H2282" s="110"/>
      <c r="I2282" s="110"/>
      <c r="L2282" s="133">
        <v>45363</v>
      </c>
      <c r="M2282" s="110">
        <v>113.38</v>
      </c>
      <c r="N2282" s="110">
        <v>117.82</v>
      </c>
      <c r="O2282" s="110">
        <v>113</v>
      </c>
      <c r="P2282" s="110">
        <v>117.25</v>
      </c>
      <c r="Q2282" s="110">
        <v>566.9</v>
      </c>
      <c r="R2282">
        <v>8637213</v>
      </c>
    </row>
    <row r="2283" spans="1:18" x14ac:dyDescent="0.25">
      <c r="A2283" s="133">
        <v>45364</v>
      </c>
      <c r="B2283" s="110">
        <v>114.35</v>
      </c>
      <c r="C2283" s="110">
        <v>107.16</v>
      </c>
      <c r="D2283" s="110">
        <v>105.88</v>
      </c>
      <c r="E2283" s="110">
        <v>113.65</v>
      </c>
      <c r="F2283" s="110">
        <v>535.79999999999995</v>
      </c>
      <c r="G2283">
        <v>1124745</v>
      </c>
      <c r="H2283" s="110"/>
      <c r="I2283" s="110"/>
      <c r="L2283" s="133">
        <v>45364</v>
      </c>
      <c r="M2283" s="110">
        <v>107.29</v>
      </c>
      <c r="N2283" s="110">
        <v>114.33</v>
      </c>
      <c r="O2283" s="110">
        <v>105.89</v>
      </c>
      <c r="P2283" s="110">
        <v>113.81</v>
      </c>
      <c r="Q2283" s="110">
        <v>536.45000000000005</v>
      </c>
      <c r="R2283">
        <v>12207180</v>
      </c>
    </row>
    <row r="2284" spans="1:18" x14ac:dyDescent="0.25">
      <c r="A2284" s="133">
        <v>45365</v>
      </c>
      <c r="B2284" s="110">
        <v>110.91</v>
      </c>
      <c r="C2284" s="110">
        <v>109.44</v>
      </c>
      <c r="D2284" s="110">
        <v>105.82</v>
      </c>
      <c r="E2284" s="110">
        <v>106.99</v>
      </c>
      <c r="F2284" s="110">
        <v>547.20000000000005</v>
      </c>
      <c r="G2284">
        <v>340546</v>
      </c>
      <c r="H2284" s="110"/>
      <c r="I2284" s="110"/>
      <c r="L2284" s="133">
        <v>45365</v>
      </c>
      <c r="M2284" s="110">
        <v>109.4</v>
      </c>
      <c r="N2284" s="110">
        <v>110.93</v>
      </c>
      <c r="O2284" s="110">
        <v>105.82</v>
      </c>
      <c r="P2284" s="110">
        <v>106.8</v>
      </c>
      <c r="Q2284" s="110">
        <v>547</v>
      </c>
      <c r="R2284">
        <v>9203619</v>
      </c>
    </row>
    <row r="2285" spans="1:18" x14ac:dyDescent="0.25">
      <c r="A2285" s="133">
        <v>45366</v>
      </c>
      <c r="B2285" s="110">
        <v>110.79</v>
      </c>
      <c r="C2285" s="110">
        <v>109.76</v>
      </c>
      <c r="D2285" s="110">
        <v>106</v>
      </c>
      <c r="E2285" s="110">
        <v>109.55</v>
      </c>
      <c r="F2285" s="110">
        <v>548.79999999999995</v>
      </c>
      <c r="G2285">
        <v>459137</v>
      </c>
      <c r="H2285" s="110"/>
      <c r="I2285" s="110"/>
      <c r="L2285" s="133">
        <v>45366</v>
      </c>
      <c r="M2285" s="110">
        <v>109.83</v>
      </c>
      <c r="N2285" s="110">
        <v>110.8</v>
      </c>
      <c r="O2285" s="110">
        <v>105.95</v>
      </c>
      <c r="P2285" s="110">
        <v>109.4</v>
      </c>
      <c r="Q2285" s="110">
        <v>549.15</v>
      </c>
      <c r="R2285">
        <v>9527125</v>
      </c>
    </row>
    <row r="2286" spans="1:18" x14ac:dyDescent="0.25">
      <c r="A2286" s="133">
        <v>45369</v>
      </c>
      <c r="B2286" s="110">
        <v>111.24</v>
      </c>
      <c r="C2286" s="110">
        <v>110.58</v>
      </c>
      <c r="D2286" s="110">
        <v>109.02</v>
      </c>
      <c r="E2286" s="110">
        <v>109.8</v>
      </c>
      <c r="F2286" s="110">
        <v>552.9</v>
      </c>
      <c r="G2286">
        <v>203942</v>
      </c>
      <c r="H2286" s="110"/>
      <c r="I2286" s="110"/>
      <c r="L2286" s="133">
        <v>45369</v>
      </c>
      <c r="M2286" s="110">
        <v>110.61</v>
      </c>
      <c r="N2286" s="110">
        <v>111.2</v>
      </c>
      <c r="O2286" s="110">
        <v>109.02</v>
      </c>
      <c r="P2286" s="110">
        <v>110</v>
      </c>
      <c r="Q2286" s="110">
        <v>553.04999999999995</v>
      </c>
      <c r="R2286">
        <v>5005443</v>
      </c>
    </row>
    <row r="2287" spans="1:18" x14ac:dyDescent="0.25">
      <c r="A2287" s="133">
        <v>45370</v>
      </c>
      <c r="B2287" s="110">
        <v>111.13</v>
      </c>
      <c r="C2287" s="110">
        <v>109.64</v>
      </c>
      <c r="D2287" s="110">
        <v>109.22</v>
      </c>
      <c r="E2287" s="110">
        <v>110.59</v>
      </c>
      <c r="F2287" s="110">
        <v>548.20000000000005</v>
      </c>
      <c r="G2287">
        <v>157395</v>
      </c>
      <c r="H2287" s="110"/>
      <c r="I2287" s="110"/>
      <c r="L2287" s="133">
        <v>45370</v>
      </c>
      <c r="M2287" s="110">
        <v>109.68</v>
      </c>
      <c r="N2287" s="110">
        <v>111.16</v>
      </c>
      <c r="O2287" s="110">
        <v>109.23</v>
      </c>
      <c r="P2287" s="110">
        <v>110.54</v>
      </c>
      <c r="Q2287" s="110">
        <v>548.4</v>
      </c>
      <c r="R2287">
        <v>4271199</v>
      </c>
    </row>
    <row r="2288" spans="1:18" x14ac:dyDescent="0.25">
      <c r="A2288" s="133">
        <v>45371</v>
      </c>
      <c r="B2288" s="110">
        <v>110.86</v>
      </c>
      <c r="C2288" s="110">
        <v>110.22</v>
      </c>
      <c r="D2288" s="110">
        <v>107.15</v>
      </c>
      <c r="E2288" s="110">
        <v>110</v>
      </c>
      <c r="F2288" s="110">
        <v>551.1</v>
      </c>
      <c r="G2288">
        <v>156357</v>
      </c>
      <c r="H2288" s="110"/>
      <c r="I2288" s="110"/>
      <c r="L2288" s="133">
        <v>45371</v>
      </c>
      <c r="M2288" s="110">
        <v>110.21</v>
      </c>
      <c r="N2288" s="110">
        <v>110.87</v>
      </c>
      <c r="O2288" s="110">
        <v>107.11</v>
      </c>
      <c r="P2288" s="110">
        <v>109.98</v>
      </c>
      <c r="Q2288" s="110">
        <v>551.04999999999995</v>
      </c>
      <c r="R2288">
        <v>6052421</v>
      </c>
    </row>
    <row r="2289" spans="1:18" x14ac:dyDescent="0.25">
      <c r="A2289" s="133">
        <v>45372</v>
      </c>
      <c r="B2289" s="110">
        <v>113.68</v>
      </c>
      <c r="C2289" s="110">
        <v>112.75</v>
      </c>
      <c r="D2289" s="110">
        <v>111.61</v>
      </c>
      <c r="E2289" s="110">
        <v>111.8</v>
      </c>
      <c r="F2289" s="110">
        <v>563.75</v>
      </c>
      <c r="G2289">
        <v>242438</v>
      </c>
      <c r="H2289" s="110"/>
      <c r="I2289" s="110"/>
      <c r="L2289" s="133">
        <v>45372</v>
      </c>
      <c r="M2289" s="110">
        <v>112.78</v>
      </c>
      <c r="N2289" s="110">
        <v>113.7</v>
      </c>
      <c r="O2289" s="110">
        <v>111.6</v>
      </c>
      <c r="P2289" s="110">
        <v>112</v>
      </c>
      <c r="Q2289" s="110">
        <v>563.9</v>
      </c>
      <c r="R2289">
        <v>5562847</v>
      </c>
    </row>
    <row r="2290" spans="1:18" x14ac:dyDescent="0.25">
      <c r="A2290" s="133">
        <v>45373</v>
      </c>
      <c r="B2290" s="110">
        <v>115.46</v>
      </c>
      <c r="C2290" s="110">
        <v>114.62</v>
      </c>
      <c r="D2290" s="110">
        <v>112.75</v>
      </c>
      <c r="E2290" s="110">
        <v>112.78</v>
      </c>
      <c r="F2290" s="110">
        <v>573.1</v>
      </c>
      <c r="G2290">
        <v>156511</v>
      </c>
      <c r="H2290" s="110"/>
      <c r="I2290" s="110"/>
      <c r="L2290" s="133">
        <v>45373</v>
      </c>
      <c r="M2290" s="110">
        <v>114.63</v>
      </c>
      <c r="N2290" s="110">
        <v>115.5</v>
      </c>
      <c r="O2290" s="110">
        <v>112.69</v>
      </c>
      <c r="P2290" s="110">
        <v>112.78</v>
      </c>
      <c r="Q2290" s="110">
        <v>573.15</v>
      </c>
      <c r="R2290">
        <v>5823098</v>
      </c>
    </row>
    <row r="2291" spans="1:18" x14ac:dyDescent="0.25">
      <c r="A2291" s="133">
        <v>45377</v>
      </c>
      <c r="B2291" s="110">
        <v>114.88</v>
      </c>
      <c r="C2291" s="110">
        <v>114.36</v>
      </c>
      <c r="D2291" s="110">
        <v>113.52</v>
      </c>
      <c r="E2291" s="110">
        <v>114.1</v>
      </c>
      <c r="F2291" s="110">
        <v>571.79999999999995</v>
      </c>
      <c r="G2291">
        <v>131850</v>
      </c>
      <c r="H2291" s="110"/>
      <c r="I2291" s="110"/>
      <c r="L2291" s="133">
        <v>45377</v>
      </c>
      <c r="M2291" s="110">
        <v>114.37</v>
      </c>
      <c r="N2291" s="110">
        <v>114.93</v>
      </c>
      <c r="O2291" s="110">
        <v>113.46</v>
      </c>
      <c r="P2291" s="110">
        <v>114.39</v>
      </c>
      <c r="Q2291" s="110">
        <v>571.85</v>
      </c>
      <c r="R2291">
        <v>4969623</v>
      </c>
    </row>
    <row r="2292" spans="1:18" x14ac:dyDescent="0.25">
      <c r="A2292" s="133">
        <v>45378</v>
      </c>
      <c r="B2292" s="110">
        <v>114.95</v>
      </c>
      <c r="C2292" s="110">
        <v>112.78</v>
      </c>
      <c r="D2292" s="110">
        <v>112.51</v>
      </c>
      <c r="E2292" s="110">
        <v>114.51</v>
      </c>
      <c r="F2292" s="110">
        <v>563.9</v>
      </c>
      <c r="G2292">
        <v>97907</v>
      </c>
      <c r="H2292" s="110"/>
      <c r="I2292" s="110"/>
      <c r="L2292" s="133">
        <v>45378</v>
      </c>
      <c r="M2292" s="110">
        <v>112.85</v>
      </c>
      <c r="N2292" s="110">
        <v>114.94</v>
      </c>
      <c r="O2292" s="110">
        <v>112.47</v>
      </c>
      <c r="P2292" s="110">
        <v>114.37</v>
      </c>
      <c r="Q2292" s="110">
        <v>564.25</v>
      </c>
      <c r="R2292">
        <v>4410227</v>
      </c>
    </row>
    <row r="2293" spans="1:18" x14ac:dyDescent="0.25">
      <c r="A2293" s="133">
        <v>45379</v>
      </c>
      <c r="B2293" s="110">
        <v>117.51</v>
      </c>
      <c r="C2293" s="110">
        <v>116.22</v>
      </c>
      <c r="D2293" s="110">
        <v>113.75</v>
      </c>
      <c r="E2293" s="110">
        <v>114.54</v>
      </c>
      <c r="F2293" s="110">
        <v>581.1</v>
      </c>
      <c r="G2293">
        <v>293672</v>
      </c>
      <c r="H2293" s="110"/>
      <c r="I2293" s="110"/>
      <c r="L2293" s="133">
        <v>45379</v>
      </c>
      <c r="M2293" s="110">
        <v>116.21</v>
      </c>
      <c r="N2293" s="110">
        <v>117.56</v>
      </c>
      <c r="O2293" s="110">
        <v>113.62</v>
      </c>
      <c r="P2293" s="110">
        <v>113.63</v>
      </c>
      <c r="Q2293" s="110">
        <v>581.04999999999995</v>
      </c>
      <c r="R2293">
        <v>10357827</v>
      </c>
    </row>
    <row r="2294" spans="1:18" x14ac:dyDescent="0.25">
      <c r="A2294" s="133">
        <v>45383</v>
      </c>
      <c r="B2294" s="110">
        <v>118.05</v>
      </c>
      <c r="C2294" s="110">
        <v>117.8</v>
      </c>
      <c r="D2294" s="110">
        <v>116.61</v>
      </c>
      <c r="E2294" s="110">
        <v>116.61</v>
      </c>
      <c r="F2294" s="110">
        <v>589</v>
      </c>
      <c r="G2294">
        <v>241525</v>
      </c>
      <c r="H2294" s="110"/>
      <c r="I2294" s="110"/>
      <c r="L2294" s="133">
        <v>45383</v>
      </c>
      <c r="M2294" s="110">
        <v>117.81</v>
      </c>
      <c r="N2294" s="110">
        <v>118.07</v>
      </c>
      <c r="O2294" s="110">
        <v>116.66</v>
      </c>
      <c r="P2294" s="110">
        <v>117.09</v>
      </c>
      <c r="Q2294" s="110">
        <v>589.04999999999995</v>
      </c>
      <c r="R2294">
        <v>3937220</v>
      </c>
    </row>
    <row r="2295" spans="1:18" x14ac:dyDescent="0.25">
      <c r="A2295" s="133">
        <v>45384</v>
      </c>
      <c r="B2295" s="110">
        <v>119.06</v>
      </c>
      <c r="C2295" s="110">
        <v>118.98</v>
      </c>
      <c r="D2295" s="110">
        <v>117.58</v>
      </c>
      <c r="E2295" s="110">
        <v>117.8</v>
      </c>
      <c r="F2295" s="110">
        <v>594.9</v>
      </c>
      <c r="G2295">
        <v>101939</v>
      </c>
      <c r="H2295" s="110"/>
      <c r="I2295" s="110"/>
      <c r="L2295" s="133">
        <v>45384</v>
      </c>
      <c r="M2295" s="110">
        <v>118.94</v>
      </c>
      <c r="N2295" s="110">
        <v>119.04</v>
      </c>
      <c r="O2295" s="110">
        <v>117.53</v>
      </c>
      <c r="P2295" s="110">
        <v>117.78</v>
      </c>
      <c r="Q2295" s="110">
        <v>594.70000000000005</v>
      </c>
      <c r="R2295">
        <v>3751464</v>
      </c>
    </row>
    <row r="2296" spans="1:18" x14ac:dyDescent="0.25">
      <c r="A2296" s="133">
        <v>45385</v>
      </c>
      <c r="B2296" s="110">
        <v>122.31</v>
      </c>
      <c r="C2296" s="110">
        <v>121.23</v>
      </c>
      <c r="D2296" s="110">
        <v>118</v>
      </c>
      <c r="E2296" s="110">
        <v>118.76</v>
      </c>
      <c r="F2296" s="110">
        <v>606.15</v>
      </c>
      <c r="G2296">
        <v>369166</v>
      </c>
      <c r="H2296" s="110"/>
      <c r="I2296" s="110"/>
      <c r="L2296" s="133">
        <v>45385</v>
      </c>
      <c r="M2296" s="110">
        <v>121.39</v>
      </c>
      <c r="N2296" s="110">
        <v>122.36</v>
      </c>
      <c r="O2296" s="110">
        <v>118</v>
      </c>
      <c r="P2296" s="110">
        <v>118.6</v>
      </c>
      <c r="Q2296" s="110">
        <v>606.95000000000005</v>
      </c>
      <c r="R2296">
        <v>8744831</v>
      </c>
    </row>
    <row r="2297" spans="1:18" x14ac:dyDescent="0.25">
      <c r="A2297" s="133">
        <v>45386</v>
      </c>
      <c r="B2297" s="110">
        <v>123.06</v>
      </c>
      <c r="C2297" s="110">
        <v>121.44</v>
      </c>
      <c r="D2297" s="110">
        <v>120.46</v>
      </c>
      <c r="E2297" s="110">
        <v>123.06</v>
      </c>
      <c r="F2297" s="110">
        <v>607.20000000000005</v>
      </c>
      <c r="G2297">
        <v>238540</v>
      </c>
      <c r="H2297" s="110"/>
      <c r="I2297" s="110"/>
      <c r="L2297" s="133">
        <v>45386</v>
      </c>
      <c r="M2297" s="110">
        <v>121.48</v>
      </c>
      <c r="N2297" s="110">
        <v>122.95</v>
      </c>
      <c r="O2297" s="110">
        <v>120.46</v>
      </c>
      <c r="P2297" s="110">
        <v>122.94</v>
      </c>
      <c r="Q2297" s="110">
        <v>607.4</v>
      </c>
      <c r="R2297">
        <v>7743869</v>
      </c>
    </row>
    <row r="2298" spans="1:18" x14ac:dyDescent="0.25">
      <c r="A2298" s="133">
        <v>45387</v>
      </c>
      <c r="B2298" s="110">
        <v>123.79</v>
      </c>
      <c r="C2298" s="110">
        <v>122.93</v>
      </c>
      <c r="D2298" s="110">
        <v>121.38</v>
      </c>
      <c r="E2298" s="110">
        <v>121.65</v>
      </c>
      <c r="F2298" s="110">
        <v>614.65</v>
      </c>
      <c r="G2298">
        <v>259828</v>
      </c>
      <c r="H2298" s="110"/>
      <c r="I2298" s="110"/>
      <c r="L2298" s="133">
        <v>45387</v>
      </c>
      <c r="M2298" s="110">
        <v>123</v>
      </c>
      <c r="N2298" s="110">
        <v>123.76</v>
      </c>
      <c r="O2298" s="110">
        <v>121.26</v>
      </c>
      <c r="P2298" s="110">
        <v>121.88</v>
      </c>
      <c r="Q2298" s="110">
        <v>615</v>
      </c>
      <c r="R2298">
        <v>8021155</v>
      </c>
    </row>
    <row r="2299" spans="1:18" x14ac:dyDescent="0.25">
      <c r="A2299" s="133">
        <v>45390</v>
      </c>
      <c r="B2299" s="110">
        <v>124</v>
      </c>
      <c r="C2299" s="110">
        <v>122.51</v>
      </c>
      <c r="D2299" s="110">
        <v>121.48</v>
      </c>
      <c r="E2299" s="110">
        <v>124</v>
      </c>
      <c r="F2299" s="110">
        <v>612.54999999999995</v>
      </c>
      <c r="G2299">
        <v>92406</v>
      </c>
      <c r="H2299" s="110"/>
      <c r="I2299" s="110"/>
      <c r="L2299" s="133">
        <v>45390</v>
      </c>
      <c r="M2299" s="110">
        <v>122.49</v>
      </c>
      <c r="N2299" s="110">
        <v>123.79</v>
      </c>
      <c r="O2299" s="110">
        <v>121.42</v>
      </c>
      <c r="P2299" s="110">
        <v>123.79</v>
      </c>
      <c r="Q2299" s="110">
        <v>612.45000000000005</v>
      </c>
      <c r="R2299">
        <v>3801149</v>
      </c>
    </row>
    <row r="2300" spans="1:18" x14ac:dyDescent="0.25">
      <c r="A2300" s="133">
        <v>45391</v>
      </c>
      <c r="B2300" s="110">
        <v>123.19</v>
      </c>
      <c r="C2300" s="110">
        <v>121.59</v>
      </c>
      <c r="D2300" s="110">
        <v>120.79</v>
      </c>
      <c r="E2300" s="110">
        <v>122.65</v>
      </c>
      <c r="F2300" s="110">
        <v>607.95000000000005</v>
      </c>
      <c r="G2300">
        <v>193370</v>
      </c>
      <c r="H2300" s="110"/>
      <c r="I2300" s="110"/>
      <c r="L2300" s="133">
        <v>45391</v>
      </c>
      <c r="M2300" s="110">
        <v>121.63</v>
      </c>
      <c r="N2300" s="110">
        <v>123.17</v>
      </c>
      <c r="O2300" s="110">
        <v>120.74</v>
      </c>
      <c r="P2300" s="110">
        <v>122.8</v>
      </c>
      <c r="Q2300" s="110">
        <v>608.15</v>
      </c>
      <c r="R2300">
        <v>3606257</v>
      </c>
    </row>
    <row r="2301" spans="1:18" x14ac:dyDescent="0.25">
      <c r="A2301" s="133">
        <v>45392</v>
      </c>
      <c r="B2301" s="110">
        <v>123.21</v>
      </c>
      <c r="C2301" s="110">
        <v>122.63</v>
      </c>
      <c r="D2301" s="110">
        <v>121.53</v>
      </c>
      <c r="E2301" s="110">
        <v>121.85</v>
      </c>
      <c r="F2301" s="110">
        <v>613.15</v>
      </c>
      <c r="G2301">
        <v>350005</v>
      </c>
      <c r="H2301" s="110"/>
      <c r="I2301" s="110"/>
      <c r="L2301" s="133">
        <v>45392</v>
      </c>
      <c r="M2301" s="110">
        <v>122.58</v>
      </c>
      <c r="N2301" s="110">
        <v>123.3</v>
      </c>
      <c r="O2301" s="110">
        <v>121.52</v>
      </c>
      <c r="P2301" s="110">
        <v>121.93</v>
      </c>
      <c r="Q2301" s="110">
        <v>612.9</v>
      </c>
      <c r="R2301">
        <v>4654049</v>
      </c>
    </row>
    <row r="2302" spans="1:18" x14ac:dyDescent="0.25">
      <c r="A2302" s="133">
        <v>45394</v>
      </c>
      <c r="B2302" s="110">
        <v>123.31</v>
      </c>
      <c r="C2302" s="110">
        <v>121.16</v>
      </c>
      <c r="D2302" s="110">
        <v>120.97</v>
      </c>
      <c r="E2302" s="110">
        <v>121.81</v>
      </c>
      <c r="F2302" s="110">
        <v>605.79999999999995</v>
      </c>
      <c r="G2302">
        <v>235652</v>
      </c>
      <c r="H2302" s="110"/>
      <c r="I2302" s="110"/>
      <c r="L2302" s="133">
        <v>45394</v>
      </c>
      <c r="M2302" s="110">
        <v>121.17</v>
      </c>
      <c r="N2302" s="110">
        <v>123.34</v>
      </c>
      <c r="O2302" s="110">
        <v>120.98</v>
      </c>
      <c r="P2302" s="110">
        <v>121.71</v>
      </c>
      <c r="Q2302" s="110">
        <v>605.85</v>
      </c>
      <c r="R2302">
        <v>4694938</v>
      </c>
    </row>
    <row r="2303" spans="1:18" x14ac:dyDescent="0.25">
      <c r="A2303" s="133">
        <v>45397</v>
      </c>
      <c r="B2303" s="110">
        <v>121.16</v>
      </c>
      <c r="C2303" s="110">
        <v>118.72</v>
      </c>
      <c r="D2303" s="110">
        <v>117.56</v>
      </c>
      <c r="E2303" s="110">
        <v>118.75</v>
      </c>
      <c r="F2303" s="110">
        <v>593.6</v>
      </c>
      <c r="G2303">
        <v>295309</v>
      </c>
      <c r="H2303" s="110"/>
      <c r="I2303" s="110"/>
      <c r="L2303" s="133">
        <v>45397</v>
      </c>
      <c r="M2303" s="110">
        <v>118.62</v>
      </c>
      <c r="N2303" s="110">
        <v>121.19</v>
      </c>
      <c r="O2303" s="110">
        <v>117.51</v>
      </c>
      <c r="P2303" s="110">
        <v>119.6</v>
      </c>
      <c r="Q2303" s="110">
        <v>593.1</v>
      </c>
      <c r="R2303">
        <v>6040711</v>
      </c>
    </row>
    <row r="2304" spans="1:18" x14ac:dyDescent="0.25">
      <c r="A2304" s="133">
        <v>45398</v>
      </c>
      <c r="B2304" s="110">
        <v>119.07</v>
      </c>
      <c r="C2304" s="110">
        <v>116.75</v>
      </c>
      <c r="D2304" s="110">
        <v>116.02</v>
      </c>
      <c r="E2304" s="110">
        <v>117.22</v>
      </c>
      <c r="F2304" s="110">
        <v>583.75</v>
      </c>
      <c r="G2304">
        <v>428934</v>
      </c>
      <c r="H2304" s="110"/>
      <c r="I2304" s="110"/>
      <c r="L2304" s="133">
        <v>45398</v>
      </c>
      <c r="M2304" s="110">
        <v>116.81</v>
      </c>
      <c r="N2304" s="110">
        <v>119.1</v>
      </c>
      <c r="O2304" s="110">
        <v>116.04</v>
      </c>
      <c r="P2304" s="110">
        <v>117.6</v>
      </c>
      <c r="Q2304" s="110">
        <v>584.04999999999995</v>
      </c>
      <c r="R2304">
        <v>6328953</v>
      </c>
    </row>
    <row r="2305" spans="1:18" x14ac:dyDescent="0.25">
      <c r="A2305" s="133">
        <v>45400</v>
      </c>
      <c r="B2305" s="110">
        <v>118.95</v>
      </c>
      <c r="C2305" s="110">
        <v>116.71</v>
      </c>
      <c r="D2305" s="110">
        <v>116.29</v>
      </c>
      <c r="E2305" s="110">
        <v>117.37</v>
      </c>
      <c r="F2305" s="110">
        <v>583.54999999999995</v>
      </c>
      <c r="G2305">
        <v>98392</v>
      </c>
      <c r="H2305" s="110"/>
      <c r="I2305" s="110"/>
      <c r="L2305" s="133">
        <v>45400</v>
      </c>
      <c r="M2305" s="110">
        <v>116.69</v>
      </c>
      <c r="N2305" s="110">
        <v>118.97</v>
      </c>
      <c r="O2305" s="110">
        <v>116.26</v>
      </c>
      <c r="P2305" s="110">
        <v>117.78</v>
      </c>
      <c r="Q2305" s="110">
        <v>583.45000000000005</v>
      </c>
      <c r="R2305">
        <v>5160659</v>
      </c>
    </row>
    <row r="2306" spans="1:18" x14ac:dyDescent="0.25">
      <c r="A2306" s="133">
        <v>45401</v>
      </c>
      <c r="B2306" s="110">
        <v>116.86</v>
      </c>
      <c r="C2306" s="110">
        <v>115.74</v>
      </c>
      <c r="D2306" s="110">
        <v>112.58</v>
      </c>
      <c r="E2306" s="110">
        <v>114.87</v>
      </c>
      <c r="F2306" s="110">
        <v>578.70000000000005</v>
      </c>
      <c r="G2306">
        <v>348618</v>
      </c>
      <c r="H2306" s="110"/>
      <c r="I2306" s="110"/>
      <c r="L2306" s="133">
        <v>45401</v>
      </c>
      <c r="M2306" s="110">
        <v>115.75</v>
      </c>
      <c r="N2306" s="110">
        <v>116.88</v>
      </c>
      <c r="O2306" s="110">
        <v>112.54</v>
      </c>
      <c r="P2306" s="110">
        <v>115</v>
      </c>
      <c r="Q2306" s="110">
        <v>578.75</v>
      </c>
      <c r="R2306">
        <v>9468521</v>
      </c>
    </row>
    <row r="2307" spans="1:18" x14ac:dyDescent="0.25">
      <c r="A2307" s="133">
        <v>45404</v>
      </c>
      <c r="B2307" s="110">
        <v>120.37</v>
      </c>
      <c r="C2307" s="110">
        <v>119.98</v>
      </c>
      <c r="D2307" s="110">
        <v>117</v>
      </c>
      <c r="E2307" s="110">
        <v>117.2</v>
      </c>
      <c r="F2307" s="110">
        <v>599.9</v>
      </c>
      <c r="G2307">
        <v>347776</v>
      </c>
      <c r="H2307" s="110"/>
      <c r="I2307" s="110"/>
      <c r="L2307" s="133">
        <v>45404</v>
      </c>
      <c r="M2307" s="110">
        <v>119.96</v>
      </c>
      <c r="N2307" s="110">
        <v>120.36</v>
      </c>
      <c r="O2307" s="110">
        <v>116.89</v>
      </c>
      <c r="P2307" s="110">
        <v>117.01</v>
      </c>
      <c r="Q2307" s="110">
        <v>599.79999999999995</v>
      </c>
      <c r="R2307">
        <v>10489215</v>
      </c>
    </row>
    <row r="2308" spans="1:18" x14ac:dyDescent="0.25">
      <c r="A2308" s="133">
        <v>45405</v>
      </c>
      <c r="B2308" s="110">
        <v>121.56</v>
      </c>
      <c r="C2308" s="110">
        <v>120.31</v>
      </c>
      <c r="D2308" s="110">
        <v>119.84</v>
      </c>
      <c r="E2308" s="110">
        <v>120.81</v>
      </c>
      <c r="F2308" s="110">
        <v>601.54999999999995</v>
      </c>
      <c r="G2308">
        <v>389834</v>
      </c>
      <c r="H2308" s="110"/>
      <c r="I2308" s="110"/>
      <c r="L2308" s="133">
        <v>45405</v>
      </c>
      <c r="M2308" s="110">
        <v>120.32</v>
      </c>
      <c r="N2308" s="110">
        <v>121.16</v>
      </c>
      <c r="O2308" s="110">
        <v>119.84</v>
      </c>
      <c r="P2308" s="110">
        <v>121.01</v>
      </c>
      <c r="Q2308" s="110">
        <v>601.6</v>
      </c>
      <c r="R2308">
        <v>5383827</v>
      </c>
    </row>
    <row r="2309" spans="1:18" x14ac:dyDescent="0.25">
      <c r="A2309" s="133">
        <v>45406</v>
      </c>
      <c r="B2309" s="110">
        <v>121.13</v>
      </c>
      <c r="C2309" s="110">
        <v>119.4</v>
      </c>
      <c r="D2309" s="110">
        <v>119.26</v>
      </c>
      <c r="E2309" s="110">
        <v>121.13</v>
      </c>
      <c r="F2309" s="110">
        <v>597</v>
      </c>
      <c r="G2309">
        <v>241198</v>
      </c>
      <c r="H2309" s="110"/>
      <c r="I2309" s="110"/>
      <c r="L2309" s="133">
        <v>45406</v>
      </c>
      <c r="M2309" s="110">
        <v>119.39</v>
      </c>
      <c r="N2309" s="110">
        <v>121.09</v>
      </c>
      <c r="O2309" s="110">
        <v>119.2</v>
      </c>
      <c r="P2309" s="110">
        <v>120.81</v>
      </c>
      <c r="Q2309" s="110">
        <v>596.95000000000005</v>
      </c>
      <c r="R2309">
        <v>4929201</v>
      </c>
    </row>
    <row r="2310" spans="1:18" x14ac:dyDescent="0.25">
      <c r="A2310" s="133">
        <v>45407</v>
      </c>
      <c r="B2310" s="110">
        <v>124.18</v>
      </c>
      <c r="C2310" s="110">
        <v>123.29</v>
      </c>
      <c r="D2310" s="110">
        <v>118.93</v>
      </c>
      <c r="E2310" s="110">
        <v>119.31</v>
      </c>
      <c r="F2310" s="110">
        <v>616.45000000000005</v>
      </c>
      <c r="G2310">
        <v>814945</v>
      </c>
      <c r="H2310" s="110"/>
      <c r="I2310" s="110"/>
      <c r="L2310" s="133">
        <v>45407</v>
      </c>
      <c r="M2310" s="110">
        <v>123.37</v>
      </c>
      <c r="N2310" s="110">
        <v>124.19</v>
      </c>
      <c r="O2310" s="110">
        <v>119.02</v>
      </c>
      <c r="P2310" s="110">
        <v>119.18</v>
      </c>
      <c r="Q2310" s="110">
        <v>616.85</v>
      </c>
      <c r="R2310">
        <v>11499958</v>
      </c>
    </row>
    <row r="2311" spans="1:18" x14ac:dyDescent="0.25">
      <c r="A2311" s="133">
        <v>45408</v>
      </c>
      <c r="B2311" s="110">
        <v>124.86</v>
      </c>
      <c r="C2311" s="110">
        <v>123.51</v>
      </c>
      <c r="D2311" s="110">
        <v>122.85</v>
      </c>
      <c r="E2311" s="110">
        <v>123.57</v>
      </c>
      <c r="F2311" s="110">
        <v>617.54999999999995</v>
      </c>
      <c r="G2311">
        <v>201282</v>
      </c>
      <c r="H2311" s="110"/>
      <c r="I2311" s="110"/>
      <c r="L2311" s="133">
        <v>45408</v>
      </c>
      <c r="M2311" s="110">
        <v>123.52</v>
      </c>
      <c r="N2311" s="110">
        <v>124.88</v>
      </c>
      <c r="O2311" s="110">
        <v>122.82</v>
      </c>
      <c r="P2311" s="110">
        <v>123.45</v>
      </c>
      <c r="Q2311" s="110">
        <v>617.6</v>
      </c>
      <c r="R2311">
        <v>5959439</v>
      </c>
    </row>
    <row r="2312" spans="1:18" x14ac:dyDescent="0.25">
      <c r="A2312" s="133">
        <v>45411</v>
      </c>
      <c r="B2312" s="110">
        <v>124.95</v>
      </c>
      <c r="C2312" s="110">
        <v>124.21</v>
      </c>
      <c r="D2312" s="110">
        <v>122.72</v>
      </c>
      <c r="E2312" s="110">
        <v>124.84</v>
      </c>
      <c r="F2312" s="110">
        <v>621.04999999999995</v>
      </c>
      <c r="G2312">
        <v>177856</v>
      </c>
      <c r="H2312" s="110"/>
      <c r="I2312" s="110"/>
      <c r="L2312" s="133">
        <v>45411</v>
      </c>
      <c r="M2312" s="110">
        <v>124.17</v>
      </c>
      <c r="N2312" s="110">
        <v>124.95</v>
      </c>
      <c r="O2312" s="110">
        <v>122.84</v>
      </c>
      <c r="P2312" s="110">
        <v>124.49</v>
      </c>
      <c r="Q2312" s="110">
        <v>620.85</v>
      </c>
      <c r="R2312">
        <v>7948052</v>
      </c>
    </row>
    <row r="2313" spans="1:18" x14ac:dyDescent="0.25">
      <c r="A2313" s="133">
        <v>45412</v>
      </c>
      <c r="B2313" s="110">
        <v>125.93</v>
      </c>
      <c r="C2313" s="110">
        <v>124.37</v>
      </c>
      <c r="D2313" s="110">
        <v>123.8</v>
      </c>
      <c r="E2313" s="110">
        <v>124.8</v>
      </c>
      <c r="F2313" s="110">
        <v>621.85</v>
      </c>
      <c r="G2313">
        <v>414213</v>
      </c>
      <c r="H2313" s="110"/>
      <c r="I2313" s="110"/>
      <c r="L2313" s="133">
        <v>45412</v>
      </c>
      <c r="M2313" s="110">
        <v>124.39</v>
      </c>
      <c r="N2313" s="110">
        <v>125.94</v>
      </c>
      <c r="O2313" s="110">
        <v>123.81</v>
      </c>
      <c r="P2313" s="110">
        <v>124.9</v>
      </c>
      <c r="Q2313" s="110">
        <v>621.95000000000005</v>
      </c>
      <c r="R2313">
        <v>8133355</v>
      </c>
    </row>
    <row r="2314" spans="1:18" x14ac:dyDescent="0.25">
      <c r="A2314" s="133">
        <v>45414</v>
      </c>
      <c r="B2314" s="110">
        <v>126.23</v>
      </c>
      <c r="C2314" s="110">
        <v>125.76</v>
      </c>
      <c r="D2314" s="110">
        <v>124.6</v>
      </c>
      <c r="E2314" s="110">
        <v>124.91</v>
      </c>
      <c r="F2314" s="110">
        <v>628.79999999999995</v>
      </c>
      <c r="G2314">
        <v>120075</v>
      </c>
      <c r="H2314" s="110"/>
      <c r="I2314" s="110"/>
      <c r="L2314" s="133">
        <v>45414</v>
      </c>
      <c r="M2314" s="110">
        <v>125.72</v>
      </c>
      <c r="N2314" s="110">
        <v>126.2</v>
      </c>
      <c r="O2314" s="110">
        <v>124.61</v>
      </c>
      <c r="P2314" s="110">
        <v>124.77</v>
      </c>
      <c r="Q2314" s="110">
        <v>628.6</v>
      </c>
      <c r="R2314">
        <v>4321216</v>
      </c>
    </row>
    <row r="2315" spans="1:18" x14ac:dyDescent="0.25">
      <c r="A2315" s="133">
        <v>45415</v>
      </c>
      <c r="B2315" s="110">
        <v>126.53</v>
      </c>
      <c r="C2315" s="110">
        <v>125.08</v>
      </c>
      <c r="D2315" s="110">
        <v>123.8</v>
      </c>
      <c r="E2315" s="110">
        <v>126.37</v>
      </c>
      <c r="F2315" s="110">
        <v>625.4</v>
      </c>
      <c r="G2315">
        <v>315862</v>
      </c>
      <c r="H2315" s="110"/>
      <c r="I2315" s="110"/>
      <c r="L2315" s="133">
        <v>45415</v>
      </c>
      <c r="M2315" s="110">
        <v>125.13</v>
      </c>
      <c r="N2315" s="110">
        <v>126.58</v>
      </c>
      <c r="O2315" s="110">
        <v>123.8</v>
      </c>
      <c r="P2315" s="110">
        <v>126.58</v>
      </c>
      <c r="Q2315" s="110">
        <v>625.65</v>
      </c>
      <c r="R2315">
        <v>3976973</v>
      </c>
    </row>
    <row r="2316" spans="1:18" x14ac:dyDescent="0.25">
      <c r="A2316" s="133">
        <v>45418</v>
      </c>
      <c r="B2316" s="110">
        <v>126.13</v>
      </c>
      <c r="C2316" s="110">
        <v>118.3</v>
      </c>
      <c r="D2316" s="110">
        <v>117.7</v>
      </c>
      <c r="E2316" s="110">
        <v>125.97</v>
      </c>
      <c r="F2316" s="110">
        <v>591.5</v>
      </c>
      <c r="G2316">
        <v>636088</v>
      </c>
      <c r="H2316" s="110"/>
      <c r="I2316" s="110"/>
      <c r="L2316" s="133">
        <v>45418</v>
      </c>
      <c r="M2316" s="110">
        <v>118.36</v>
      </c>
      <c r="N2316" s="110">
        <v>125.79</v>
      </c>
      <c r="O2316" s="110">
        <v>117.66</v>
      </c>
      <c r="P2316" s="110">
        <v>125.43</v>
      </c>
      <c r="Q2316" s="110">
        <v>591.79999999999995</v>
      </c>
      <c r="R2316">
        <v>13059092</v>
      </c>
    </row>
    <row r="2317" spans="1:18" x14ac:dyDescent="0.25">
      <c r="A2317" s="133">
        <v>45419</v>
      </c>
      <c r="B2317" s="110">
        <v>119.38</v>
      </c>
      <c r="C2317" s="110">
        <v>115.37</v>
      </c>
      <c r="D2317" s="110">
        <v>114.44</v>
      </c>
      <c r="E2317" s="110">
        <v>119.2</v>
      </c>
      <c r="F2317" s="110">
        <v>576.85</v>
      </c>
      <c r="G2317">
        <v>254607</v>
      </c>
      <c r="H2317" s="110"/>
      <c r="I2317" s="110"/>
      <c r="L2317" s="133">
        <v>45419</v>
      </c>
      <c r="M2317" s="110">
        <v>115.35</v>
      </c>
      <c r="N2317" s="110">
        <v>119.35</v>
      </c>
      <c r="O2317" s="110">
        <v>114.4</v>
      </c>
      <c r="P2317" s="110">
        <v>119.07</v>
      </c>
      <c r="Q2317" s="110">
        <v>576.75</v>
      </c>
      <c r="R2317">
        <v>8655201</v>
      </c>
    </row>
    <row r="2318" spans="1:18" x14ac:dyDescent="0.25">
      <c r="A2318" s="133">
        <v>45420</v>
      </c>
      <c r="B2318" s="110">
        <v>119.7</v>
      </c>
      <c r="C2318" s="110">
        <v>111.62</v>
      </c>
      <c r="D2318" s="110">
        <v>110.88</v>
      </c>
      <c r="E2318" s="110">
        <v>116</v>
      </c>
      <c r="F2318" s="110">
        <v>558.1</v>
      </c>
      <c r="G2318">
        <v>1353484</v>
      </c>
      <c r="H2318" s="110"/>
      <c r="I2318" s="110"/>
      <c r="L2318" s="133">
        <v>45420</v>
      </c>
      <c r="M2318" s="110">
        <v>111.54</v>
      </c>
      <c r="N2318" s="110">
        <v>119.7</v>
      </c>
      <c r="O2318" s="110">
        <v>110.81</v>
      </c>
      <c r="P2318" s="110">
        <v>115.94</v>
      </c>
      <c r="Q2318" s="110">
        <v>557.70000000000005</v>
      </c>
      <c r="R2318">
        <v>22872940</v>
      </c>
    </row>
    <row r="2319" spans="1:18" x14ac:dyDescent="0.25">
      <c r="A2319" s="133">
        <v>45421</v>
      </c>
      <c r="B2319" s="110">
        <v>113.62</v>
      </c>
      <c r="C2319" s="110">
        <v>109.1</v>
      </c>
      <c r="D2319" s="110">
        <v>108.44</v>
      </c>
      <c r="E2319" s="110">
        <v>112.84</v>
      </c>
      <c r="F2319" s="110">
        <v>545.5</v>
      </c>
      <c r="G2319">
        <v>917252</v>
      </c>
      <c r="H2319" s="110"/>
      <c r="I2319" s="110"/>
      <c r="L2319" s="133">
        <v>45421</v>
      </c>
      <c r="M2319" s="110">
        <v>109.1</v>
      </c>
      <c r="N2319" s="110">
        <v>113.6</v>
      </c>
      <c r="O2319" s="110">
        <v>108.4</v>
      </c>
      <c r="P2319" s="110">
        <v>112.6</v>
      </c>
      <c r="Q2319" s="110">
        <v>545.5</v>
      </c>
      <c r="R2319">
        <v>13121161</v>
      </c>
    </row>
    <row r="2320" spans="1:18" x14ac:dyDescent="0.25">
      <c r="A2320" s="133">
        <v>45422</v>
      </c>
      <c r="B2320" s="110">
        <v>111.4</v>
      </c>
      <c r="C2320" s="110">
        <v>109.64</v>
      </c>
      <c r="D2320" s="110">
        <v>108.34</v>
      </c>
      <c r="E2320" s="110">
        <v>109.87</v>
      </c>
      <c r="F2320" s="110">
        <v>548.20000000000005</v>
      </c>
      <c r="G2320">
        <v>718020</v>
      </c>
      <c r="H2320" s="110"/>
      <c r="I2320" s="110"/>
      <c r="L2320" s="133">
        <v>45422</v>
      </c>
      <c r="M2320" s="110">
        <v>109.63</v>
      </c>
      <c r="N2320" s="110">
        <v>111.44</v>
      </c>
      <c r="O2320" s="110">
        <v>108.14</v>
      </c>
      <c r="P2320" s="110">
        <v>110</v>
      </c>
      <c r="Q2320" s="110">
        <v>548.15</v>
      </c>
      <c r="R2320">
        <v>7772969</v>
      </c>
    </row>
    <row r="2321" spans="1:18" x14ac:dyDescent="0.25">
      <c r="A2321" s="133">
        <v>45425</v>
      </c>
      <c r="B2321" s="110">
        <v>110.99</v>
      </c>
      <c r="C2321" s="110">
        <v>109.83</v>
      </c>
      <c r="D2321" s="110">
        <v>106.52</v>
      </c>
      <c r="E2321" s="110">
        <v>110.59</v>
      </c>
      <c r="F2321" s="110">
        <v>549.15</v>
      </c>
      <c r="G2321">
        <v>808022</v>
      </c>
      <c r="H2321" s="110"/>
      <c r="I2321" s="110"/>
      <c r="L2321" s="133">
        <v>45425</v>
      </c>
      <c r="M2321" s="110">
        <v>109.87</v>
      </c>
      <c r="N2321" s="110">
        <v>111</v>
      </c>
      <c r="O2321" s="110">
        <v>106.4</v>
      </c>
      <c r="P2321" s="110">
        <v>110.4</v>
      </c>
      <c r="Q2321" s="110">
        <v>549.35</v>
      </c>
      <c r="R2321">
        <v>10498821</v>
      </c>
    </row>
    <row r="2322" spans="1:18" x14ac:dyDescent="0.25">
      <c r="A2322" s="133">
        <v>45426</v>
      </c>
      <c r="B2322" s="110">
        <v>113.79</v>
      </c>
      <c r="C2322" s="110">
        <v>113.25</v>
      </c>
      <c r="D2322" s="110">
        <v>110.8</v>
      </c>
      <c r="E2322" s="110">
        <v>111.48</v>
      </c>
      <c r="F2322" s="110">
        <v>566.25</v>
      </c>
      <c r="G2322">
        <v>487986</v>
      </c>
      <c r="H2322" s="110"/>
      <c r="I2322" s="110"/>
      <c r="L2322" s="133">
        <v>45426</v>
      </c>
      <c r="M2322" s="110">
        <v>113.31</v>
      </c>
      <c r="N2322" s="110">
        <v>113.8</v>
      </c>
      <c r="O2322" s="110">
        <v>110.71</v>
      </c>
      <c r="P2322" s="110">
        <v>111.08</v>
      </c>
      <c r="Q2322" s="110">
        <v>566.54999999999995</v>
      </c>
      <c r="R2322">
        <v>9219466</v>
      </c>
    </row>
    <row r="2323" spans="1:18" x14ac:dyDescent="0.25">
      <c r="A2323" s="133">
        <v>45427</v>
      </c>
      <c r="B2323" s="110">
        <v>119.6</v>
      </c>
      <c r="C2323" s="110">
        <v>119</v>
      </c>
      <c r="D2323" s="110">
        <v>115.8</v>
      </c>
      <c r="E2323" s="110">
        <v>115.8</v>
      </c>
      <c r="F2323" s="110">
        <v>119</v>
      </c>
      <c r="G2323">
        <v>2527693</v>
      </c>
      <c r="H2323" s="110"/>
      <c r="I2323" s="110"/>
      <c r="L2323" s="133">
        <v>45427</v>
      </c>
      <c r="M2323" s="110">
        <v>119</v>
      </c>
      <c r="N2323" s="110">
        <v>119.6</v>
      </c>
      <c r="O2323" s="110">
        <v>116</v>
      </c>
      <c r="P2323" s="110">
        <v>116.25</v>
      </c>
      <c r="Q2323" s="110">
        <v>119</v>
      </c>
      <c r="R2323">
        <v>58148316</v>
      </c>
    </row>
    <row r="2324" spans="1:18" x14ac:dyDescent="0.25">
      <c r="A2324" s="133">
        <v>45428</v>
      </c>
      <c r="B2324" s="110">
        <v>120.75</v>
      </c>
      <c r="C2324" s="110">
        <v>113.7</v>
      </c>
      <c r="D2324" s="110">
        <v>111.85</v>
      </c>
      <c r="E2324" s="110">
        <v>120.75</v>
      </c>
      <c r="F2324" s="110">
        <v>113.7</v>
      </c>
      <c r="G2324">
        <v>5897933</v>
      </c>
      <c r="H2324" s="110"/>
      <c r="I2324" s="110"/>
      <c r="L2324" s="133">
        <v>45428</v>
      </c>
      <c r="M2324" s="110">
        <v>113.7</v>
      </c>
      <c r="N2324" s="110">
        <v>120.35</v>
      </c>
      <c r="O2324" s="110">
        <v>111.8</v>
      </c>
      <c r="P2324" s="110">
        <v>120.35</v>
      </c>
      <c r="Q2324" s="110">
        <v>113.7</v>
      </c>
      <c r="R2324">
        <v>83518740</v>
      </c>
    </row>
    <row r="2325" spans="1:18" x14ac:dyDescent="0.25">
      <c r="A2325" s="133">
        <v>45429</v>
      </c>
      <c r="B2325" s="110">
        <v>115.15</v>
      </c>
      <c r="C2325" s="110">
        <v>113.8</v>
      </c>
      <c r="D2325" s="110">
        <v>113.2</v>
      </c>
      <c r="E2325" s="110">
        <v>115.1</v>
      </c>
      <c r="F2325" s="110">
        <v>113.8</v>
      </c>
      <c r="G2325">
        <v>2045034</v>
      </c>
      <c r="H2325" s="110"/>
      <c r="I2325" s="110"/>
      <c r="L2325" s="133">
        <v>45429</v>
      </c>
      <c r="M2325" s="110">
        <v>113.8</v>
      </c>
      <c r="N2325" s="110">
        <v>115.2</v>
      </c>
      <c r="O2325" s="110">
        <v>113.2</v>
      </c>
      <c r="P2325" s="110">
        <v>114.95</v>
      </c>
      <c r="Q2325" s="110">
        <v>113.8</v>
      </c>
      <c r="R2325">
        <v>39194579</v>
      </c>
    </row>
    <row r="2326" spans="1:18" x14ac:dyDescent="0.25">
      <c r="A2326" s="133">
        <v>45430</v>
      </c>
      <c r="B2326" s="110">
        <v>114.9</v>
      </c>
      <c r="C2326" s="110">
        <v>114.5</v>
      </c>
      <c r="D2326" s="110">
        <v>114.05</v>
      </c>
      <c r="E2326" s="110">
        <v>114.45</v>
      </c>
      <c r="F2326" s="110">
        <v>114.5</v>
      </c>
      <c r="G2326">
        <v>471369</v>
      </c>
      <c r="H2326" s="110"/>
      <c r="I2326" s="110"/>
      <c r="L2326" s="133">
        <v>45430</v>
      </c>
      <c r="M2326" s="110">
        <v>114.5</v>
      </c>
      <c r="N2326" s="110">
        <v>114.9</v>
      </c>
      <c r="O2326" s="110">
        <v>114.05</v>
      </c>
      <c r="P2326" s="110">
        <v>114.2</v>
      </c>
      <c r="Q2326" s="110">
        <v>114.5</v>
      </c>
      <c r="R2326">
        <v>5348843</v>
      </c>
    </row>
    <row r="2327" spans="1:18" x14ac:dyDescent="0.25">
      <c r="A2327" s="133">
        <v>45433</v>
      </c>
      <c r="B2327" s="110">
        <v>116.8</v>
      </c>
      <c r="C2327" s="110">
        <v>116.25</v>
      </c>
      <c r="D2327" s="110">
        <v>113.65</v>
      </c>
      <c r="E2327" s="110">
        <v>115.25</v>
      </c>
      <c r="F2327" s="110">
        <v>116.25</v>
      </c>
      <c r="G2327">
        <v>2687110</v>
      </c>
      <c r="H2327" s="110"/>
      <c r="I2327" s="110"/>
      <c r="L2327" s="133">
        <v>45433</v>
      </c>
      <c r="M2327" s="110">
        <v>116.2</v>
      </c>
      <c r="N2327" s="110">
        <v>116.8</v>
      </c>
      <c r="O2327" s="110">
        <v>113.6</v>
      </c>
      <c r="P2327" s="110">
        <v>115.4</v>
      </c>
      <c r="Q2327" s="110">
        <v>116.2</v>
      </c>
      <c r="R2327">
        <v>35545169</v>
      </c>
    </row>
    <row r="2328" spans="1:18" x14ac:dyDescent="0.25">
      <c r="A2328" s="133">
        <v>45434</v>
      </c>
      <c r="B2328" s="110">
        <v>117.05</v>
      </c>
      <c r="C2328" s="110">
        <v>116</v>
      </c>
      <c r="D2328" s="110">
        <v>114.9</v>
      </c>
      <c r="E2328" s="110">
        <v>117.05</v>
      </c>
      <c r="F2328" s="110">
        <v>116</v>
      </c>
      <c r="G2328">
        <v>2555901</v>
      </c>
      <c r="H2328" s="110"/>
      <c r="I2328" s="110"/>
      <c r="L2328" s="133">
        <v>45434</v>
      </c>
      <c r="M2328" s="110">
        <v>116</v>
      </c>
      <c r="N2328" s="110">
        <v>116.9</v>
      </c>
      <c r="O2328" s="110">
        <v>114.9</v>
      </c>
      <c r="P2328" s="110">
        <v>116.9</v>
      </c>
      <c r="Q2328" s="110">
        <v>116</v>
      </c>
      <c r="R2328">
        <v>32841192</v>
      </c>
    </row>
    <row r="2329" spans="1:18" x14ac:dyDescent="0.25">
      <c r="A2329" s="133">
        <v>45435</v>
      </c>
      <c r="B2329" s="110">
        <v>118.65</v>
      </c>
      <c r="C2329" s="110">
        <v>117.65</v>
      </c>
      <c r="D2329" s="110">
        <v>116.6</v>
      </c>
      <c r="E2329" s="110">
        <v>116.8</v>
      </c>
      <c r="F2329" s="110">
        <v>117.65</v>
      </c>
      <c r="G2329">
        <v>2483273</v>
      </c>
      <c r="H2329" s="110"/>
      <c r="I2329" s="110"/>
      <c r="L2329" s="133">
        <v>45435</v>
      </c>
      <c r="M2329" s="110">
        <v>117.7</v>
      </c>
      <c r="N2329" s="110">
        <v>118.65</v>
      </c>
      <c r="O2329" s="110">
        <v>116.5</v>
      </c>
      <c r="P2329" s="110">
        <v>116.9</v>
      </c>
      <c r="Q2329" s="110">
        <v>117.7</v>
      </c>
      <c r="R2329">
        <v>35478278</v>
      </c>
    </row>
    <row r="2330" spans="1:18" x14ac:dyDescent="0.25">
      <c r="A2330" s="133">
        <v>45436</v>
      </c>
      <c r="B2330" s="110">
        <v>118.8</v>
      </c>
      <c r="C2330" s="110">
        <v>117.15</v>
      </c>
      <c r="D2330" s="110">
        <v>116.85</v>
      </c>
      <c r="E2330" s="110">
        <v>118.5</v>
      </c>
      <c r="F2330" s="110">
        <v>117.15</v>
      </c>
      <c r="G2330">
        <v>989498</v>
      </c>
      <c r="H2330" s="110"/>
      <c r="I2330" s="110"/>
      <c r="L2330" s="133">
        <v>45436</v>
      </c>
      <c r="M2330" s="110">
        <v>117.2</v>
      </c>
      <c r="N2330" s="110">
        <v>118.75</v>
      </c>
      <c r="O2330" s="110">
        <v>116.9</v>
      </c>
      <c r="P2330" s="110">
        <v>118.2</v>
      </c>
      <c r="Q2330" s="110">
        <v>117.2</v>
      </c>
      <c r="R2330">
        <v>29084908</v>
      </c>
    </row>
    <row r="2331" spans="1:18" x14ac:dyDescent="0.25">
      <c r="A2331" s="133">
        <v>45439</v>
      </c>
      <c r="B2331" s="110">
        <v>118.25</v>
      </c>
      <c r="C2331" s="110">
        <v>116.95</v>
      </c>
      <c r="D2331" s="110">
        <v>115.8</v>
      </c>
      <c r="E2331" s="110">
        <v>118.15</v>
      </c>
      <c r="F2331" s="110">
        <v>116.95</v>
      </c>
      <c r="G2331">
        <v>1277074</v>
      </c>
      <c r="H2331" s="110"/>
      <c r="I2331" s="110"/>
      <c r="L2331" s="133">
        <v>45439</v>
      </c>
      <c r="M2331" s="110">
        <v>117</v>
      </c>
      <c r="N2331" s="110">
        <v>118.2</v>
      </c>
      <c r="O2331" s="110">
        <v>115.7</v>
      </c>
      <c r="P2331" s="110">
        <v>118</v>
      </c>
      <c r="Q2331" s="110">
        <v>117</v>
      </c>
      <c r="R2331">
        <v>34617257</v>
      </c>
    </row>
    <row r="2332" spans="1:18" x14ac:dyDescent="0.25">
      <c r="A2332" s="133">
        <v>45440</v>
      </c>
      <c r="B2332" s="110">
        <v>118.7</v>
      </c>
      <c r="C2332" s="110">
        <v>115.95</v>
      </c>
      <c r="D2332" s="110">
        <v>115.35</v>
      </c>
      <c r="E2332" s="110">
        <v>117.8</v>
      </c>
      <c r="F2332" s="110">
        <v>115.95</v>
      </c>
      <c r="G2332">
        <v>1009056</v>
      </c>
      <c r="H2332" s="110"/>
      <c r="I2332" s="110"/>
      <c r="L2332" s="133">
        <v>45440</v>
      </c>
      <c r="M2332" s="110">
        <v>115.95</v>
      </c>
      <c r="N2332" s="110">
        <v>118.75</v>
      </c>
      <c r="O2332" s="110">
        <v>115.25</v>
      </c>
      <c r="P2332" s="110">
        <v>117.7</v>
      </c>
      <c r="Q2332" s="110">
        <v>115.95</v>
      </c>
      <c r="R2332">
        <v>30239355</v>
      </c>
    </row>
    <row r="2333" spans="1:18" x14ac:dyDescent="0.25">
      <c r="A2333" s="133">
        <v>45441</v>
      </c>
      <c r="B2333" s="110">
        <v>118.35</v>
      </c>
      <c r="C2333" s="110">
        <v>116.55</v>
      </c>
      <c r="D2333" s="110">
        <v>115.5</v>
      </c>
      <c r="E2333" s="110">
        <v>116.7</v>
      </c>
      <c r="F2333" s="110">
        <v>116.55</v>
      </c>
      <c r="G2333">
        <v>1864896</v>
      </c>
      <c r="H2333" s="110"/>
      <c r="I2333" s="110"/>
      <c r="L2333" s="133">
        <v>45441</v>
      </c>
      <c r="M2333" s="110">
        <v>116.55</v>
      </c>
      <c r="N2333" s="110">
        <v>118.45</v>
      </c>
      <c r="O2333" s="110">
        <v>115.5</v>
      </c>
      <c r="P2333" s="110">
        <v>116.4</v>
      </c>
      <c r="Q2333" s="110">
        <v>116.55</v>
      </c>
      <c r="R2333">
        <v>39784811</v>
      </c>
    </row>
    <row r="2334" spans="1:18" x14ac:dyDescent="0.25">
      <c r="A2334" s="133">
        <v>45442</v>
      </c>
      <c r="B2334" s="110">
        <v>117.6</v>
      </c>
      <c r="C2334" s="110">
        <v>115.05</v>
      </c>
      <c r="D2334" s="110">
        <v>114.8</v>
      </c>
      <c r="E2334" s="110">
        <v>116.55</v>
      </c>
      <c r="F2334" s="110">
        <v>115.05</v>
      </c>
      <c r="G2334">
        <v>2167731</v>
      </c>
      <c r="H2334" s="110"/>
      <c r="I2334" s="110"/>
      <c r="L2334" s="133">
        <v>45442</v>
      </c>
      <c r="M2334" s="110">
        <v>115.05</v>
      </c>
      <c r="N2334" s="110">
        <v>117.55</v>
      </c>
      <c r="O2334" s="110">
        <v>114.75</v>
      </c>
      <c r="P2334" s="110">
        <v>116.7</v>
      </c>
      <c r="Q2334" s="110">
        <v>115.05</v>
      </c>
      <c r="R2334">
        <v>34512065</v>
      </c>
    </row>
    <row r="2335" spans="1:18" x14ac:dyDescent="0.25">
      <c r="A2335" s="133">
        <v>45443</v>
      </c>
      <c r="B2335" s="110">
        <v>119.3</v>
      </c>
      <c r="C2335" s="110">
        <v>118</v>
      </c>
      <c r="D2335" s="110">
        <v>114.4</v>
      </c>
      <c r="E2335" s="110">
        <v>116.65</v>
      </c>
      <c r="F2335" s="110">
        <v>118</v>
      </c>
      <c r="G2335">
        <v>5413096</v>
      </c>
      <c r="H2335" s="110"/>
      <c r="I2335" s="110"/>
      <c r="L2335" s="133">
        <v>45443</v>
      </c>
      <c r="M2335" s="110">
        <v>118</v>
      </c>
      <c r="N2335" s="110">
        <v>119.35</v>
      </c>
      <c r="O2335" s="110">
        <v>114.4</v>
      </c>
      <c r="P2335" s="110">
        <v>116.5</v>
      </c>
      <c r="Q2335" s="110">
        <v>118</v>
      </c>
      <c r="R2335">
        <v>285607552</v>
      </c>
    </row>
    <row r="2336" spans="1:18" x14ac:dyDescent="0.25">
      <c r="A2336" s="133">
        <v>45446</v>
      </c>
      <c r="B2336" s="110">
        <v>128.9</v>
      </c>
      <c r="C2336" s="110">
        <v>128.05000000000001</v>
      </c>
      <c r="D2336" s="110">
        <v>122.4</v>
      </c>
      <c r="E2336" s="110">
        <v>124.05</v>
      </c>
      <c r="F2336" s="110">
        <v>128.05000000000001</v>
      </c>
      <c r="G2336">
        <v>10256461</v>
      </c>
      <c r="H2336" s="110"/>
      <c r="I2336" s="110"/>
      <c r="L2336" s="133">
        <v>45446</v>
      </c>
      <c r="M2336" s="110">
        <v>128.25</v>
      </c>
      <c r="N2336" s="110">
        <v>128.9</v>
      </c>
      <c r="O2336" s="110">
        <v>122.45</v>
      </c>
      <c r="P2336" s="110">
        <v>124.8</v>
      </c>
      <c r="Q2336" s="110">
        <v>128.25</v>
      </c>
      <c r="R2336">
        <v>93777898</v>
      </c>
    </row>
    <row r="2337" spans="1:18" x14ac:dyDescent="0.25">
      <c r="A2337" s="133">
        <v>45447</v>
      </c>
      <c r="B2337" s="110">
        <v>129.35</v>
      </c>
      <c r="C2337" s="110">
        <v>109.75</v>
      </c>
      <c r="D2337" s="110">
        <v>99.6</v>
      </c>
      <c r="E2337" s="110">
        <v>129.35</v>
      </c>
      <c r="F2337" s="110">
        <v>109.75</v>
      </c>
      <c r="G2337">
        <v>10374516</v>
      </c>
      <c r="H2337" s="110"/>
      <c r="I2337" s="110"/>
      <c r="L2337" s="133">
        <v>45447</v>
      </c>
      <c r="M2337" s="110">
        <v>109.85</v>
      </c>
      <c r="N2337" s="110">
        <v>127.8</v>
      </c>
      <c r="O2337" s="110">
        <v>96.2</v>
      </c>
      <c r="P2337" s="110">
        <v>127.8</v>
      </c>
      <c r="Q2337" s="110">
        <v>109.85</v>
      </c>
      <c r="R2337">
        <v>200212291</v>
      </c>
    </row>
    <row r="2338" spans="1:18" x14ac:dyDescent="0.25">
      <c r="A2338" s="133">
        <v>45448</v>
      </c>
      <c r="B2338" s="110">
        <v>116.3</v>
      </c>
      <c r="C2338" s="110">
        <v>115.25</v>
      </c>
      <c r="D2338" s="110">
        <v>104.85</v>
      </c>
      <c r="E2338" s="110">
        <v>115.4</v>
      </c>
      <c r="F2338" s="110">
        <v>115.25</v>
      </c>
      <c r="G2338">
        <v>3551047</v>
      </c>
      <c r="H2338" s="110"/>
      <c r="I2338" s="110"/>
      <c r="L2338" s="133">
        <v>45448</v>
      </c>
      <c r="M2338" s="110">
        <v>115.2</v>
      </c>
      <c r="N2338" s="110">
        <v>116.3</v>
      </c>
      <c r="O2338" s="110">
        <v>104.7</v>
      </c>
      <c r="P2338" s="110">
        <v>115.2</v>
      </c>
      <c r="Q2338" s="110">
        <v>115.2</v>
      </c>
      <c r="R2338">
        <v>105580249</v>
      </c>
    </row>
    <row r="2339" spans="1:18" x14ac:dyDescent="0.25">
      <c r="A2339" s="133">
        <v>45449</v>
      </c>
      <c r="B2339" s="110">
        <v>120.5</v>
      </c>
      <c r="C2339" s="110">
        <v>118.05</v>
      </c>
      <c r="D2339" s="110">
        <v>116.45</v>
      </c>
      <c r="E2339" s="110">
        <v>117.6</v>
      </c>
      <c r="F2339" s="110">
        <v>118.05</v>
      </c>
      <c r="G2339">
        <v>6016800</v>
      </c>
      <c r="H2339" s="110"/>
      <c r="I2339" s="110"/>
      <c r="L2339" s="133">
        <v>45449</v>
      </c>
      <c r="M2339" s="110">
        <v>118</v>
      </c>
      <c r="N2339" s="110">
        <v>120.6</v>
      </c>
      <c r="O2339" s="110">
        <v>116.5</v>
      </c>
      <c r="P2339" s="110">
        <v>117.6</v>
      </c>
      <c r="Q2339" s="110">
        <v>118</v>
      </c>
      <c r="R2339">
        <v>52416611</v>
      </c>
    </row>
    <row r="2340" spans="1:18" x14ac:dyDescent="0.25">
      <c r="A2340" s="133">
        <v>45450</v>
      </c>
      <c r="B2340" s="110">
        <v>119.6</v>
      </c>
      <c r="C2340" s="110">
        <v>118.9</v>
      </c>
      <c r="D2340" s="110">
        <v>117.95</v>
      </c>
      <c r="E2340" s="110">
        <v>119.05</v>
      </c>
      <c r="F2340" s="110">
        <v>118.9</v>
      </c>
      <c r="G2340">
        <v>3479959</v>
      </c>
      <c r="H2340" s="110"/>
      <c r="I2340" s="110"/>
      <c r="L2340" s="133">
        <v>45450</v>
      </c>
      <c r="M2340" s="110">
        <v>118.9</v>
      </c>
      <c r="N2340" s="110">
        <v>119.6</v>
      </c>
      <c r="O2340" s="110">
        <v>118</v>
      </c>
      <c r="P2340" s="110">
        <v>119.45</v>
      </c>
      <c r="Q2340" s="110">
        <v>118.9</v>
      </c>
      <c r="R2340">
        <v>40419251</v>
      </c>
    </row>
    <row r="2341" spans="1:18" x14ac:dyDescent="0.25">
      <c r="A2341" s="133">
        <v>45453</v>
      </c>
      <c r="B2341" s="110">
        <v>122.75</v>
      </c>
      <c r="C2341" s="110">
        <v>121</v>
      </c>
      <c r="D2341" s="110">
        <v>120</v>
      </c>
      <c r="E2341" s="110">
        <v>120</v>
      </c>
      <c r="F2341" s="110">
        <v>121</v>
      </c>
      <c r="G2341">
        <v>3392210</v>
      </c>
      <c r="H2341" s="110"/>
      <c r="I2341" s="110"/>
      <c r="L2341" s="133">
        <v>45453</v>
      </c>
      <c r="M2341" s="110">
        <v>121.03</v>
      </c>
      <c r="N2341" s="110">
        <v>122.7</v>
      </c>
      <c r="O2341" s="110">
        <v>120</v>
      </c>
      <c r="P2341" s="110">
        <v>120</v>
      </c>
      <c r="Q2341" s="110">
        <v>121.03</v>
      </c>
      <c r="R2341">
        <v>43824793</v>
      </c>
    </row>
    <row r="2342" spans="1:18" x14ac:dyDescent="0.25">
      <c r="A2342" s="133">
        <v>45454</v>
      </c>
      <c r="B2342" s="110">
        <v>123</v>
      </c>
      <c r="C2342" s="110">
        <v>121.35</v>
      </c>
      <c r="D2342" s="110">
        <v>120.75</v>
      </c>
      <c r="E2342" s="110">
        <v>121.25</v>
      </c>
      <c r="F2342" s="110">
        <v>121.35</v>
      </c>
      <c r="G2342">
        <v>1288756</v>
      </c>
      <c r="H2342" s="110"/>
      <c r="I2342" s="110"/>
      <c r="L2342" s="133">
        <v>45454</v>
      </c>
      <c r="M2342" s="110">
        <v>121.23</v>
      </c>
      <c r="N2342" s="110">
        <v>123.09</v>
      </c>
      <c r="O2342" s="110">
        <v>120.75</v>
      </c>
      <c r="P2342" s="110">
        <v>121.5</v>
      </c>
      <c r="Q2342" s="110">
        <v>121.23</v>
      </c>
      <c r="R2342">
        <v>37514599</v>
      </c>
    </row>
    <row r="2343" spans="1:18" x14ac:dyDescent="0.25">
      <c r="A2343" s="133">
        <v>45455</v>
      </c>
      <c r="B2343" s="110">
        <v>123.5</v>
      </c>
      <c r="C2343" s="110">
        <v>122.85</v>
      </c>
      <c r="D2343" s="110">
        <v>121.5</v>
      </c>
      <c r="E2343" s="110">
        <v>122</v>
      </c>
      <c r="F2343" s="110">
        <v>122.85</v>
      </c>
      <c r="G2343">
        <v>2797750</v>
      </c>
      <c r="H2343" s="110"/>
      <c r="I2343" s="110"/>
      <c r="L2343" s="133">
        <v>45455</v>
      </c>
      <c r="M2343" s="110">
        <v>122.79</v>
      </c>
      <c r="N2343" s="110">
        <v>123.5</v>
      </c>
      <c r="O2343" s="110">
        <v>121.5</v>
      </c>
      <c r="P2343" s="110">
        <v>122</v>
      </c>
      <c r="Q2343" s="110">
        <v>122.79</v>
      </c>
      <c r="R2343">
        <v>39113054</v>
      </c>
    </row>
    <row r="2344" spans="1:18" x14ac:dyDescent="0.25">
      <c r="A2344" s="133">
        <v>45456</v>
      </c>
      <c r="B2344" s="110">
        <v>125</v>
      </c>
      <c r="C2344" s="110">
        <v>122</v>
      </c>
      <c r="D2344" s="110">
        <v>121.35</v>
      </c>
      <c r="E2344" s="110">
        <v>124.5</v>
      </c>
      <c r="F2344" s="110">
        <v>122</v>
      </c>
      <c r="G2344">
        <v>3275501</v>
      </c>
      <c r="H2344" s="110"/>
      <c r="I2344" s="110"/>
      <c r="L2344" s="133">
        <v>45456</v>
      </c>
      <c r="M2344" s="110">
        <v>121.92</v>
      </c>
      <c r="N2344" s="110">
        <v>125</v>
      </c>
      <c r="O2344" s="110">
        <v>121.4</v>
      </c>
      <c r="P2344" s="110">
        <v>124.51</v>
      </c>
      <c r="Q2344" s="110">
        <v>121.92</v>
      </c>
      <c r="R2344">
        <v>62531469</v>
      </c>
    </row>
    <row r="2345" spans="1:18" x14ac:dyDescent="0.25">
      <c r="A2345" s="133">
        <v>45457</v>
      </c>
      <c r="B2345" s="110">
        <v>121</v>
      </c>
      <c r="C2345" s="110">
        <v>120.8</v>
      </c>
      <c r="D2345" s="110">
        <v>119.35</v>
      </c>
      <c r="E2345" s="110">
        <v>119.85</v>
      </c>
      <c r="F2345" s="110">
        <v>120.8</v>
      </c>
      <c r="G2345">
        <v>2185042</v>
      </c>
      <c r="H2345" s="110"/>
      <c r="I2345" s="110"/>
      <c r="L2345" s="133">
        <v>45457</v>
      </c>
      <c r="M2345" s="110">
        <v>120.81</v>
      </c>
      <c r="N2345" s="110">
        <v>120.99</v>
      </c>
      <c r="O2345" s="110">
        <v>119.3</v>
      </c>
      <c r="P2345" s="110">
        <v>120</v>
      </c>
      <c r="Q2345" s="110">
        <v>120.81</v>
      </c>
      <c r="R2345">
        <v>32576803</v>
      </c>
    </row>
    <row r="2346" spans="1:18" x14ac:dyDescent="0.25">
      <c r="A2346" s="133">
        <v>45461</v>
      </c>
      <c r="B2346" s="110">
        <v>122.5</v>
      </c>
      <c r="C2346" s="110">
        <v>121.85</v>
      </c>
      <c r="D2346" s="110">
        <v>121.35</v>
      </c>
      <c r="E2346" s="110">
        <v>122.15</v>
      </c>
      <c r="F2346" s="110">
        <v>121.85</v>
      </c>
      <c r="G2346">
        <v>1087537</v>
      </c>
      <c r="H2346" s="110"/>
      <c r="I2346" s="110"/>
      <c r="L2346" s="133">
        <v>45461</v>
      </c>
      <c r="M2346" s="110">
        <v>121.88</v>
      </c>
      <c r="N2346" s="110">
        <v>122.5</v>
      </c>
      <c r="O2346" s="110">
        <v>121.32</v>
      </c>
      <c r="P2346" s="110">
        <v>121.85</v>
      </c>
      <c r="Q2346" s="110">
        <v>121.88</v>
      </c>
      <c r="R2346">
        <v>33945927</v>
      </c>
    </row>
    <row r="2347" spans="1:18" x14ac:dyDescent="0.25">
      <c r="A2347" s="133">
        <v>45462</v>
      </c>
      <c r="B2347" s="110">
        <v>122.8</v>
      </c>
      <c r="C2347" s="110">
        <v>121.2</v>
      </c>
      <c r="D2347" s="110">
        <v>120.6</v>
      </c>
      <c r="E2347" s="110">
        <v>122</v>
      </c>
      <c r="F2347" s="110">
        <v>121.2</v>
      </c>
      <c r="G2347">
        <v>1106104</v>
      </c>
      <c r="H2347" s="110"/>
      <c r="I2347" s="110"/>
      <c r="L2347" s="133">
        <v>45462</v>
      </c>
      <c r="M2347" s="110">
        <v>121.16</v>
      </c>
      <c r="N2347" s="110">
        <v>122.85</v>
      </c>
      <c r="O2347" s="110">
        <v>120.61</v>
      </c>
      <c r="P2347" s="110">
        <v>121.89</v>
      </c>
      <c r="Q2347" s="110">
        <v>121.16</v>
      </c>
      <c r="R2347">
        <v>45620625</v>
      </c>
    </row>
    <row r="2348" spans="1:18" x14ac:dyDescent="0.25">
      <c r="A2348" s="133">
        <v>45463</v>
      </c>
      <c r="B2348" s="110">
        <v>122.2</v>
      </c>
      <c r="C2348" s="110">
        <v>121.2</v>
      </c>
      <c r="D2348" s="110">
        <v>120.9</v>
      </c>
      <c r="E2348" s="110">
        <v>121.25</v>
      </c>
      <c r="F2348" s="110">
        <v>121.2</v>
      </c>
      <c r="G2348">
        <v>2138662</v>
      </c>
      <c r="H2348" s="110"/>
      <c r="I2348" s="110"/>
      <c r="L2348" s="133">
        <v>45463</v>
      </c>
      <c r="M2348" s="110">
        <v>121.2</v>
      </c>
      <c r="N2348" s="110">
        <v>122.2</v>
      </c>
      <c r="O2348" s="110">
        <v>120.93</v>
      </c>
      <c r="P2348" s="110">
        <v>121.5</v>
      </c>
      <c r="Q2348" s="110">
        <v>121.2</v>
      </c>
      <c r="R2348">
        <v>19050406</v>
      </c>
    </row>
    <row r="2349" spans="1:18" x14ac:dyDescent="0.25">
      <c r="A2349" s="133">
        <v>45464</v>
      </c>
      <c r="B2349" s="110">
        <v>121.6</v>
      </c>
      <c r="C2349" s="110">
        <v>119.05</v>
      </c>
      <c r="D2349" s="110">
        <v>118.6</v>
      </c>
      <c r="E2349" s="110">
        <v>121.45</v>
      </c>
      <c r="F2349" s="110">
        <v>119.05</v>
      </c>
      <c r="G2349">
        <v>2057096</v>
      </c>
      <c r="H2349" s="110"/>
      <c r="I2349" s="110"/>
      <c r="L2349" s="133">
        <v>45464</v>
      </c>
      <c r="M2349" s="110">
        <v>119.12</v>
      </c>
      <c r="N2349" s="110">
        <v>121.79</v>
      </c>
      <c r="O2349" s="110">
        <v>118.5</v>
      </c>
      <c r="P2349" s="110">
        <v>121.3</v>
      </c>
      <c r="Q2349" s="110">
        <v>119.12</v>
      </c>
      <c r="R2349">
        <v>32273022</v>
      </c>
    </row>
    <row r="2350" spans="1:18" x14ac:dyDescent="0.25">
      <c r="A2350" s="133">
        <v>45467</v>
      </c>
      <c r="B2350" s="110">
        <v>121.5</v>
      </c>
      <c r="C2350" s="110">
        <v>118.25</v>
      </c>
      <c r="D2350" s="110">
        <v>116.2</v>
      </c>
      <c r="E2350" s="110">
        <v>118.45</v>
      </c>
      <c r="F2350" s="110">
        <v>118.25</v>
      </c>
      <c r="G2350">
        <v>1413106</v>
      </c>
      <c r="H2350" s="110"/>
      <c r="I2350" s="110"/>
      <c r="L2350" s="133">
        <v>45467</v>
      </c>
      <c r="M2350" s="110">
        <v>118.27</v>
      </c>
      <c r="N2350" s="110">
        <v>121.57</v>
      </c>
      <c r="O2350" s="110">
        <v>116.21</v>
      </c>
      <c r="P2350" s="110">
        <v>118</v>
      </c>
      <c r="Q2350" s="110">
        <v>118.27</v>
      </c>
      <c r="R2350">
        <v>44230331</v>
      </c>
    </row>
    <row r="2351" spans="1:18" x14ac:dyDescent="0.25">
      <c r="A2351" s="133">
        <v>45468</v>
      </c>
      <c r="B2351" s="110">
        <v>119.75</v>
      </c>
      <c r="C2351" s="110">
        <v>118</v>
      </c>
      <c r="D2351" s="110">
        <v>116.85</v>
      </c>
      <c r="E2351" s="110">
        <v>118.55</v>
      </c>
      <c r="F2351" s="110">
        <v>118</v>
      </c>
      <c r="G2351">
        <v>1328183</v>
      </c>
      <c r="H2351" s="110"/>
      <c r="I2351" s="110"/>
      <c r="L2351" s="133">
        <v>45468</v>
      </c>
      <c r="M2351" s="110">
        <v>118.05</v>
      </c>
      <c r="N2351" s="110">
        <v>119.74</v>
      </c>
      <c r="O2351" s="110">
        <v>116.85</v>
      </c>
      <c r="P2351" s="110">
        <v>119.24</v>
      </c>
      <c r="Q2351" s="110">
        <v>118.05</v>
      </c>
      <c r="R2351">
        <v>36965833</v>
      </c>
    </row>
    <row r="2352" spans="1:18" x14ac:dyDescent="0.25">
      <c r="A2352" s="133">
        <v>45469</v>
      </c>
      <c r="B2352" s="110">
        <v>119.4</v>
      </c>
      <c r="C2352" s="110">
        <v>118.65</v>
      </c>
      <c r="D2352" s="110">
        <v>117.3</v>
      </c>
      <c r="E2352" s="110">
        <v>118.95</v>
      </c>
      <c r="F2352" s="110">
        <v>118.65</v>
      </c>
      <c r="G2352">
        <v>639706</v>
      </c>
      <c r="H2352" s="110"/>
      <c r="I2352" s="110"/>
      <c r="L2352" s="133">
        <v>45469</v>
      </c>
      <c r="M2352" s="110">
        <v>118.69</v>
      </c>
      <c r="N2352" s="110">
        <v>119.37</v>
      </c>
      <c r="O2352" s="110">
        <v>117.21</v>
      </c>
      <c r="P2352" s="110">
        <v>117.95</v>
      </c>
      <c r="Q2352" s="110">
        <v>118.69</v>
      </c>
      <c r="R2352">
        <v>21602758</v>
      </c>
    </row>
    <row r="2353" spans="1:18" x14ac:dyDescent="0.25">
      <c r="A2353" s="133">
        <v>45470</v>
      </c>
      <c r="B2353" s="110">
        <v>119.5</v>
      </c>
      <c r="C2353" s="110">
        <v>118</v>
      </c>
      <c r="D2353" s="110">
        <v>116.9</v>
      </c>
      <c r="E2353" s="110">
        <v>118.5</v>
      </c>
      <c r="F2353" s="110">
        <v>118</v>
      </c>
      <c r="G2353">
        <v>2320506</v>
      </c>
      <c r="H2353" s="110"/>
      <c r="I2353" s="110"/>
      <c r="L2353" s="133">
        <v>45470</v>
      </c>
      <c r="M2353" s="110">
        <v>118.11</v>
      </c>
      <c r="N2353" s="110">
        <v>119.4</v>
      </c>
      <c r="O2353" s="110">
        <v>116.84</v>
      </c>
      <c r="P2353" s="110">
        <v>118.18</v>
      </c>
      <c r="Q2353" s="110">
        <v>118.11</v>
      </c>
      <c r="R2353">
        <v>28134054</v>
      </c>
    </row>
    <row r="2354" spans="1:18" x14ac:dyDescent="0.25">
      <c r="A2354" s="133">
        <v>45471</v>
      </c>
      <c r="B2354" s="110">
        <v>121.9</v>
      </c>
      <c r="C2354" s="110">
        <v>119.4</v>
      </c>
      <c r="D2354" s="110">
        <v>118.1</v>
      </c>
      <c r="E2354" s="110">
        <v>118.1</v>
      </c>
      <c r="F2354" s="110">
        <v>119.4</v>
      </c>
      <c r="G2354">
        <v>1072511</v>
      </c>
      <c r="H2354" s="110"/>
      <c r="I2354" s="110"/>
      <c r="L2354" s="133">
        <v>45471</v>
      </c>
      <c r="M2354" s="110">
        <v>119.47</v>
      </c>
      <c r="N2354" s="110">
        <v>121.89</v>
      </c>
      <c r="O2354" s="110">
        <v>118.25</v>
      </c>
      <c r="P2354" s="110">
        <v>118.25</v>
      </c>
      <c r="Q2354" s="110">
        <v>119.47</v>
      </c>
      <c r="R2354">
        <v>43712892</v>
      </c>
    </row>
    <row r="2355" spans="1:18" x14ac:dyDescent="0.25">
      <c r="A2355" s="133">
        <v>45474</v>
      </c>
      <c r="B2355" s="110">
        <v>120.2</v>
      </c>
      <c r="C2355" s="110">
        <v>118.25</v>
      </c>
      <c r="D2355" s="110">
        <v>117.95</v>
      </c>
      <c r="E2355" s="110">
        <v>119.5</v>
      </c>
      <c r="F2355" s="110">
        <v>118.25</v>
      </c>
      <c r="G2355">
        <v>1051278</v>
      </c>
      <c r="H2355" s="110"/>
      <c r="I2355" s="110"/>
      <c r="L2355" s="133">
        <v>45474</v>
      </c>
      <c r="M2355" s="110">
        <v>118.36</v>
      </c>
      <c r="N2355" s="110">
        <v>120.19</v>
      </c>
      <c r="O2355" s="110">
        <v>117.9</v>
      </c>
      <c r="P2355" s="110">
        <v>119.35</v>
      </c>
      <c r="Q2355" s="110">
        <v>118.36</v>
      </c>
      <c r="R2355">
        <v>20506793</v>
      </c>
    </row>
    <row r="2356" spans="1:18" x14ac:dyDescent="0.25">
      <c r="A2356" s="133">
        <v>45475</v>
      </c>
      <c r="B2356" s="110">
        <v>118.95</v>
      </c>
      <c r="C2356" s="110">
        <v>116.25</v>
      </c>
      <c r="D2356" s="110">
        <v>115.5</v>
      </c>
      <c r="E2356" s="110">
        <v>118.95</v>
      </c>
      <c r="F2356" s="110">
        <v>116.25</v>
      </c>
      <c r="G2356">
        <v>2206340</v>
      </c>
      <c r="H2356" s="110"/>
      <c r="I2356" s="110"/>
      <c r="L2356" s="133">
        <v>45475</v>
      </c>
      <c r="M2356" s="110">
        <v>116.25</v>
      </c>
      <c r="N2356" s="110">
        <v>118.98</v>
      </c>
      <c r="O2356" s="110">
        <v>115.5</v>
      </c>
      <c r="P2356" s="110">
        <v>118.8</v>
      </c>
      <c r="Q2356" s="110">
        <v>116.25</v>
      </c>
      <c r="R2356">
        <v>23399374</v>
      </c>
    </row>
    <row r="2357" spans="1:18" x14ac:dyDescent="0.25">
      <c r="A2357" s="133">
        <v>45476</v>
      </c>
      <c r="B2357" s="110">
        <v>117.95</v>
      </c>
      <c r="C2357" s="110">
        <v>117</v>
      </c>
      <c r="D2357" s="110">
        <v>116.5</v>
      </c>
      <c r="E2357" s="110">
        <v>117</v>
      </c>
      <c r="F2357" s="110">
        <v>117</v>
      </c>
      <c r="G2357">
        <v>1815560</v>
      </c>
      <c r="H2357" s="110"/>
      <c r="I2357" s="110"/>
      <c r="L2357" s="133">
        <v>45476</v>
      </c>
      <c r="M2357" s="110">
        <v>117.05</v>
      </c>
      <c r="N2357" s="110">
        <v>117.99</v>
      </c>
      <c r="O2357" s="110">
        <v>116.5</v>
      </c>
      <c r="P2357" s="110">
        <v>117.1</v>
      </c>
      <c r="Q2357" s="110">
        <v>117.05</v>
      </c>
      <c r="R2357">
        <v>16011335</v>
      </c>
    </row>
    <row r="2358" spans="1:18" x14ac:dyDescent="0.25">
      <c r="A2358" s="133">
        <v>45477</v>
      </c>
      <c r="B2358" s="110">
        <v>118</v>
      </c>
      <c r="C2358" s="110">
        <v>117.25</v>
      </c>
      <c r="D2358" s="110">
        <v>116.4</v>
      </c>
      <c r="E2358" s="110">
        <v>117.2</v>
      </c>
      <c r="F2358" s="110">
        <v>117.25</v>
      </c>
      <c r="G2358">
        <v>1215211</v>
      </c>
      <c r="H2358" s="110"/>
      <c r="I2358" s="110"/>
      <c r="L2358" s="133">
        <v>45477</v>
      </c>
      <c r="M2358" s="110">
        <v>117.27</v>
      </c>
      <c r="N2358" s="110">
        <v>118</v>
      </c>
      <c r="O2358" s="110">
        <v>116.35</v>
      </c>
      <c r="P2358" s="110">
        <v>117.7</v>
      </c>
      <c r="Q2358" s="110">
        <v>117.27</v>
      </c>
      <c r="R2358">
        <v>20110432</v>
      </c>
    </row>
    <row r="2359" spans="1:18" x14ac:dyDescent="0.25">
      <c r="A2359" s="133">
        <v>45478</v>
      </c>
      <c r="B2359" s="110">
        <v>117.95</v>
      </c>
      <c r="C2359" s="110">
        <v>117.8</v>
      </c>
      <c r="D2359" s="110">
        <v>116.35</v>
      </c>
      <c r="E2359" s="110">
        <v>117</v>
      </c>
      <c r="F2359" s="110">
        <v>117.8</v>
      </c>
      <c r="G2359">
        <v>597766</v>
      </c>
      <c r="H2359" s="110"/>
      <c r="I2359" s="110"/>
      <c r="L2359" s="133">
        <v>45478</v>
      </c>
      <c r="M2359" s="110">
        <v>117.76</v>
      </c>
      <c r="N2359" s="110">
        <v>117.98</v>
      </c>
      <c r="O2359" s="110">
        <v>116.52</v>
      </c>
      <c r="P2359" s="110">
        <v>117</v>
      </c>
      <c r="Q2359" s="110">
        <v>117.76</v>
      </c>
      <c r="R2359">
        <v>20103764</v>
      </c>
    </row>
    <row r="2360" spans="1:18" x14ac:dyDescent="0.25">
      <c r="A2360" s="133">
        <v>45481</v>
      </c>
      <c r="B2360" s="110">
        <v>118</v>
      </c>
      <c r="C2360" s="110">
        <v>114.9</v>
      </c>
      <c r="D2360" s="110">
        <v>114.6</v>
      </c>
      <c r="E2360" s="110">
        <v>117.75</v>
      </c>
      <c r="F2360" s="110">
        <v>114.9</v>
      </c>
      <c r="G2360">
        <v>2046499</v>
      </c>
      <c r="H2360" s="110"/>
      <c r="I2360" s="110"/>
      <c r="L2360" s="133">
        <v>45481</v>
      </c>
      <c r="M2360" s="110">
        <v>114.89</v>
      </c>
      <c r="N2360" s="110">
        <v>118.08</v>
      </c>
      <c r="O2360" s="110">
        <v>114.66</v>
      </c>
      <c r="P2360" s="110">
        <v>117.5</v>
      </c>
      <c r="Q2360" s="110">
        <v>114.89</v>
      </c>
      <c r="R2360">
        <v>34032815</v>
      </c>
    </row>
    <row r="2361" spans="1:18" x14ac:dyDescent="0.25">
      <c r="A2361" s="133">
        <v>45482</v>
      </c>
      <c r="B2361" s="110">
        <v>117.25</v>
      </c>
      <c r="C2361" s="110">
        <v>116</v>
      </c>
      <c r="D2361" s="110">
        <v>114.9</v>
      </c>
      <c r="E2361" s="110">
        <v>115.55</v>
      </c>
      <c r="F2361" s="110">
        <v>116</v>
      </c>
      <c r="G2361">
        <v>1999638</v>
      </c>
      <c r="H2361" s="110"/>
      <c r="I2361" s="110"/>
      <c r="L2361" s="133">
        <v>45482</v>
      </c>
      <c r="M2361" s="110">
        <v>116</v>
      </c>
      <c r="N2361" s="110">
        <v>117.25</v>
      </c>
      <c r="O2361" s="110">
        <v>114.9</v>
      </c>
      <c r="P2361" s="110">
        <v>115</v>
      </c>
      <c r="Q2361" s="110">
        <v>116</v>
      </c>
      <c r="R2361">
        <v>32861024</v>
      </c>
    </row>
    <row r="2362" spans="1:18" x14ac:dyDescent="0.25">
      <c r="A2362" s="133">
        <v>45483</v>
      </c>
      <c r="B2362" s="110">
        <v>116.4</v>
      </c>
      <c r="C2362" s="110">
        <v>114.7</v>
      </c>
      <c r="D2362" s="110">
        <v>113</v>
      </c>
      <c r="E2362" s="110">
        <v>116.4</v>
      </c>
      <c r="F2362" s="110">
        <v>114.7</v>
      </c>
      <c r="G2362">
        <v>1593403</v>
      </c>
      <c r="H2362" s="110"/>
      <c r="I2362" s="110"/>
      <c r="L2362" s="133">
        <v>45483</v>
      </c>
      <c r="M2362" s="110">
        <v>114.76</v>
      </c>
      <c r="N2362" s="110">
        <v>116.25</v>
      </c>
      <c r="O2362" s="110">
        <v>112.9</v>
      </c>
      <c r="P2362" s="110">
        <v>116.25</v>
      </c>
      <c r="Q2362" s="110">
        <v>114.76</v>
      </c>
      <c r="R2362">
        <v>22991042</v>
      </c>
    </row>
    <row r="2363" spans="1:18" x14ac:dyDescent="0.25">
      <c r="A2363" s="133">
        <v>45484</v>
      </c>
      <c r="B2363" s="110">
        <v>115.45</v>
      </c>
      <c r="C2363" s="110">
        <v>114.1</v>
      </c>
      <c r="D2363" s="110">
        <v>113.85</v>
      </c>
      <c r="E2363" s="110">
        <v>115.45</v>
      </c>
      <c r="F2363" s="110">
        <v>114.1</v>
      </c>
      <c r="G2363">
        <v>473388</v>
      </c>
      <c r="H2363" s="110"/>
      <c r="I2363" s="110"/>
      <c r="L2363" s="133">
        <v>45484</v>
      </c>
      <c r="M2363" s="110">
        <v>114.15</v>
      </c>
      <c r="N2363" s="110">
        <v>115.45</v>
      </c>
      <c r="O2363" s="110">
        <v>113.8</v>
      </c>
      <c r="P2363" s="110">
        <v>115.3</v>
      </c>
      <c r="Q2363" s="110">
        <v>114.15</v>
      </c>
      <c r="R2363">
        <v>13553009</v>
      </c>
    </row>
    <row r="2364" spans="1:18" x14ac:dyDescent="0.25">
      <c r="A2364" s="133">
        <v>45485</v>
      </c>
      <c r="B2364" s="110">
        <v>114.75</v>
      </c>
      <c r="C2364" s="110">
        <v>112.7</v>
      </c>
      <c r="D2364" s="110">
        <v>112.4</v>
      </c>
      <c r="E2364" s="110">
        <v>114.7</v>
      </c>
      <c r="F2364" s="110">
        <v>112.7</v>
      </c>
      <c r="G2364">
        <v>583474</v>
      </c>
      <c r="H2364" s="110"/>
      <c r="I2364" s="110"/>
      <c r="L2364" s="133">
        <v>45485</v>
      </c>
      <c r="M2364" s="110">
        <v>112.72</v>
      </c>
      <c r="N2364" s="110">
        <v>114.8</v>
      </c>
      <c r="O2364" s="110">
        <v>112.3</v>
      </c>
      <c r="P2364" s="110">
        <v>114.73</v>
      </c>
      <c r="Q2364" s="110">
        <v>112.72</v>
      </c>
      <c r="R2364">
        <v>22397084</v>
      </c>
    </row>
    <row r="2365" spans="1:18" x14ac:dyDescent="0.25">
      <c r="A2365" s="133">
        <v>45488</v>
      </c>
      <c r="B2365" s="110">
        <v>117.55</v>
      </c>
      <c r="C2365" s="110">
        <v>117.25</v>
      </c>
      <c r="D2365" s="110">
        <v>112.5</v>
      </c>
      <c r="E2365" s="110">
        <v>113.65</v>
      </c>
      <c r="F2365" s="110">
        <v>117.25</v>
      </c>
      <c r="G2365">
        <v>2234351</v>
      </c>
      <c r="H2365" s="110"/>
      <c r="I2365" s="110"/>
      <c r="L2365" s="133">
        <v>45488</v>
      </c>
      <c r="M2365" s="110">
        <v>117.25</v>
      </c>
      <c r="N2365" s="110">
        <v>117.55</v>
      </c>
      <c r="O2365" s="110">
        <v>112.4</v>
      </c>
      <c r="P2365" s="110">
        <v>113.25</v>
      </c>
      <c r="Q2365" s="110">
        <v>117.25</v>
      </c>
      <c r="R2365">
        <v>49372062</v>
      </c>
    </row>
    <row r="2366" spans="1:18" x14ac:dyDescent="0.25">
      <c r="A2366" s="133">
        <v>45489</v>
      </c>
      <c r="B2366" s="110">
        <v>118.2</v>
      </c>
      <c r="C2366" s="110">
        <v>116.05</v>
      </c>
      <c r="D2366" s="110">
        <v>115.6</v>
      </c>
      <c r="E2366" s="110">
        <v>117.75</v>
      </c>
      <c r="F2366" s="110">
        <v>116.05</v>
      </c>
      <c r="G2366">
        <v>1495100</v>
      </c>
      <c r="H2366" s="110"/>
      <c r="I2366" s="110"/>
      <c r="L2366" s="133">
        <v>45489</v>
      </c>
      <c r="M2366" s="110">
        <v>116.04</v>
      </c>
      <c r="N2366" s="110">
        <v>118.11</v>
      </c>
      <c r="O2366" s="110">
        <v>115.6</v>
      </c>
      <c r="P2366" s="110">
        <v>117.6</v>
      </c>
      <c r="Q2366" s="110">
        <v>116.04</v>
      </c>
      <c r="R2366">
        <v>34514206</v>
      </c>
    </row>
    <row r="2367" spans="1:18" x14ac:dyDescent="0.25">
      <c r="A2367" s="133">
        <v>45491</v>
      </c>
      <c r="B2367" s="110">
        <v>117.6</v>
      </c>
      <c r="C2367" s="110">
        <v>115.8</v>
      </c>
      <c r="D2367" s="110">
        <v>114.75</v>
      </c>
      <c r="E2367" s="110">
        <v>116</v>
      </c>
      <c r="F2367" s="110">
        <v>115.8</v>
      </c>
      <c r="G2367">
        <v>3210151</v>
      </c>
      <c r="H2367" s="110"/>
      <c r="I2367" s="110"/>
      <c r="L2367" s="133">
        <v>45491</v>
      </c>
      <c r="M2367" s="110">
        <v>115.77</v>
      </c>
      <c r="N2367" s="110">
        <v>117.59</v>
      </c>
      <c r="O2367" s="110">
        <v>114.73</v>
      </c>
      <c r="P2367" s="110">
        <v>116.04</v>
      </c>
      <c r="Q2367" s="110">
        <v>115.77</v>
      </c>
      <c r="R2367">
        <v>24517941</v>
      </c>
    </row>
    <row r="2368" spans="1:18" x14ac:dyDescent="0.25">
      <c r="A2368" s="133">
        <v>45492</v>
      </c>
      <c r="B2368" s="110">
        <v>116.75</v>
      </c>
      <c r="C2368" s="110">
        <v>112.85</v>
      </c>
      <c r="D2368" s="110">
        <v>112.25</v>
      </c>
      <c r="E2368" s="110">
        <v>115.8</v>
      </c>
      <c r="F2368" s="110">
        <v>112.85</v>
      </c>
      <c r="G2368">
        <v>1760865</v>
      </c>
      <c r="H2368" s="110"/>
      <c r="I2368" s="110"/>
      <c r="L2368" s="133">
        <v>45492</v>
      </c>
      <c r="M2368" s="110">
        <v>112.89</v>
      </c>
      <c r="N2368" s="110">
        <v>116.8</v>
      </c>
      <c r="O2368" s="110">
        <v>112.33</v>
      </c>
      <c r="P2368" s="110">
        <v>115.8</v>
      </c>
      <c r="Q2368" s="110">
        <v>112.89</v>
      </c>
      <c r="R2368">
        <v>33377806</v>
      </c>
    </row>
    <row r="2369" spans="1:18" x14ac:dyDescent="0.25">
      <c r="A2369" s="133">
        <v>45495</v>
      </c>
      <c r="B2369" s="110">
        <v>115.5</v>
      </c>
      <c r="C2369" s="110">
        <v>114.8</v>
      </c>
      <c r="D2369" s="110">
        <v>110.95</v>
      </c>
      <c r="E2369" s="110">
        <v>112.85</v>
      </c>
      <c r="F2369" s="110">
        <v>114.8</v>
      </c>
      <c r="G2369">
        <v>952724</v>
      </c>
      <c r="H2369" s="110"/>
      <c r="I2369" s="110"/>
      <c r="L2369" s="133">
        <v>45495</v>
      </c>
      <c r="M2369" s="110">
        <v>114.76</v>
      </c>
      <c r="N2369" s="110">
        <v>115.49</v>
      </c>
      <c r="O2369" s="110">
        <v>111.03</v>
      </c>
      <c r="P2369" s="110">
        <v>112.8</v>
      </c>
      <c r="Q2369" s="110">
        <v>114.76</v>
      </c>
      <c r="R2369">
        <v>21519135</v>
      </c>
    </row>
    <row r="2370" spans="1:18" x14ac:dyDescent="0.25">
      <c r="A2370" s="133">
        <v>45496</v>
      </c>
      <c r="B2370" s="110">
        <v>115.35</v>
      </c>
      <c r="C2370" s="110">
        <v>112.85</v>
      </c>
      <c r="D2370" s="110">
        <v>109</v>
      </c>
      <c r="E2370" s="110">
        <v>115.05</v>
      </c>
      <c r="F2370" s="110">
        <v>112.85</v>
      </c>
      <c r="G2370">
        <v>3215073</v>
      </c>
      <c r="H2370" s="110"/>
      <c r="I2370" s="110"/>
      <c r="L2370" s="133">
        <v>45496</v>
      </c>
      <c r="M2370" s="110">
        <v>112.86</v>
      </c>
      <c r="N2370" s="110">
        <v>115.4</v>
      </c>
      <c r="O2370" s="110">
        <v>109</v>
      </c>
      <c r="P2370" s="110">
        <v>115.4</v>
      </c>
      <c r="Q2370" s="110">
        <v>112.86</v>
      </c>
      <c r="R2370">
        <v>26483458</v>
      </c>
    </row>
    <row r="2371" spans="1:18" x14ac:dyDescent="0.25">
      <c r="A2371" s="133">
        <v>45497</v>
      </c>
      <c r="B2371" s="110">
        <v>113.9</v>
      </c>
      <c r="C2371" s="110">
        <v>112.5</v>
      </c>
      <c r="D2371" s="110">
        <v>111.6</v>
      </c>
      <c r="E2371" s="110">
        <v>112.65</v>
      </c>
      <c r="F2371" s="110">
        <v>112.5</v>
      </c>
      <c r="G2371">
        <v>1196157</v>
      </c>
      <c r="H2371" s="110"/>
      <c r="I2371" s="110"/>
      <c r="L2371" s="133">
        <v>45497</v>
      </c>
      <c r="M2371" s="110">
        <v>112.46</v>
      </c>
      <c r="N2371" s="110">
        <v>113.9</v>
      </c>
      <c r="O2371" s="110">
        <v>111.54</v>
      </c>
      <c r="P2371" s="110">
        <v>112.99</v>
      </c>
      <c r="Q2371" s="110">
        <v>112.46</v>
      </c>
      <c r="R2371">
        <v>24622269</v>
      </c>
    </row>
    <row r="2372" spans="1:18" x14ac:dyDescent="0.25">
      <c r="A2372" s="133">
        <v>45498</v>
      </c>
      <c r="B2372" s="110">
        <v>113.9</v>
      </c>
      <c r="C2372" s="110">
        <v>111.9</v>
      </c>
      <c r="D2372" s="110">
        <v>109.3</v>
      </c>
      <c r="E2372" s="110">
        <v>111.7</v>
      </c>
      <c r="F2372" s="110">
        <v>111.9</v>
      </c>
      <c r="G2372">
        <v>3785506</v>
      </c>
      <c r="H2372" s="110"/>
      <c r="I2372" s="110"/>
      <c r="L2372" s="133">
        <v>45498</v>
      </c>
      <c r="M2372" s="110">
        <v>111.89</v>
      </c>
      <c r="N2372" s="110">
        <v>113.85</v>
      </c>
      <c r="O2372" s="110">
        <v>109.25</v>
      </c>
      <c r="P2372" s="110">
        <v>111.8</v>
      </c>
      <c r="Q2372" s="110">
        <v>111.89</v>
      </c>
      <c r="R2372">
        <v>76948576</v>
      </c>
    </row>
    <row r="2373" spans="1:18" x14ac:dyDescent="0.25">
      <c r="A2373" s="133">
        <v>45499</v>
      </c>
      <c r="B2373" s="110">
        <v>114.35</v>
      </c>
      <c r="C2373" s="110">
        <v>113.8</v>
      </c>
      <c r="D2373" s="110">
        <v>110.85</v>
      </c>
      <c r="E2373" s="110">
        <v>112.75</v>
      </c>
      <c r="F2373" s="110">
        <v>113.8</v>
      </c>
      <c r="G2373">
        <v>3617603</v>
      </c>
      <c r="H2373" s="110"/>
      <c r="I2373" s="110"/>
      <c r="L2373" s="133">
        <v>45499</v>
      </c>
      <c r="M2373" s="110">
        <v>113.86</v>
      </c>
      <c r="N2373" s="110">
        <v>114.4</v>
      </c>
      <c r="O2373" s="110">
        <v>111</v>
      </c>
      <c r="P2373" s="110">
        <v>112.49</v>
      </c>
      <c r="Q2373" s="110">
        <v>113.86</v>
      </c>
      <c r="R2373">
        <v>54279930</v>
      </c>
    </row>
    <row r="2374" spans="1:18" x14ac:dyDescent="0.25">
      <c r="A2374" s="133">
        <v>45502</v>
      </c>
      <c r="B2374" s="110">
        <v>117.8</v>
      </c>
      <c r="C2374" s="110">
        <v>115.85</v>
      </c>
      <c r="D2374" s="110">
        <v>115.05</v>
      </c>
      <c r="E2374" s="110">
        <v>115.05</v>
      </c>
      <c r="F2374" s="110">
        <v>115.85</v>
      </c>
      <c r="G2374">
        <v>2620958</v>
      </c>
      <c r="H2374" s="110"/>
      <c r="I2374" s="110"/>
      <c r="L2374" s="133">
        <v>45502</v>
      </c>
      <c r="M2374" s="110">
        <v>115.91</v>
      </c>
      <c r="N2374" s="110">
        <v>117.82</v>
      </c>
      <c r="O2374" s="110">
        <v>115.01</v>
      </c>
      <c r="P2374" s="110">
        <v>115.2</v>
      </c>
      <c r="Q2374" s="110">
        <v>115.91</v>
      </c>
      <c r="R2374">
        <v>51072326</v>
      </c>
    </row>
    <row r="2375" spans="1:18" x14ac:dyDescent="0.25">
      <c r="A2375" s="133">
        <v>45503</v>
      </c>
      <c r="B2375" s="110">
        <v>116.4</v>
      </c>
      <c r="C2375" s="110">
        <v>115.8</v>
      </c>
      <c r="D2375" s="110">
        <v>115.25</v>
      </c>
      <c r="E2375" s="110">
        <v>116.35</v>
      </c>
      <c r="F2375" s="110">
        <v>115.8</v>
      </c>
      <c r="G2375">
        <v>800223</v>
      </c>
      <c r="H2375" s="110"/>
      <c r="I2375" s="110"/>
      <c r="L2375" s="133">
        <v>45503</v>
      </c>
      <c r="M2375" s="110">
        <v>115.77</v>
      </c>
      <c r="N2375" s="110">
        <v>116.45</v>
      </c>
      <c r="O2375" s="110">
        <v>115.12</v>
      </c>
      <c r="P2375" s="110">
        <v>115.91</v>
      </c>
      <c r="Q2375" s="110">
        <v>115.77</v>
      </c>
      <c r="R2375">
        <v>17664352</v>
      </c>
    </row>
    <row r="2376" spans="1:18" x14ac:dyDescent="0.25">
      <c r="A2376" s="133">
        <v>45504</v>
      </c>
      <c r="B2376" s="110">
        <v>116.2</v>
      </c>
      <c r="C2376" s="110">
        <v>114.7</v>
      </c>
      <c r="D2376" s="110">
        <v>114.25</v>
      </c>
      <c r="E2376" s="110">
        <v>116</v>
      </c>
      <c r="F2376" s="110">
        <v>114.7</v>
      </c>
      <c r="G2376">
        <v>1633095</v>
      </c>
      <c r="H2376" s="110"/>
      <c r="I2376" s="110"/>
      <c r="L2376" s="133">
        <v>45504</v>
      </c>
      <c r="M2376" s="110">
        <v>114.71</v>
      </c>
      <c r="N2376" s="110">
        <v>116.19</v>
      </c>
      <c r="O2376" s="110">
        <v>114.26</v>
      </c>
      <c r="P2376" s="110">
        <v>116</v>
      </c>
      <c r="Q2376" s="110">
        <v>114.71</v>
      </c>
      <c r="R2376">
        <v>16689282</v>
      </c>
    </row>
    <row r="2377" spans="1:18" x14ac:dyDescent="0.25">
      <c r="A2377" s="133">
        <v>45505</v>
      </c>
      <c r="B2377" s="110">
        <v>115.6</v>
      </c>
      <c r="C2377" s="110">
        <v>112.7</v>
      </c>
      <c r="D2377" s="110">
        <v>112.1</v>
      </c>
      <c r="E2377" s="110">
        <v>115.1</v>
      </c>
      <c r="F2377" s="110">
        <v>112.7</v>
      </c>
      <c r="G2377">
        <v>622122</v>
      </c>
      <c r="H2377" s="110"/>
      <c r="I2377" s="110"/>
      <c r="L2377" s="133">
        <v>45505</v>
      </c>
      <c r="M2377" s="110">
        <v>112.69</v>
      </c>
      <c r="N2377" s="110">
        <v>115.6</v>
      </c>
      <c r="O2377" s="110">
        <v>112.05</v>
      </c>
      <c r="P2377" s="110">
        <v>115.5</v>
      </c>
      <c r="Q2377" s="110">
        <v>112.69</v>
      </c>
      <c r="R2377">
        <v>25958910</v>
      </c>
    </row>
    <row r="2378" spans="1:18" x14ac:dyDescent="0.25">
      <c r="A2378" s="133">
        <v>45506</v>
      </c>
      <c r="B2378" s="110">
        <v>112</v>
      </c>
      <c r="C2378" s="110">
        <v>110.5</v>
      </c>
      <c r="D2378" s="110">
        <v>110.1</v>
      </c>
      <c r="E2378" s="110">
        <v>112</v>
      </c>
      <c r="F2378" s="110">
        <v>110.5</v>
      </c>
      <c r="G2378">
        <v>1859351</v>
      </c>
      <c r="H2378" s="110"/>
      <c r="I2378" s="110"/>
      <c r="L2378" s="133">
        <v>45506</v>
      </c>
      <c r="M2378" s="110">
        <v>110.49</v>
      </c>
      <c r="N2378" s="110">
        <v>112</v>
      </c>
      <c r="O2378" s="110">
        <v>110.05</v>
      </c>
      <c r="P2378" s="110">
        <v>112</v>
      </c>
      <c r="Q2378" s="110">
        <v>110.49</v>
      </c>
      <c r="R2378">
        <v>27944377</v>
      </c>
    </row>
    <row r="2379" spans="1:18" x14ac:dyDescent="0.25">
      <c r="A2379" s="133">
        <v>45509</v>
      </c>
      <c r="B2379" s="110">
        <v>108.35</v>
      </c>
      <c r="C2379" s="110">
        <v>105.25</v>
      </c>
      <c r="D2379" s="110">
        <v>104</v>
      </c>
      <c r="E2379" s="110">
        <v>106.7</v>
      </c>
      <c r="F2379" s="110">
        <v>105.25</v>
      </c>
      <c r="G2379">
        <v>5290374</v>
      </c>
      <c r="H2379" s="110"/>
      <c r="I2379" s="110"/>
      <c r="L2379" s="133">
        <v>45509</v>
      </c>
      <c r="M2379" s="110">
        <v>105.26</v>
      </c>
      <c r="N2379" s="110">
        <v>108.44</v>
      </c>
      <c r="O2379" s="110">
        <v>104.04</v>
      </c>
      <c r="P2379" s="110">
        <v>108.44</v>
      </c>
      <c r="Q2379" s="110">
        <v>105.26</v>
      </c>
      <c r="R2379">
        <v>57645213</v>
      </c>
    </row>
    <row r="2380" spans="1:18" x14ac:dyDescent="0.25">
      <c r="A2380" s="133">
        <v>45510</v>
      </c>
      <c r="B2380" s="110">
        <v>108.2</v>
      </c>
      <c r="C2380" s="110">
        <v>105.05</v>
      </c>
      <c r="D2380" s="110">
        <v>104.8</v>
      </c>
      <c r="E2380" s="110">
        <v>106.05</v>
      </c>
      <c r="F2380" s="110">
        <v>105.05</v>
      </c>
      <c r="G2380">
        <v>716487</v>
      </c>
      <c r="H2380" s="110"/>
      <c r="I2380" s="110"/>
      <c r="L2380" s="133">
        <v>45510</v>
      </c>
      <c r="M2380" s="110">
        <v>105.03</v>
      </c>
      <c r="N2380" s="110">
        <v>108.18</v>
      </c>
      <c r="O2380" s="110">
        <v>104.8</v>
      </c>
      <c r="P2380" s="110">
        <v>106.75</v>
      </c>
      <c r="Q2380" s="110">
        <v>105.03</v>
      </c>
      <c r="R2380">
        <v>18760783</v>
      </c>
    </row>
    <row r="2381" spans="1:18" x14ac:dyDescent="0.25">
      <c r="A2381" s="133">
        <v>45511</v>
      </c>
      <c r="B2381" s="110">
        <v>108.5</v>
      </c>
      <c r="C2381" s="110">
        <v>108.15</v>
      </c>
      <c r="D2381" s="110">
        <v>105.4</v>
      </c>
      <c r="E2381" s="110">
        <v>106.8</v>
      </c>
      <c r="F2381" s="110">
        <v>108.15</v>
      </c>
      <c r="G2381">
        <v>1342844</v>
      </c>
      <c r="H2381" s="110"/>
      <c r="I2381" s="110"/>
      <c r="L2381" s="133">
        <v>45511</v>
      </c>
      <c r="M2381" s="110">
        <v>108.22</v>
      </c>
      <c r="N2381" s="110">
        <v>108.56</v>
      </c>
      <c r="O2381" s="110">
        <v>105.45</v>
      </c>
      <c r="P2381" s="110">
        <v>106.6</v>
      </c>
      <c r="Q2381" s="110">
        <v>108.22</v>
      </c>
      <c r="R2381">
        <v>24292529</v>
      </c>
    </row>
    <row r="2382" spans="1:18" x14ac:dyDescent="0.25">
      <c r="A2382" s="133">
        <v>45512</v>
      </c>
      <c r="B2382" s="110">
        <v>108.55</v>
      </c>
      <c r="C2382" s="110">
        <v>107.2</v>
      </c>
      <c r="D2382" s="110">
        <v>106.5</v>
      </c>
      <c r="E2382" s="110">
        <v>108.15</v>
      </c>
      <c r="F2382" s="110">
        <v>107.2</v>
      </c>
      <c r="G2382">
        <v>444876</v>
      </c>
      <c r="H2382" s="110"/>
      <c r="I2382" s="110"/>
      <c r="L2382" s="133">
        <v>45512</v>
      </c>
      <c r="M2382" s="110">
        <v>107.15</v>
      </c>
      <c r="N2382" s="110">
        <v>108.56</v>
      </c>
      <c r="O2382" s="110">
        <v>106.5</v>
      </c>
      <c r="P2382" s="110">
        <v>108</v>
      </c>
      <c r="Q2382" s="110">
        <v>107.15</v>
      </c>
      <c r="R2382">
        <v>17399682</v>
      </c>
    </row>
    <row r="2383" spans="1:18" x14ac:dyDescent="0.25">
      <c r="A2383" s="133">
        <v>45513</v>
      </c>
      <c r="B2383" s="110">
        <v>112.5</v>
      </c>
      <c r="C2383" s="110">
        <v>110.6</v>
      </c>
      <c r="D2383" s="110">
        <v>107.7</v>
      </c>
      <c r="E2383" s="110">
        <v>108.15</v>
      </c>
      <c r="F2383" s="110">
        <v>110.6</v>
      </c>
      <c r="G2383">
        <v>2350690</v>
      </c>
      <c r="H2383" s="110"/>
      <c r="I2383" s="110"/>
      <c r="L2383" s="133">
        <v>45513</v>
      </c>
      <c r="M2383" s="110">
        <v>110.65</v>
      </c>
      <c r="N2383" s="110">
        <v>112.54</v>
      </c>
      <c r="O2383" s="110">
        <v>107.65</v>
      </c>
      <c r="P2383" s="110">
        <v>108</v>
      </c>
      <c r="Q2383" s="110">
        <v>110.65</v>
      </c>
      <c r="R2383">
        <v>29858732</v>
      </c>
    </row>
    <row r="2384" spans="1:18" x14ac:dyDescent="0.25">
      <c r="A2384" s="133">
        <v>45516</v>
      </c>
      <c r="B2384" s="110">
        <v>110.8</v>
      </c>
      <c r="C2384" s="110">
        <v>109.6</v>
      </c>
      <c r="D2384" s="110">
        <v>108.45</v>
      </c>
      <c r="E2384" s="110">
        <v>109.35</v>
      </c>
      <c r="F2384" s="110">
        <v>109.6</v>
      </c>
      <c r="G2384">
        <v>1398348</v>
      </c>
      <c r="H2384" s="110"/>
      <c r="I2384" s="110"/>
      <c r="L2384" s="133">
        <v>45516</v>
      </c>
      <c r="M2384" s="110">
        <v>109.55</v>
      </c>
      <c r="N2384" s="110">
        <v>110.76</v>
      </c>
      <c r="O2384" s="110">
        <v>108.4</v>
      </c>
      <c r="P2384" s="110">
        <v>109.9</v>
      </c>
      <c r="Q2384" s="110">
        <v>109.55</v>
      </c>
      <c r="R2384">
        <v>22238178</v>
      </c>
    </row>
    <row r="2385" spans="1:18" x14ac:dyDescent="0.25">
      <c r="A2385" s="133">
        <v>45517</v>
      </c>
      <c r="B2385" s="110">
        <v>110.15</v>
      </c>
      <c r="C2385" s="110">
        <v>106.75</v>
      </c>
      <c r="D2385" s="110">
        <v>106.35</v>
      </c>
      <c r="E2385" s="110">
        <v>109</v>
      </c>
      <c r="F2385" s="110">
        <v>106.75</v>
      </c>
      <c r="G2385">
        <v>1286709</v>
      </c>
      <c r="H2385" s="110"/>
      <c r="I2385" s="110"/>
      <c r="L2385" s="133">
        <v>45517</v>
      </c>
      <c r="M2385" s="110">
        <v>106.69</v>
      </c>
      <c r="N2385" s="110">
        <v>110.14</v>
      </c>
      <c r="O2385" s="110">
        <v>106.25</v>
      </c>
      <c r="P2385" s="110">
        <v>109</v>
      </c>
      <c r="Q2385" s="110">
        <v>106.69</v>
      </c>
      <c r="R2385">
        <v>19954825</v>
      </c>
    </row>
    <row r="2386" spans="1:18" x14ac:dyDescent="0.25">
      <c r="A2386" s="133">
        <v>45518</v>
      </c>
      <c r="B2386" s="110">
        <v>107.1</v>
      </c>
      <c r="C2386" s="110">
        <v>105.65</v>
      </c>
      <c r="D2386" s="110">
        <v>105.5</v>
      </c>
      <c r="E2386" s="110">
        <v>106.8</v>
      </c>
      <c r="F2386" s="110">
        <v>105.65</v>
      </c>
      <c r="G2386">
        <v>912862</v>
      </c>
      <c r="H2386" s="110"/>
      <c r="I2386" s="110"/>
      <c r="L2386" s="133">
        <v>45518</v>
      </c>
      <c r="M2386" s="110">
        <v>105.65</v>
      </c>
      <c r="N2386" s="110">
        <v>107.06</v>
      </c>
      <c r="O2386" s="110">
        <v>105.5</v>
      </c>
      <c r="P2386" s="110">
        <v>106.75</v>
      </c>
      <c r="Q2386" s="110">
        <v>105.65</v>
      </c>
      <c r="R2386">
        <v>13061546</v>
      </c>
    </row>
    <row r="2387" spans="1:18" x14ac:dyDescent="0.25">
      <c r="A2387" s="133">
        <v>45520</v>
      </c>
      <c r="B2387" s="110">
        <v>108.3</v>
      </c>
      <c r="C2387" s="110">
        <v>107.6</v>
      </c>
      <c r="D2387" s="110">
        <v>106.5</v>
      </c>
      <c r="E2387" s="110">
        <v>107.85</v>
      </c>
      <c r="F2387" s="110">
        <v>107.6</v>
      </c>
      <c r="G2387">
        <v>9674309</v>
      </c>
      <c r="H2387" s="110"/>
      <c r="I2387" s="110"/>
      <c r="L2387" s="133">
        <v>45520</v>
      </c>
      <c r="M2387" s="110">
        <v>107.62</v>
      </c>
      <c r="N2387" s="110">
        <v>108.41</v>
      </c>
      <c r="O2387" s="110">
        <v>106.52</v>
      </c>
      <c r="P2387" s="110">
        <v>108</v>
      </c>
      <c r="Q2387" s="110">
        <v>107.62</v>
      </c>
      <c r="R2387">
        <v>30254042</v>
      </c>
    </row>
    <row r="2388" spans="1:18" x14ac:dyDescent="0.25">
      <c r="A2388" s="133">
        <v>45523</v>
      </c>
      <c r="B2388" s="110">
        <v>111.35</v>
      </c>
      <c r="C2388" s="110">
        <v>109.9</v>
      </c>
      <c r="D2388" s="110">
        <v>108.3</v>
      </c>
      <c r="E2388" s="110">
        <v>108.5</v>
      </c>
      <c r="F2388" s="110">
        <v>109.9</v>
      </c>
      <c r="G2388">
        <v>1116415</v>
      </c>
      <c r="H2388" s="110"/>
      <c r="I2388" s="110"/>
      <c r="L2388" s="133">
        <v>45523</v>
      </c>
      <c r="M2388" s="110">
        <v>109.9</v>
      </c>
      <c r="N2388" s="110">
        <v>111.25</v>
      </c>
      <c r="O2388" s="110">
        <v>108.08</v>
      </c>
      <c r="P2388" s="110">
        <v>108.3</v>
      </c>
      <c r="Q2388" s="110">
        <v>109.9</v>
      </c>
      <c r="R2388">
        <v>27792179</v>
      </c>
    </row>
    <row r="2389" spans="1:18" x14ac:dyDescent="0.25">
      <c r="A2389" s="133">
        <v>45524</v>
      </c>
      <c r="B2389" s="110">
        <v>111.9</v>
      </c>
      <c r="C2389" s="110">
        <v>111.35</v>
      </c>
      <c r="D2389" s="110">
        <v>109.55</v>
      </c>
      <c r="E2389" s="110">
        <v>110.75</v>
      </c>
      <c r="F2389" s="110">
        <v>111.35</v>
      </c>
      <c r="G2389">
        <v>1250917</v>
      </c>
      <c r="H2389" s="110"/>
      <c r="I2389" s="110"/>
      <c r="L2389" s="133">
        <v>45524</v>
      </c>
      <c r="M2389" s="110">
        <v>111.36</v>
      </c>
      <c r="N2389" s="110">
        <v>111.96</v>
      </c>
      <c r="O2389" s="110">
        <v>109.6</v>
      </c>
      <c r="P2389" s="110">
        <v>110.3</v>
      </c>
      <c r="Q2389" s="110">
        <v>111.36</v>
      </c>
      <c r="R2389">
        <v>24247603</v>
      </c>
    </row>
    <row r="2390" spans="1:18" x14ac:dyDescent="0.25">
      <c r="A2390" s="133">
        <v>45525</v>
      </c>
      <c r="B2390" s="110">
        <v>111.9</v>
      </c>
      <c r="C2390" s="110">
        <v>111.6</v>
      </c>
      <c r="D2390" s="110">
        <v>110.65</v>
      </c>
      <c r="E2390" s="110">
        <v>111.5</v>
      </c>
      <c r="F2390" s="110">
        <v>111.6</v>
      </c>
      <c r="G2390">
        <v>370066</v>
      </c>
      <c r="H2390" s="110"/>
      <c r="I2390" s="110"/>
      <c r="L2390" s="133">
        <v>45525</v>
      </c>
      <c r="M2390" s="110">
        <v>111.63</v>
      </c>
      <c r="N2390" s="110">
        <v>111.9</v>
      </c>
      <c r="O2390" s="110">
        <v>110.67</v>
      </c>
      <c r="P2390" s="110">
        <v>111.36</v>
      </c>
      <c r="Q2390" s="110">
        <v>111.63</v>
      </c>
      <c r="R2390">
        <v>15379494</v>
      </c>
    </row>
    <row r="2391" spans="1:18" x14ac:dyDescent="0.25">
      <c r="A2391" s="133">
        <v>45526</v>
      </c>
      <c r="B2391" s="110">
        <v>112.65</v>
      </c>
      <c r="C2391" s="110">
        <v>112.3</v>
      </c>
      <c r="D2391" s="110">
        <v>111.7</v>
      </c>
      <c r="E2391" s="110">
        <v>111.8</v>
      </c>
      <c r="F2391" s="110">
        <v>112.3</v>
      </c>
      <c r="G2391">
        <v>484575</v>
      </c>
      <c r="H2391" s="110"/>
      <c r="I2391" s="110"/>
      <c r="L2391" s="133">
        <v>45526</v>
      </c>
      <c r="M2391" s="110">
        <v>112.33</v>
      </c>
      <c r="N2391" s="110">
        <v>112.66</v>
      </c>
      <c r="O2391" s="110">
        <v>111.81</v>
      </c>
      <c r="P2391" s="110">
        <v>112</v>
      </c>
      <c r="Q2391" s="110">
        <v>112.33</v>
      </c>
      <c r="R2391">
        <v>13967447</v>
      </c>
    </row>
    <row r="2392" spans="1:18" x14ac:dyDescent="0.25">
      <c r="A2392" s="133">
        <v>45527</v>
      </c>
      <c r="B2392" s="110">
        <v>113</v>
      </c>
      <c r="C2392" s="110">
        <v>112.15</v>
      </c>
      <c r="D2392" s="110">
        <v>111.8</v>
      </c>
      <c r="E2392" s="110">
        <v>112.8</v>
      </c>
      <c r="F2392" s="110">
        <v>112.15</v>
      </c>
      <c r="G2392">
        <v>398052</v>
      </c>
      <c r="H2392" s="110"/>
      <c r="I2392" s="110"/>
      <c r="L2392" s="133">
        <v>45527</v>
      </c>
      <c r="M2392" s="110">
        <v>112.1</v>
      </c>
      <c r="N2392" s="110">
        <v>112.99</v>
      </c>
      <c r="O2392" s="110">
        <v>111.81</v>
      </c>
      <c r="P2392" s="110">
        <v>112.6</v>
      </c>
      <c r="Q2392" s="110">
        <v>112.1</v>
      </c>
      <c r="R2392">
        <v>13224117</v>
      </c>
    </row>
    <row r="2393" spans="1:18" x14ac:dyDescent="0.25">
      <c r="A2393" s="133">
        <v>45530</v>
      </c>
      <c r="B2393" s="110">
        <v>113.45</v>
      </c>
      <c r="C2393" s="110">
        <v>111.4</v>
      </c>
      <c r="D2393" s="110">
        <v>111.2</v>
      </c>
      <c r="E2393" s="110">
        <v>113.45</v>
      </c>
      <c r="F2393" s="110">
        <v>111.4</v>
      </c>
      <c r="G2393">
        <v>1085852</v>
      </c>
      <c r="H2393" s="110"/>
      <c r="I2393" s="110"/>
      <c r="L2393" s="133">
        <v>45530</v>
      </c>
      <c r="M2393" s="110">
        <v>111.41</v>
      </c>
      <c r="N2393" s="110">
        <v>113.19</v>
      </c>
      <c r="O2393" s="110">
        <v>111.17</v>
      </c>
      <c r="P2393" s="110">
        <v>113.16</v>
      </c>
      <c r="Q2393" s="110">
        <v>111.41</v>
      </c>
      <c r="R2393">
        <v>15658016</v>
      </c>
    </row>
    <row r="2394" spans="1:18" x14ac:dyDescent="0.25">
      <c r="A2394" s="133">
        <v>45531</v>
      </c>
      <c r="B2394" s="110">
        <v>112</v>
      </c>
      <c r="C2394" s="110">
        <v>110.85</v>
      </c>
      <c r="D2394" s="110">
        <v>110.5</v>
      </c>
      <c r="E2394" s="110">
        <v>111.55</v>
      </c>
      <c r="F2394" s="110">
        <v>110.85</v>
      </c>
      <c r="G2394">
        <v>271065</v>
      </c>
      <c r="H2394" s="110"/>
      <c r="I2394" s="110"/>
      <c r="L2394" s="133">
        <v>45531</v>
      </c>
      <c r="M2394" s="110">
        <v>110.85</v>
      </c>
      <c r="N2394" s="110">
        <v>112.02</v>
      </c>
      <c r="O2394" s="110">
        <v>110.5</v>
      </c>
      <c r="P2394" s="110">
        <v>111.41</v>
      </c>
      <c r="Q2394" s="110">
        <v>110.85</v>
      </c>
      <c r="R2394">
        <v>12098332</v>
      </c>
    </row>
    <row r="2395" spans="1:18" x14ac:dyDescent="0.25">
      <c r="A2395" s="133">
        <v>45532</v>
      </c>
      <c r="B2395" s="110">
        <v>111.25</v>
      </c>
      <c r="C2395" s="110">
        <v>110.2</v>
      </c>
      <c r="D2395" s="110">
        <v>109.75</v>
      </c>
      <c r="E2395" s="110">
        <v>111.25</v>
      </c>
      <c r="F2395" s="110">
        <v>110.2</v>
      </c>
      <c r="G2395">
        <v>1011581</v>
      </c>
      <c r="H2395" s="110"/>
      <c r="I2395" s="110"/>
      <c r="L2395" s="133">
        <v>45532</v>
      </c>
      <c r="M2395" s="110">
        <v>110.23</v>
      </c>
      <c r="N2395" s="110">
        <v>111.2</v>
      </c>
      <c r="O2395" s="110">
        <v>109.82</v>
      </c>
      <c r="P2395" s="110">
        <v>111.1</v>
      </c>
      <c r="Q2395" s="110">
        <v>110.23</v>
      </c>
      <c r="R2395">
        <v>11686742</v>
      </c>
    </row>
    <row r="2396" spans="1:18" x14ac:dyDescent="0.25">
      <c r="A2396" s="133">
        <v>45533</v>
      </c>
      <c r="B2396" s="110">
        <v>110.75</v>
      </c>
      <c r="C2396" s="110">
        <v>110.3</v>
      </c>
      <c r="D2396" s="110">
        <v>108.85</v>
      </c>
      <c r="E2396" s="110">
        <v>110.3</v>
      </c>
      <c r="F2396" s="110">
        <v>110.3</v>
      </c>
      <c r="G2396">
        <v>324897</v>
      </c>
      <c r="H2396" s="110"/>
      <c r="I2396" s="110"/>
      <c r="L2396" s="133">
        <v>45533</v>
      </c>
      <c r="M2396" s="110">
        <v>110.28</v>
      </c>
      <c r="N2396" s="110">
        <v>110.75</v>
      </c>
      <c r="O2396" s="110">
        <v>108.85</v>
      </c>
      <c r="P2396" s="110">
        <v>110.23</v>
      </c>
      <c r="Q2396" s="110">
        <v>110.28</v>
      </c>
      <c r="R2396">
        <v>13192113</v>
      </c>
    </row>
    <row r="2397" spans="1:18" x14ac:dyDescent="0.25">
      <c r="A2397" s="133">
        <v>45534</v>
      </c>
      <c r="B2397" s="110">
        <v>112.35</v>
      </c>
      <c r="C2397" s="110">
        <v>111.5</v>
      </c>
      <c r="D2397" s="110">
        <v>110.5</v>
      </c>
      <c r="E2397" s="110">
        <v>110.5</v>
      </c>
      <c r="F2397" s="110">
        <v>111.5</v>
      </c>
      <c r="G2397">
        <v>1065336</v>
      </c>
      <c r="H2397" s="110"/>
      <c r="I2397" s="110"/>
      <c r="L2397" s="133">
        <v>45534</v>
      </c>
      <c r="M2397" s="110">
        <v>111.53</v>
      </c>
      <c r="N2397" s="110">
        <v>112.4</v>
      </c>
      <c r="O2397" s="110">
        <v>110.54</v>
      </c>
      <c r="P2397" s="110">
        <v>110.55</v>
      </c>
      <c r="Q2397" s="110">
        <v>111.53</v>
      </c>
      <c r="R2397">
        <v>21379047</v>
      </c>
    </row>
    <row r="2398" spans="1:18" x14ac:dyDescent="0.25">
      <c r="A2398" s="133">
        <v>45537</v>
      </c>
      <c r="B2398" s="110">
        <v>113.35</v>
      </c>
      <c r="C2398" s="110">
        <v>112.8</v>
      </c>
      <c r="D2398" s="110">
        <v>110.05</v>
      </c>
      <c r="E2398" s="110">
        <v>111.75</v>
      </c>
      <c r="F2398" s="110">
        <v>112.8</v>
      </c>
      <c r="G2398">
        <v>1340925</v>
      </c>
      <c r="H2398" s="110"/>
      <c r="I2398" s="110"/>
      <c r="L2398" s="133">
        <v>45537</v>
      </c>
      <c r="M2398" s="110">
        <v>112.77</v>
      </c>
      <c r="N2398" s="110">
        <v>113.35</v>
      </c>
      <c r="O2398" s="110">
        <v>110.01</v>
      </c>
      <c r="P2398" s="110">
        <v>111.86</v>
      </c>
      <c r="Q2398" s="110">
        <v>112.77</v>
      </c>
      <c r="R2398">
        <v>28495435</v>
      </c>
    </row>
    <row r="2399" spans="1:18" x14ac:dyDescent="0.25">
      <c r="A2399" s="133">
        <v>45538</v>
      </c>
      <c r="B2399" s="110">
        <v>113.35</v>
      </c>
      <c r="C2399" s="110">
        <v>111.35</v>
      </c>
      <c r="D2399" s="110">
        <v>111.2</v>
      </c>
      <c r="E2399" s="110">
        <v>112.95</v>
      </c>
      <c r="F2399" s="110">
        <v>111.35</v>
      </c>
      <c r="G2399">
        <v>1743719</v>
      </c>
      <c r="H2399" s="110"/>
      <c r="I2399" s="110"/>
      <c r="L2399" s="133">
        <v>45538</v>
      </c>
      <c r="M2399" s="110">
        <v>111.42</v>
      </c>
      <c r="N2399" s="110">
        <v>113.46</v>
      </c>
      <c r="O2399" s="110">
        <v>111.2</v>
      </c>
      <c r="P2399" s="110">
        <v>113.1</v>
      </c>
      <c r="Q2399" s="110">
        <v>111.42</v>
      </c>
      <c r="R2399">
        <v>16764307</v>
      </c>
    </row>
    <row r="2400" spans="1:18" x14ac:dyDescent="0.25">
      <c r="A2400" s="133">
        <v>45539</v>
      </c>
      <c r="B2400" s="110">
        <v>109.6</v>
      </c>
      <c r="C2400" s="110">
        <v>108.6</v>
      </c>
      <c r="D2400" s="110">
        <v>107.1</v>
      </c>
      <c r="E2400" s="110">
        <v>107.1</v>
      </c>
      <c r="F2400" s="110">
        <v>108.6</v>
      </c>
      <c r="G2400">
        <v>957946</v>
      </c>
      <c r="H2400" s="110"/>
      <c r="I2400" s="110"/>
      <c r="L2400" s="133">
        <v>45539</v>
      </c>
      <c r="M2400" s="110">
        <v>108.6</v>
      </c>
      <c r="N2400" s="110">
        <v>109.65</v>
      </c>
      <c r="O2400" s="110">
        <v>107.9</v>
      </c>
      <c r="P2400" s="110">
        <v>108.05</v>
      </c>
      <c r="Q2400" s="110">
        <v>108.6</v>
      </c>
      <c r="R2400">
        <v>28544684</v>
      </c>
    </row>
    <row r="2401" spans="1:18" x14ac:dyDescent="0.25">
      <c r="A2401" s="133">
        <v>45540</v>
      </c>
      <c r="B2401" s="110">
        <v>109.5</v>
      </c>
      <c r="C2401" s="110">
        <v>108.2</v>
      </c>
      <c r="D2401" s="110">
        <v>107.75</v>
      </c>
      <c r="E2401" s="110">
        <v>109.1</v>
      </c>
      <c r="F2401" s="110">
        <v>108.2</v>
      </c>
      <c r="G2401">
        <v>1271229</v>
      </c>
      <c r="H2401" s="110"/>
      <c r="I2401" s="110"/>
      <c r="L2401" s="133">
        <v>45540</v>
      </c>
      <c r="M2401" s="110">
        <v>108.2</v>
      </c>
      <c r="N2401" s="110">
        <v>109.35</v>
      </c>
      <c r="O2401" s="110">
        <v>107.75</v>
      </c>
      <c r="P2401" s="110">
        <v>109.35</v>
      </c>
      <c r="Q2401" s="110">
        <v>108.2</v>
      </c>
      <c r="R2401">
        <v>28593475</v>
      </c>
    </row>
    <row r="2402" spans="1:18" x14ac:dyDescent="0.25">
      <c r="A2402" s="133">
        <v>45541</v>
      </c>
      <c r="B2402" s="110">
        <v>108.05</v>
      </c>
      <c r="C2402" s="110">
        <v>103.4</v>
      </c>
      <c r="D2402" s="110">
        <v>103</v>
      </c>
      <c r="E2402" s="110">
        <v>108</v>
      </c>
      <c r="F2402" s="110">
        <v>103.4</v>
      </c>
      <c r="G2402">
        <v>4081498</v>
      </c>
      <c r="H2402" s="110"/>
      <c r="I2402" s="110"/>
      <c r="L2402" s="133">
        <v>45541</v>
      </c>
      <c r="M2402" s="110">
        <v>103.38</v>
      </c>
      <c r="N2402" s="110">
        <v>108</v>
      </c>
      <c r="O2402" s="110">
        <v>102.95</v>
      </c>
      <c r="P2402" s="110">
        <v>108</v>
      </c>
      <c r="Q2402" s="110">
        <v>103.38</v>
      </c>
      <c r="R2402">
        <v>60221990</v>
      </c>
    </row>
    <row r="2403" spans="1:18" x14ac:dyDescent="0.25">
      <c r="A2403" s="133">
        <v>45544</v>
      </c>
      <c r="B2403" s="110">
        <v>104.35</v>
      </c>
      <c r="C2403" s="110">
        <v>104.05</v>
      </c>
      <c r="D2403" s="110">
        <v>100.7</v>
      </c>
      <c r="E2403" s="110">
        <v>103.9</v>
      </c>
      <c r="F2403" s="110">
        <v>104.05</v>
      </c>
      <c r="G2403">
        <v>3527242</v>
      </c>
      <c r="H2403" s="110"/>
      <c r="I2403" s="110"/>
      <c r="L2403" s="133">
        <v>45544</v>
      </c>
      <c r="M2403" s="110">
        <v>104.02</v>
      </c>
      <c r="N2403" s="110">
        <v>104.34</v>
      </c>
      <c r="O2403" s="110">
        <v>100.69</v>
      </c>
      <c r="P2403" s="110">
        <v>103.6</v>
      </c>
      <c r="Q2403" s="110">
        <v>104.02</v>
      </c>
      <c r="R2403">
        <v>45565580</v>
      </c>
    </row>
    <row r="2404" spans="1:18" x14ac:dyDescent="0.25">
      <c r="A2404" s="133">
        <v>45545</v>
      </c>
      <c r="B2404" s="110">
        <v>104.95</v>
      </c>
      <c r="C2404" s="110">
        <v>103.6</v>
      </c>
      <c r="D2404" s="110">
        <v>103.5</v>
      </c>
      <c r="E2404" s="110">
        <v>104.95</v>
      </c>
      <c r="F2404" s="110">
        <v>103.6</v>
      </c>
      <c r="G2404">
        <v>1665212</v>
      </c>
      <c r="H2404" s="110"/>
      <c r="I2404" s="110"/>
      <c r="L2404" s="133">
        <v>45545</v>
      </c>
      <c r="M2404" s="110">
        <v>103.61</v>
      </c>
      <c r="N2404" s="110">
        <v>104.9</v>
      </c>
      <c r="O2404" s="110">
        <v>103.44</v>
      </c>
      <c r="P2404" s="110">
        <v>104.8</v>
      </c>
      <c r="Q2404" s="110">
        <v>103.61</v>
      </c>
      <c r="R2404">
        <v>22295664</v>
      </c>
    </row>
    <row r="2405" spans="1:18" x14ac:dyDescent="0.25">
      <c r="A2405" s="133">
        <v>45546</v>
      </c>
      <c r="B2405" s="110">
        <v>104.15</v>
      </c>
      <c r="C2405" s="110">
        <v>101.65</v>
      </c>
      <c r="D2405" s="110">
        <v>101.25</v>
      </c>
      <c r="E2405" s="110">
        <v>103.6</v>
      </c>
      <c r="F2405" s="110">
        <v>101.65</v>
      </c>
      <c r="G2405">
        <v>2033847</v>
      </c>
      <c r="H2405" s="110"/>
      <c r="I2405" s="110"/>
      <c r="L2405" s="133">
        <v>45546</v>
      </c>
      <c r="M2405" s="110">
        <v>101.75</v>
      </c>
      <c r="N2405" s="110">
        <v>104.1</v>
      </c>
      <c r="O2405" s="110">
        <v>101.1</v>
      </c>
      <c r="P2405" s="110">
        <v>103.61</v>
      </c>
      <c r="Q2405" s="110">
        <v>101.75</v>
      </c>
      <c r="R2405">
        <v>20777048</v>
      </c>
    </row>
    <row r="2406" spans="1:18" x14ac:dyDescent="0.25">
      <c r="A2406" s="133">
        <v>45547</v>
      </c>
      <c r="B2406" s="110">
        <v>104.35</v>
      </c>
      <c r="C2406" s="110">
        <v>104</v>
      </c>
      <c r="D2406" s="110">
        <v>101.9</v>
      </c>
      <c r="E2406" s="110">
        <v>102.3</v>
      </c>
      <c r="F2406" s="110">
        <v>104</v>
      </c>
      <c r="G2406">
        <v>1351632</v>
      </c>
      <c r="H2406" s="110"/>
      <c r="I2406" s="110"/>
      <c r="L2406" s="133">
        <v>45547</v>
      </c>
      <c r="M2406" s="110">
        <v>103.99</v>
      </c>
      <c r="N2406" s="110">
        <v>104.3</v>
      </c>
      <c r="O2406" s="110">
        <v>101.92</v>
      </c>
      <c r="P2406" s="110">
        <v>102.7</v>
      </c>
      <c r="Q2406" s="110">
        <v>103.99</v>
      </c>
      <c r="R2406">
        <v>23673743</v>
      </c>
    </row>
    <row r="2407" spans="1:18" x14ac:dyDescent="0.25">
      <c r="A2407" s="133">
        <v>45548</v>
      </c>
      <c r="B2407" s="110">
        <v>107.25</v>
      </c>
      <c r="C2407" s="110">
        <v>106.4</v>
      </c>
      <c r="D2407" s="110">
        <v>104</v>
      </c>
      <c r="E2407" s="110">
        <v>104.4</v>
      </c>
      <c r="F2407" s="110">
        <v>106.4</v>
      </c>
      <c r="G2407">
        <v>2180580</v>
      </c>
      <c r="H2407" s="110"/>
      <c r="I2407" s="110"/>
      <c r="L2407" s="133">
        <v>45548</v>
      </c>
      <c r="M2407" s="110">
        <v>106.39</v>
      </c>
      <c r="N2407" s="110">
        <v>107.25</v>
      </c>
      <c r="O2407" s="110">
        <v>104.1</v>
      </c>
      <c r="P2407" s="110">
        <v>104.45</v>
      </c>
      <c r="Q2407" s="110">
        <v>106.39</v>
      </c>
      <c r="R2407">
        <v>30088081</v>
      </c>
    </row>
    <row r="2408" spans="1:18" x14ac:dyDescent="0.25">
      <c r="A2408" s="133">
        <v>45551</v>
      </c>
      <c r="B2408" s="110">
        <v>108.15</v>
      </c>
      <c r="C2408" s="110">
        <v>106.7</v>
      </c>
      <c r="D2408" s="110">
        <v>106.4</v>
      </c>
      <c r="E2408" s="110">
        <v>107.05</v>
      </c>
      <c r="F2408" s="110">
        <v>106.7</v>
      </c>
      <c r="G2408">
        <v>1503217</v>
      </c>
      <c r="H2408" s="110"/>
      <c r="I2408" s="110"/>
      <c r="L2408" s="133">
        <v>45551</v>
      </c>
      <c r="M2408" s="110">
        <v>106.69</v>
      </c>
      <c r="N2408" s="110">
        <v>108.18</v>
      </c>
      <c r="O2408" s="110">
        <v>106.45</v>
      </c>
      <c r="P2408" s="110">
        <v>106.9</v>
      </c>
      <c r="Q2408" s="110">
        <v>106.69</v>
      </c>
      <c r="R2408">
        <v>18598510</v>
      </c>
    </row>
    <row r="2409" spans="1:18" x14ac:dyDescent="0.25">
      <c r="A2409" s="133">
        <v>45552</v>
      </c>
      <c r="B2409" s="110">
        <v>106.95</v>
      </c>
      <c r="C2409" s="110">
        <v>105.55</v>
      </c>
      <c r="D2409" s="110">
        <v>105.35</v>
      </c>
      <c r="E2409" s="110">
        <v>106.95</v>
      </c>
      <c r="F2409" s="110">
        <v>105.55</v>
      </c>
      <c r="G2409">
        <v>850583</v>
      </c>
      <c r="H2409" s="110"/>
      <c r="I2409" s="110"/>
      <c r="L2409" s="133">
        <v>45552</v>
      </c>
      <c r="M2409" s="110">
        <v>105.54</v>
      </c>
      <c r="N2409" s="110">
        <v>106.78</v>
      </c>
      <c r="O2409" s="110">
        <v>105.34</v>
      </c>
      <c r="P2409" s="110">
        <v>106.72</v>
      </c>
      <c r="Q2409" s="110">
        <v>105.54</v>
      </c>
      <c r="R2409">
        <v>10915215</v>
      </c>
    </row>
    <row r="2410" spans="1:18" x14ac:dyDescent="0.25">
      <c r="A2410" s="133">
        <v>45553</v>
      </c>
      <c r="B2410" s="110">
        <v>106.55</v>
      </c>
      <c r="C2410" s="110">
        <v>105.5</v>
      </c>
      <c r="D2410" s="110">
        <v>105</v>
      </c>
      <c r="E2410" s="110">
        <v>105</v>
      </c>
      <c r="F2410" s="110">
        <v>105.5</v>
      </c>
      <c r="G2410">
        <v>1358365</v>
      </c>
      <c r="H2410" s="110"/>
      <c r="I2410" s="110"/>
      <c r="L2410" s="133">
        <v>45553</v>
      </c>
      <c r="M2410" s="110">
        <v>105.45</v>
      </c>
      <c r="N2410" s="110">
        <v>106.59</v>
      </c>
      <c r="O2410" s="110">
        <v>105.01</v>
      </c>
      <c r="P2410" s="110">
        <v>105.1</v>
      </c>
      <c r="Q2410" s="110">
        <v>105.45</v>
      </c>
      <c r="R2410">
        <v>17234512</v>
      </c>
    </row>
    <row r="2411" spans="1:18" x14ac:dyDescent="0.25">
      <c r="A2411" s="133">
        <v>45554</v>
      </c>
      <c r="B2411" s="110">
        <v>106.9</v>
      </c>
      <c r="C2411" s="110">
        <v>104.7</v>
      </c>
      <c r="D2411" s="110">
        <v>102.6</v>
      </c>
      <c r="E2411" s="110">
        <v>106</v>
      </c>
      <c r="F2411" s="110">
        <v>104.7</v>
      </c>
      <c r="G2411">
        <v>1799820</v>
      </c>
      <c r="H2411" s="110"/>
      <c r="I2411" s="110"/>
      <c r="L2411" s="133">
        <v>45554</v>
      </c>
      <c r="M2411" s="110">
        <v>104.71</v>
      </c>
      <c r="N2411" s="110">
        <v>106.85</v>
      </c>
      <c r="O2411" s="110">
        <v>102.72</v>
      </c>
      <c r="P2411" s="110">
        <v>106</v>
      </c>
      <c r="Q2411" s="110">
        <v>104.71</v>
      </c>
      <c r="R2411">
        <v>19006150</v>
      </c>
    </row>
    <row r="2412" spans="1:18" x14ac:dyDescent="0.25">
      <c r="A2412" s="133">
        <v>45555</v>
      </c>
      <c r="B2412" s="110">
        <v>106.35</v>
      </c>
      <c r="C2412" s="110">
        <v>104.95</v>
      </c>
      <c r="D2412" s="110">
        <v>104.7</v>
      </c>
      <c r="E2412" s="110">
        <v>105.25</v>
      </c>
      <c r="F2412" s="110">
        <v>104.95</v>
      </c>
      <c r="G2412">
        <v>716106</v>
      </c>
      <c r="H2412" s="110"/>
      <c r="I2412" s="110"/>
      <c r="L2412" s="133">
        <v>45555</v>
      </c>
      <c r="M2412" s="110">
        <v>104.96</v>
      </c>
      <c r="N2412" s="110">
        <v>106.3</v>
      </c>
      <c r="O2412" s="110">
        <v>104.7</v>
      </c>
      <c r="P2412" s="110">
        <v>105.11</v>
      </c>
      <c r="Q2412" s="110">
        <v>104.96</v>
      </c>
      <c r="R2412">
        <v>20245750</v>
      </c>
    </row>
    <row r="2413" spans="1:18" x14ac:dyDescent="0.25">
      <c r="A2413" s="133">
        <v>45558</v>
      </c>
      <c r="B2413" s="110">
        <v>109.7</v>
      </c>
      <c r="C2413" s="110">
        <v>109.35</v>
      </c>
      <c r="D2413" s="110">
        <v>105.1</v>
      </c>
      <c r="E2413" s="110">
        <v>105.95</v>
      </c>
      <c r="F2413" s="110">
        <v>109.35</v>
      </c>
      <c r="G2413">
        <v>2119237</v>
      </c>
      <c r="H2413" s="110"/>
      <c r="I2413" s="110"/>
      <c r="L2413" s="133">
        <v>45558</v>
      </c>
      <c r="M2413" s="110">
        <v>109.3</v>
      </c>
      <c r="N2413" s="110">
        <v>109.8</v>
      </c>
      <c r="O2413" s="110">
        <v>105.05</v>
      </c>
      <c r="P2413" s="110">
        <v>105.8</v>
      </c>
      <c r="Q2413" s="110">
        <v>109.3</v>
      </c>
      <c r="R2413">
        <v>44004939</v>
      </c>
    </row>
    <row r="2414" spans="1:18" x14ac:dyDescent="0.25">
      <c r="A2414" s="133">
        <v>45559</v>
      </c>
      <c r="B2414" s="110">
        <v>110.45</v>
      </c>
      <c r="C2414" s="110">
        <v>109.3</v>
      </c>
      <c r="D2414" s="110">
        <v>108.7</v>
      </c>
      <c r="E2414" s="110">
        <v>109.75</v>
      </c>
      <c r="F2414" s="110">
        <v>109.3</v>
      </c>
      <c r="G2414">
        <v>1561515</v>
      </c>
      <c r="H2414" s="110"/>
      <c r="I2414" s="110"/>
      <c r="L2414" s="133">
        <v>45559</v>
      </c>
      <c r="M2414" s="110">
        <v>109.29</v>
      </c>
      <c r="N2414" s="110">
        <v>110.5</v>
      </c>
      <c r="O2414" s="110">
        <v>108.65</v>
      </c>
      <c r="P2414" s="110">
        <v>109.3</v>
      </c>
      <c r="Q2414" s="110">
        <v>109.29</v>
      </c>
      <c r="R2414">
        <v>28379404</v>
      </c>
    </row>
    <row r="2415" spans="1:18" x14ac:dyDescent="0.25">
      <c r="A2415" s="133">
        <v>45560</v>
      </c>
      <c r="B2415" s="110">
        <v>109.35</v>
      </c>
      <c r="C2415" s="110">
        <v>108.35</v>
      </c>
      <c r="D2415" s="110">
        <v>107.3</v>
      </c>
      <c r="E2415" s="110">
        <v>108.8</v>
      </c>
      <c r="F2415" s="110">
        <v>108.35</v>
      </c>
      <c r="G2415">
        <v>960497</v>
      </c>
      <c r="H2415" s="110"/>
      <c r="I2415" s="110"/>
      <c r="L2415" s="133">
        <v>45560</v>
      </c>
      <c r="M2415" s="110">
        <v>108.4</v>
      </c>
      <c r="N2415" s="110">
        <v>109.35</v>
      </c>
      <c r="O2415" s="110">
        <v>107.3</v>
      </c>
      <c r="P2415" s="110">
        <v>108.92</v>
      </c>
      <c r="Q2415" s="110">
        <v>108.4</v>
      </c>
      <c r="R2415">
        <v>16444233</v>
      </c>
    </row>
    <row r="2416" spans="1:18" x14ac:dyDescent="0.25">
      <c r="A2416" s="133">
        <v>45561</v>
      </c>
      <c r="B2416" s="110">
        <v>110.65</v>
      </c>
      <c r="C2416" s="110">
        <v>110.1</v>
      </c>
      <c r="D2416" s="110">
        <v>107.2</v>
      </c>
      <c r="E2416" s="110">
        <v>108.9</v>
      </c>
      <c r="F2416" s="110">
        <v>110.1</v>
      </c>
      <c r="G2416">
        <v>1023881</v>
      </c>
      <c r="H2416" s="110"/>
      <c r="I2416" s="110"/>
      <c r="L2416" s="133">
        <v>45561</v>
      </c>
      <c r="M2416" s="110">
        <v>110.17</v>
      </c>
      <c r="N2416" s="110">
        <v>110.7</v>
      </c>
      <c r="O2416" s="110">
        <v>107.2</v>
      </c>
      <c r="P2416" s="110">
        <v>108.75</v>
      </c>
      <c r="Q2416" s="110">
        <v>110.17</v>
      </c>
      <c r="R2416">
        <v>33028089</v>
      </c>
    </row>
    <row r="2417" spans="1:18" x14ac:dyDescent="0.25">
      <c r="A2417" s="133">
        <v>45562</v>
      </c>
      <c r="B2417" s="110">
        <v>113.3</v>
      </c>
      <c r="C2417" s="110">
        <v>113.05</v>
      </c>
      <c r="D2417" s="110">
        <v>110.05</v>
      </c>
      <c r="E2417" s="110">
        <v>110.85</v>
      </c>
      <c r="F2417" s="110">
        <v>113.05</v>
      </c>
      <c r="G2417">
        <v>1299805</v>
      </c>
      <c r="H2417" s="110"/>
      <c r="I2417" s="110"/>
      <c r="L2417" s="133">
        <v>45562</v>
      </c>
      <c r="M2417" s="110">
        <v>113.1</v>
      </c>
      <c r="N2417" s="110">
        <v>113.3</v>
      </c>
      <c r="O2417" s="110">
        <v>110.06</v>
      </c>
      <c r="P2417" s="110">
        <v>110.72</v>
      </c>
      <c r="Q2417" s="110">
        <v>113.1</v>
      </c>
      <c r="R2417">
        <v>118637751</v>
      </c>
    </row>
    <row r="2418" spans="1:18" x14ac:dyDescent="0.25">
      <c r="A2418" s="133">
        <v>45565</v>
      </c>
      <c r="B2418" s="110">
        <v>113.45</v>
      </c>
      <c r="C2418" s="110">
        <v>111.45</v>
      </c>
      <c r="D2418" s="110">
        <v>110.8</v>
      </c>
      <c r="E2418" s="110">
        <v>112.8</v>
      </c>
      <c r="F2418" s="110">
        <v>111.45</v>
      </c>
      <c r="G2418">
        <v>1085307</v>
      </c>
      <c r="H2418" s="110"/>
      <c r="I2418" s="110"/>
      <c r="L2418" s="133">
        <v>45565</v>
      </c>
      <c r="M2418" s="110">
        <v>111.33</v>
      </c>
      <c r="N2418" s="110">
        <v>113.5</v>
      </c>
      <c r="O2418" s="110">
        <v>110.81</v>
      </c>
      <c r="P2418" s="110">
        <v>113</v>
      </c>
      <c r="Q2418" s="110">
        <v>111.33</v>
      </c>
      <c r="R2418">
        <v>20409076</v>
      </c>
    </row>
    <row r="2419" spans="1:18" x14ac:dyDescent="0.25">
      <c r="A2419" s="133">
        <v>45566</v>
      </c>
      <c r="B2419" s="110">
        <v>112.45</v>
      </c>
      <c r="C2419" s="110">
        <v>110.45</v>
      </c>
      <c r="D2419" s="110">
        <v>110</v>
      </c>
      <c r="E2419" s="110">
        <v>111.9</v>
      </c>
      <c r="F2419" s="110">
        <v>110.45</v>
      </c>
      <c r="G2419">
        <v>1089133</v>
      </c>
      <c r="H2419" s="110"/>
      <c r="I2419" s="110"/>
      <c r="L2419" s="133">
        <v>45566</v>
      </c>
      <c r="M2419" s="110">
        <v>110.49</v>
      </c>
      <c r="N2419" s="110">
        <v>112.46</v>
      </c>
      <c r="O2419" s="110">
        <v>109.98</v>
      </c>
      <c r="P2419" s="110">
        <v>111.05</v>
      </c>
      <c r="Q2419" s="110">
        <v>110.49</v>
      </c>
      <c r="R2419">
        <v>17636415</v>
      </c>
    </row>
    <row r="2420" spans="1:18" x14ac:dyDescent="0.25">
      <c r="A2420" s="133">
        <v>45568</v>
      </c>
      <c r="B2420" s="110">
        <v>110.5</v>
      </c>
      <c r="C2420" s="110">
        <v>107.95</v>
      </c>
      <c r="D2420" s="110">
        <v>107.4</v>
      </c>
      <c r="E2420" s="110">
        <v>109.15</v>
      </c>
      <c r="F2420" s="110">
        <v>107.95</v>
      </c>
      <c r="G2420">
        <v>911648</v>
      </c>
      <c r="H2420" s="110"/>
      <c r="I2420" s="110"/>
      <c r="L2420" s="133">
        <v>45568</v>
      </c>
      <c r="M2420" s="110">
        <v>107.96</v>
      </c>
      <c r="N2420" s="110">
        <v>110.49</v>
      </c>
      <c r="O2420" s="110">
        <v>107.2</v>
      </c>
      <c r="P2420" s="110">
        <v>108</v>
      </c>
      <c r="Q2420" s="110">
        <v>107.96</v>
      </c>
      <c r="R2420">
        <v>26156379</v>
      </c>
    </row>
    <row r="2421" spans="1:18" x14ac:dyDescent="0.25">
      <c r="A2421" s="133">
        <v>45569</v>
      </c>
      <c r="B2421" s="110">
        <v>110.4</v>
      </c>
      <c r="C2421" s="110">
        <v>107.65</v>
      </c>
      <c r="D2421" s="110">
        <v>106.5</v>
      </c>
      <c r="E2421" s="110">
        <v>108</v>
      </c>
      <c r="F2421" s="110">
        <v>107.65</v>
      </c>
      <c r="G2421">
        <v>694136</v>
      </c>
      <c r="H2421" s="110"/>
      <c r="I2421" s="110"/>
      <c r="L2421" s="133">
        <v>45569</v>
      </c>
      <c r="M2421" s="110">
        <v>107.62</v>
      </c>
      <c r="N2421" s="110">
        <v>110.35</v>
      </c>
      <c r="O2421" s="110">
        <v>106.51</v>
      </c>
      <c r="P2421" s="110">
        <v>108</v>
      </c>
      <c r="Q2421" s="110">
        <v>107.62</v>
      </c>
      <c r="R2421">
        <v>22926805</v>
      </c>
    </row>
    <row r="2422" spans="1:18" x14ac:dyDescent="0.25">
      <c r="A2422" s="133">
        <v>45572</v>
      </c>
      <c r="B2422" s="110">
        <v>109</v>
      </c>
      <c r="C2422" s="110">
        <v>103.5</v>
      </c>
      <c r="D2422" s="110">
        <v>102.35</v>
      </c>
      <c r="E2422" s="110">
        <v>107.7</v>
      </c>
      <c r="F2422" s="110">
        <v>103.5</v>
      </c>
      <c r="G2422">
        <v>2996882</v>
      </c>
      <c r="H2422" s="110"/>
      <c r="I2422" s="110"/>
      <c r="L2422" s="133">
        <v>45572</v>
      </c>
      <c r="M2422" s="110">
        <v>103.49</v>
      </c>
      <c r="N2422" s="110">
        <v>109.05</v>
      </c>
      <c r="O2422" s="110">
        <v>102.34</v>
      </c>
      <c r="P2422" s="110">
        <v>108.24</v>
      </c>
      <c r="Q2422" s="110">
        <v>103.49</v>
      </c>
      <c r="R2422">
        <v>39225162</v>
      </c>
    </row>
    <row r="2423" spans="1:18" x14ac:dyDescent="0.25">
      <c r="A2423" s="133">
        <v>45573</v>
      </c>
      <c r="B2423" s="110">
        <v>105.25</v>
      </c>
      <c r="C2423" s="110">
        <v>104.9</v>
      </c>
      <c r="D2423" s="110">
        <v>102.7</v>
      </c>
      <c r="E2423" s="110">
        <v>103.55</v>
      </c>
      <c r="F2423" s="110">
        <v>104.9</v>
      </c>
      <c r="G2423">
        <v>1232945</v>
      </c>
      <c r="H2423" s="110"/>
      <c r="I2423" s="110"/>
      <c r="L2423" s="133">
        <v>45573</v>
      </c>
      <c r="M2423" s="110">
        <v>104.95</v>
      </c>
      <c r="N2423" s="110">
        <v>105.3</v>
      </c>
      <c r="O2423" s="110">
        <v>102.7</v>
      </c>
      <c r="P2423" s="110">
        <v>103.7</v>
      </c>
      <c r="Q2423" s="110">
        <v>104.95</v>
      </c>
      <c r="R2423">
        <v>16673844</v>
      </c>
    </row>
    <row r="2424" spans="1:18" x14ac:dyDescent="0.25">
      <c r="A2424" s="133">
        <v>45574</v>
      </c>
      <c r="B2424" s="110">
        <v>106.3</v>
      </c>
      <c r="C2424" s="110">
        <v>104.4</v>
      </c>
      <c r="D2424" s="110">
        <v>103.65</v>
      </c>
      <c r="E2424" s="110">
        <v>105.95</v>
      </c>
      <c r="F2424" s="110">
        <v>104.4</v>
      </c>
      <c r="G2424">
        <v>751563</v>
      </c>
      <c r="H2424" s="110"/>
      <c r="I2424" s="110"/>
      <c r="L2424" s="133">
        <v>45574</v>
      </c>
      <c r="M2424" s="110">
        <v>104.4</v>
      </c>
      <c r="N2424" s="110">
        <v>106.3</v>
      </c>
      <c r="O2424" s="110">
        <v>103.53</v>
      </c>
      <c r="P2424" s="110">
        <v>105.95</v>
      </c>
      <c r="Q2424" s="110">
        <v>104.4</v>
      </c>
      <c r="R2424">
        <v>28593344</v>
      </c>
    </row>
    <row r="2425" spans="1:18" x14ac:dyDescent="0.25">
      <c r="A2425" s="133">
        <v>45575</v>
      </c>
      <c r="B2425" s="110">
        <v>106.55</v>
      </c>
      <c r="C2425" s="110">
        <v>104.1</v>
      </c>
      <c r="D2425" s="110">
        <v>103.85</v>
      </c>
      <c r="E2425" s="110">
        <v>105.35</v>
      </c>
      <c r="F2425" s="110">
        <v>104.1</v>
      </c>
      <c r="G2425">
        <v>803393</v>
      </c>
      <c r="H2425" s="110"/>
      <c r="I2425" s="110"/>
      <c r="L2425" s="133">
        <v>45575</v>
      </c>
      <c r="M2425" s="110">
        <v>104.13</v>
      </c>
      <c r="N2425" s="110">
        <v>106.59</v>
      </c>
      <c r="O2425" s="110">
        <v>103.9</v>
      </c>
      <c r="P2425" s="110">
        <v>105.12</v>
      </c>
      <c r="Q2425" s="110">
        <v>104.13</v>
      </c>
      <c r="R2425">
        <v>12428432</v>
      </c>
    </row>
    <row r="2426" spans="1:18" x14ac:dyDescent="0.25">
      <c r="A2426" s="133">
        <v>45576</v>
      </c>
      <c r="B2426" s="110">
        <v>104.95</v>
      </c>
      <c r="C2426" s="110">
        <v>104.05</v>
      </c>
      <c r="D2426" s="110">
        <v>103.65</v>
      </c>
      <c r="E2426" s="110">
        <v>104.95</v>
      </c>
      <c r="F2426" s="110">
        <v>104.05</v>
      </c>
      <c r="G2426">
        <v>340166</v>
      </c>
      <c r="H2426" s="110"/>
      <c r="I2426" s="110"/>
      <c r="L2426" s="133">
        <v>45576</v>
      </c>
      <c r="M2426" s="110">
        <v>104.06</v>
      </c>
      <c r="N2426" s="110">
        <v>104.75</v>
      </c>
      <c r="O2426" s="110">
        <v>103.65</v>
      </c>
      <c r="P2426" s="110">
        <v>104.6</v>
      </c>
      <c r="Q2426" s="110">
        <v>104.06</v>
      </c>
      <c r="R2426">
        <v>11563438</v>
      </c>
    </row>
    <row r="2427" spans="1:18" x14ac:dyDescent="0.25">
      <c r="A2427" s="133">
        <v>45579</v>
      </c>
      <c r="B2427" s="110">
        <v>105.4</v>
      </c>
      <c r="C2427" s="110">
        <v>104.45</v>
      </c>
      <c r="D2427" s="110">
        <v>103.95</v>
      </c>
      <c r="E2427" s="110">
        <v>104.2</v>
      </c>
      <c r="F2427" s="110">
        <v>104.45</v>
      </c>
      <c r="G2427">
        <v>594457</v>
      </c>
      <c r="H2427" s="110"/>
      <c r="I2427" s="110"/>
      <c r="L2427" s="133">
        <v>45579</v>
      </c>
      <c r="M2427" s="110">
        <v>104.49</v>
      </c>
      <c r="N2427" s="110">
        <v>105.44</v>
      </c>
      <c r="O2427" s="110">
        <v>103.93</v>
      </c>
      <c r="P2427" s="110">
        <v>104.5</v>
      </c>
      <c r="Q2427" s="110">
        <v>104.49</v>
      </c>
      <c r="R2427">
        <v>11440300</v>
      </c>
    </row>
    <row r="2428" spans="1:18" x14ac:dyDescent="0.25">
      <c r="A2428" s="133">
        <v>45580</v>
      </c>
      <c r="B2428" s="110">
        <v>105.35</v>
      </c>
      <c r="C2428" s="110">
        <v>104.4</v>
      </c>
      <c r="D2428" s="110">
        <v>104</v>
      </c>
      <c r="E2428" s="110">
        <v>104.75</v>
      </c>
      <c r="F2428" s="110">
        <v>104.4</v>
      </c>
      <c r="G2428">
        <v>386951</v>
      </c>
      <c r="H2428" s="110"/>
      <c r="I2428" s="110"/>
      <c r="L2428" s="133">
        <v>45580</v>
      </c>
      <c r="M2428" s="110">
        <v>104.43</v>
      </c>
      <c r="N2428" s="110">
        <v>105.3</v>
      </c>
      <c r="O2428" s="110">
        <v>104</v>
      </c>
      <c r="P2428" s="110">
        <v>105</v>
      </c>
      <c r="Q2428" s="110">
        <v>104.43</v>
      </c>
      <c r="R2428">
        <v>8407143</v>
      </c>
    </row>
    <row r="2429" spans="1:18" x14ac:dyDescent="0.25">
      <c r="A2429" s="133">
        <v>45581</v>
      </c>
      <c r="B2429" s="110">
        <v>104.95</v>
      </c>
      <c r="C2429" s="110">
        <v>104.3</v>
      </c>
      <c r="D2429" s="110">
        <v>103.65</v>
      </c>
      <c r="E2429" s="110">
        <v>104.05</v>
      </c>
      <c r="F2429" s="110">
        <v>104.3</v>
      </c>
      <c r="G2429">
        <v>332746</v>
      </c>
      <c r="H2429" s="110"/>
      <c r="I2429" s="110"/>
      <c r="L2429" s="133">
        <v>45581</v>
      </c>
      <c r="M2429" s="110">
        <v>104.37</v>
      </c>
      <c r="N2429" s="110">
        <v>104.92</v>
      </c>
      <c r="O2429" s="110">
        <v>103.62</v>
      </c>
      <c r="P2429" s="110">
        <v>104.43</v>
      </c>
      <c r="Q2429" s="110">
        <v>104.37</v>
      </c>
      <c r="R2429">
        <v>11037275</v>
      </c>
    </row>
    <row r="2430" spans="1:18" x14ac:dyDescent="0.25">
      <c r="A2430" s="133">
        <v>45582</v>
      </c>
      <c r="B2430" s="110">
        <v>105</v>
      </c>
      <c r="C2430" s="110">
        <v>102.5</v>
      </c>
      <c r="D2430" s="110">
        <v>102.25</v>
      </c>
      <c r="E2430" s="110">
        <v>104.9</v>
      </c>
      <c r="F2430" s="110">
        <v>102.5</v>
      </c>
      <c r="G2430">
        <v>385871</v>
      </c>
      <c r="H2430" s="110"/>
      <c r="I2430" s="110"/>
      <c r="L2430" s="133">
        <v>45582</v>
      </c>
      <c r="M2430" s="110">
        <v>102.5</v>
      </c>
      <c r="N2430" s="110">
        <v>104.94</v>
      </c>
      <c r="O2430" s="110">
        <v>102.21</v>
      </c>
      <c r="P2430" s="110">
        <v>104.61</v>
      </c>
      <c r="Q2430" s="110">
        <v>102.5</v>
      </c>
      <c r="R2430">
        <v>14889333</v>
      </c>
    </row>
    <row r="2431" spans="1:18" x14ac:dyDescent="0.25">
      <c r="A2431" s="133">
        <v>45583</v>
      </c>
      <c r="B2431" s="110">
        <v>105</v>
      </c>
      <c r="C2431" s="110">
        <v>104.65</v>
      </c>
      <c r="D2431" s="110">
        <v>100.8</v>
      </c>
      <c r="E2431" s="110">
        <v>102.35</v>
      </c>
      <c r="F2431" s="110">
        <v>104.65</v>
      </c>
      <c r="G2431">
        <v>1295234</v>
      </c>
      <c r="H2431" s="110"/>
      <c r="I2431" s="110"/>
      <c r="L2431" s="133">
        <v>45583</v>
      </c>
      <c r="M2431" s="110">
        <v>104.67</v>
      </c>
      <c r="N2431" s="110">
        <v>104.99</v>
      </c>
      <c r="O2431" s="110">
        <v>100.77</v>
      </c>
      <c r="P2431" s="110">
        <v>102.1</v>
      </c>
      <c r="Q2431" s="110">
        <v>104.67</v>
      </c>
      <c r="R2431">
        <v>19968661</v>
      </c>
    </row>
    <row r="2432" spans="1:18" x14ac:dyDescent="0.25">
      <c r="A2432" s="133">
        <v>45586</v>
      </c>
      <c r="B2432" s="110">
        <v>105.6</v>
      </c>
      <c r="C2432" s="110">
        <v>102.85</v>
      </c>
      <c r="D2432" s="110">
        <v>102.65</v>
      </c>
      <c r="E2432" s="110">
        <v>104.95</v>
      </c>
      <c r="F2432" s="110">
        <v>102.85</v>
      </c>
      <c r="G2432">
        <v>900352</v>
      </c>
      <c r="H2432" s="110"/>
      <c r="I2432" s="110"/>
      <c r="L2432" s="133">
        <v>45586</v>
      </c>
      <c r="M2432" s="110">
        <v>102.86</v>
      </c>
      <c r="N2432" s="110">
        <v>105.6</v>
      </c>
      <c r="O2432" s="110">
        <v>102.7</v>
      </c>
      <c r="P2432" s="110">
        <v>104.9</v>
      </c>
      <c r="Q2432" s="110">
        <v>102.86</v>
      </c>
      <c r="R2432">
        <v>13874672</v>
      </c>
    </row>
    <row r="2433" spans="1:18" x14ac:dyDescent="0.25">
      <c r="A2433" s="133">
        <v>45587</v>
      </c>
      <c r="B2433" s="110">
        <v>102.8</v>
      </c>
      <c r="C2433" s="110">
        <v>96.85</v>
      </c>
      <c r="D2433" s="110">
        <v>96.35</v>
      </c>
      <c r="E2433" s="110">
        <v>102.55</v>
      </c>
      <c r="F2433" s="110">
        <v>96.85</v>
      </c>
      <c r="G2433">
        <v>1183466</v>
      </c>
      <c r="H2433" s="110"/>
      <c r="I2433" s="110"/>
      <c r="L2433" s="133">
        <v>45587</v>
      </c>
      <c r="M2433" s="110">
        <v>96.79</v>
      </c>
      <c r="N2433" s="110">
        <v>102.86</v>
      </c>
      <c r="O2433" s="110">
        <v>96.31</v>
      </c>
      <c r="P2433" s="110">
        <v>102.86</v>
      </c>
      <c r="Q2433" s="110">
        <v>96.79</v>
      </c>
      <c r="R2433">
        <v>30808126</v>
      </c>
    </row>
    <row r="2434" spans="1:18" x14ac:dyDescent="0.25">
      <c r="A2434" s="133">
        <v>45588</v>
      </c>
      <c r="B2434" s="110">
        <v>98.35</v>
      </c>
      <c r="C2434" s="110">
        <v>97.7</v>
      </c>
      <c r="D2434" s="110">
        <v>94.45</v>
      </c>
      <c r="E2434" s="110">
        <v>97.25</v>
      </c>
      <c r="F2434" s="110">
        <v>97.7</v>
      </c>
      <c r="G2434">
        <v>1888088</v>
      </c>
      <c r="H2434" s="110"/>
      <c r="I2434" s="110"/>
      <c r="L2434" s="133">
        <v>45588</v>
      </c>
      <c r="M2434" s="110">
        <v>97.69</v>
      </c>
      <c r="N2434" s="110">
        <v>98.45</v>
      </c>
      <c r="O2434" s="110">
        <v>94.44</v>
      </c>
      <c r="P2434" s="110">
        <v>97</v>
      </c>
      <c r="Q2434" s="110">
        <v>97.69</v>
      </c>
      <c r="R2434">
        <v>31433274</v>
      </c>
    </row>
    <row r="2435" spans="1:18" x14ac:dyDescent="0.25">
      <c r="A2435" s="133">
        <v>45589</v>
      </c>
      <c r="B2435" s="110">
        <v>99.7</v>
      </c>
      <c r="C2435" s="110">
        <v>98.15</v>
      </c>
      <c r="D2435" s="110">
        <v>97.55</v>
      </c>
      <c r="E2435" s="110">
        <v>98.8</v>
      </c>
      <c r="F2435" s="110">
        <v>98.15</v>
      </c>
      <c r="G2435">
        <v>1061832</v>
      </c>
      <c r="H2435" s="110"/>
      <c r="I2435" s="110"/>
      <c r="L2435" s="133">
        <v>45589</v>
      </c>
      <c r="M2435" s="110">
        <v>98.19</v>
      </c>
      <c r="N2435" s="110">
        <v>99.65</v>
      </c>
      <c r="O2435" s="110">
        <v>97.52</v>
      </c>
      <c r="P2435" s="110">
        <v>98</v>
      </c>
      <c r="Q2435" s="110">
        <v>98.19</v>
      </c>
      <c r="R2435">
        <v>16182512</v>
      </c>
    </row>
    <row r="2436" spans="1:18" x14ac:dyDescent="0.25">
      <c r="A2436" s="133">
        <v>45590</v>
      </c>
      <c r="B2436" s="110">
        <v>99</v>
      </c>
      <c r="C2436" s="110">
        <v>94.35</v>
      </c>
      <c r="D2436" s="110">
        <v>93</v>
      </c>
      <c r="E2436" s="110">
        <v>98.95</v>
      </c>
      <c r="F2436" s="110">
        <v>94.35</v>
      </c>
      <c r="G2436">
        <v>1094733</v>
      </c>
      <c r="H2436" s="110"/>
      <c r="I2436" s="110"/>
      <c r="L2436" s="133">
        <v>45590</v>
      </c>
      <c r="M2436" s="110">
        <v>94.24</v>
      </c>
      <c r="N2436" s="110">
        <v>99.18</v>
      </c>
      <c r="O2436" s="110">
        <v>92.98</v>
      </c>
      <c r="P2436" s="110">
        <v>98.45</v>
      </c>
      <c r="Q2436" s="110">
        <v>94.24</v>
      </c>
      <c r="R2436">
        <v>30977098</v>
      </c>
    </row>
    <row r="2437" spans="1:18" x14ac:dyDescent="0.25">
      <c r="A2437" s="133">
        <v>45593</v>
      </c>
      <c r="B2437" s="110">
        <v>101.5</v>
      </c>
      <c r="C2437" s="110">
        <v>100.65</v>
      </c>
      <c r="D2437" s="110">
        <v>94.75</v>
      </c>
      <c r="E2437" s="110">
        <v>95.1</v>
      </c>
      <c r="F2437" s="110">
        <v>100.65</v>
      </c>
      <c r="G2437">
        <v>4335838</v>
      </c>
      <c r="H2437" s="110"/>
      <c r="I2437" s="110"/>
      <c r="L2437" s="133">
        <v>45593</v>
      </c>
      <c r="M2437" s="110">
        <v>100.69</v>
      </c>
      <c r="N2437" s="110">
        <v>101.5</v>
      </c>
      <c r="O2437" s="110">
        <v>94.75</v>
      </c>
      <c r="P2437" s="110">
        <v>95.4</v>
      </c>
      <c r="Q2437" s="110">
        <v>100.69</v>
      </c>
      <c r="R2437">
        <v>55924681</v>
      </c>
    </row>
    <row r="2438" spans="1:18" x14ac:dyDescent="0.25">
      <c r="A2438" s="133">
        <v>45594</v>
      </c>
      <c r="B2438" s="110">
        <v>104.15</v>
      </c>
      <c r="C2438" s="110">
        <v>103.7</v>
      </c>
      <c r="D2438" s="110">
        <v>99.8</v>
      </c>
      <c r="E2438" s="110">
        <v>101.65</v>
      </c>
      <c r="F2438" s="110">
        <v>103.7</v>
      </c>
      <c r="G2438">
        <v>1971648</v>
      </c>
      <c r="H2438" s="110"/>
      <c r="I2438" s="110"/>
      <c r="L2438" s="133">
        <v>45594</v>
      </c>
      <c r="M2438" s="110">
        <v>103.76</v>
      </c>
      <c r="N2438" s="110">
        <v>104.14</v>
      </c>
      <c r="O2438" s="110">
        <v>99.8</v>
      </c>
      <c r="P2438" s="110">
        <v>101.5</v>
      </c>
      <c r="Q2438" s="110">
        <v>103.76</v>
      </c>
      <c r="R2438">
        <v>55169329</v>
      </c>
    </row>
    <row r="2439" spans="1:18" x14ac:dyDescent="0.25">
      <c r="A2439" s="133">
        <v>45595</v>
      </c>
      <c r="B2439" s="110">
        <v>104.95</v>
      </c>
      <c r="C2439" s="110">
        <v>103.4</v>
      </c>
      <c r="D2439" s="110">
        <v>102.95</v>
      </c>
      <c r="E2439" s="110">
        <v>103.5</v>
      </c>
      <c r="F2439" s="110">
        <v>103.4</v>
      </c>
      <c r="G2439">
        <v>1422415</v>
      </c>
      <c r="H2439" s="110"/>
      <c r="I2439" s="110"/>
      <c r="L2439" s="133">
        <v>45595</v>
      </c>
      <c r="M2439" s="110">
        <v>103.36</v>
      </c>
      <c r="N2439" s="110">
        <v>104.95</v>
      </c>
      <c r="O2439" s="110">
        <v>102.92</v>
      </c>
      <c r="P2439" s="110">
        <v>103.5</v>
      </c>
      <c r="Q2439" s="110">
        <v>103.36</v>
      </c>
      <c r="R2439">
        <v>29812887</v>
      </c>
    </row>
    <row r="2440" spans="1:18" x14ac:dyDescent="0.25">
      <c r="A2440" s="133">
        <v>45596</v>
      </c>
      <c r="B2440" s="110">
        <v>104.15</v>
      </c>
      <c r="C2440" s="110">
        <v>102.65</v>
      </c>
      <c r="D2440" s="110">
        <v>102.2</v>
      </c>
      <c r="E2440" s="110">
        <v>103</v>
      </c>
      <c r="F2440" s="110">
        <v>102.65</v>
      </c>
      <c r="G2440">
        <v>939955</v>
      </c>
      <c r="H2440" s="110"/>
      <c r="I2440" s="110"/>
      <c r="L2440" s="133">
        <v>45596</v>
      </c>
      <c r="M2440" s="110">
        <v>102.65</v>
      </c>
      <c r="N2440" s="110">
        <v>104.15</v>
      </c>
      <c r="O2440" s="110">
        <v>102.15</v>
      </c>
      <c r="P2440" s="110">
        <v>103</v>
      </c>
      <c r="Q2440" s="110">
        <v>102.65</v>
      </c>
      <c r="R2440">
        <v>15415779</v>
      </c>
    </row>
    <row r="2441" spans="1:18" x14ac:dyDescent="0.25">
      <c r="A2441" s="133">
        <v>45597</v>
      </c>
      <c r="B2441" s="110">
        <v>104.45</v>
      </c>
      <c r="C2441" s="110">
        <v>103.95</v>
      </c>
      <c r="D2441" s="110">
        <v>103.05</v>
      </c>
      <c r="E2441" s="110">
        <v>103.05</v>
      </c>
      <c r="F2441" s="110">
        <v>103.95</v>
      </c>
      <c r="G2441">
        <v>526018</v>
      </c>
      <c r="H2441" s="110"/>
      <c r="I2441" s="110"/>
      <c r="L2441" s="133">
        <v>45597</v>
      </c>
      <c r="M2441" s="110">
        <v>103.96</v>
      </c>
      <c r="N2441" s="110">
        <v>104.49</v>
      </c>
      <c r="O2441" s="110">
        <v>103.26</v>
      </c>
      <c r="P2441" s="110">
        <v>103.8</v>
      </c>
      <c r="Q2441" s="110">
        <v>103.96</v>
      </c>
      <c r="R2441">
        <v>4211783</v>
      </c>
    </row>
    <row r="2442" spans="1:18" x14ac:dyDescent="0.25">
      <c r="A2442" s="133">
        <v>45600</v>
      </c>
      <c r="B2442" s="110">
        <v>104.4</v>
      </c>
      <c r="C2442" s="110">
        <v>101.95</v>
      </c>
      <c r="D2442" s="110">
        <v>99.55</v>
      </c>
      <c r="E2442" s="110">
        <v>104.4</v>
      </c>
      <c r="F2442" s="110">
        <v>101.95</v>
      </c>
      <c r="G2442">
        <v>1003069</v>
      </c>
      <c r="H2442" s="110"/>
      <c r="I2442" s="110"/>
      <c r="L2442" s="133">
        <v>45600</v>
      </c>
      <c r="M2442" s="110">
        <v>101.91</v>
      </c>
      <c r="N2442" s="110">
        <v>104.5</v>
      </c>
      <c r="O2442" s="110">
        <v>99.5</v>
      </c>
      <c r="P2442" s="110">
        <v>104.5</v>
      </c>
      <c r="Q2442" s="110">
        <v>101.91</v>
      </c>
      <c r="R2442">
        <v>32237064</v>
      </c>
    </row>
    <row r="2443" spans="1:18" x14ac:dyDescent="0.25">
      <c r="A2443" s="133">
        <v>45601</v>
      </c>
      <c r="B2443" s="110">
        <v>103.9</v>
      </c>
      <c r="C2443" s="110">
        <v>103.6</v>
      </c>
      <c r="D2443" s="110">
        <v>101.3</v>
      </c>
      <c r="E2443" s="110">
        <v>101.75</v>
      </c>
      <c r="F2443" s="110">
        <v>103.6</v>
      </c>
      <c r="G2443">
        <v>1475789</v>
      </c>
      <c r="H2443" s="110"/>
      <c r="I2443" s="110"/>
      <c r="L2443" s="133">
        <v>45601</v>
      </c>
      <c r="M2443" s="110">
        <v>103.67</v>
      </c>
      <c r="N2443" s="110">
        <v>103.92</v>
      </c>
      <c r="O2443" s="110">
        <v>101.3</v>
      </c>
      <c r="P2443" s="110">
        <v>101.61</v>
      </c>
      <c r="Q2443" s="110">
        <v>103.67</v>
      </c>
      <c r="R2443">
        <v>22694396</v>
      </c>
    </row>
    <row r="2444" spans="1:18" x14ac:dyDescent="0.25">
      <c r="A2444" s="133">
        <v>45602</v>
      </c>
      <c r="B2444" s="110">
        <v>106</v>
      </c>
      <c r="C2444" s="110">
        <v>105.3</v>
      </c>
      <c r="D2444" s="110">
        <v>103.5</v>
      </c>
      <c r="E2444" s="110">
        <v>104.5</v>
      </c>
      <c r="F2444" s="110">
        <v>105.3</v>
      </c>
      <c r="G2444">
        <v>1082008</v>
      </c>
      <c r="H2444" s="110"/>
      <c r="I2444" s="110"/>
      <c r="L2444" s="133">
        <v>45602</v>
      </c>
      <c r="M2444" s="110">
        <v>105.25</v>
      </c>
      <c r="N2444" s="110">
        <v>106</v>
      </c>
      <c r="O2444" s="110">
        <v>103.46</v>
      </c>
      <c r="P2444" s="110">
        <v>104.98</v>
      </c>
      <c r="Q2444" s="110">
        <v>105.25</v>
      </c>
      <c r="R2444">
        <v>30178638</v>
      </c>
    </row>
    <row r="2445" spans="1:18" x14ac:dyDescent="0.25">
      <c r="A2445" s="133">
        <v>45603</v>
      </c>
      <c r="B2445" s="110">
        <v>106.5</v>
      </c>
      <c r="C2445" s="110">
        <v>105.05</v>
      </c>
      <c r="D2445" s="110">
        <v>104.75</v>
      </c>
      <c r="E2445" s="110">
        <v>105.75</v>
      </c>
      <c r="F2445" s="110">
        <v>105.05</v>
      </c>
      <c r="G2445">
        <v>1269809</v>
      </c>
      <c r="H2445" s="110"/>
      <c r="I2445" s="110"/>
      <c r="L2445" s="133">
        <v>45603</v>
      </c>
      <c r="M2445" s="110">
        <v>105.07</v>
      </c>
      <c r="N2445" s="110">
        <v>106.49</v>
      </c>
      <c r="O2445" s="110">
        <v>104.83</v>
      </c>
      <c r="P2445" s="110">
        <v>105.5</v>
      </c>
      <c r="Q2445" s="110">
        <v>105.07</v>
      </c>
      <c r="R2445">
        <v>17438397</v>
      </c>
    </row>
    <row r="2446" spans="1:18" x14ac:dyDescent="0.25">
      <c r="A2446" s="133">
        <v>45604</v>
      </c>
      <c r="B2446" s="110">
        <v>105.05</v>
      </c>
      <c r="C2446" s="110">
        <v>103.7</v>
      </c>
      <c r="D2446" s="110">
        <v>103.2</v>
      </c>
      <c r="E2446" s="110">
        <v>105.05</v>
      </c>
      <c r="F2446" s="110">
        <v>103.7</v>
      </c>
      <c r="G2446">
        <v>791213</v>
      </c>
      <c r="H2446" s="110"/>
      <c r="I2446" s="110"/>
      <c r="L2446" s="133">
        <v>45604</v>
      </c>
      <c r="M2446" s="110">
        <v>103.69</v>
      </c>
      <c r="N2446" s="110">
        <v>105.1</v>
      </c>
      <c r="O2446" s="110">
        <v>103.18</v>
      </c>
      <c r="P2446" s="110">
        <v>105.04</v>
      </c>
      <c r="Q2446" s="110">
        <v>103.69</v>
      </c>
      <c r="R2446">
        <v>19031613</v>
      </c>
    </row>
    <row r="2447" spans="1:18" x14ac:dyDescent="0.25">
      <c r="A2447" s="133">
        <v>45607</v>
      </c>
      <c r="B2447" s="110">
        <v>105.15</v>
      </c>
      <c r="C2447" s="110">
        <v>103.9</v>
      </c>
      <c r="D2447" s="110">
        <v>101.7</v>
      </c>
      <c r="E2447" s="110">
        <v>102.9</v>
      </c>
      <c r="F2447" s="110">
        <v>103.9</v>
      </c>
      <c r="G2447">
        <v>1855190</v>
      </c>
      <c r="H2447" s="110"/>
      <c r="I2447" s="110"/>
      <c r="L2447" s="133">
        <v>45607</v>
      </c>
      <c r="M2447" s="110">
        <v>103.89</v>
      </c>
      <c r="N2447" s="110">
        <v>105.14</v>
      </c>
      <c r="O2447" s="110">
        <v>101.7</v>
      </c>
      <c r="P2447" s="110">
        <v>103</v>
      </c>
      <c r="Q2447" s="110">
        <v>103.89</v>
      </c>
      <c r="R2447">
        <v>16982584</v>
      </c>
    </row>
    <row r="2448" spans="1:18" x14ac:dyDescent="0.25">
      <c r="A2448" s="133">
        <v>45608</v>
      </c>
      <c r="B2448" s="110">
        <v>104.9</v>
      </c>
      <c r="C2448" s="110">
        <v>101.45</v>
      </c>
      <c r="D2448" s="110">
        <v>101.1</v>
      </c>
      <c r="E2448" s="110">
        <v>103.9</v>
      </c>
      <c r="F2448" s="110">
        <v>101.45</v>
      </c>
      <c r="G2448">
        <v>1107358</v>
      </c>
      <c r="H2448" s="110"/>
      <c r="I2448" s="110"/>
      <c r="L2448" s="133">
        <v>45608</v>
      </c>
      <c r="M2448" s="110">
        <v>101.5</v>
      </c>
      <c r="N2448" s="110">
        <v>104.8</v>
      </c>
      <c r="O2448" s="110">
        <v>101.12</v>
      </c>
      <c r="P2448" s="110">
        <v>104.15</v>
      </c>
      <c r="Q2448" s="110">
        <v>101.5</v>
      </c>
      <c r="R2448">
        <v>14401385</v>
      </c>
    </row>
    <row r="2449" spans="1:18" x14ac:dyDescent="0.25">
      <c r="A2449" s="133">
        <v>45609</v>
      </c>
      <c r="B2449" s="110">
        <v>102</v>
      </c>
      <c r="C2449" s="110">
        <v>98.35</v>
      </c>
      <c r="D2449" s="110">
        <v>97.75</v>
      </c>
      <c r="E2449" s="110">
        <v>101</v>
      </c>
      <c r="F2449" s="110">
        <v>98.35</v>
      </c>
      <c r="G2449">
        <v>1114688</v>
      </c>
      <c r="H2449" s="110"/>
      <c r="I2449" s="110"/>
      <c r="L2449" s="133">
        <v>45609</v>
      </c>
      <c r="M2449" s="110">
        <v>98.33</v>
      </c>
      <c r="N2449" s="110">
        <v>102</v>
      </c>
      <c r="O2449" s="110">
        <v>97.54</v>
      </c>
      <c r="P2449" s="110">
        <v>101</v>
      </c>
      <c r="Q2449" s="110">
        <v>98.33</v>
      </c>
      <c r="R2449">
        <v>29270560</v>
      </c>
    </row>
    <row r="2450" spans="1:18" x14ac:dyDescent="0.25">
      <c r="A2450" s="133">
        <v>45610</v>
      </c>
      <c r="B2450" s="110">
        <v>100.5</v>
      </c>
      <c r="C2450" s="110">
        <v>97.45</v>
      </c>
      <c r="D2450" s="110">
        <v>97.25</v>
      </c>
      <c r="E2450" s="110">
        <v>99.15</v>
      </c>
      <c r="F2450" s="110">
        <v>97.45</v>
      </c>
      <c r="G2450">
        <v>1472781</v>
      </c>
      <c r="H2450" s="110"/>
      <c r="I2450" s="110"/>
      <c r="L2450" s="133">
        <v>45610</v>
      </c>
      <c r="M2450" s="110">
        <v>97.49</v>
      </c>
      <c r="N2450" s="110">
        <v>100.46</v>
      </c>
      <c r="O2450" s="110">
        <v>97.22</v>
      </c>
      <c r="P2450" s="110">
        <v>99</v>
      </c>
      <c r="Q2450" s="110">
        <v>97.49</v>
      </c>
      <c r="R2450">
        <v>17064169</v>
      </c>
    </row>
    <row r="2451" spans="1:18" x14ac:dyDescent="0.25">
      <c r="A2451" s="133">
        <v>45614</v>
      </c>
      <c r="B2451" s="110">
        <v>98.8</v>
      </c>
      <c r="C2451" s="110">
        <v>98.1</v>
      </c>
      <c r="D2451" s="110">
        <v>95.7</v>
      </c>
      <c r="E2451" s="110">
        <v>97.65</v>
      </c>
      <c r="F2451" s="110">
        <v>98.1</v>
      </c>
      <c r="G2451">
        <v>1163204</v>
      </c>
      <c r="H2451" s="110"/>
      <c r="I2451" s="110"/>
      <c r="L2451" s="133">
        <v>45614</v>
      </c>
      <c r="M2451" s="110">
        <v>98.18</v>
      </c>
      <c r="N2451" s="110">
        <v>98.8</v>
      </c>
      <c r="O2451" s="110">
        <v>95.72</v>
      </c>
      <c r="P2451" s="110">
        <v>97.5</v>
      </c>
      <c r="Q2451" s="110">
        <v>98.18</v>
      </c>
      <c r="R2451">
        <v>17115166</v>
      </c>
    </row>
    <row r="2452" spans="1:18" x14ac:dyDescent="0.25">
      <c r="A2452" s="133">
        <v>45615</v>
      </c>
      <c r="B2452" s="110">
        <v>101.25</v>
      </c>
      <c r="C2452" s="110">
        <v>97.75</v>
      </c>
      <c r="D2452" s="110">
        <v>97.25</v>
      </c>
      <c r="E2452" s="110">
        <v>99.75</v>
      </c>
      <c r="F2452" s="110">
        <v>97.75</v>
      </c>
      <c r="G2452">
        <v>629386</v>
      </c>
      <c r="H2452" s="110"/>
      <c r="I2452" s="110"/>
      <c r="L2452" s="133">
        <v>45615</v>
      </c>
      <c r="M2452" s="110">
        <v>97.81</v>
      </c>
      <c r="N2452" s="110">
        <v>101.27</v>
      </c>
      <c r="O2452" s="110">
        <v>97.1</v>
      </c>
      <c r="P2452" s="110">
        <v>99.23</v>
      </c>
      <c r="Q2452" s="110">
        <v>97.81</v>
      </c>
      <c r="R2452">
        <v>21458767</v>
      </c>
    </row>
    <row r="2453" spans="1:18" x14ac:dyDescent="0.25">
      <c r="A2453" s="133">
        <v>45617</v>
      </c>
      <c r="B2453" s="110">
        <v>97.85</v>
      </c>
      <c r="C2453" s="110">
        <v>94.5</v>
      </c>
      <c r="D2453" s="110">
        <v>92.55</v>
      </c>
      <c r="E2453" s="110">
        <v>97.8</v>
      </c>
      <c r="F2453" s="110">
        <v>94.5</v>
      </c>
      <c r="G2453">
        <v>1540910</v>
      </c>
      <c r="H2453" s="110"/>
      <c r="I2453" s="110"/>
      <c r="L2453" s="133">
        <v>45617</v>
      </c>
      <c r="M2453" s="110">
        <v>94.46</v>
      </c>
      <c r="N2453" s="110">
        <v>97.95</v>
      </c>
      <c r="O2453" s="110">
        <v>92.52</v>
      </c>
      <c r="P2453" s="110">
        <v>97.95</v>
      </c>
      <c r="Q2453" s="110">
        <v>94.46</v>
      </c>
      <c r="R2453">
        <v>40836258</v>
      </c>
    </row>
    <row r="2454" spans="1:18" x14ac:dyDescent="0.25">
      <c r="A2454" s="133">
        <v>45618</v>
      </c>
      <c r="B2454" s="110">
        <v>97.75</v>
      </c>
      <c r="C2454" s="110">
        <v>96.95</v>
      </c>
      <c r="D2454" s="110">
        <v>95</v>
      </c>
      <c r="E2454" s="110">
        <v>95.25</v>
      </c>
      <c r="F2454" s="110">
        <v>96.95</v>
      </c>
      <c r="G2454">
        <v>1436775</v>
      </c>
      <c r="H2454" s="110"/>
      <c r="I2454" s="110"/>
      <c r="L2454" s="133">
        <v>45618</v>
      </c>
      <c r="M2454" s="110">
        <v>97.01</v>
      </c>
      <c r="N2454" s="110">
        <v>97.78</v>
      </c>
      <c r="O2454" s="110">
        <v>94.95</v>
      </c>
      <c r="P2454" s="110">
        <v>95.09</v>
      </c>
      <c r="Q2454" s="110">
        <v>97.01</v>
      </c>
      <c r="R2454">
        <v>26716825</v>
      </c>
    </row>
    <row r="2455" spans="1:18" x14ac:dyDescent="0.25">
      <c r="A2455" s="133">
        <v>45621</v>
      </c>
      <c r="B2455" s="110">
        <v>101.35</v>
      </c>
      <c r="C2455" s="110">
        <v>101</v>
      </c>
      <c r="D2455" s="110">
        <v>99.5</v>
      </c>
      <c r="E2455" s="110">
        <v>99.95</v>
      </c>
      <c r="F2455" s="110">
        <v>101</v>
      </c>
      <c r="G2455">
        <v>1353284</v>
      </c>
      <c r="H2455" s="110"/>
      <c r="I2455" s="110"/>
      <c r="L2455" s="133">
        <v>45621</v>
      </c>
      <c r="M2455" s="110">
        <v>100.98</v>
      </c>
      <c r="N2455" s="110">
        <v>101.43</v>
      </c>
      <c r="O2455" s="110">
        <v>99.38</v>
      </c>
      <c r="P2455" s="110">
        <v>100</v>
      </c>
      <c r="Q2455" s="110">
        <v>100.98</v>
      </c>
      <c r="R2455">
        <v>40537064</v>
      </c>
    </row>
    <row r="2456" spans="1:18" x14ac:dyDescent="0.25">
      <c r="A2456" s="133">
        <v>45622</v>
      </c>
      <c r="B2456" s="110">
        <v>102.5</v>
      </c>
      <c r="C2456" s="110">
        <v>101.8</v>
      </c>
      <c r="D2456" s="110">
        <v>100.55</v>
      </c>
      <c r="E2456" s="110">
        <v>101.3</v>
      </c>
      <c r="F2456" s="110">
        <v>101.8</v>
      </c>
      <c r="G2456">
        <v>945460</v>
      </c>
      <c r="H2456" s="110"/>
      <c r="I2456" s="110"/>
      <c r="L2456" s="133">
        <v>45622</v>
      </c>
      <c r="M2456" s="110">
        <v>101.79</v>
      </c>
      <c r="N2456" s="110">
        <v>102.57</v>
      </c>
      <c r="O2456" s="110">
        <v>100.6</v>
      </c>
      <c r="P2456" s="110">
        <v>101.48</v>
      </c>
      <c r="Q2456" s="110">
        <v>101.79</v>
      </c>
      <c r="R2456">
        <v>16210652</v>
      </c>
    </row>
    <row r="2457" spans="1:18" x14ac:dyDescent="0.25">
      <c r="A2457" s="133">
        <v>45623</v>
      </c>
      <c r="B2457" s="110">
        <v>102.7</v>
      </c>
      <c r="C2457" s="110">
        <v>101.55</v>
      </c>
      <c r="D2457" s="110">
        <v>100.8</v>
      </c>
      <c r="E2457" s="110">
        <v>102.15</v>
      </c>
      <c r="F2457" s="110">
        <v>101.55</v>
      </c>
      <c r="G2457">
        <v>988691</v>
      </c>
      <c r="H2457" s="110"/>
      <c r="I2457" s="110"/>
      <c r="L2457" s="133">
        <v>45623</v>
      </c>
      <c r="M2457" s="110">
        <v>101.56</v>
      </c>
      <c r="N2457" s="110">
        <v>102.7</v>
      </c>
      <c r="O2457" s="110">
        <v>100.8</v>
      </c>
      <c r="P2457" s="110">
        <v>102</v>
      </c>
      <c r="Q2457" s="110">
        <v>101.56</v>
      </c>
      <c r="R2457">
        <v>17400124</v>
      </c>
    </row>
    <row r="2458" spans="1:18" x14ac:dyDescent="0.25">
      <c r="A2458" s="133">
        <v>45624</v>
      </c>
      <c r="B2458" s="110">
        <v>103.4</v>
      </c>
      <c r="C2458" s="110">
        <v>103</v>
      </c>
      <c r="D2458" s="110">
        <v>101.85</v>
      </c>
      <c r="E2458" s="110">
        <v>102.25</v>
      </c>
      <c r="F2458" s="110">
        <v>103</v>
      </c>
      <c r="G2458">
        <v>888301</v>
      </c>
      <c r="H2458" s="110"/>
      <c r="I2458" s="110"/>
      <c r="L2458" s="133">
        <v>45624</v>
      </c>
      <c r="M2458" s="110">
        <v>102.9</v>
      </c>
      <c r="N2458" s="110">
        <v>103.42</v>
      </c>
      <c r="O2458" s="110">
        <v>101.86</v>
      </c>
      <c r="P2458" s="110">
        <v>102.55</v>
      </c>
      <c r="Q2458" s="110">
        <v>102.9</v>
      </c>
      <c r="R2458">
        <v>21562794</v>
      </c>
    </row>
    <row r="2459" spans="1:18" x14ac:dyDescent="0.25">
      <c r="A2459" s="133">
        <v>45625</v>
      </c>
      <c r="B2459" s="110">
        <v>103.8</v>
      </c>
      <c r="C2459" s="110">
        <v>101.95</v>
      </c>
      <c r="D2459" s="110">
        <v>100.75</v>
      </c>
      <c r="E2459" s="110">
        <v>103.25</v>
      </c>
      <c r="F2459" s="110">
        <v>101.95</v>
      </c>
      <c r="G2459">
        <v>1231969</v>
      </c>
      <c r="H2459" s="110"/>
      <c r="I2459" s="110"/>
      <c r="L2459" s="133">
        <v>45625</v>
      </c>
      <c r="M2459" s="110">
        <v>102.01</v>
      </c>
      <c r="N2459" s="110">
        <v>103.75</v>
      </c>
      <c r="O2459" s="110">
        <v>100.75</v>
      </c>
      <c r="P2459" s="110">
        <v>103.34</v>
      </c>
      <c r="Q2459" s="110">
        <v>102.01</v>
      </c>
      <c r="R2459">
        <v>21218297</v>
      </c>
    </row>
    <row r="2460" spans="1:18" x14ac:dyDescent="0.25">
      <c r="A2460" s="133">
        <v>45628</v>
      </c>
      <c r="B2460" s="110">
        <v>102.2</v>
      </c>
      <c r="C2460" s="110">
        <v>101.65</v>
      </c>
      <c r="D2460" s="110">
        <v>101.05</v>
      </c>
      <c r="E2460" s="110">
        <v>101.05</v>
      </c>
      <c r="F2460" s="110">
        <v>101.65</v>
      </c>
      <c r="G2460">
        <v>634703</v>
      </c>
      <c r="H2460" s="110"/>
      <c r="I2460" s="110"/>
      <c r="L2460" s="133">
        <v>45628</v>
      </c>
      <c r="M2460" s="110">
        <v>101.71</v>
      </c>
      <c r="N2460" s="110">
        <v>102.19</v>
      </c>
      <c r="O2460" s="110">
        <v>101.15</v>
      </c>
      <c r="P2460" s="110">
        <v>101.69</v>
      </c>
      <c r="Q2460" s="110">
        <v>101.71</v>
      </c>
      <c r="R2460">
        <v>17322174</v>
      </c>
    </row>
    <row r="2461" spans="1:18" x14ac:dyDescent="0.25">
      <c r="A2461" s="133">
        <v>45629</v>
      </c>
      <c r="B2461" s="110">
        <v>105.4</v>
      </c>
      <c r="C2461" s="110">
        <v>105.15</v>
      </c>
      <c r="D2461" s="110">
        <v>102</v>
      </c>
      <c r="E2461" s="110">
        <v>102.45</v>
      </c>
      <c r="F2461" s="110">
        <v>105.15</v>
      </c>
      <c r="G2461">
        <v>999281</v>
      </c>
      <c r="H2461" s="110"/>
      <c r="I2461" s="110"/>
      <c r="L2461" s="133">
        <v>45629</v>
      </c>
      <c r="M2461" s="110">
        <v>105.12</v>
      </c>
      <c r="N2461" s="110">
        <v>105.4</v>
      </c>
      <c r="O2461" s="110">
        <v>102</v>
      </c>
      <c r="P2461" s="110">
        <v>102</v>
      </c>
      <c r="Q2461" s="110">
        <v>105.12</v>
      </c>
      <c r="R2461">
        <v>27016365</v>
      </c>
    </row>
    <row r="2462" spans="1:18" x14ac:dyDescent="0.25">
      <c r="A2462" s="133">
        <v>45630</v>
      </c>
      <c r="B2462" s="110">
        <v>109.4</v>
      </c>
      <c r="C2462" s="110">
        <v>108.6</v>
      </c>
      <c r="D2462" s="110">
        <v>105.6</v>
      </c>
      <c r="E2462" s="110">
        <v>106</v>
      </c>
      <c r="F2462" s="110">
        <v>108.6</v>
      </c>
      <c r="G2462">
        <v>2553845</v>
      </c>
      <c r="H2462" s="110"/>
      <c r="I2462" s="110"/>
      <c r="L2462" s="133">
        <v>45630</v>
      </c>
      <c r="M2462" s="110">
        <v>108.63</v>
      </c>
      <c r="N2462" s="110">
        <v>109.45</v>
      </c>
      <c r="O2462" s="110">
        <v>105.57</v>
      </c>
      <c r="P2462" s="110">
        <v>105.9</v>
      </c>
      <c r="Q2462" s="110">
        <v>108.63</v>
      </c>
      <c r="R2462">
        <v>53999025</v>
      </c>
    </row>
    <row r="2463" spans="1:18" x14ac:dyDescent="0.25">
      <c r="A2463" s="133">
        <v>45631</v>
      </c>
      <c r="B2463" s="110">
        <v>109.5</v>
      </c>
      <c r="C2463" s="110">
        <v>108.15</v>
      </c>
      <c r="D2463" s="110">
        <v>107.05</v>
      </c>
      <c r="E2463" s="110">
        <v>109.5</v>
      </c>
      <c r="F2463" s="110">
        <v>108.15</v>
      </c>
      <c r="G2463">
        <v>916307</v>
      </c>
      <c r="H2463" s="110"/>
      <c r="I2463" s="110"/>
      <c r="L2463" s="133">
        <v>45631</v>
      </c>
      <c r="M2463" s="110">
        <v>108.17</v>
      </c>
      <c r="N2463" s="110">
        <v>109.32</v>
      </c>
      <c r="O2463" s="110">
        <v>107.05</v>
      </c>
      <c r="P2463" s="110">
        <v>109.32</v>
      </c>
      <c r="Q2463" s="110">
        <v>108.17</v>
      </c>
      <c r="R2463">
        <v>24991310</v>
      </c>
    </row>
    <row r="2464" spans="1:18" x14ac:dyDescent="0.25">
      <c r="A2464" s="133">
        <v>45632</v>
      </c>
      <c r="B2464" s="110">
        <v>110.75</v>
      </c>
      <c r="C2464" s="110">
        <v>109.1</v>
      </c>
      <c r="D2464" s="110">
        <v>107.75</v>
      </c>
      <c r="E2464" s="110">
        <v>110.15</v>
      </c>
      <c r="F2464" s="110">
        <v>109.1</v>
      </c>
      <c r="G2464">
        <v>2126127</v>
      </c>
      <c r="H2464" s="110"/>
      <c r="I2464" s="110"/>
      <c r="L2464" s="133">
        <v>45632</v>
      </c>
      <c r="M2464" s="110">
        <v>109.32</v>
      </c>
      <c r="N2464" s="110">
        <v>110.8</v>
      </c>
      <c r="O2464" s="110">
        <v>107.72</v>
      </c>
      <c r="P2464" s="110">
        <v>110</v>
      </c>
      <c r="Q2464" s="110">
        <v>109.32</v>
      </c>
      <c r="R2464">
        <v>59964689</v>
      </c>
    </row>
    <row r="2465" spans="1:18" x14ac:dyDescent="0.25">
      <c r="A2465" s="133">
        <v>45635</v>
      </c>
      <c r="B2465" s="110">
        <v>110.25</v>
      </c>
      <c r="C2465" s="110">
        <v>108.95</v>
      </c>
      <c r="D2465" s="110">
        <v>108.6</v>
      </c>
      <c r="E2465" s="110">
        <v>109.7</v>
      </c>
      <c r="F2465" s="110">
        <v>108.95</v>
      </c>
      <c r="G2465">
        <v>590286</v>
      </c>
      <c r="H2465" s="110"/>
      <c r="I2465" s="110"/>
      <c r="L2465" s="133">
        <v>45635</v>
      </c>
      <c r="M2465" s="110">
        <v>108.99</v>
      </c>
      <c r="N2465" s="110">
        <v>110.25</v>
      </c>
      <c r="O2465" s="110">
        <v>108.66</v>
      </c>
      <c r="P2465" s="110">
        <v>109.6</v>
      </c>
      <c r="Q2465" s="110">
        <v>108.99</v>
      </c>
      <c r="R2465">
        <v>17122712</v>
      </c>
    </row>
    <row r="2466" spans="1:18" x14ac:dyDescent="0.25">
      <c r="A2466" s="133">
        <v>45636</v>
      </c>
      <c r="B2466" s="110">
        <v>110.2</v>
      </c>
      <c r="C2466" s="110">
        <v>109.75</v>
      </c>
      <c r="D2466" s="110">
        <v>108.8</v>
      </c>
      <c r="E2466" s="110">
        <v>109.05</v>
      </c>
      <c r="F2466" s="110">
        <v>109.75</v>
      </c>
      <c r="G2466">
        <v>522292</v>
      </c>
      <c r="H2466" s="110"/>
      <c r="I2466" s="110"/>
      <c r="L2466" s="133">
        <v>45636</v>
      </c>
      <c r="M2466" s="110">
        <v>109.68</v>
      </c>
      <c r="N2466" s="110">
        <v>110.2</v>
      </c>
      <c r="O2466" s="110">
        <v>108.76</v>
      </c>
      <c r="P2466" s="110">
        <v>109.51</v>
      </c>
      <c r="Q2466" s="110">
        <v>109.68</v>
      </c>
      <c r="R2466">
        <v>19506335</v>
      </c>
    </row>
    <row r="2467" spans="1:18" x14ac:dyDescent="0.25">
      <c r="A2467" s="133">
        <v>45637</v>
      </c>
      <c r="B2467" s="110">
        <v>110.05</v>
      </c>
      <c r="C2467" s="110">
        <v>108.9</v>
      </c>
      <c r="D2467" s="110">
        <v>108.5</v>
      </c>
      <c r="E2467" s="110">
        <v>109.4</v>
      </c>
      <c r="F2467" s="110">
        <v>108.9</v>
      </c>
      <c r="G2467">
        <v>1289629</v>
      </c>
      <c r="H2467" s="110"/>
      <c r="I2467" s="110"/>
      <c r="L2467" s="133">
        <v>45637</v>
      </c>
      <c r="M2467" s="110">
        <v>108.75</v>
      </c>
      <c r="N2467" s="110">
        <v>109.98</v>
      </c>
      <c r="O2467" s="110">
        <v>108.51</v>
      </c>
      <c r="P2467" s="110">
        <v>109.1</v>
      </c>
      <c r="Q2467" s="110">
        <v>108.75</v>
      </c>
      <c r="R2467">
        <v>10634931</v>
      </c>
    </row>
    <row r="2468" spans="1:18" x14ac:dyDescent="0.25">
      <c r="A2468" s="133">
        <v>45638</v>
      </c>
      <c r="B2468" s="110">
        <v>108.7</v>
      </c>
      <c r="C2468" s="110">
        <v>107.5</v>
      </c>
      <c r="D2468" s="110">
        <v>107.35</v>
      </c>
      <c r="E2468" s="110">
        <v>108.55</v>
      </c>
      <c r="F2468" s="110">
        <v>107.5</v>
      </c>
      <c r="G2468">
        <v>1164861</v>
      </c>
      <c r="H2468" s="110"/>
      <c r="I2468" s="110"/>
      <c r="L2468" s="133">
        <v>45638</v>
      </c>
      <c r="M2468" s="110">
        <v>107.5</v>
      </c>
      <c r="N2468" s="110">
        <v>108.75</v>
      </c>
      <c r="O2468" s="110">
        <v>107.35</v>
      </c>
      <c r="P2468" s="110">
        <v>108.11</v>
      </c>
      <c r="Q2468" s="110">
        <v>107.5</v>
      </c>
      <c r="R2468">
        <v>10577584</v>
      </c>
    </row>
    <row r="2469" spans="1:18" x14ac:dyDescent="0.25">
      <c r="A2469" s="133">
        <v>45639</v>
      </c>
      <c r="B2469" s="110">
        <v>107.35</v>
      </c>
      <c r="C2469" s="110">
        <v>106.6</v>
      </c>
      <c r="D2469" s="110">
        <v>104</v>
      </c>
      <c r="E2469" s="110">
        <v>106.6</v>
      </c>
      <c r="F2469" s="110">
        <v>106.6</v>
      </c>
      <c r="G2469">
        <v>1460469</v>
      </c>
      <c r="H2469" s="110"/>
      <c r="I2469" s="110"/>
      <c r="L2469" s="133">
        <v>45639</v>
      </c>
      <c r="M2469" s="110">
        <v>106.58</v>
      </c>
      <c r="N2469" s="110">
        <v>107.49</v>
      </c>
      <c r="O2469" s="110">
        <v>104</v>
      </c>
      <c r="P2469" s="110">
        <v>107</v>
      </c>
      <c r="Q2469" s="110">
        <v>106.58</v>
      </c>
      <c r="R2469">
        <v>21008467</v>
      </c>
    </row>
    <row r="2470" spans="1:18" x14ac:dyDescent="0.25">
      <c r="A2470" s="133">
        <v>45642</v>
      </c>
      <c r="B2470" s="110">
        <v>108.4</v>
      </c>
      <c r="C2470" s="110">
        <v>107.3</v>
      </c>
      <c r="D2470" s="110">
        <v>106.4</v>
      </c>
      <c r="E2470" s="110">
        <v>106.5</v>
      </c>
      <c r="F2470" s="110">
        <v>107.3</v>
      </c>
      <c r="G2470">
        <v>1234826</v>
      </c>
      <c r="H2470" s="110"/>
      <c r="I2470" s="110"/>
      <c r="L2470" s="133">
        <v>45642</v>
      </c>
      <c r="M2470" s="110">
        <v>107.34</v>
      </c>
      <c r="N2470" s="110">
        <v>108.41</v>
      </c>
      <c r="O2470" s="110">
        <v>106.43</v>
      </c>
      <c r="P2470" s="110">
        <v>106.5</v>
      </c>
      <c r="Q2470" s="110">
        <v>107.34</v>
      </c>
      <c r="R2470">
        <v>13504751</v>
      </c>
    </row>
    <row r="2471" spans="1:18" x14ac:dyDescent="0.25">
      <c r="A2471" s="133">
        <v>45643</v>
      </c>
      <c r="B2471" s="110">
        <v>107.25</v>
      </c>
      <c r="C2471" s="110">
        <v>105.15</v>
      </c>
      <c r="D2471" s="110">
        <v>105</v>
      </c>
      <c r="E2471" s="110">
        <v>107.25</v>
      </c>
      <c r="F2471" s="110">
        <v>105.15</v>
      </c>
      <c r="G2471">
        <v>693580</v>
      </c>
      <c r="H2471" s="110"/>
      <c r="I2471" s="110"/>
      <c r="L2471" s="133">
        <v>45643</v>
      </c>
      <c r="M2471" s="110">
        <v>105.16</v>
      </c>
      <c r="N2471" s="110">
        <v>107.3</v>
      </c>
      <c r="O2471" s="110">
        <v>105</v>
      </c>
      <c r="P2471" s="110">
        <v>106.69</v>
      </c>
      <c r="Q2471" s="110">
        <v>105.16</v>
      </c>
      <c r="R2471">
        <v>13726161</v>
      </c>
    </row>
    <row r="2472" spans="1:18" x14ac:dyDescent="0.25">
      <c r="A2472" s="133">
        <v>45644</v>
      </c>
      <c r="B2472" s="110">
        <v>105</v>
      </c>
      <c r="C2472" s="110">
        <v>103.25</v>
      </c>
      <c r="D2472" s="110">
        <v>102.8</v>
      </c>
      <c r="E2472" s="110">
        <v>104.9</v>
      </c>
      <c r="F2472" s="110">
        <v>103.25</v>
      </c>
      <c r="G2472">
        <v>504900</v>
      </c>
      <c r="H2472" s="110"/>
      <c r="I2472" s="110"/>
      <c r="L2472" s="133">
        <v>45644</v>
      </c>
      <c r="M2472" s="110">
        <v>103.19</v>
      </c>
      <c r="N2472" s="110">
        <v>105</v>
      </c>
      <c r="O2472" s="110">
        <v>102.8</v>
      </c>
      <c r="P2472" s="110">
        <v>104.43</v>
      </c>
      <c r="Q2472" s="110">
        <v>103.19</v>
      </c>
      <c r="R2472">
        <v>18763147</v>
      </c>
    </row>
    <row r="2473" spans="1:18" x14ac:dyDescent="0.25">
      <c r="A2473" s="133">
        <v>45645</v>
      </c>
      <c r="B2473" s="110">
        <v>104</v>
      </c>
      <c r="C2473" s="110">
        <v>102.9</v>
      </c>
      <c r="D2473" s="110">
        <v>100.2</v>
      </c>
      <c r="E2473" s="110">
        <v>100.2</v>
      </c>
      <c r="F2473" s="110">
        <v>102.9</v>
      </c>
      <c r="G2473">
        <v>975132</v>
      </c>
      <c r="H2473" s="110"/>
      <c r="I2473" s="110"/>
      <c r="L2473" s="133">
        <v>45645</v>
      </c>
      <c r="M2473" s="110">
        <v>102.9</v>
      </c>
      <c r="N2473" s="110">
        <v>104.02</v>
      </c>
      <c r="O2473" s="110">
        <v>100</v>
      </c>
      <c r="P2473" s="110">
        <v>101</v>
      </c>
      <c r="Q2473" s="110">
        <v>102.9</v>
      </c>
      <c r="R2473">
        <v>17354119</v>
      </c>
    </row>
    <row r="2474" spans="1:18" x14ac:dyDescent="0.25">
      <c r="A2474" s="133">
        <v>45646</v>
      </c>
      <c r="B2474" s="110">
        <v>103.2</v>
      </c>
      <c r="C2474" s="110">
        <v>99.65</v>
      </c>
      <c r="D2474" s="110">
        <v>99.4</v>
      </c>
      <c r="E2474" s="110">
        <v>102.4</v>
      </c>
      <c r="F2474" s="110">
        <v>99.65</v>
      </c>
      <c r="G2474">
        <v>1256091</v>
      </c>
      <c r="H2474" s="110"/>
      <c r="I2474" s="110"/>
      <c r="L2474" s="133">
        <v>45646</v>
      </c>
      <c r="M2474" s="110">
        <v>99.61</v>
      </c>
      <c r="N2474" s="110">
        <v>103.29</v>
      </c>
      <c r="O2474" s="110">
        <v>99.37</v>
      </c>
      <c r="P2474" s="110">
        <v>102.55</v>
      </c>
      <c r="Q2474" s="110">
        <v>99.61</v>
      </c>
      <c r="R2474">
        <v>19435112</v>
      </c>
    </row>
    <row r="2475" spans="1:18" x14ac:dyDescent="0.25">
      <c r="A2475" s="133">
        <v>45649</v>
      </c>
      <c r="B2475" s="110">
        <v>102</v>
      </c>
      <c r="C2475" s="110">
        <v>101.1</v>
      </c>
      <c r="D2475" s="110">
        <v>99.1</v>
      </c>
      <c r="E2475" s="110">
        <v>100.65</v>
      </c>
      <c r="F2475" s="110">
        <v>101.1</v>
      </c>
      <c r="G2475">
        <v>1016767</v>
      </c>
      <c r="H2475" s="110"/>
      <c r="I2475" s="110"/>
      <c r="L2475" s="133">
        <v>45649</v>
      </c>
      <c r="M2475" s="110">
        <v>101.08</v>
      </c>
      <c r="N2475" s="110">
        <v>101.99</v>
      </c>
      <c r="O2475" s="110">
        <v>99.1</v>
      </c>
      <c r="P2475" s="110">
        <v>101.1</v>
      </c>
      <c r="Q2475" s="110">
        <v>101.08</v>
      </c>
      <c r="R2475">
        <v>20493999</v>
      </c>
    </row>
    <row r="2476" spans="1:18" x14ac:dyDescent="0.25">
      <c r="A2476" s="133">
        <v>45650</v>
      </c>
      <c r="B2476" s="110">
        <v>101.5</v>
      </c>
      <c r="C2476" s="110">
        <v>100.6</v>
      </c>
      <c r="D2476" s="110">
        <v>99.8</v>
      </c>
      <c r="E2476" s="110">
        <v>101.4</v>
      </c>
      <c r="F2476" s="110">
        <v>100.6</v>
      </c>
      <c r="G2476">
        <v>530938</v>
      </c>
      <c r="H2476" s="110"/>
      <c r="I2476" s="110"/>
      <c r="L2476" s="133">
        <v>45650</v>
      </c>
      <c r="M2476" s="110">
        <v>100.55</v>
      </c>
      <c r="N2476" s="110">
        <v>101.45</v>
      </c>
      <c r="O2476" s="110">
        <v>99.81</v>
      </c>
      <c r="P2476" s="110">
        <v>100.99</v>
      </c>
      <c r="Q2476" s="110">
        <v>100.55</v>
      </c>
      <c r="R2476">
        <v>15379038</v>
      </c>
    </row>
    <row r="2477" spans="1:18" x14ac:dyDescent="0.25">
      <c r="A2477" s="133">
        <v>45652</v>
      </c>
      <c r="B2477" s="110">
        <v>102.65</v>
      </c>
      <c r="C2477" s="110">
        <v>101</v>
      </c>
      <c r="D2477" s="110">
        <v>100.55</v>
      </c>
      <c r="E2477" s="110">
        <v>101.2</v>
      </c>
      <c r="F2477" s="110">
        <v>101</v>
      </c>
      <c r="G2477">
        <v>983369</v>
      </c>
      <c r="H2477" s="110"/>
      <c r="I2477" s="110"/>
      <c r="L2477" s="133">
        <v>45652</v>
      </c>
      <c r="M2477" s="110">
        <v>101.03</v>
      </c>
      <c r="N2477" s="110">
        <v>102.63</v>
      </c>
      <c r="O2477" s="110">
        <v>100.5</v>
      </c>
      <c r="P2477" s="110">
        <v>100.8</v>
      </c>
      <c r="Q2477" s="110">
        <v>101.03</v>
      </c>
      <c r="R2477">
        <v>14937263</v>
      </c>
    </row>
    <row r="2478" spans="1:18" x14ac:dyDescent="0.25">
      <c r="A2478" s="133">
        <v>45653</v>
      </c>
      <c r="B2478" s="110">
        <v>101.85</v>
      </c>
      <c r="C2478" s="110">
        <v>100.4</v>
      </c>
      <c r="D2478" s="110">
        <v>100.25</v>
      </c>
      <c r="E2478" s="110">
        <v>101</v>
      </c>
      <c r="F2478" s="110">
        <v>100.4</v>
      </c>
      <c r="G2478">
        <v>568843</v>
      </c>
      <c r="H2478" s="110"/>
      <c r="I2478" s="110"/>
      <c r="L2478" s="133">
        <v>45653</v>
      </c>
      <c r="M2478" s="110">
        <v>100.36</v>
      </c>
      <c r="N2478" s="110">
        <v>101.87</v>
      </c>
      <c r="O2478" s="110">
        <v>100.2</v>
      </c>
      <c r="P2478" s="110">
        <v>101.03</v>
      </c>
      <c r="Q2478" s="110">
        <v>100.36</v>
      </c>
      <c r="R2478">
        <v>7369762</v>
      </c>
    </row>
    <row r="2479" spans="1:18" x14ac:dyDescent="0.25">
      <c r="A2479" s="133">
        <v>45656</v>
      </c>
      <c r="B2479" s="110">
        <v>101.4</v>
      </c>
      <c r="C2479" s="110">
        <v>99.35</v>
      </c>
      <c r="D2479" s="110">
        <v>98.8</v>
      </c>
      <c r="E2479" s="110">
        <v>100.45</v>
      </c>
      <c r="F2479" s="110">
        <v>99.35</v>
      </c>
      <c r="G2479">
        <v>1517593</v>
      </c>
      <c r="H2479" s="110"/>
      <c r="I2479" s="110"/>
      <c r="L2479" s="133">
        <v>45656</v>
      </c>
      <c r="M2479" s="110">
        <v>99.44</v>
      </c>
      <c r="N2479" s="110">
        <v>101.39</v>
      </c>
      <c r="O2479" s="110">
        <v>98.7</v>
      </c>
      <c r="P2479" s="110">
        <v>100.36</v>
      </c>
      <c r="Q2479" s="110">
        <v>99.44</v>
      </c>
      <c r="R2479">
        <v>42398975</v>
      </c>
    </row>
    <row r="2480" spans="1:18" x14ac:dyDescent="0.25">
      <c r="A2480" s="133">
        <v>45657</v>
      </c>
      <c r="B2480" s="110">
        <v>100.45</v>
      </c>
      <c r="C2480" s="110">
        <v>100.15</v>
      </c>
      <c r="D2480" s="110">
        <v>99.1</v>
      </c>
      <c r="E2480" s="110">
        <v>99.25</v>
      </c>
      <c r="F2480" s="110">
        <v>100.15</v>
      </c>
      <c r="G2480">
        <v>508771</v>
      </c>
      <c r="H2480" s="110"/>
      <c r="I2480" s="110"/>
      <c r="L2480" s="133">
        <v>45657</v>
      </c>
      <c r="M2480" s="110">
        <v>100.12</v>
      </c>
      <c r="N2480" s="110">
        <v>100.48</v>
      </c>
      <c r="O2480" s="110">
        <v>99.01</v>
      </c>
      <c r="P2480" s="110">
        <v>99.05</v>
      </c>
      <c r="Q2480" s="110">
        <v>100.12</v>
      </c>
      <c r="R2480">
        <v>12525017</v>
      </c>
    </row>
    <row r="2481" spans="1:18" x14ac:dyDescent="0.25">
      <c r="A2481" s="133">
        <v>45658</v>
      </c>
      <c r="B2481" s="110">
        <v>100.9</v>
      </c>
      <c r="C2481" s="110">
        <v>100.4</v>
      </c>
      <c r="D2481" s="110">
        <v>99.3</v>
      </c>
      <c r="E2481" s="110">
        <v>100.75</v>
      </c>
      <c r="F2481" s="110">
        <v>100.4</v>
      </c>
      <c r="G2481">
        <v>656488</v>
      </c>
      <c r="H2481" s="110"/>
      <c r="I2481" s="110"/>
      <c r="L2481" s="133">
        <v>45658</v>
      </c>
      <c r="M2481" s="110">
        <v>100.38</v>
      </c>
      <c r="N2481" s="110">
        <v>100.87</v>
      </c>
      <c r="O2481" s="110">
        <v>99.25</v>
      </c>
      <c r="P2481" s="110">
        <v>100.55</v>
      </c>
      <c r="Q2481" s="110">
        <v>100.38</v>
      </c>
      <c r="R2481">
        <v>9259122</v>
      </c>
    </row>
    <row r="2482" spans="1:18" x14ac:dyDescent="0.25">
      <c r="A2482" s="133">
        <v>45659</v>
      </c>
      <c r="B2482" s="110">
        <v>101.35</v>
      </c>
      <c r="C2482" s="110">
        <v>101.05</v>
      </c>
      <c r="D2482" s="110">
        <v>99.3</v>
      </c>
      <c r="E2482" s="110">
        <v>100.05</v>
      </c>
      <c r="F2482" s="110">
        <v>101.05</v>
      </c>
      <c r="G2482">
        <v>952274</v>
      </c>
      <c r="H2482" s="110"/>
      <c r="I2482" s="110"/>
      <c r="L2482" s="133">
        <v>45659</v>
      </c>
      <c r="M2482" s="110">
        <v>101.1</v>
      </c>
      <c r="N2482" s="110">
        <v>101.33</v>
      </c>
      <c r="O2482" s="110">
        <v>99.4</v>
      </c>
      <c r="P2482" s="110">
        <v>100.38</v>
      </c>
      <c r="Q2482" s="110">
        <v>101.1</v>
      </c>
      <c r="R2482">
        <v>15233832</v>
      </c>
    </row>
    <row r="2483" spans="1:18" x14ac:dyDescent="0.25">
      <c r="A2483" s="133">
        <v>45660</v>
      </c>
      <c r="B2483" s="110">
        <v>103.1</v>
      </c>
      <c r="C2483" s="110">
        <v>101.45</v>
      </c>
      <c r="D2483" s="110">
        <v>101.2</v>
      </c>
      <c r="E2483" s="110">
        <v>101.3</v>
      </c>
      <c r="F2483" s="110">
        <v>101.45</v>
      </c>
      <c r="G2483">
        <v>703571</v>
      </c>
      <c r="H2483" s="110"/>
      <c r="I2483" s="110"/>
      <c r="L2483" s="133">
        <v>45660</v>
      </c>
      <c r="M2483" s="110">
        <v>101.45</v>
      </c>
      <c r="N2483" s="110">
        <v>103.14</v>
      </c>
      <c r="O2483" s="110">
        <v>101.16</v>
      </c>
      <c r="P2483" s="110">
        <v>101.51</v>
      </c>
      <c r="Q2483" s="110">
        <v>101.45</v>
      </c>
      <c r="R2483">
        <v>19285506</v>
      </c>
    </row>
    <row r="2484" spans="1:18" x14ac:dyDescent="0.25">
      <c r="A2484" s="133">
        <v>45663</v>
      </c>
      <c r="B2484" s="110">
        <v>101.8</v>
      </c>
      <c r="C2484" s="110">
        <v>97.35</v>
      </c>
      <c r="D2484" s="110">
        <v>96.9</v>
      </c>
      <c r="E2484" s="110">
        <v>101.5</v>
      </c>
      <c r="F2484" s="110">
        <v>97.35</v>
      </c>
      <c r="G2484">
        <v>1689942</v>
      </c>
      <c r="H2484" s="110"/>
      <c r="I2484" s="110"/>
      <c r="L2484" s="133">
        <v>45663</v>
      </c>
      <c r="M2484" s="110">
        <v>97.33</v>
      </c>
      <c r="N2484" s="110">
        <v>101.77</v>
      </c>
      <c r="O2484" s="110">
        <v>96.91</v>
      </c>
      <c r="P2484" s="110">
        <v>101.45</v>
      </c>
      <c r="Q2484" s="110">
        <v>97.33</v>
      </c>
      <c r="R2484">
        <v>28855272</v>
      </c>
    </row>
    <row r="2485" spans="1:18" x14ac:dyDescent="0.25">
      <c r="A2485" s="133">
        <v>45664</v>
      </c>
      <c r="B2485" s="110">
        <v>99</v>
      </c>
      <c r="C2485" s="110">
        <v>97.95</v>
      </c>
      <c r="D2485" s="110">
        <v>97.5</v>
      </c>
      <c r="E2485" s="110">
        <v>97.5</v>
      </c>
      <c r="F2485" s="110">
        <v>97.95</v>
      </c>
      <c r="G2485">
        <v>1132367</v>
      </c>
      <c r="H2485" s="110"/>
      <c r="I2485" s="110"/>
      <c r="L2485" s="133">
        <v>45664</v>
      </c>
      <c r="M2485" s="110">
        <v>97.87</v>
      </c>
      <c r="N2485" s="110">
        <v>99</v>
      </c>
      <c r="O2485" s="110">
        <v>97.22</v>
      </c>
      <c r="P2485" s="110">
        <v>97.61</v>
      </c>
      <c r="Q2485" s="110">
        <v>97.87</v>
      </c>
      <c r="R2485">
        <v>13157181</v>
      </c>
    </row>
    <row r="2486" spans="1:18" x14ac:dyDescent="0.25">
      <c r="A2486" s="133">
        <v>45665</v>
      </c>
      <c r="B2486" s="110">
        <v>98.25</v>
      </c>
      <c r="C2486" s="110">
        <v>97.1</v>
      </c>
      <c r="D2486" s="110">
        <v>96</v>
      </c>
      <c r="E2486" s="110">
        <v>98</v>
      </c>
      <c r="F2486" s="110">
        <v>97.1</v>
      </c>
      <c r="G2486">
        <v>1160990</v>
      </c>
      <c r="H2486" s="110"/>
      <c r="I2486" s="110"/>
      <c r="L2486" s="133">
        <v>45665</v>
      </c>
      <c r="M2486" s="110">
        <v>97.14</v>
      </c>
      <c r="N2486" s="110">
        <v>98.44</v>
      </c>
      <c r="O2486" s="110">
        <v>96.02</v>
      </c>
      <c r="P2486" s="110">
        <v>97.9</v>
      </c>
      <c r="Q2486" s="110">
        <v>97.14</v>
      </c>
      <c r="R2486">
        <v>17677192</v>
      </c>
    </row>
    <row r="2487" spans="1:18" x14ac:dyDescent="0.25">
      <c r="A2487" s="133">
        <v>45666</v>
      </c>
      <c r="B2487" s="110">
        <v>97.4</v>
      </c>
      <c r="C2487" s="110">
        <v>95.75</v>
      </c>
      <c r="D2487" s="110">
        <v>95.6</v>
      </c>
      <c r="E2487" s="110">
        <v>97.4</v>
      </c>
      <c r="F2487" s="110">
        <v>95.75</v>
      </c>
      <c r="G2487">
        <v>460752</v>
      </c>
      <c r="H2487" s="110"/>
      <c r="I2487" s="110"/>
      <c r="L2487" s="133">
        <v>45666</v>
      </c>
      <c r="M2487" s="110">
        <v>95.74</v>
      </c>
      <c r="N2487" s="110">
        <v>97.38</v>
      </c>
      <c r="O2487" s="110">
        <v>95.54</v>
      </c>
      <c r="P2487" s="110">
        <v>97.15</v>
      </c>
      <c r="Q2487" s="110">
        <v>95.74</v>
      </c>
      <c r="R2487">
        <v>19527220</v>
      </c>
    </row>
    <row r="2488" spans="1:18" x14ac:dyDescent="0.25">
      <c r="A2488" s="133">
        <v>45667</v>
      </c>
      <c r="B2488" s="110">
        <v>96</v>
      </c>
      <c r="C2488" s="110">
        <v>92.85</v>
      </c>
      <c r="D2488" s="110">
        <v>92.6</v>
      </c>
      <c r="E2488" s="110">
        <v>95.75</v>
      </c>
      <c r="F2488" s="110">
        <v>92.85</v>
      </c>
      <c r="G2488">
        <v>1704021</v>
      </c>
      <c r="H2488" s="110"/>
      <c r="I2488" s="110"/>
      <c r="L2488" s="133">
        <v>45667</v>
      </c>
      <c r="M2488" s="110">
        <v>92.83</v>
      </c>
      <c r="N2488" s="110">
        <v>96.1</v>
      </c>
      <c r="O2488" s="110">
        <v>92.65</v>
      </c>
      <c r="P2488" s="110">
        <v>95.8</v>
      </c>
      <c r="Q2488" s="110">
        <v>92.83</v>
      </c>
      <c r="R2488">
        <v>26563443</v>
      </c>
    </row>
    <row r="2489" spans="1:18" x14ac:dyDescent="0.25">
      <c r="A2489" s="133">
        <v>45670</v>
      </c>
      <c r="B2489" s="110">
        <v>92.1</v>
      </c>
      <c r="C2489" s="110">
        <v>88.5</v>
      </c>
      <c r="D2489" s="110">
        <v>87.75</v>
      </c>
      <c r="E2489" s="110">
        <v>92.05</v>
      </c>
      <c r="F2489" s="110">
        <v>88.5</v>
      </c>
      <c r="G2489">
        <v>2704013</v>
      </c>
      <c r="H2489" s="110"/>
      <c r="I2489" s="110"/>
      <c r="L2489" s="133">
        <v>45670</v>
      </c>
      <c r="M2489" s="110">
        <v>88.52</v>
      </c>
      <c r="N2489" s="110">
        <v>92.36</v>
      </c>
      <c r="O2489" s="110">
        <v>87.79</v>
      </c>
      <c r="P2489" s="110">
        <v>92.15</v>
      </c>
      <c r="Q2489" s="110">
        <v>88.52</v>
      </c>
      <c r="R2489">
        <v>34247797</v>
      </c>
    </row>
    <row r="2490" spans="1:18" x14ac:dyDescent="0.25">
      <c r="A2490" s="133">
        <v>45671</v>
      </c>
      <c r="B2490" s="110">
        <v>94.05</v>
      </c>
      <c r="C2490" s="110">
        <v>93.2</v>
      </c>
      <c r="D2490" s="110">
        <v>88.85</v>
      </c>
      <c r="E2490" s="110">
        <v>88.85</v>
      </c>
      <c r="F2490" s="110">
        <v>93.2</v>
      </c>
      <c r="G2490">
        <v>913407</v>
      </c>
      <c r="H2490" s="110"/>
      <c r="I2490" s="110"/>
      <c r="L2490" s="133">
        <v>45671</v>
      </c>
      <c r="M2490" s="110">
        <v>93.22</v>
      </c>
      <c r="N2490" s="110">
        <v>94.08</v>
      </c>
      <c r="O2490" s="110">
        <v>89.21</v>
      </c>
      <c r="P2490" s="110">
        <v>89.47</v>
      </c>
      <c r="Q2490" s="110">
        <v>93.22</v>
      </c>
      <c r="R2490">
        <v>26041305</v>
      </c>
    </row>
    <row r="2491" spans="1:18" x14ac:dyDescent="0.25">
      <c r="A2491" s="133">
        <v>45672</v>
      </c>
      <c r="B2491" s="110">
        <v>95.7</v>
      </c>
      <c r="C2491" s="110">
        <v>94.7</v>
      </c>
      <c r="D2491" s="110">
        <v>93.65</v>
      </c>
      <c r="E2491" s="110">
        <v>94.35</v>
      </c>
      <c r="F2491" s="110">
        <v>94.7</v>
      </c>
      <c r="G2491">
        <v>1304924</v>
      </c>
      <c r="H2491" s="110"/>
      <c r="I2491" s="110"/>
      <c r="L2491" s="133">
        <v>45672</v>
      </c>
      <c r="M2491" s="110">
        <v>94.69</v>
      </c>
      <c r="N2491" s="110">
        <v>95.67</v>
      </c>
      <c r="O2491" s="110">
        <v>93.67</v>
      </c>
      <c r="P2491" s="110">
        <v>94.15</v>
      </c>
      <c r="Q2491" s="110">
        <v>94.69</v>
      </c>
      <c r="R2491">
        <v>34474633</v>
      </c>
    </row>
    <row r="2492" spans="1:18" x14ac:dyDescent="0.25">
      <c r="A2492" s="133">
        <v>45673</v>
      </c>
      <c r="B2492" s="110">
        <v>98.2</v>
      </c>
      <c r="C2492" s="110">
        <v>97.3</v>
      </c>
      <c r="D2492" s="110">
        <v>96.1</v>
      </c>
      <c r="E2492" s="110">
        <v>96.15</v>
      </c>
      <c r="F2492" s="110">
        <v>97.3</v>
      </c>
      <c r="G2492">
        <v>1408717</v>
      </c>
      <c r="H2492" s="110"/>
      <c r="I2492" s="110"/>
      <c r="L2492" s="133">
        <v>45673</v>
      </c>
      <c r="M2492" s="110">
        <v>97.33</v>
      </c>
      <c r="N2492" s="110">
        <v>98.26</v>
      </c>
      <c r="O2492" s="110">
        <v>96.05</v>
      </c>
      <c r="P2492" s="110">
        <v>96.05</v>
      </c>
      <c r="Q2492" s="110">
        <v>97.33</v>
      </c>
      <c r="R2492">
        <v>34645885</v>
      </c>
    </row>
    <row r="2493" spans="1:18" x14ac:dyDescent="0.25">
      <c r="A2493" s="133">
        <v>45674</v>
      </c>
      <c r="B2493" s="110">
        <v>98.35</v>
      </c>
      <c r="C2493" s="110">
        <v>97.85</v>
      </c>
      <c r="D2493" s="110">
        <v>96.55</v>
      </c>
      <c r="E2493" s="110">
        <v>97.45</v>
      </c>
      <c r="F2493" s="110">
        <v>97.85</v>
      </c>
      <c r="G2493">
        <v>604984</v>
      </c>
      <c r="H2493" s="110"/>
      <c r="I2493" s="110"/>
      <c r="L2493" s="133">
        <v>45674</v>
      </c>
      <c r="M2493" s="110">
        <v>97.88</v>
      </c>
      <c r="N2493" s="110">
        <v>98.37</v>
      </c>
      <c r="O2493" s="110">
        <v>96.5</v>
      </c>
      <c r="P2493" s="110">
        <v>96.96</v>
      </c>
      <c r="Q2493" s="110">
        <v>97.88</v>
      </c>
      <c r="R2493">
        <v>15548712</v>
      </c>
    </row>
    <row r="2494" spans="1:18" x14ac:dyDescent="0.25">
      <c r="A2494" s="133">
        <v>45677</v>
      </c>
      <c r="B2494" s="110">
        <v>102</v>
      </c>
      <c r="C2494" s="110">
        <v>101.1</v>
      </c>
      <c r="D2494" s="110">
        <v>97.65</v>
      </c>
      <c r="E2494" s="110">
        <v>98.25</v>
      </c>
      <c r="F2494" s="110">
        <v>101.1</v>
      </c>
      <c r="G2494">
        <v>663821</v>
      </c>
      <c r="H2494" s="110"/>
      <c r="I2494" s="110"/>
      <c r="L2494" s="133">
        <v>45677</v>
      </c>
      <c r="M2494" s="110">
        <v>101.04</v>
      </c>
      <c r="N2494" s="110">
        <v>102</v>
      </c>
      <c r="O2494" s="110">
        <v>97.61</v>
      </c>
      <c r="P2494" s="110">
        <v>98.11</v>
      </c>
      <c r="Q2494" s="110">
        <v>101.04</v>
      </c>
      <c r="R2494">
        <v>29523421</v>
      </c>
    </row>
    <row r="2495" spans="1:18" x14ac:dyDescent="0.25">
      <c r="A2495" s="133">
        <v>45678</v>
      </c>
      <c r="B2495" s="110">
        <v>101.6</v>
      </c>
      <c r="C2495" s="110">
        <v>99.4</v>
      </c>
      <c r="D2495" s="110">
        <v>99.15</v>
      </c>
      <c r="E2495" s="110">
        <v>101.6</v>
      </c>
      <c r="F2495" s="110">
        <v>99.4</v>
      </c>
      <c r="G2495">
        <v>887379</v>
      </c>
      <c r="H2495" s="110"/>
      <c r="I2495" s="110"/>
      <c r="L2495" s="133">
        <v>45678</v>
      </c>
      <c r="M2495" s="110">
        <v>99.47</v>
      </c>
      <c r="N2495" s="110">
        <v>101.69</v>
      </c>
      <c r="O2495" s="110">
        <v>99.12</v>
      </c>
      <c r="P2495" s="110">
        <v>101.04</v>
      </c>
      <c r="Q2495" s="110">
        <v>99.47</v>
      </c>
      <c r="R2495">
        <v>12354313</v>
      </c>
    </row>
    <row r="2496" spans="1:18" x14ac:dyDescent="0.25">
      <c r="A2496" s="133">
        <v>45679</v>
      </c>
      <c r="B2496" s="110">
        <v>99.65</v>
      </c>
      <c r="C2496" s="110">
        <v>97.85</v>
      </c>
      <c r="D2496" s="110">
        <v>95.65</v>
      </c>
      <c r="E2496" s="110">
        <v>99.65</v>
      </c>
      <c r="F2496" s="110">
        <v>97.85</v>
      </c>
      <c r="G2496">
        <v>505153</v>
      </c>
      <c r="H2496" s="110"/>
      <c r="I2496" s="110"/>
      <c r="L2496" s="133">
        <v>45679</v>
      </c>
      <c r="M2496" s="110">
        <v>97.82</v>
      </c>
      <c r="N2496" s="110">
        <v>99.59</v>
      </c>
      <c r="O2496" s="110">
        <v>95.72</v>
      </c>
      <c r="P2496" s="110">
        <v>99.4</v>
      </c>
      <c r="Q2496" s="110">
        <v>97.82</v>
      </c>
      <c r="R2496">
        <v>17908580</v>
      </c>
    </row>
    <row r="2497" spans="1:18" x14ac:dyDescent="0.25">
      <c r="A2497" s="133">
        <v>45680</v>
      </c>
      <c r="B2497" s="110">
        <v>98.85</v>
      </c>
      <c r="C2497" s="110">
        <v>98.2</v>
      </c>
      <c r="D2497" s="110">
        <v>96.85</v>
      </c>
      <c r="E2497" s="110">
        <v>97.85</v>
      </c>
      <c r="F2497" s="110">
        <v>98.2</v>
      </c>
      <c r="G2497">
        <v>413361</v>
      </c>
      <c r="H2497" s="110"/>
      <c r="I2497" s="110"/>
      <c r="L2497" s="133">
        <v>45680</v>
      </c>
      <c r="M2497" s="110">
        <v>98.15</v>
      </c>
      <c r="N2497" s="110">
        <v>98.85</v>
      </c>
      <c r="O2497" s="110">
        <v>96.88</v>
      </c>
      <c r="P2497" s="110">
        <v>97.7</v>
      </c>
      <c r="Q2497" s="110">
        <v>98.15</v>
      </c>
      <c r="R2497">
        <v>11470131</v>
      </c>
    </row>
    <row r="2498" spans="1:18" x14ac:dyDescent="0.25">
      <c r="A2498" s="133">
        <v>45681</v>
      </c>
      <c r="B2498" s="110">
        <v>98.6</v>
      </c>
      <c r="C2498" s="110">
        <v>96.75</v>
      </c>
      <c r="D2498" s="110">
        <v>96.45</v>
      </c>
      <c r="E2498" s="110">
        <v>98.2</v>
      </c>
      <c r="F2498" s="110">
        <v>96.75</v>
      </c>
      <c r="G2498">
        <v>787486</v>
      </c>
      <c r="H2498" s="110"/>
      <c r="I2498" s="110"/>
      <c r="L2498" s="133">
        <v>45681</v>
      </c>
      <c r="M2498" s="110">
        <v>96.75</v>
      </c>
      <c r="N2498" s="110">
        <v>98.68</v>
      </c>
      <c r="O2498" s="110">
        <v>96.41</v>
      </c>
      <c r="P2498" s="110">
        <v>98.15</v>
      </c>
      <c r="Q2498" s="110">
        <v>96.75</v>
      </c>
      <c r="R2498">
        <v>12610574</v>
      </c>
    </row>
    <row r="2499" spans="1:18" x14ac:dyDescent="0.25">
      <c r="A2499" s="133">
        <v>45684</v>
      </c>
      <c r="B2499" s="110">
        <v>97.55</v>
      </c>
      <c r="C2499" s="110">
        <v>91.85</v>
      </c>
      <c r="D2499" s="110">
        <v>90.9</v>
      </c>
      <c r="E2499" s="110">
        <v>95.9</v>
      </c>
      <c r="F2499" s="110">
        <v>91.85</v>
      </c>
      <c r="G2499">
        <v>2353347</v>
      </c>
      <c r="H2499" s="110"/>
      <c r="I2499" s="110"/>
      <c r="L2499" s="133">
        <v>45684</v>
      </c>
      <c r="M2499" s="110">
        <v>91.93</v>
      </c>
      <c r="N2499" s="110">
        <v>97.6</v>
      </c>
      <c r="O2499" s="110">
        <v>90.88</v>
      </c>
      <c r="P2499" s="110">
        <v>96</v>
      </c>
      <c r="Q2499" s="110">
        <v>91.93</v>
      </c>
      <c r="R2499">
        <v>44804245</v>
      </c>
    </row>
    <row r="2500" spans="1:18" x14ac:dyDescent="0.25">
      <c r="A2500" s="133">
        <v>45685</v>
      </c>
      <c r="B2500" s="110">
        <v>94.9</v>
      </c>
      <c r="C2500" s="110">
        <v>92</v>
      </c>
      <c r="D2500" s="110">
        <v>90.3</v>
      </c>
      <c r="E2500" s="110">
        <v>93.7</v>
      </c>
      <c r="F2500" s="110">
        <v>92</v>
      </c>
      <c r="G2500">
        <v>1772190</v>
      </c>
      <c r="H2500" s="110"/>
      <c r="I2500" s="110"/>
      <c r="L2500" s="133">
        <v>45685</v>
      </c>
      <c r="M2500" s="110">
        <v>91.82</v>
      </c>
      <c r="N2500" s="110">
        <v>95</v>
      </c>
      <c r="O2500" s="110">
        <v>90.32</v>
      </c>
      <c r="P2500" s="110">
        <v>93.7</v>
      </c>
      <c r="Q2500" s="110">
        <v>91.82</v>
      </c>
      <c r="R2500">
        <v>42091874</v>
      </c>
    </row>
    <row r="2501" spans="1:18" x14ac:dyDescent="0.25">
      <c r="A2501" s="133">
        <v>45686</v>
      </c>
      <c r="B2501" s="110">
        <v>92.95</v>
      </c>
      <c r="C2501" s="110">
        <v>91.9</v>
      </c>
      <c r="D2501" s="110">
        <v>91.35</v>
      </c>
      <c r="E2501" s="110">
        <v>92.95</v>
      </c>
      <c r="F2501" s="110">
        <v>91.9</v>
      </c>
      <c r="G2501">
        <v>1428668</v>
      </c>
      <c r="H2501" s="110"/>
      <c r="I2501" s="110"/>
      <c r="L2501" s="133">
        <v>45686</v>
      </c>
      <c r="M2501" s="110">
        <v>91.93</v>
      </c>
      <c r="N2501" s="110">
        <v>92.85</v>
      </c>
      <c r="O2501" s="110">
        <v>91.33</v>
      </c>
      <c r="P2501" s="110">
        <v>92.8</v>
      </c>
      <c r="Q2501" s="110">
        <v>91.93</v>
      </c>
      <c r="R2501">
        <v>23565700</v>
      </c>
    </row>
    <row r="2502" spans="1:18" x14ac:dyDescent="0.25">
      <c r="A2502" s="133">
        <v>45687</v>
      </c>
      <c r="B2502" s="110">
        <v>92.5</v>
      </c>
      <c r="C2502" s="110">
        <v>90.9</v>
      </c>
      <c r="D2502" s="110">
        <v>90.5</v>
      </c>
      <c r="E2502" s="110">
        <v>92.5</v>
      </c>
      <c r="F2502" s="110">
        <v>90.9</v>
      </c>
      <c r="G2502">
        <v>851248</v>
      </c>
      <c r="H2502" s="110"/>
      <c r="I2502" s="110"/>
      <c r="L2502" s="133">
        <v>45687</v>
      </c>
      <c r="M2502" s="110">
        <v>90.91</v>
      </c>
      <c r="N2502" s="110">
        <v>92.4</v>
      </c>
      <c r="O2502" s="110">
        <v>90.5</v>
      </c>
      <c r="P2502" s="110">
        <v>92.4</v>
      </c>
      <c r="Q2502" s="110">
        <v>90.91</v>
      </c>
      <c r="R2502">
        <v>26854992</v>
      </c>
    </row>
    <row r="2503" spans="1:18" x14ac:dyDescent="0.25">
      <c r="A2503" s="133">
        <v>45688</v>
      </c>
      <c r="B2503" s="110">
        <v>94</v>
      </c>
      <c r="C2503" s="110">
        <v>93.3</v>
      </c>
      <c r="D2503" s="110">
        <v>90.75</v>
      </c>
      <c r="E2503" s="110">
        <v>91.55</v>
      </c>
      <c r="F2503" s="110">
        <v>93.3</v>
      </c>
      <c r="G2503">
        <v>1056392</v>
      </c>
      <c r="H2503" s="110"/>
      <c r="I2503" s="110"/>
      <c r="L2503" s="133">
        <v>45688</v>
      </c>
      <c r="M2503" s="110">
        <v>93.27</v>
      </c>
      <c r="N2503" s="110">
        <v>94</v>
      </c>
      <c r="O2503" s="110">
        <v>90.75</v>
      </c>
      <c r="P2503" s="110">
        <v>91.4</v>
      </c>
      <c r="Q2503" s="110">
        <v>93.27</v>
      </c>
      <c r="R2503">
        <v>33477188</v>
      </c>
    </row>
    <row r="2504" spans="1:18" x14ac:dyDescent="0.25">
      <c r="A2504" s="133">
        <v>45689</v>
      </c>
      <c r="B2504" s="110">
        <v>94.26</v>
      </c>
      <c r="C2504" s="110">
        <v>92.7</v>
      </c>
      <c r="D2504" s="110">
        <v>91.15</v>
      </c>
      <c r="E2504" s="110">
        <v>93.66</v>
      </c>
      <c r="F2504" s="110">
        <v>92.7</v>
      </c>
      <c r="G2504">
        <v>1369775</v>
      </c>
      <c r="H2504" s="110"/>
      <c r="I2504" s="110"/>
      <c r="L2504" s="133">
        <v>45689</v>
      </c>
      <c r="M2504" s="110">
        <v>92.62</v>
      </c>
      <c r="N2504" s="110">
        <v>94.29</v>
      </c>
      <c r="O2504" s="110">
        <v>91.06</v>
      </c>
      <c r="P2504" s="110">
        <v>93.5</v>
      </c>
      <c r="Q2504" s="110">
        <v>92.62</v>
      </c>
      <c r="R2504">
        <v>16282476</v>
      </c>
    </row>
    <row r="2505" spans="1:18" x14ac:dyDescent="0.25">
      <c r="A2505" s="133">
        <v>45691</v>
      </c>
      <c r="B2505" s="110">
        <v>91.98</v>
      </c>
      <c r="C2505" s="110">
        <v>90.61</v>
      </c>
      <c r="D2505" s="110">
        <v>89.51</v>
      </c>
      <c r="E2505" s="110">
        <v>91.46</v>
      </c>
      <c r="F2505" s="110">
        <v>90.61</v>
      </c>
      <c r="G2505">
        <v>1234076</v>
      </c>
      <c r="H2505" s="110"/>
      <c r="I2505" s="110"/>
      <c r="L2505" s="133">
        <v>45691</v>
      </c>
      <c r="M2505" s="110">
        <v>90.61</v>
      </c>
      <c r="N2505" s="110">
        <v>92.02</v>
      </c>
      <c r="O2505" s="110">
        <v>89.47</v>
      </c>
      <c r="P2505" s="110">
        <v>91.91</v>
      </c>
      <c r="Q2505" s="110">
        <v>90.61</v>
      </c>
      <c r="R2505">
        <v>18359971</v>
      </c>
    </row>
    <row r="2506" spans="1:18" x14ac:dyDescent="0.25">
      <c r="A2506" s="133">
        <v>45692</v>
      </c>
      <c r="B2506" s="110">
        <v>93.15</v>
      </c>
      <c r="C2506" s="110">
        <v>92.86</v>
      </c>
      <c r="D2506" s="110">
        <v>91.19</v>
      </c>
      <c r="E2506" s="110">
        <v>91.19</v>
      </c>
      <c r="F2506" s="110">
        <v>92.86</v>
      </c>
      <c r="G2506">
        <v>1240155</v>
      </c>
      <c r="H2506" s="110"/>
      <c r="I2506" s="110"/>
      <c r="L2506" s="133">
        <v>45692</v>
      </c>
      <c r="M2506" s="110">
        <v>92.84</v>
      </c>
      <c r="N2506" s="110">
        <v>93.15</v>
      </c>
      <c r="O2506" s="110">
        <v>91.35</v>
      </c>
      <c r="P2506" s="110">
        <v>91.5</v>
      </c>
      <c r="Q2506" s="110">
        <v>92.84</v>
      </c>
      <c r="R2506">
        <v>18833599</v>
      </c>
    </row>
    <row r="2507" spans="1:18" x14ac:dyDescent="0.25">
      <c r="A2507" s="133">
        <v>45693</v>
      </c>
      <c r="B2507" s="110">
        <v>96.85</v>
      </c>
      <c r="C2507" s="110">
        <v>95.91</v>
      </c>
      <c r="D2507" s="110">
        <v>93.51</v>
      </c>
      <c r="E2507" s="110">
        <v>93.82</v>
      </c>
      <c r="F2507" s="110">
        <v>95.91</v>
      </c>
      <c r="G2507">
        <v>2297641</v>
      </c>
      <c r="H2507" s="110"/>
      <c r="I2507" s="110"/>
      <c r="L2507" s="133">
        <v>45693</v>
      </c>
      <c r="M2507" s="110">
        <v>95.83</v>
      </c>
      <c r="N2507" s="110">
        <v>96.9</v>
      </c>
      <c r="O2507" s="110">
        <v>93.55</v>
      </c>
      <c r="P2507" s="110">
        <v>93.7</v>
      </c>
      <c r="Q2507" s="110">
        <v>95.83</v>
      </c>
      <c r="R2507">
        <v>28988222</v>
      </c>
    </row>
    <row r="2508" spans="1:18" x14ac:dyDescent="0.25">
      <c r="A2508" s="133">
        <v>45694</v>
      </c>
      <c r="B2508" s="110">
        <v>96.44</v>
      </c>
      <c r="C2508" s="110">
        <v>94.89</v>
      </c>
      <c r="D2508" s="110">
        <v>94.22</v>
      </c>
      <c r="E2508" s="110">
        <v>96.28</v>
      </c>
      <c r="F2508" s="110">
        <v>94.89</v>
      </c>
      <c r="G2508">
        <v>881732</v>
      </c>
      <c r="H2508" s="110"/>
      <c r="I2508" s="110"/>
      <c r="L2508" s="133">
        <v>45694</v>
      </c>
      <c r="M2508" s="110">
        <v>94.86</v>
      </c>
      <c r="N2508" s="110">
        <v>96.45</v>
      </c>
      <c r="O2508" s="110">
        <v>94.26</v>
      </c>
      <c r="P2508" s="110">
        <v>96.18</v>
      </c>
      <c r="Q2508" s="110">
        <v>94.86</v>
      </c>
      <c r="R2508">
        <v>17662066</v>
      </c>
    </row>
    <row r="2509" spans="1:18" x14ac:dyDescent="0.25">
      <c r="A2509" s="133">
        <v>45695</v>
      </c>
      <c r="B2509" s="110">
        <v>96.05</v>
      </c>
      <c r="C2509" s="110">
        <v>94.05</v>
      </c>
      <c r="D2509" s="110">
        <v>93.12</v>
      </c>
      <c r="E2509" s="110">
        <v>95.41</v>
      </c>
      <c r="F2509" s="110">
        <v>94.05</v>
      </c>
      <c r="G2509">
        <v>1084593</v>
      </c>
      <c r="H2509" s="110"/>
      <c r="I2509" s="110"/>
      <c r="L2509" s="133">
        <v>45695</v>
      </c>
      <c r="M2509" s="110">
        <v>94.06</v>
      </c>
      <c r="N2509" s="110">
        <v>96.05</v>
      </c>
      <c r="O2509" s="110">
        <v>93.07</v>
      </c>
      <c r="P2509" s="110">
        <v>94.99</v>
      </c>
      <c r="Q2509" s="110">
        <v>94.06</v>
      </c>
      <c r="R2509">
        <v>18697525</v>
      </c>
    </row>
    <row r="2510" spans="1:18" x14ac:dyDescent="0.25">
      <c r="A2510" s="133">
        <v>45698</v>
      </c>
      <c r="B2510" s="110">
        <v>94.4</v>
      </c>
      <c r="C2510" s="110">
        <v>93.19</v>
      </c>
      <c r="D2510" s="110">
        <v>91.91</v>
      </c>
      <c r="E2510" s="110">
        <v>94.4</v>
      </c>
      <c r="F2510" s="110">
        <v>93.19</v>
      </c>
      <c r="G2510">
        <v>329274</v>
      </c>
      <c r="H2510" s="110"/>
      <c r="I2510" s="110"/>
      <c r="L2510" s="133">
        <v>45698</v>
      </c>
      <c r="M2510" s="110">
        <v>93.17</v>
      </c>
      <c r="N2510" s="110">
        <v>94.45</v>
      </c>
      <c r="O2510" s="110">
        <v>91.86</v>
      </c>
      <c r="P2510" s="110">
        <v>94.06</v>
      </c>
      <c r="Q2510" s="110">
        <v>93.17</v>
      </c>
      <c r="R2510">
        <v>11919454</v>
      </c>
    </row>
    <row r="2511" spans="1:18" x14ac:dyDescent="0.25">
      <c r="A2511" s="133">
        <v>45699</v>
      </c>
      <c r="B2511" s="110">
        <v>93.45</v>
      </c>
      <c r="C2511" s="110">
        <v>90.26</v>
      </c>
      <c r="D2511" s="110">
        <v>90</v>
      </c>
      <c r="E2511" s="110">
        <v>93.3</v>
      </c>
      <c r="F2511" s="110">
        <v>90.26</v>
      </c>
      <c r="G2511">
        <v>1178162</v>
      </c>
      <c r="H2511" s="110"/>
      <c r="I2511" s="110"/>
      <c r="L2511" s="133">
        <v>45699</v>
      </c>
      <c r="M2511" s="110">
        <v>90.09</v>
      </c>
      <c r="N2511" s="110">
        <v>93.49</v>
      </c>
      <c r="O2511" s="110">
        <v>90</v>
      </c>
      <c r="P2511" s="110">
        <v>93.4</v>
      </c>
      <c r="Q2511" s="110">
        <v>90.09</v>
      </c>
      <c r="R2511">
        <v>23695177</v>
      </c>
    </row>
    <row r="2512" spans="1:18" x14ac:dyDescent="0.25">
      <c r="A2512" s="133">
        <v>45700</v>
      </c>
      <c r="B2512" s="110">
        <v>91.44</v>
      </c>
      <c r="C2512" s="110">
        <v>90.57</v>
      </c>
      <c r="D2512" s="110">
        <v>87.41</v>
      </c>
      <c r="E2512" s="110">
        <v>90.1</v>
      </c>
      <c r="F2512" s="110">
        <v>90.57</v>
      </c>
      <c r="G2512">
        <v>1809587</v>
      </c>
      <c r="H2512" s="110"/>
      <c r="I2512" s="110"/>
      <c r="L2512" s="133">
        <v>45700</v>
      </c>
      <c r="M2512" s="110">
        <v>90.54</v>
      </c>
      <c r="N2512" s="110">
        <v>91.43</v>
      </c>
      <c r="O2512" s="110">
        <v>87.41</v>
      </c>
      <c r="P2512" s="110">
        <v>90</v>
      </c>
      <c r="Q2512" s="110">
        <v>90.54</v>
      </c>
      <c r="R2512">
        <v>21437438</v>
      </c>
    </row>
    <row r="2513" spans="1:18" x14ac:dyDescent="0.25">
      <c r="A2513" s="133">
        <v>45701</v>
      </c>
      <c r="B2513" s="110">
        <v>91.45</v>
      </c>
      <c r="C2513" s="110">
        <v>88.68</v>
      </c>
      <c r="D2513" s="110">
        <v>88.35</v>
      </c>
      <c r="E2513" s="110">
        <v>91</v>
      </c>
      <c r="F2513" s="110">
        <v>88.68</v>
      </c>
      <c r="G2513">
        <v>2320998</v>
      </c>
      <c r="H2513" s="110"/>
      <c r="I2513" s="110"/>
      <c r="L2513" s="133">
        <v>45701</v>
      </c>
      <c r="M2513" s="110">
        <v>88.72</v>
      </c>
      <c r="N2513" s="110">
        <v>91.46</v>
      </c>
      <c r="O2513" s="110">
        <v>88.2</v>
      </c>
      <c r="P2513" s="110">
        <v>91</v>
      </c>
      <c r="Q2513" s="110">
        <v>88.72</v>
      </c>
      <c r="R2513">
        <v>27030641</v>
      </c>
    </row>
    <row r="2514" spans="1:18" x14ac:dyDescent="0.25">
      <c r="A2514" s="133">
        <v>45702</v>
      </c>
      <c r="B2514" s="110">
        <v>89.34</v>
      </c>
      <c r="C2514" s="110">
        <v>85.59</v>
      </c>
      <c r="D2514" s="110">
        <v>84.75</v>
      </c>
      <c r="E2514" s="110">
        <v>89.02</v>
      </c>
      <c r="F2514" s="110">
        <v>85.59</v>
      </c>
      <c r="G2514">
        <v>2171588</v>
      </c>
      <c r="H2514" s="110"/>
      <c r="I2514" s="110"/>
      <c r="L2514" s="133">
        <v>45702</v>
      </c>
      <c r="M2514" s="110">
        <v>85.62</v>
      </c>
      <c r="N2514" s="110">
        <v>89.25</v>
      </c>
      <c r="O2514" s="110">
        <v>84.72</v>
      </c>
      <c r="P2514" s="110">
        <v>89.15</v>
      </c>
      <c r="Q2514" s="110">
        <v>85.62</v>
      </c>
      <c r="R2514">
        <v>29190700</v>
      </c>
    </row>
    <row r="2515" spans="1:18" x14ac:dyDescent="0.25">
      <c r="A2515" s="133">
        <v>45705</v>
      </c>
      <c r="B2515" s="110">
        <v>85.8</v>
      </c>
      <c r="C2515" s="110">
        <v>85.07</v>
      </c>
      <c r="D2515" s="110">
        <v>83.5</v>
      </c>
      <c r="E2515" s="110">
        <v>85.8</v>
      </c>
      <c r="F2515" s="110">
        <v>85.07</v>
      </c>
      <c r="G2515">
        <v>950064</v>
      </c>
      <c r="H2515" s="110"/>
      <c r="I2515" s="110"/>
      <c r="L2515" s="133">
        <v>45705</v>
      </c>
      <c r="M2515" s="110">
        <v>85.09</v>
      </c>
      <c r="N2515" s="110">
        <v>85.61</v>
      </c>
      <c r="O2515" s="110">
        <v>83.52</v>
      </c>
      <c r="P2515" s="110">
        <v>85.61</v>
      </c>
      <c r="Q2515" s="110">
        <v>85.09</v>
      </c>
      <c r="R2515">
        <v>23885790</v>
      </c>
    </row>
    <row r="2516" spans="1:18" x14ac:dyDescent="0.25">
      <c r="A2516" s="133">
        <v>45706</v>
      </c>
      <c r="B2516" s="110">
        <v>85.8</v>
      </c>
      <c r="C2516" s="110">
        <v>84.64</v>
      </c>
      <c r="D2516" s="110">
        <v>83.55</v>
      </c>
      <c r="E2516" s="110">
        <v>85.69</v>
      </c>
      <c r="F2516" s="110">
        <v>84.64</v>
      </c>
      <c r="G2516">
        <v>502903</v>
      </c>
      <c r="H2516" s="110"/>
      <c r="I2516" s="110"/>
      <c r="L2516" s="133">
        <v>45706</v>
      </c>
      <c r="M2516" s="110">
        <v>84.65</v>
      </c>
      <c r="N2516" s="110">
        <v>85.89</v>
      </c>
      <c r="O2516" s="110">
        <v>83.52</v>
      </c>
      <c r="P2516" s="110">
        <v>85.49</v>
      </c>
      <c r="Q2516" s="110">
        <v>84.65</v>
      </c>
      <c r="R2516">
        <v>21927534</v>
      </c>
    </row>
    <row r="2517" spans="1:18" x14ac:dyDescent="0.25">
      <c r="A2517" s="133">
        <v>45707</v>
      </c>
      <c r="B2517" s="110">
        <v>85.95</v>
      </c>
      <c r="C2517" s="110">
        <v>85.6</v>
      </c>
      <c r="D2517" s="110">
        <v>83.76</v>
      </c>
      <c r="E2517" s="110">
        <v>84.38</v>
      </c>
      <c r="F2517" s="110">
        <v>85.6</v>
      </c>
      <c r="G2517">
        <v>541277</v>
      </c>
      <c r="H2517" s="110"/>
      <c r="I2517" s="110"/>
      <c r="L2517" s="133">
        <v>45707</v>
      </c>
      <c r="M2517" s="110">
        <v>85.56</v>
      </c>
      <c r="N2517" s="110">
        <v>85.95</v>
      </c>
      <c r="O2517" s="110">
        <v>83.75</v>
      </c>
      <c r="P2517" s="110">
        <v>84</v>
      </c>
      <c r="Q2517" s="110">
        <v>85.56</v>
      </c>
      <c r="R2517">
        <v>27545822</v>
      </c>
    </row>
    <row r="2518" spans="1:18" x14ac:dyDescent="0.25">
      <c r="A2518" s="133">
        <v>45708</v>
      </c>
      <c r="B2518" s="110">
        <v>88.38</v>
      </c>
      <c r="C2518" s="110">
        <v>88.09</v>
      </c>
      <c r="D2518" s="110">
        <v>85</v>
      </c>
      <c r="E2518" s="110">
        <v>85.53</v>
      </c>
      <c r="F2518" s="110">
        <v>88.09</v>
      </c>
      <c r="G2518">
        <v>1560978</v>
      </c>
      <c r="H2518" s="110"/>
      <c r="I2518" s="110"/>
      <c r="L2518" s="133">
        <v>45708</v>
      </c>
      <c r="M2518" s="110">
        <v>88.06</v>
      </c>
      <c r="N2518" s="110">
        <v>88.4</v>
      </c>
      <c r="O2518" s="110">
        <v>85</v>
      </c>
      <c r="P2518" s="110">
        <v>85.4</v>
      </c>
      <c r="Q2518" s="110">
        <v>88.06</v>
      </c>
      <c r="R2518">
        <v>26398555</v>
      </c>
    </row>
    <row r="2519" spans="1:18" x14ac:dyDescent="0.25">
      <c r="A2519" s="133">
        <v>45709</v>
      </c>
      <c r="B2519" s="110">
        <v>89.26</v>
      </c>
      <c r="C2519" s="110">
        <v>87.24</v>
      </c>
      <c r="D2519" s="110">
        <v>86.75</v>
      </c>
      <c r="E2519" s="110">
        <v>87.79</v>
      </c>
      <c r="F2519" s="110">
        <v>87.24</v>
      </c>
      <c r="G2519">
        <v>1046682</v>
      </c>
      <c r="H2519" s="110"/>
      <c r="I2519" s="110"/>
      <c r="L2519" s="133">
        <v>45709</v>
      </c>
      <c r="M2519" s="110">
        <v>87.33</v>
      </c>
      <c r="N2519" s="110">
        <v>89.25</v>
      </c>
      <c r="O2519" s="110">
        <v>86.74</v>
      </c>
      <c r="P2519" s="110">
        <v>87.6</v>
      </c>
      <c r="Q2519" s="110">
        <v>87.33</v>
      </c>
      <c r="R2519">
        <v>18438389</v>
      </c>
    </row>
    <row r="2520" spans="1:18" x14ac:dyDescent="0.25">
      <c r="A2520" s="133">
        <v>45712</v>
      </c>
      <c r="B2520" s="110">
        <v>87.26</v>
      </c>
      <c r="C2520" s="110">
        <v>86.87</v>
      </c>
      <c r="D2520" s="110">
        <v>85.6</v>
      </c>
      <c r="E2520" s="110">
        <v>87.09</v>
      </c>
      <c r="F2520" s="110">
        <v>86.87</v>
      </c>
      <c r="G2520">
        <v>345406</v>
      </c>
      <c r="H2520" s="110"/>
      <c r="I2520" s="110"/>
      <c r="L2520" s="133">
        <v>45712</v>
      </c>
      <c r="M2520" s="110">
        <v>86.95</v>
      </c>
      <c r="N2520" s="110">
        <v>87.29</v>
      </c>
      <c r="O2520" s="110">
        <v>85.55</v>
      </c>
      <c r="P2520" s="110">
        <v>87</v>
      </c>
      <c r="Q2520" s="110">
        <v>86.95</v>
      </c>
      <c r="R2520">
        <v>11551998</v>
      </c>
    </row>
    <row r="2521" spans="1:18" x14ac:dyDescent="0.25">
      <c r="A2521" s="133">
        <v>45713</v>
      </c>
      <c r="B2521" s="110">
        <v>87.77</v>
      </c>
      <c r="C2521" s="110">
        <v>85.01</v>
      </c>
      <c r="D2521" s="110">
        <v>84.9</v>
      </c>
      <c r="E2521" s="110">
        <v>86.87</v>
      </c>
      <c r="F2521" s="110">
        <v>85.01</v>
      </c>
      <c r="G2521">
        <v>574746</v>
      </c>
      <c r="H2521" s="110"/>
      <c r="I2521" s="110"/>
      <c r="L2521" s="133">
        <v>45713</v>
      </c>
      <c r="M2521" s="110">
        <v>85.02</v>
      </c>
      <c r="N2521" s="110">
        <v>87.75</v>
      </c>
      <c r="O2521" s="110">
        <v>84.9</v>
      </c>
      <c r="P2521" s="110">
        <v>86.9</v>
      </c>
      <c r="Q2521" s="110">
        <v>85.02</v>
      </c>
      <c r="R2521">
        <v>13249250</v>
      </c>
    </row>
    <row r="2522" spans="1:18" x14ac:dyDescent="0.25">
      <c r="A2522" s="133">
        <v>45715</v>
      </c>
      <c r="B2522" s="110">
        <v>85.56</v>
      </c>
      <c r="C2522" s="110">
        <v>83.37</v>
      </c>
      <c r="D2522" s="110">
        <v>83.1</v>
      </c>
      <c r="E2522" s="110">
        <v>85.01</v>
      </c>
      <c r="F2522" s="110">
        <v>83.37</v>
      </c>
      <c r="G2522">
        <v>722935</v>
      </c>
      <c r="H2522" s="110"/>
      <c r="I2522" s="110"/>
      <c r="L2522" s="133">
        <v>45715</v>
      </c>
      <c r="M2522" s="110">
        <v>83.46</v>
      </c>
      <c r="N2522" s="110">
        <v>85.58</v>
      </c>
      <c r="O2522" s="110">
        <v>83.01</v>
      </c>
      <c r="P2522" s="110">
        <v>85.03</v>
      </c>
      <c r="Q2522" s="110">
        <v>83.46</v>
      </c>
      <c r="R2522">
        <v>25101806</v>
      </c>
    </row>
    <row r="2523" spans="1:18" x14ac:dyDescent="0.25">
      <c r="A2523" s="133">
        <v>45716</v>
      </c>
      <c r="B2523" s="110">
        <v>82.89</v>
      </c>
      <c r="C2523" s="110">
        <v>80.91</v>
      </c>
      <c r="D2523" s="110">
        <v>80.25</v>
      </c>
      <c r="E2523" s="110">
        <v>82.89</v>
      </c>
      <c r="F2523" s="110">
        <v>80.91</v>
      </c>
      <c r="G2523">
        <v>667322</v>
      </c>
      <c r="H2523" s="110"/>
      <c r="I2523" s="110"/>
      <c r="L2523" s="133">
        <v>45716</v>
      </c>
      <c r="M2523" s="110">
        <v>80.900000000000006</v>
      </c>
      <c r="N2523" s="110">
        <v>82.8</v>
      </c>
      <c r="O2523" s="110">
        <v>80.25</v>
      </c>
      <c r="P2523" s="110">
        <v>82.8</v>
      </c>
      <c r="Q2523" s="110">
        <v>80.900000000000006</v>
      </c>
      <c r="R2523">
        <v>36424489</v>
      </c>
    </row>
    <row r="2524" spans="1:18" x14ac:dyDescent="0.25">
      <c r="A2524" s="133">
        <v>45719</v>
      </c>
      <c r="B2524" s="110">
        <v>81.95</v>
      </c>
      <c r="C2524" s="110">
        <v>81.400000000000006</v>
      </c>
      <c r="D2524" s="110">
        <v>78.58</v>
      </c>
      <c r="E2524" s="110">
        <v>81.42</v>
      </c>
      <c r="F2524" s="110">
        <v>81.400000000000006</v>
      </c>
      <c r="G2524">
        <v>1885415</v>
      </c>
      <c r="H2524" s="110"/>
      <c r="I2524" s="110"/>
      <c r="L2524" s="133">
        <v>45719</v>
      </c>
      <c r="M2524" s="110">
        <v>81.42</v>
      </c>
      <c r="N2524" s="110">
        <v>82</v>
      </c>
      <c r="O2524" s="110">
        <v>78.599999999999994</v>
      </c>
      <c r="P2524" s="110">
        <v>81.25</v>
      </c>
      <c r="Q2524" s="110">
        <v>81.42</v>
      </c>
      <c r="R2524">
        <v>30406353</v>
      </c>
    </row>
    <row r="2525" spans="1:18" x14ac:dyDescent="0.25">
      <c r="A2525" s="133">
        <v>45720</v>
      </c>
      <c r="B2525" s="110">
        <v>82.95</v>
      </c>
      <c r="C2525" s="110">
        <v>81.91</v>
      </c>
      <c r="D2525" s="110">
        <v>79.73</v>
      </c>
      <c r="E2525" s="110">
        <v>80.84</v>
      </c>
      <c r="F2525" s="110">
        <v>81.91</v>
      </c>
      <c r="G2525">
        <v>613741</v>
      </c>
      <c r="H2525" s="110"/>
      <c r="I2525" s="110"/>
      <c r="L2525" s="133">
        <v>45720</v>
      </c>
      <c r="M2525" s="110">
        <v>81.94</v>
      </c>
      <c r="N2525" s="110">
        <v>82.99</v>
      </c>
      <c r="O2525" s="110">
        <v>79.7</v>
      </c>
      <c r="P2525" s="110">
        <v>80.45</v>
      </c>
      <c r="Q2525" s="110">
        <v>81.94</v>
      </c>
      <c r="R2525">
        <v>25682844</v>
      </c>
    </row>
    <row r="2526" spans="1:18" x14ac:dyDescent="0.25">
      <c r="A2526" s="133">
        <v>45721</v>
      </c>
      <c r="B2526" s="110">
        <v>85.15</v>
      </c>
      <c r="C2526" s="110">
        <v>84.98</v>
      </c>
      <c r="D2526" s="110">
        <v>82.01</v>
      </c>
      <c r="E2526" s="110">
        <v>82.01</v>
      </c>
      <c r="F2526" s="110">
        <v>84.98</v>
      </c>
      <c r="G2526">
        <v>451050</v>
      </c>
      <c r="H2526" s="110"/>
      <c r="I2526" s="110"/>
      <c r="L2526" s="133">
        <v>45721</v>
      </c>
      <c r="M2526" s="110">
        <v>85.02</v>
      </c>
      <c r="N2526" s="110">
        <v>85.15</v>
      </c>
      <c r="O2526" s="110">
        <v>82.14</v>
      </c>
      <c r="P2526" s="110">
        <v>82.35</v>
      </c>
      <c r="Q2526" s="110">
        <v>85.02</v>
      </c>
      <c r="R2526">
        <v>17408359</v>
      </c>
    </row>
    <row r="2527" spans="1:18" x14ac:dyDescent="0.25">
      <c r="A2527" s="133">
        <v>45722</v>
      </c>
      <c r="B2527" s="110">
        <v>86.72</v>
      </c>
      <c r="C2527" s="110">
        <v>85.36</v>
      </c>
      <c r="D2527" s="110">
        <v>85.12</v>
      </c>
      <c r="E2527" s="110">
        <v>86.39</v>
      </c>
      <c r="F2527" s="110">
        <v>85.36</v>
      </c>
      <c r="G2527">
        <v>406954</v>
      </c>
      <c r="H2527" s="110"/>
      <c r="I2527" s="110"/>
      <c r="L2527" s="133">
        <v>45722</v>
      </c>
      <c r="M2527" s="110">
        <v>85.35</v>
      </c>
      <c r="N2527" s="110">
        <v>86.77</v>
      </c>
      <c r="O2527" s="110">
        <v>85.11</v>
      </c>
      <c r="P2527" s="110">
        <v>86</v>
      </c>
      <c r="Q2527" s="110">
        <v>85.35</v>
      </c>
      <c r="R2527">
        <v>19427907</v>
      </c>
    </row>
    <row r="2528" spans="1:18" x14ac:dyDescent="0.25">
      <c r="A2528" s="133">
        <v>45723</v>
      </c>
      <c r="B2528" s="110">
        <v>85.95</v>
      </c>
      <c r="C2528" s="110">
        <v>85.02</v>
      </c>
      <c r="D2528" s="110">
        <v>84.45</v>
      </c>
      <c r="E2528" s="110">
        <v>85.78</v>
      </c>
      <c r="F2528" s="110">
        <v>85.02</v>
      </c>
      <c r="G2528">
        <v>785061</v>
      </c>
      <c r="H2528" s="110"/>
      <c r="I2528" s="110"/>
      <c r="L2528" s="133">
        <v>45723</v>
      </c>
      <c r="M2528" s="110">
        <v>85.02</v>
      </c>
      <c r="N2528" s="110">
        <v>85.95</v>
      </c>
      <c r="O2528" s="110">
        <v>84.45</v>
      </c>
      <c r="P2528" s="110">
        <v>85.5</v>
      </c>
      <c r="Q2528" s="110">
        <v>85.02</v>
      </c>
      <c r="R2528">
        <v>12988687</v>
      </c>
    </row>
    <row r="2529" spans="1:18" x14ac:dyDescent="0.25">
      <c r="A2529" s="133">
        <v>45726</v>
      </c>
      <c r="B2529" s="110">
        <v>85.66</v>
      </c>
      <c r="C2529" s="110">
        <v>82.44</v>
      </c>
      <c r="D2529" s="110">
        <v>82.26</v>
      </c>
      <c r="E2529" s="110">
        <v>85.66</v>
      </c>
      <c r="F2529" s="110">
        <v>82.44</v>
      </c>
      <c r="G2529">
        <v>906613</v>
      </c>
      <c r="H2529" s="110"/>
      <c r="I2529" s="110"/>
      <c r="L2529" s="133">
        <v>45726</v>
      </c>
      <c r="M2529" s="110">
        <v>82.49</v>
      </c>
      <c r="N2529" s="110">
        <v>85.43</v>
      </c>
      <c r="O2529" s="110">
        <v>82.21</v>
      </c>
      <c r="P2529" s="110">
        <v>85</v>
      </c>
      <c r="Q2529" s="110">
        <v>82.49</v>
      </c>
      <c r="R2529">
        <v>14634696</v>
      </c>
    </row>
    <row r="2530" spans="1:18" x14ac:dyDescent="0.25">
      <c r="A2530" s="133">
        <v>45727</v>
      </c>
      <c r="B2530" s="110">
        <v>83.68</v>
      </c>
      <c r="C2530" s="110">
        <v>83.31</v>
      </c>
      <c r="D2530" s="110">
        <v>81.42</v>
      </c>
      <c r="E2530" s="110">
        <v>81.760000000000005</v>
      </c>
      <c r="F2530" s="110">
        <v>83.31</v>
      </c>
      <c r="G2530">
        <v>468864</v>
      </c>
      <c r="H2530" s="110"/>
      <c r="I2530" s="110"/>
      <c r="L2530" s="133">
        <v>45727</v>
      </c>
      <c r="M2530" s="110">
        <v>83.28</v>
      </c>
      <c r="N2530" s="110">
        <v>83.65</v>
      </c>
      <c r="O2530" s="110">
        <v>81.400000000000006</v>
      </c>
      <c r="P2530" s="110">
        <v>81.400000000000006</v>
      </c>
      <c r="Q2530" s="110">
        <v>83.28</v>
      </c>
      <c r="R2530">
        <v>21742642</v>
      </c>
    </row>
    <row r="2531" spans="1:18" x14ac:dyDescent="0.25">
      <c r="A2531" s="133">
        <v>45728</v>
      </c>
      <c r="B2531" s="110">
        <v>84.11</v>
      </c>
      <c r="C2531" s="110">
        <v>82.45</v>
      </c>
      <c r="D2531" s="110">
        <v>81.599999999999994</v>
      </c>
      <c r="E2531" s="110">
        <v>83.31</v>
      </c>
      <c r="F2531" s="110">
        <v>82.45</v>
      </c>
      <c r="G2531">
        <v>716760</v>
      </c>
      <c r="H2531" s="110"/>
      <c r="I2531" s="110"/>
      <c r="L2531" s="133">
        <v>45728</v>
      </c>
      <c r="M2531" s="110">
        <v>82.46</v>
      </c>
      <c r="N2531" s="110">
        <v>84.1</v>
      </c>
      <c r="O2531" s="110">
        <v>81.55</v>
      </c>
      <c r="P2531" s="110">
        <v>83.3</v>
      </c>
      <c r="Q2531" s="110">
        <v>82.46</v>
      </c>
      <c r="R2531">
        <v>14726763</v>
      </c>
    </row>
    <row r="2532" spans="1:18" x14ac:dyDescent="0.25">
      <c r="A2532" s="133">
        <v>45729</v>
      </c>
      <c r="B2532" s="110">
        <v>83.52</v>
      </c>
      <c r="C2532" s="110">
        <v>82.74</v>
      </c>
      <c r="D2532" s="110">
        <v>82.19</v>
      </c>
      <c r="E2532" s="110">
        <v>82.92</v>
      </c>
      <c r="F2532" s="110">
        <v>82.74</v>
      </c>
      <c r="G2532">
        <v>513746</v>
      </c>
      <c r="H2532" s="110"/>
      <c r="I2532" s="110"/>
      <c r="L2532" s="133">
        <v>45729</v>
      </c>
      <c r="M2532" s="110">
        <v>82.9</v>
      </c>
      <c r="N2532" s="110">
        <v>83.48</v>
      </c>
      <c r="O2532" s="110">
        <v>82.16</v>
      </c>
      <c r="P2532" s="110">
        <v>82.72</v>
      </c>
      <c r="Q2532" s="110">
        <v>82.9</v>
      </c>
      <c r="R2532">
        <v>25685980</v>
      </c>
    </row>
    <row r="2533" spans="1:18" x14ac:dyDescent="0.25">
      <c r="A2533" s="133">
        <v>45733</v>
      </c>
      <c r="B2533" s="110">
        <v>83.54</v>
      </c>
      <c r="C2533" s="110">
        <v>82.49</v>
      </c>
      <c r="D2533" s="110">
        <v>82.23</v>
      </c>
      <c r="E2533" s="110">
        <v>83.39</v>
      </c>
      <c r="F2533" s="110">
        <v>82.49</v>
      </c>
      <c r="G2533">
        <v>3022991</v>
      </c>
      <c r="H2533" s="110"/>
      <c r="I2533" s="110"/>
      <c r="L2533" s="133">
        <v>45733</v>
      </c>
      <c r="M2533" s="110">
        <v>82.49</v>
      </c>
      <c r="N2533" s="110">
        <v>83.46</v>
      </c>
      <c r="O2533" s="110">
        <v>82.17</v>
      </c>
      <c r="P2533" s="110">
        <v>83.3</v>
      </c>
      <c r="Q2533" s="110">
        <v>82.49</v>
      </c>
      <c r="R2533">
        <v>13115654</v>
      </c>
    </row>
    <row r="2534" spans="1:18" x14ac:dyDescent="0.25">
      <c r="A2534" s="133">
        <v>45734</v>
      </c>
      <c r="B2534" s="110">
        <v>84.1</v>
      </c>
      <c r="C2534" s="110">
        <v>83.92</v>
      </c>
      <c r="D2534" s="110">
        <v>82.6</v>
      </c>
      <c r="E2534" s="110">
        <v>82.94</v>
      </c>
      <c r="F2534" s="110">
        <v>83.92</v>
      </c>
      <c r="G2534">
        <v>3314810</v>
      </c>
      <c r="H2534" s="110"/>
      <c r="I2534" s="110"/>
      <c r="L2534" s="133">
        <v>45734</v>
      </c>
      <c r="M2534" s="110">
        <v>83.92</v>
      </c>
      <c r="N2534" s="110">
        <v>84.1</v>
      </c>
      <c r="O2534" s="110">
        <v>82.61</v>
      </c>
      <c r="P2534" s="110">
        <v>82.86</v>
      </c>
      <c r="Q2534" s="110">
        <v>83.92</v>
      </c>
      <c r="R2534">
        <v>20710941</v>
      </c>
    </row>
    <row r="2535" spans="1:18" x14ac:dyDescent="0.25">
      <c r="A2535" s="133">
        <v>45735</v>
      </c>
      <c r="B2535" s="110">
        <v>85.86</v>
      </c>
      <c r="C2535" s="110">
        <v>85.56</v>
      </c>
      <c r="D2535" s="110">
        <v>84.01</v>
      </c>
      <c r="E2535" s="110">
        <v>84.45</v>
      </c>
      <c r="F2535" s="110">
        <v>85.56</v>
      </c>
      <c r="G2535">
        <v>1431130</v>
      </c>
      <c r="H2535" s="110"/>
      <c r="I2535" s="110"/>
      <c r="L2535" s="133">
        <v>45735</v>
      </c>
      <c r="M2535" s="110">
        <v>85.57</v>
      </c>
      <c r="N2535" s="110">
        <v>85.85</v>
      </c>
      <c r="O2535" s="110">
        <v>84.02</v>
      </c>
      <c r="P2535" s="110">
        <v>84.02</v>
      </c>
      <c r="Q2535" s="110">
        <v>85.57</v>
      </c>
      <c r="R2535">
        <v>22116696</v>
      </c>
    </row>
    <row r="2536" spans="1:18" x14ac:dyDescent="0.25">
      <c r="A2536" s="133">
        <v>45736</v>
      </c>
      <c r="B2536" s="110">
        <v>86.67</v>
      </c>
      <c r="C2536" s="110">
        <v>85.85</v>
      </c>
      <c r="D2536" s="110">
        <v>85.38</v>
      </c>
      <c r="E2536" s="110">
        <v>86.37</v>
      </c>
      <c r="F2536" s="110">
        <v>85.85</v>
      </c>
      <c r="G2536">
        <v>519725</v>
      </c>
      <c r="H2536" s="110"/>
      <c r="I2536" s="110"/>
      <c r="L2536" s="133">
        <v>45736</v>
      </c>
      <c r="M2536" s="110">
        <v>85.84</v>
      </c>
      <c r="N2536" s="110">
        <v>86.68</v>
      </c>
      <c r="O2536" s="110">
        <v>85.35</v>
      </c>
      <c r="P2536" s="110">
        <v>85.99</v>
      </c>
      <c r="Q2536" s="110">
        <v>85.84</v>
      </c>
      <c r="R2536">
        <v>17359824</v>
      </c>
    </row>
    <row r="2537" spans="1:18" x14ac:dyDescent="0.25">
      <c r="A2537" s="133">
        <v>45737</v>
      </c>
      <c r="B2537" s="110">
        <v>88.2</v>
      </c>
      <c r="C2537" s="110">
        <v>87.6</v>
      </c>
      <c r="D2537" s="110">
        <v>85.56</v>
      </c>
      <c r="E2537" s="110">
        <v>85.78</v>
      </c>
      <c r="F2537" s="110">
        <v>87.6</v>
      </c>
      <c r="G2537">
        <v>1676689</v>
      </c>
      <c r="H2537" s="110"/>
      <c r="I2537" s="110"/>
      <c r="L2537" s="133">
        <v>45737</v>
      </c>
      <c r="M2537" s="110">
        <v>87.54</v>
      </c>
      <c r="N2537" s="110">
        <v>88.25</v>
      </c>
      <c r="O2537" s="110">
        <v>85.5</v>
      </c>
      <c r="P2537" s="110">
        <v>86</v>
      </c>
      <c r="Q2537" s="110">
        <v>87.54</v>
      </c>
      <c r="R2537">
        <v>26691971</v>
      </c>
    </row>
    <row r="2538" spans="1:18" x14ac:dyDescent="0.25">
      <c r="A2538" s="133">
        <v>45740</v>
      </c>
      <c r="B2538" s="110">
        <v>91.6</v>
      </c>
      <c r="C2538" s="110">
        <v>91.32</v>
      </c>
      <c r="D2538" s="110">
        <v>88.26</v>
      </c>
      <c r="E2538" s="110">
        <v>88.89</v>
      </c>
      <c r="F2538" s="110">
        <v>91.32</v>
      </c>
      <c r="G2538">
        <v>3122500</v>
      </c>
      <c r="H2538" s="110"/>
      <c r="I2538" s="110"/>
      <c r="L2538" s="133">
        <v>45740</v>
      </c>
      <c r="M2538" s="110">
        <v>91.32</v>
      </c>
      <c r="N2538" s="110">
        <v>91.6</v>
      </c>
      <c r="O2538" s="110">
        <v>88.2</v>
      </c>
      <c r="P2538" s="110">
        <v>88.5</v>
      </c>
      <c r="Q2538" s="110">
        <v>91.32</v>
      </c>
      <c r="R2538">
        <v>36771697</v>
      </c>
    </row>
    <row r="2539" spans="1:18" x14ac:dyDescent="0.25">
      <c r="A2539" s="133">
        <v>45741</v>
      </c>
      <c r="B2539" s="110">
        <v>92.49</v>
      </c>
      <c r="C2539" s="110">
        <v>88.44</v>
      </c>
      <c r="D2539" s="110">
        <v>88.06</v>
      </c>
      <c r="E2539" s="110">
        <v>92.49</v>
      </c>
      <c r="F2539" s="110">
        <v>88.44</v>
      </c>
      <c r="G2539">
        <v>1811561</v>
      </c>
      <c r="H2539" s="110"/>
      <c r="I2539" s="110"/>
      <c r="L2539" s="133">
        <v>45741</v>
      </c>
      <c r="M2539" s="110">
        <v>88.46</v>
      </c>
      <c r="N2539" s="110">
        <v>92.25</v>
      </c>
      <c r="O2539" s="110">
        <v>88.05</v>
      </c>
      <c r="P2539" s="110">
        <v>92.2</v>
      </c>
      <c r="Q2539" s="110">
        <v>88.46</v>
      </c>
      <c r="R2539">
        <v>23478508</v>
      </c>
    </row>
    <row r="2540" spans="1:18" x14ac:dyDescent="0.25">
      <c r="A2540" s="133">
        <v>45742</v>
      </c>
      <c r="B2540" s="110">
        <v>89.34</v>
      </c>
      <c r="C2540" s="110">
        <v>87.23</v>
      </c>
      <c r="D2540" s="110">
        <v>86.95</v>
      </c>
      <c r="E2540" s="110">
        <v>88.43</v>
      </c>
      <c r="F2540" s="110">
        <v>87.23</v>
      </c>
      <c r="G2540">
        <v>758209</v>
      </c>
      <c r="H2540" s="110"/>
      <c r="I2540" s="110"/>
      <c r="L2540" s="133">
        <v>45742</v>
      </c>
      <c r="M2540" s="110">
        <v>87.24</v>
      </c>
      <c r="N2540" s="110">
        <v>89.32</v>
      </c>
      <c r="O2540" s="110">
        <v>87</v>
      </c>
      <c r="P2540" s="110">
        <v>88.3</v>
      </c>
      <c r="Q2540" s="110">
        <v>87.24</v>
      </c>
      <c r="R2540">
        <v>21455219</v>
      </c>
    </row>
    <row r="2541" spans="1:18" x14ac:dyDescent="0.25">
      <c r="A2541" s="133">
        <v>45743</v>
      </c>
      <c r="B2541" s="110">
        <v>89.98</v>
      </c>
      <c r="C2541" s="110">
        <v>89.66</v>
      </c>
      <c r="D2541" s="110">
        <v>86.87</v>
      </c>
      <c r="E2541" s="110">
        <v>87.23</v>
      </c>
      <c r="F2541" s="110">
        <v>89.66</v>
      </c>
      <c r="G2541">
        <v>820311</v>
      </c>
      <c r="H2541" s="110"/>
      <c r="I2541" s="110"/>
      <c r="L2541" s="133">
        <v>45743</v>
      </c>
      <c r="M2541" s="110">
        <v>89.65</v>
      </c>
      <c r="N2541" s="110">
        <v>90</v>
      </c>
      <c r="O2541" s="110">
        <v>86.8</v>
      </c>
      <c r="P2541" s="110">
        <v>87.1</v>
      </c>
      <c r="Q2541" s="110">
        <v>89.65</v>
      </c>
      <c r="R2541">
        <v>58399584</v>
      </c>
    </row>
    <row r="2542" spans="1:18" x14ac:dyDescent="0.25">
      <c r="A2542" s="133">
        <v>45744</v>
      </c>
      <c r="B2542" s="110">
        <v>91.15</v>
      </c>
      <c r="C2542" s="110">
        <v>89.02</v>
      </c>
      <c r="D2542" s="110">
        <v>88.68</v>
      </c>
      <c r="E2542" s="110">
        <v>89.94</v>
      </c>
      <c r="F2542" s="110">
        <v>89.02</v>
      </c>
      <c r="G2542">
        <v>1990160</v>
      </c>
      <c r="H2542" s="110"/>
      <c r="I2542" s="110"/>
      <c r="L2542" s="133">
        <v>45744</v>
      </c>
      <c r="M2542" s="110">
        <v>89</v>
      </c>
      <c r="N2542" s="110">
        <v>91.18</v>
      </c>
      <c r="O2542" s="110">
        <v>88.66</v>
      </c>
      <c r="P2542" s="110">
        <v>89.65</v>
      </c>
      <c r="Q2542" s="110">
        <v>89</v>
      </c>
      <c r="R2542">
        <v>30188247</v>
      </c>
    </row>
    <row r="2543" spans="1:18" x14ac:dyDescent="0.25">
      <c r="A2543" s="133">
        <v>45748</v>
      </c>
      <c r="B2543" s="110">
        <v>90.71</v>
      </c>
      <c r="C2543" s="110">
        <v>90.01</v>
      </c>
      <c r="D2543" s="110">
        <v>88.2</v>
      </c>
      <c r="E2543" s="110">
        <v>88.5</v>
      </c>
      <c r="F2543" s="110">
        <v>90.01</v>
      </c>
      <c r="G2543">
        <v>1472272</v>
      </c>
      <c r="H2543" s="110"/>
      <c r="I2543" s="110"/>
      <c r="L2543" s="133">
        <v>45748</v>
      </c>
      <c r="M2543" s="110">
        <v>90</v>
      </c>
      <c r="N2543" s="110">
        <v>90.68</v>
      </c>
      <c r="O2543" s="110">
        <v>88.1</v>
      </c>
      <c r="P2543" s="110">
        <v>88.53</v>
      </c>
      <c r="Q2543" s="110">
        <v>90</v>
      </c>
      <c r="R2543">
        <v>14596862</v>
      </c>
    </row>
    <row r="2544" spans="1:18" x14ac:dyDescent="0.25">
      <c r="A2544" s="133">
        <v>45749</v>
      </c>
      <c r="B2544" s="110">
        <v>91.35</v>
      </c>
      <c r="C2544" s="110">
        <v>91.11</v>
      </c>
      <c r="D2544" s="110">
        <v>88.52</v>
      </c>
      <c r="E2544" s="110">
        <v>90.05</v>
      </c>
      <c r="F2544" s="110">
        <v>91.11</v>
      </c>
      <c r="G2544">
        <v>1304997</v>
      </c>
      <c r="H2544" s="110"/>
      <c r="I2544" s="110"/>
      <c r="L2544" s="133">
        <v>45749</v>
      </c>
      <c r="M2544" s="110">
        <v>91.1</v>
      </c>
      <c r="N2544" s="110">
        <v>91.33</v>
      </c>
      <c r="O2544" s="110">
        <v>88.5</v>
      </c>
      <c r="P2544" s="110">
        <v>90.5</v>
      </c>
      <c r="Q2544" s="110">
        <v>91.1</v>
      </c>
      <c r="R2544">
        <v>18479410</v>
      </c>
    </row>
    <row r="2545" spans="1:18" x14ac:dyDescent="0.25">
      <c r="A2545" s="133">
        <v>45750</v>
      </c>
      <c r="B2545" s="110">
        <v>95.19</v>
      </c>
      <c r="C2545" s="110">
        <v>94.35</v>
      </c>
      <c r="D2545" s="110">
        <v>89.36</v>
      </c>
      <c r="E2545" s="110">
        <v>89.36</v>
      </c>
      <c r="F2545" s="110">
        <v>94.35</v>
      </c>
      <c r="G2545">
        <v>3017618</v>
      </c>
      <c r="H2545" s="110"/>
      <c r="I2545" s="110"/>
      <c r="L2545" s="133">
        <v>45750</v>
      </c>
      <c r="M2545" s="110">
        <v>94.38</v>
      </c>
      <c r="N2545" s="110">
        <v>95.19</v>
      </c>
      <c r="O2545" s="110">
        <v>89.75</v>
      </c>
      <c r="P2545" s="110">
        <v>90</v>
      </c>
      <c r="Q2545" s="110">
        <v>94.38</v>
      </c>
      <c r="R2545">
        <v>38514763</v>
      </c>
    </row>
    <row r="2546" spans="1:18" x14ac:dyDescent="0.25">
      <c r="A2546" s="133">
        <v>45751</v>
      </c>
      <c r="B2546" s="110">
        <v>94.86</v>
      </c>
      <c r="C2546" s="110">
        <v>90.41</v>
      </c>
      <c r="D2546" s="110">
        <v>89.75</v>
      </c>
      <c r="E2546" s="110">
        <v>94.5</v>
      </c>
      <c r="F2546" s="110">
        <v>90.41</v>
      </c>
      <c r="G2546">
        <v>1258852</v>
      </c>
      <c r="H2546" s="110"/>
      <c r="I2546" s="110"/>
      <c r="L2546" s="133">
        <v>45751</v>
      </c>
      <c r="M2546" s="110">
        <v>90.39</v>
      </c>
      <c r="N2546" s="110">
        <v>94.8</v>
      </c>
      <c r="O2546" s="110">
        <v>89.7</v>
      </c>
      <c r="P2546" s="110">
        <v>94.41</v>
      </c>
      <c r="Q2546" s="110">
        <v>90.39</v>
      </c>
      <c r="R2546">
        <v>33552098</v>
      </c>
    </row>
    <row r="2547" spans="1:18" x14ac:dyDescent="0.25">
      <c r="A2547" s="133">
        <v>45754</v>
      </c>
      <c r="B2547" s="110">
        <v>87.93</v>
      </c>
      <c r="C2547" s="110">
        <v>87.1</v>
      </c>
      <c r="D2547" s="110">
        <v>83.36</v>
      </c>
      <c r="E2547" s="110">
        <v>83.36</v>
      </c>
      <c r="F2547" s="110">
        <v>87.1</v>
      </c>
      <c r="G2547">
        <v>2336406</v>
      </c>
      <c r="H2547" s="110"/>
      <c r="I2547" s="110"/>
      <c r="L2547" s="133">
        <v>45754</v>
      </c>
      <c r="M2547" s="110">
        <v>87.1</v>
      </c>
      <c r="N2547" s="110">
        <v>87.92</v>
      </c>
      <c r="O2547" s="110">
        <v>83.7</v>
      </c>
      <c r="P2547" s="110">
        <v>83.7</v>
      </c>
      <c r="Q2547" s="110">
        <v>87.1</v>
      </c>
      <c r="R2547">
        <v>29326338</v>
      </c>
    </row>
    <row r="2548" spans="1:18" x14ac:dyDescent="0.25">
      <c r="A2548" s="133">
        <v>45755</v>
      </c>
      <c r="B2548" s="110">
        <v>89.88</v>
      </c>
      <c r="C2548" s="110">
        <v>89.35</v>
      </c>
      <c r="D2548" s="110">
        <v>87.6</v>
      </c>
      <c r="E2548" s="110">
        <v>89</v>
      </c>
      <c r="F2548" s="110">
        <v>89.35</v>
      </c>
      <c r="G2548">
        <v>1227675</v>
      </c>
      <c r="H2548" s="110"/>
      <c r="I2548" s="110"/>
      <c r="L2548" s="133">
        <v>45755</v>
      </c>
      <c r="M2548" s="110">
        <v>89.43</v>
      </c>
      <c r="N2548" s="110">
        <v>89.84</v>
      </c>
      <c r="O2548" s="110">
        <v>87.6</v>
      </c>
      <c r="P2548" s="110">
        <v>89</v>
      </c>
      <c r="Q2548" s="110">
        <v>89.43</v>
      </c>
      <c r="R2548">
        <v>21516232</v>
      </c>
    </row>
    <row r="2549" spans="1:18" x14ac:dyDescent="0.25">
      <c r="A2549" s="133">
        <v>45756</v>
      </c>
      <c r="B2549" s="110">
        <v>89.94</v>
      </c>
      <c r="C2549" s="110">
        <v>88.48</v>
      </c>
      <c r="D2549" s="110">
        <v>87.16</v>
      </c>
      <c r="E2549" s="110">
        <v>89.94</v>
      </c>
      <c r="F2549" s="110">
        <v>88.48</v>
      </c>
      <c r="G2549">
        <v>725941</v>
      </c>
      <c r="H2549" s="110"/>
      <c r="I2549" s="110"/>
      <c r="L2549" s="133">
        <v>45756</v>
      </c>
      <c r="M2549" s="110">
        <v>88.42</v>
      </c>
      <c r="N2549" s="110">
        <v>90.2</v>
      </c>
      <c r="O2549" s="110">
        <v>87.15</v>
      </c>
      <c r="P2549" s="110">
        <v>89.66</v>
      </c>
      <c r="Q2549" s="110">
        <v>88.42</v>
      </c>
      <c r="R2549">
        <v>21829542</v>
      </c>
    </row>
    <row r="2550" spans="1:18" x14ac:dyDescent="0.25">
      <c r="A2550" s="133">
        <v>45758</v>
      </c>
      <c r="B2550" s="110">
        <v>91.4</v>
      </c>
      <c r="C2550" s="110">
        <v>90.45</v>
      </c>
      <c r="D2550" s="110">
        <v>88.82</v>
      </c>
      <c r="E2550" s="110">
        <v>90.49</v>
      </c>
      <c r="F2550" s="110">
        <v>90.45</v>
      </c>
      <c r="G2550">
        <v>1334674</v>
      </c>
      <c r="H2550" s="110"/>
      <c r="I2550" s="110"/>
      <c r="L2550" s="133">
        <v>45758</v>
      </c>
      <c r="M2550" s="110">
        <v>90.54</v>
      </c>
      <c r="N2550" s="110">
        <v>91.4</v>
      </c>
      <c r="O2550" s="110">
        <v>88.86</v>
      </c>
      <c r="P2550" s="110">
        <v>89.95</v>
      </c>
      <c r="Q2550" s="110">
        <v>90.54</v>
      </c>
      <c r="R2550">
        <v>22091340</v>
      </c>
    </row>
    <row r="2551" spans="1:18" x14ac:dyDescent="0.25">
      <c r="A2551" s="133">
        <v>45762</v>
      </c>
      <c r="B2551" s="110">
        <v>92.9</v>
      </c>
      <c r="C2551" s="110">
        <v>92.62</v>
      </c>
      <c r="D2551" s="110">
        <v>91.35</v>
      </c>
      <c r="E2551" s="110">
        <v>92.75</v>
      </c>
      <c r="F2551" s="110">
        <v>92.62</v>
      </c>
      <c r="G2551">
        <v>1042540</v>
      </c>
      <c r="H2551" s="110"/>
      <c r="I2551" s="110"/>
      <c r="L2551" s="133">
        <v>45762</v>
      </c>
      <c r="M2551" s="110">
        <v>92.69</v>
      </c>
      <c r="N2551" s="110">
        <v>92.94</v>
      </c>
      <c r="O2551" s="110">
        <v>91.28</v>
      </c>
      <c r="P2551" s="110">
        <v>92.83</v>
      </c>
      <c r="Q2551" s="110">
        <v>92.69</v>
      </c>
      <c r="R2551">
        <v>31990152</v>
      </c>
    </row>
    <row r="2552" spans="1:18" x14ac:dyDescent="0.25">
      <c r="A2552" s="133">
        <v>45763</v>
      </c>
      <c r="B2552" s="110">
        <v>94.9</v>
      </c>
      <c r="C2552" s="110">
        <v>94.71</v>
      </c>
      <c r="D2552" s="110">
        <v>92.63</v>
      </c>
      <c r="E2552" s="110">
        <v>93.46</v>
      </c>
      <c r="F2552" s="110">
        <v>94.71</v>
      </c>
      <c r="G2552">
        <v>791586</v>
      </c>
      <c r="H2552" s="110"/>
      <c r="I2552" s="110"/>
      <c r="L2552" s="133">
        <v>45763</v>
      </c>
      <c r="M2552" s="110">
        <v>94.7</v>
      </c>
      <c r="N2552" s="110">
        <v>94.94</v>
      </c>
      <c r="O2552" s="110">
        <v>92.5</v>
      </c>
      <c r="P2552" s="110">
        <v>92.97</v>
      </c>
      <c r="Q2552" s="110">
        <v>94.7</v>
      </c>
      <c r="R2552">
        <v>27215945</v>
      </c>
    </row>
    <row r="2553" spans="1:18" x14ac:dyDescent="0.25">
      <c r="A2553" s="133">
        <v>45764</v>
      </c>
      <c r="B2553" s="110">
        <v>96.63</v>
      </c>
      <c r="C2553" s="110">
        <v>96.01</v>
      </c>
      <c r="D2553" s="110">
        <v>94.65</v>
      </c>
      <c r="E2553" s="110">
        <v>94.81</v>
      </c>
      <c r="F2553" s="110">
        <v>96.01</v>
      </c>
      <c r="G2553">
        <v>1711517</v>
      </c>
      <c r="H2553" s="110"/>
      <c r="I2553" s="110"/>
      <c r="L2553" s="133">
        <v>45764</v>
      </c>
      <c r="M2553" s="110">
        <v>96.02</v>
      </c>
      <c r="N2553" s="110">
        <v>96.6</v>
      </c>
      <c r="O2553" s="110">
        <v>94.6</v>
      </c>
      <c r="P2553" s="110">
        <v>94.98</v>
      </c>
      <c r="Q2553" s="110">
        <v>96.02</v>
      </c>
      <c r="R2553">
        <v>31763625</v>
      </c>
    </row>
    <row r="2554" spans="1:18" x14ac:dyDescent="0.25">
      <c r="A2554" s="133">
        <v>45768</v>
      </c>
      <c r="B2554" s="110">
        <v>99.5</v>
      </c>
      <c r="C2554" s="110">
        <v>99</v>
      </c>
      <c r="D2554" s="110">
        <v>96.22</v>
      </c>
      <c r="E2554" s="110">
        <v>96.22</v>
      </c>
      <c r="F2554" s="110">
        <v>99</v>
      </c>
      <c r="G2554">
        <v>1434854</v>
      </c>
      <c r="H2554" s="110"/>
      <c r="I2554" s="110"/>
      <c r="L2554" s="133">
        <v>45768</v>
      </c>
      <c r="M2554" s="110">
        <v>99</v>
      </c>
      <c r="N2554" s="110">
        <v>99.49</v>
      </c>
      <c r="O2554" s="110">
        <v>96.5</v>
      </c>
      <c r="P2554" s="110">
        <v>96.8</v>
      </c>
      <c r="Q2554" s="110">
        <v>99</v>
      </c>
      <c r="R2554">
        <v>27799862</v>
      </c>
    </row>
    <row r="2555" spans="1:18" x14ac:dyDescent="0.25">
      <c r="A2555" s="133">
        <v>45769</v>
      </c>
      <c r="B2555" s="110">
        <v>102.61</v>
      </c>
      <c r="C2555" s="110">
        <v>100.62</v>
      </c>
      <c r="D2555" s="110">
        <v>99.25</v>
      </c>
      <c r="E2555" s="110">
        <v>100.69</v>
      </c>
      <c r="F2555" s="110">
        <v>100.62</v>
      </c>
      <c r="G2555">
        <v>4258000</v>
      </c>
      <c r="H2555" s="110"/>
      <c r="I2555" s="110"/>
      <c r="L2555" s="133">
        <v>45769</v>
      </c>
      <c r="M2555" s="110">
        <v>100.66</v>
      </c>
      <c r="N2555" s="110">
        <v>102.63</v>
      </c>
      <c r="O2555" s="110">
        <v>99.3</v>
      </c>
      <c r="P2555" s="110">
        <v>100.11</v>
      </c>
      <c r="Q2555" s="110">
        <v>100.66</v>
      </c>
      <c r="R2555">
        <v>49276193</v>
      </c>
    </row>
    <row r="2556" spans="1:18" x14ac:dyDescent="0.25">
      <c r="A2556" s="133">
        <v>45770</v>
      </c>
      <c r="B2556" s="110">
        <v>101.69</v>
      </c>
      <c r="C2556" s="110">
        <v>99.44</v>
      </c>
      <c r="D2556" s="110">
        <v>97.62</v>
      </c>
      <c r="E2556" s="110">
        <v>101.69</v>
      </c>
      <c r="F2556" s="110">
        <v>99.44</v>
      </c>
      <c r="G2556">
        <v>1691969</v>
      </c>
      <c r="H2556" s="110"/>
      <c r="I2556" s="110"/>
      <c r="L2556" s="133">
        <v>45770</v>
      </c>
      <c r="M2556" s="110">
        <v>99.45</v>
      </c>
      <c r="N2556" s="110">
        <v>101.3</v>
      </c>
      <c r="O2556" s="110">
        <v>97.54</v>
      </c>
      <c r="P2556" s="110">
        <v>101.15</v>
      </c>
      <c r="Q2556" s="110">
        <v>99.45</v>
      </c>
      <c r="R2556">
        <v>41477808</v>
      </c>
    </row>
    <row r="2557" spans="1:18" x14ac:dyDescent="0.25">
      <c r="A2557" s="133">
        <v>45771</v>
      </c>
      <c r="B2557" s="110">
        <v>100.36</v>
      </c>
      <c r="C2557" s="110">
        <v>99.39</v>
      </c>
      <c r="D2557" s="110">
        <v>99.04</v>
      </c>
      <c r="E2557" s="110">
        <v>99.04</v>
      </c>
      <c r="F2557" s="110">
        <v>99.39</v>
      </c>
      <c r="G2557">
        <v>681069</v>
      </c>
      <c r="H2557" s="110"/>
      <c r="I2557" s="110"/>
      <c r="L2557" s="133">
        <v>45771</v>
      </c>
      <c r="M2557" s="110">
        <v>99.39</v>
      </c>
      <c r="N2557" s="110">
        <v>100.3</v>
      </c>
      <c r="O2557" s="110">
        <v>99</v>
      </c>
      <c r="P2557" s="110">
        <v>99.5</v>
      </c>
      <c r="Q2557" s="110">
        <v>99.39</v>
      </c>
      <c r="R2557">
        <v>27747894</v>
      </c>
    </row>
    <row r="2558" spans="1:18" x14ac:dyDescent="0.25">
      <c r="A2558" s="133">
        <v>45772</v>
      </c>
      <c r="B2558" s="110">
        <v>99.61</v>
      </c>
      <c r="C2558" s="110">
        <v>96.47</v>
      </c>
      <c r="D2558" s="110">
        <v>96.01</v>
      </c>
      <c r="E2558" s="110">
        <v>99.3</v>
      </c>
      <c r="F2558" s="110">
        <v>96.47</v>
      </c>
      <c r="G2558">
        <v>2231929</v>
      </c>
      <c r="H2558" s="110"/>
      <c r="I2558" s="110"/>
      <c r="L2558" s="133">
        <v>45772</v>
      </c>
      <c r="M2558" s="110">
        <v>96.53</v>
      </c>
      <c r="N2558" s="110">
        <v>99.71</v>
      </c>
      <c r="O2558" s="110">
        <v>96.02</v>
      </c>
      <c r="P2558" s="110">
        <v>99.4</v>
      </c>
      <c r="Q2558" s="110">
        <v>96.53</v>
      </c>
      <c r="R2558">
        <v>41413435</v>
      </c>
    </row>
    <row r="2559" spans="1:18" x14ac:dyDescent="0.25">
      <c r="A2559" s="133">
        <v>45775</v>
      </c>
      <c r="B2559" s="110">
        <v>98.98</v>
      </c>
      <c r="C2559" s="110">
        <v>98.42</v>
      </c>
      <c r="D2559" s="110">
        <v>95.95</v>
      </c>
      <c r="E2559" s="110">
        <v>96.15</v>
      </c>
      <c r="F2559" s="110">
        <v>98.42</v>
      </c>
      <c r="G2559">
        <v>19265561</v>
      </c>
      <c r="H2559" s="110"/>
      <c r="I2559" s="110"/>
      <c r="L2559" s="133">
        <v>45775</v>
      </c>
      <c r="M2559" s="110">
        <v>98.45</v>
      </c>
      <c r="N2559" s="110">
        <v>99</v>
      </c>
      <c r="O2559" s="110">
        <v>95.87</v>
      </c>
      <c r="P2559" s="110">
        <v>96.26</v>
      </c>
      <c r="Q2559" s="110">
        <v>98.45</v>
      </c>
      <c r="R2559">
        <v>28301422</v>
      </c>
    </row>
    <row r="2560" spans="1:18" x14ac:dyDescent="0.25">
      <c r="A2560" s="133">
        <v>45776</v>
      </c>
      <c r="B2560" s="110">
        <v>101.38</v>
      </c>
      <c r="C2560" s="110">
        <v>99.42</v>
      </c>
      <c r="D2560" s="110">
        <v>98.85</v>
      </c>
      <c r="E2560" s="110">
        <v>99.22</v>
      </c>
      <c r="F2560" s="110">
        <v>99.42</v>
      </c>
      <c r="G2560">
        <v>1349332</v>
      </c>
      <c r="H2560" s="110"/>
      <c r="I2560" s="110"/>
      <c r="L2560" s="133">
        <v>45776</v>
      </c>
      <c r="M2560" s="110">
        <v>99.33</v>
      </c>
      <c r="N2560" s="110">
        <v>101.39</v>
      </c>
      <c r="O2560" s="110">
        <v>98.8</v>
      </c>
      <c r="P2560" s="110">
        <v>99.25</v>
      </c>
      <c r="Q2560" s="110">
        <v>99.33</v>
      </c>
      <c r="R2560">
        <v>47026479</v>
      </c>
    </row>
    <row r="2561" spans="1:18" x14ac:dyDescent="0.25">
      <c r="A2561" s="133">
        <v>45777</v>
      </c>
      <c r="B2561" s="110">
        <v>98.95</v>
      </c>
      <c r="C2561" s="110">
        <v>97.42</v>
      </c>
      <c r="D2561" s="110">
        <v>97</v>
      </c>
      <c r="E2561" s="110">
        <v>98.66</v>
      </c>
      <c r="F2561" s="110">
        <v>97.42</v>
      </c>
      <c r="G2561">
        <v>1521257</v>
      </c>
      <c r="H2561" s="110"/>
      <c r="I2561" s="110"/>
      <c r="L2561" s="133">
        <v>45777</v>
      </c>
      <c r="M2561" s="110">
        <v>97.45</v>
      </c>
      <c r="N2561" s="110">
        <v>99</v>
      </c>
      <c r="O2561" s="110">
        <v>96.95</v>
      </c>
      <c r="P2561" s="110">
        <v>99</v>
      </c>
      <c r="Q2561" s="110">
        <v>97.45</v>
      </c>
      <c r="R2561">
        <v>23757351</v>
      </c>
    </row>
    <row r="2562" spans="1:18" x14ac:dyDescent="0.25">
      <c r="A2562" s="133">
        <v>45779</v>
      </c>
      <c r="B2562" s="110">
        <v>98.97</v>
      </c>
      <c r="C2562" s="110">
        <v>96.81</v>
      </c>
      <c r="D2562" s="110">
        <v>96.42</v>
      </c>
      <c r="E2562" s="110">
        <v>97.94</v>
      </c>
      <c r="F2562" s="110">
        <v>96.81</v>
      </c>
      <c r="G2562">
        <v>609341</v>
      </c>
      <c r="H2562" s="110"/>
      <c r="I2562" s="110"/>
      <c r="L2562" s="133">
        <v>45779</v>
      </c>
      <c r="M2562" s="110">
        <v>96.85</v>
      </c>
      <c r="N2562" s="110">
        <v>98.97</v>
      </c>
      <c r="O2562" s="110">
        <v>96.45</v>
      </c>
      <c r="P2562" s="110">
        <v>97.5</v>
      </c>
      <c r="Q2562" s="110">
        <v>96.85</v>
      </c>
      <c r="R2562">
        <v>15228120</v>
      </c>
    </row>
    <row r="2563" spans="1:18" x14ac:dyDescent="0.25">
      <c r="A2563" s="133">
        <v>45782</v>
      </c>
      <c r="B2563" s="110">
        <v>97.84</v>
      </c>
      <c r="C2563" s="110">
        <v>97.14</v>
      </c>
      <c r="D2563" s="110">
        <v>96.69</v>
      </c>
      <c r="E2563" s="110">
        <v>97.39</v>
      </c>
      <c r="F2563" s="110">
        <v>97.14</v>
      </c>
      <c r="G2563">
        <v>492692</v>
      </c>
      <c r="H2563" s="110"/>
      <c r="I2563" s="110"/>
      <c r="L2563" s="133">
        <v>45782</v>
      </c>
      <c r="M2563" s="110">
        <v>97.16</v>
      </c>
      <c r="N2563" s="110">
        <v>97.74</v>
      </c>
      <c r="O2563" s="110">
        <v>96.65</v>
      </c>
      <c r="P2563" s="110">
        <v>97</v>
      </c>
      <c r="Q2563" s="110">
        <v>97.16</v>
      </c>
      <c r="R2563">
        <v>13789187</v>
      </c>
    </row>
    <row r="2564" spans="1:18" x14ac:dyDescent="0.25">
      <c r="A2564" s="133">
        <v>45783</v>
      </c>
      <c r="B2564" s="110">
        <v>97.85</v>
      </c>
      <c r="C2564" s="110">
        <v>92.33</v>
      </c>
      <c r="D2564" s="110">
        <v>91.95</v>
      </c>
      <c r="E2564" s="110">
        <v>97.24</v>
      </c>
      <c r="F2564" s="110">
        <v>92.33</v>
      </c>
      <c r="G2564">
        <v>934860</v>
      </c>
      <c r="H2564" s="110"/>
      <c r="I2564" s="110"/>
      <c r="L2564" s="133">
        <v>45783</v>
      </c>
      <c r="M2564" s="110">
        <v>92.38</v>
      </c>
      <c r="N2564" s="110">
        <v>97.94</v>
      </c>
      <c r="O2564" s="110">
        <v>91.89</v>
      </c>
      <c r="P2564" s="110">
        <v>97.5</v>
      </c>
      <c r="Q2564" s="110">
        <v>92.38</v>
      </c>
      <c r="R2564">
        <v>27373024</v>
      </c>
    </row>
    <row r="2565" spans="1:18" x14ac:dyDescent="0.25">
      <c r="A2565" s="133">
        <v>45784</v>
      </c>
      <c r="B2565" s="110">
        <v>94.33</v>
      </c>
      <c r="C2565" s="110">
        <v>93.66</v>
      </c>
      <c r="D2565" s="110">
        <v>90.06</v>
      </c>
      <c r="E2565" s="110">
        <v>90.06</v>
      </c>
      <c r="F2565" s="110">
        <v>93.66</v>
      </c>
      <c r="G2565">
        <v>629297</v>
      </c>
      <c r="H2565" s="110"/>
      <c r="I2565" s="110"/>
      <c r="L2565" s="133">
        <v>45784</v>
      </c>
      <c r="M2565" s="110">
        <v>93.67</v>
      </c>
      <c r="N2565" s="110">
        <v>94.33</v>
      </c>
      <c r="O2565" s="110">
        <v>90.95</v>
      </c>
      <c r="P2565" s="110">
        <v>91</v>
      </c>
      <c r="Q2565" s="110">
        <v>93.67</v>
      </c>
      <c r="R2565">
        <v>25192657</v>
      </c>
    </row>
    <row r="2566" spans="1:18" x14ac:dyDescent="0.25">
      <c r="A2566" s="133">
        <v>45785</v>
      </c>
      <c r="B2566" s="110">
        <v>98.21</v>
      </c>
      <c r="C2566" s="110">
        <v>95.38</v>
      </c>
      <c r="D2566" s="110">
        <v>92.97</v>
      </c>
      <c r="E2566" s="110">
        <v>94.3</v>
      </c>
      <c r="F2566" s="110">
        <v>95.38</v>
      </c>
      <c r="G2566">
        <v>2805111</v>
      </c>
      <c r="H2566" s="110"/>
      <c r="I2566" s="110"/>
      <c r="L2566" s="133">
        <v>45785</v>
      </c>
      <c r="M2566" s="110">
        <v>95.37</v>
      </c>
      <c r="N2566" s="110">
        <v>98.17</v>
      </c>
      <c r="O2566" s="110">
        <v>92.93</v>
      </c>
      <c r="P2566" s="110">
        <v>94.39</v>
      </c>
      <c r="Q2566" s="110">
        <v>95.37</v>
      </c>
      <c r="R2566">
        <v>78481304</v>
      </c>
    </row>
    <row r="2567" spans="1:18" x14ac:dyDescent="0.25">
      <c r="A2567" s="133">
        <v>45786</v>
      </c>
      <c r="B2567" s="110">
        <v>98.4</v>
      </c>
      <c r="C2567" s="110">
        <v>97.65</v>
      </c>
      <c r="D2567" s="110">
        <v>93.66</v>
      </c>
      <c r="E2567" s="110">
        <v>93.66</v>
      </c>
      <c r="F2567" s="110">
        <v>97.65</v>
      </c>
      <c r="G2567">
        <v>4366817</v>
      </c>
      <c r="H2567" s="110"/>
      <c r="I2567" s="110"/>
      <c r="L2567" s="133">
        <v>45786</v>
      </c>
      <c r="M2567" s="110">
        <v>97.64</v>
      </c>
      <c r="N2567" s="110">
        <v>98.44</v>
      </c>
      <c r="O2567" s="110">
        <v>93.87</v>
      </c>
      <c r="P2567" s="110">
        <v>94.01</v>
      </c>
      <c r="Q2567" s="110">
        <v>97.64</v>
      </c>
      <c r="R2567">
        <v>41029403</v>
      </c>
    </row>
    <row r="2568" spans="1:18" x14ac:dyDescent="0.25">
      <c r="A2568" s="133">
        <v>45789</v>
      </c>
      <c r="B2568" s="110">
        <v>101.42</v>
      </c>
      <c r="C2568" s="110">
        <v>100.81</v>
      </c>
      <c r="D2568" s="110">
        <v>99.83</v>
      </c>
      <c r="E2568" s="110">
        <v>100.01</v>
      </c>
      <c r="F2568" s="110">
        <v>100.81</v>
      </c>
      <c r="G2568">
        <v>4326186</v>
      </c>
      <c r="H2568" s="110"/>
      <c r="I2568" s="110"/>
      <c r="L2568" s="133">
        <v>45789</v>
      </c>
      <c r="M2568" s="110">
        <v>100.86</v>
      </c>
      <c r="N2568" s="110">
        <v>101.45</v>
      </c>
      <c r="O2568" s="110">
        <v>99.85</v>
      </c>
      <c r="P2568" s="110">
        <v>100.5</v>
      </c>
      <c r="Q2568" s="110">
        <v>100.86</v>
      </c>
      <c r="R2568">
        <v>49391352</v>
      </c>
    </row>
    <row r="2569" spans="1:18" x14ac:dyDescent="0.25">
      <c r="A2569" s="133">
        <v>45790</v>
      </c>
      <c r="B2569" s="110">
        <v>105.55</v>
      </c>
      <c r="C2569" s="110">
        <v>104.77</v>
      </c>
      <c r="D2569" s="110">
        <v>100.86</v>
      </c>
      <c r="E2569" s="110">
        <v>101.23</v>
      </c>
      <c r="F2569" s="110">
        <v>104.77</v>
      </c>
      <c r="G2569">
        <v>2450156</v>
      </c>
      <c r="H2569" s="110"/>
      <c r="I2569" s="110"/>
      <c r="L2569" s="133">
        <v>45790</v>
      </c>
      <c r="M2569" s="110">
        <v>104.78</v>
      </c>
      <c r="N2569" s="110">
        <v>105.57</v>
      </c>
      <c r="O2569" s="110">
        <v>100.82</v>
      </c>
      <c r="P2569" s="110">
        <v>101.2</v>
      </c>
      <c r="Q2569" s="110">
        <v>104.78</v>
      </c>
      <c r="R2569">
        <v>59518073</v>
      </c>
    </row>
    <row r="2570" spans="1:18" x14ac:dyDescent="0.25">
      <c r="A2570" s="133">
        <v>45791</v>
      </c>
      <c r="B2570" s="110">
        <v>106.52</v>
      </c>
      <c r="C2570" s="110">
        <v>105.82</v>
      </c>
      <c r="D2570" s="110">
        <v>104.56</v>
      </c>
      <c r="E2570" s="110">
        <v>106.2</v>
      </c>
      <c r="F2570" s="110">
        <v>105.82</v>
      </c>
      <c r="G2570">
        <v>1363055</v>
      </c>
      <c r="H2570" s="110"/>
      <c r="I2570" s="110"/>
      <c r="L2570" s="133">
        <v>45791</v>
      </c>
      <c r="M2570" s="110">
        <v>105.67</v>
      </c>
      <c r="N2570" s="110">
        <v>106.57</v>
      </c>
      <c r="O2570" s="110">
        <v>104.54</v>
      </c>
      <c r="P2570" s="110">
        <v>105.6</v>
      </c>
      <c r="Q2570" s="110">
        <v>105.67</v>
      </c>
      <c r="R2570">
        <v>46744208</v>
      </c>
    </row>
    <row r="2571" spans="1:18" x14ac:dyDescent="0.25">
      <c r="A2571" s="133">
        <v>45792</v>
      </c>
      <c r="B2571" s="110">
        <v>106.29</v>
      </c>
      <c r="C2571" s="110">
        <v>105.14</v>
      </c>
      <c r="D2571" s="110">
        <v>104.43</v>
      </c>
      <c r="E2571" s="110">
        <v>106.29</v>
      </c>
      <c r="F2571" s="110">
        <v>105.14</v>
      </c>
      <c r="G2571">
        <v>2002333</v>
      </c>
      <c r="H2571" s="110"/>
      <c r="I2571" s="110"/>
      <c r="L2571" s="133">
        <v>45792</v>
      </c>
      <c r="M2571" s="110">
        <v>105.16</v>
      </c>
      <c r="N2571" s="110">
        <v>106.25</v>
      </c>
      <c r="O2571" s="110">
        <v>104.42</v>
      </c>
      <c r="P2571" s="110">
        <v>106.1</v>
      </c>
      <c r="Q2571" s="110">
        <v>105.16</v>
      </c>
      <c r="R2571">
        <v>22577353</v>
      </c>
    </row>
    <row r="2572" spans="1:18" x14ac:dyDescent="0.25">
      <c r="A2572" s="133">
        <v>45793</v>
      </c>
      <c r="B2572" s="110">
        <v>108.58</v>
      </c>
      <c r="C2572" s="110">
        <v>107.75</v>
      </c>
      <c r="D2572" s="110">
        <v>105.24</v>
      </c>
      <c r="E2572" s="110">
        <v>105.24</v>
      </c>
      <c r="F2572" s="110">
        <v>107.75</v>
      </c>
      <c r="G2572">
        <v>1494377</v>
      </c>
      <c r="H2572" s="110"/>
      <c r="I2572" s="110"/>
      <c r="L2572" s="133">
        <v>45793</v>
      </c>
      <c r="M2572" s="110">
        <v>107.76</v>
      </c>
      <c r="N2572" s="110">
        <v>108.59</v>
      </c>
      <c r="O2572" s="110">
        <v>105.5</v>
      </c>
      <c r="P2572" s="110">
        <v>105.5</v>
      </c>
      <c r="Q2572" s="110">
        <v>107.76</v>
      </c>
      <c r="R2572">
        <v>33164805</v>
      </c>
    </row>
    <row r="2573" spans="1:18" x14ac:dyDescent="0.25">
      <c r="A2573" s="133">
        <v>45796</v>
      </c>
      <c r="B2573" s="110">
        <v>109.5</v>
      </c>
      <c r="C2573" s="110">
        <v>107.98</v>
      </c>
      <c r="D2573" s="110">
        <v>107.76</v>
      </c>
      <c r="E2573" s="110">
        <v>108.58</v>
      </c>
      <c r="F2573" s="110">
        <v>107.98</v>
      </c>
      <c r="G2573">
        <v>965746</v>
      </c>
      <c r="H2573" s="110"/>
      <c r="I2573" s="110"/>
      <c r="L2573" s="133">
        <v>45796</v>
      </c>
      <c r="M2573" s="110">
        <v>107.96</v>
      </c>
      <c r="N2573" s="110">
        <v>109.5</v>
      </c>
      <c r="O2573" s="110">
        <v>107.76</v>
      </c>
      <c r="P2573" s="110">
        <v>108.7</v>
      </c>
      <c r="Q2573" s="110">
        <v>107.96</v>
      </c>
      <c r="R2573">
        <v>26144154</v>
      </c>
    </row>
    <row r="2574" spans="1:18" x14ac:dyDescent="0.25">
      <c r="A2574" s="133">
        <v>45797</v>
      </c>
      <c r="B2574" s="110">
        <v>109.13</v>
      </c>
      <c r="C2574" s="110">
        <v>107.04</v>
      </c>
      <c r="D2574" s="110">
        <v>106.6</v>
      </c>
      <c r="E2574" s="110">
        <v>108.14</v>
      </c>
      <c r="F2574" s="110">
        <v>107.04</v>
      </c>
      <c r="G2574">
        <v>1996453</v>
      </c>
      <c r="H2574" s="110"/>
      <c r="I2574" s="110"/>
      <c r="L2574" s="133">
        <v>45797</v>
      </c>
      <c r="M2574" s="110">
        <v>107.04</v>
      </c>
      <c r="N2574" s="110">
        <v>109.05</v>
      </c>
      <c r="O2574" s="110">
        <v>106.57</v>
      </c>
      <c r="P2574" s="110">
        <v>108.88</v>
      </c>
      <c r="Q2574" s="110">
        <v>107.04</v>
      </c>
      <c r="R2574">
        <v>24579486</v>
      </c>
    </row>
    <row r="2575" spans="1:18" x14ac:dyDescent="0.25">
      <c r="A2575" s="133">
        <v>45798</v>
      </c>
      <c r="B2575" s="110">
        <v>107.99</v>
      </c>
      <c r="C2575" s="110">
        <v>107.83</v>
      </c>
      <c r="D2575" s="110">
        <v>106</v>
      </c>
      <c r="E2575" s="110">
        <v>106.63</v>
      </c>
      <c r="F2575" s="110">
        <v>107.83</v>
      </c>
      <c r="G2575">
        <v>3070173</v>
      </c>
      <c r="H2575" s="110"/>
      <c r="I2575" s="110"/>
      <c r="L2575" s="133">
        <v>45798</v>
      </c>
      <c r="M2575" s="110">
        <v>107.84</v>
      </c>
      <c r="N2575" s="110">
        <v>108</v>
      </c>
      <c r="O2575" s="110">
        <v>106.01</v>
      </c>
      <c r="P2575" s="110">
        <v>107</v>
      </c>
      <c r="Q2575" s="110">
        <v>107.84</v>
      </c>
      <c r="R2575">
        <v>20965817</v>
      </c>
    </row>
    <row r="2576" spans="1:18" x14ac:dyDescent="0.25">
      <c r="A2576" s="133">
        <v>45799</v>
      </c>
      <c r="B2576" s="110">
        <v>108.46</v>
      </c>
      <c r="C2576" s="110">
        <v>106.86</v>
      </c>
      <c r="D2576" s="110">
        <v>105.81</v>
      </c>
      <c r="E2576" s="110">
        <v>107.5</v>
      </c>
      <c r="F2576" s="110">
        <v>106.86</v>
      </c>
      <c r="G2576">
        <v>710008</v>
      </c>
      <c r="H2576" s="110"/>
      <c r="I2576" s="110"/>
      <c r="L2576" s="133">
        <v>45799</v>
      </c>
      <c r="M2576" s="110">
        <v>106.84</v>
      </c>
      <c r="N2576" s="110">
        <v>108.48</v>
      </c>
      <c r="O2576" s="110">
        <v>105.82</v>
      </c>
      <c r="P2576" s="110">
        <v>107.5</v>
      </c>
      <c r="Q2576" s="110">
        <v>106.84</v>
      </c>
      <c r="R2576">
        <v>18266891</v>
      </c>
    </row>
    <row r="2577" spans="1:18" x14ac:dyDescent="0.25">
      <c r="A2577" s="133">
        <v>45800</v>
      </c>
      <c r="B2577" s="110">
        <v>107.92</v>
      </c>
      <c r="C2577" s="110">
        <v>107.24</v>
      </c>
      <c r="D2577" s="110">
        <v>106.4</v>
      </c>
      <c r="E2577" s="110">
        <v>106.95</v>
      </c>
      <c r="F2577" s="110">
        <v>107.24</v>
      </c>
      <c r="G2577">
        <v>1246895</v>
      </c>
      <c r="H2577" s="110"/>
      <c r="I2577" s="110"/>
      <c r="L2577" s="133">
        <v>45800</v>
      </c>
      <c r="M2577" s="110">
        <v>107.21</v>
      </c>
      <c r="N2577" s="110">
        <v>107.99</v>
      </c>
      <c r="O2577" s="110">
        <v>106.41</v>
      </c>
      <c r="P2577" s="110">
        <v>107.15</v>
      </c>
      <c r="Q2577" s="110">
        <v>107.21</v>
      </c>
      <c r="R2577">
        <v>16155459</v>
      </c>
    </row>
    <row r="2578" spans="1:18" x14ac:dyDescent="0.25">
      <c r="A2578" s="133">
        <v>45803</v>
      </c>
      <c r="B2578" s="110">
        <v>108.19</v>
      </c>
      <c r="C2578" s="110">
        <v>107.45</v>
      </c>
      <c r="D2578" s="110">
        <v>106.65</v>
      </c>
      <c r="E2578" s="110">
        <v>107.24</v>
      </c>
      <c r="F2578" s="110">
        <v>107.45</v>
      </c>
      <c r="G2578">
        <v>1049225</v>
      </c>
      <c r="H2578" s="110"/>
      <c r="I2578" s="110"/>
      <c r="L2578" s="133">
        <v>45803</v>
      </c>
      <c r="M2578" s="110">
        <v>107.48</v>
      </c>
      <c r="N2578" s="110">
        <v>108.19</v>
      </c>
      <c r="O2578" s="110">
        <v>106.61</v>
      </c>
      <c r="P2578" s="110">
        <v>107.4</v>
      </c>
      <c r="Q2578" s="110">
        <v>107.48</v>
      </c>
      <c r="R2578">
        <v>17383646</v>
      </c>
    </row>
    <row r="2579" spans="1:18" x14ac:dyDescent="0.25">
      <c r="A2579" s="133">
        <v>45804</v>
      </c>
      <c r="B2579" s="110">
        <v>108.59</v>
      </c>
      <c r="C2579" s="110">
        <v>108.44</v>
      </c>
      <c r="D2579" s="110">
        <v>106.6</v>
      </c>
      <c r="E2579" s="110">
        <v>107.88</v>
      </c>
      <c r="F2579" s="110">
        <v>108.44</v>
      </c>
      <c r="G2579">
        <v>1230606</v>
      </c>
      <c r="H2579" s="110"/>
      <c r="I2579" s="110"/>
      <c r="L2579" s="133">
        <v>45804</v>
      </c>
      <c r="M2579" s="110">
        <v>108.43</v>
      </c>
      <c r="N2579" s="110">
        <v>108.59</v>
      </c>
      <c r="O2579" s="110">
        <v>106.6</v>
      </c>
      <c r="P2579" s="110">
        <v>107.38</v>
      </c>
      <c r="Q2579" s="110">
        <v>108.43</v>
      </c>
      <c r="R2579">
        <v>19199151</v>
      </c>
    </row>
    <row r="2580" spans="1:18" x14ac:dyDescent="0.25">
      <c r="A2580" s="133">
        <v>45805</v>
      </c>
      <c r="B2580" s="110">
        <v>111.19</v>
      </c>
      <c r="C2580" s="110">
        <v>110.88</v>
      </c>
      <c r="D2580" s="110">
        <v>108.26</v>
      </c>
      <c r="E2580" s="110">
        <v>108.26</v>
      </c>
      <c r="F2580" s="110">
        <v>110.88</v>
      </c>
      <c r="G2580">
        <v>2482914</v>
      </c>
      <c r="H2580" s="110"/>
      <c r="I2580" s="110"/>
      <c r="L2580" s="133">
        <v>45805</v>
      </c>
      <c r="M2580" s="110">
        <v>110.94</v>
      </c>
      <c r="N2580" s="110">
        <v>111.48</v>
      </c>
      <c r="O2580" s="110">
        <v>108.48</v>
      </c>
      <c r="P2580" s="110">
        <v>108.52</v>
      </c>
      <c r="Q2580" s="110">
        <v>110.94</v>
      </c>
      <c r="R2580">
        <v>29822557</v>
      </c>
    </row>
    <row r="2581" spans="1:18" x14ac:dyDescent="0.25">
      <c r="A2581" s="133">
        <v>45806</v>
      </c>
      <c r="B2581" s="110">
        <v>112</v>
      </c>
      <c r="C2581" s="110">
        <v>110.81</v>
      </c>
      <c r="D2581" s="110">
        <v>109.94</v>
      </c>
      <c r="E2581" s="110">
        <v>112</v>
      </c>
      <c r="F2581" s="110">
        <v>110.81</v>
      </c>
      <c r="G2581">
        <v>887706</v>
      </c>
      <c r="H2581" s="110"/>
      <c r="I2581" s="110"/>
      <c r="L2581" s="133">
        <v>45806</v>
      </c>
      <c r="M2581" s="110">
        <v>110.73</v>
      </c>
      <c r="N2581" s="110">
        <v>112.01</v>
      </c>
      <c r="O2581" s="110">
        <v>109.92</v>
      </c>
      <c r="P2581" s="110">
        <v>111.9</v>
      </c>
      <c r="Q2581" s="110">
        <v>110.73</v>
      </c>
      <c r="R2581">
        <v>29174369</v>
      </c>
    </row>
    <row r="2582" spans="1:18" x14ac:dyDescent="0.25">
      <c r="A2582" s="133">
        <v>45807</v>
      </c>
      <c r="B2582" s="110">
        <v>115.3</v>
      </c>
      <c r="C2582" s="110">
        <v>114.82</v>
      </c>
      <c r="D2582" s="110">
        <v>109.3</v>
      </c>
      <c r="E2582" s="110">
        <v>111.01</v>
      </c>
      <c r="F2582" s="110">
        <v>114.82</v>
      </c>
      <c r="G2582">
        <v>4379397</v>
      </c>
      <c r="H2582" s="110"/>
      <c r="I2582" s="110"/>
      <c r="L2582" s="133">
        <v>45807</v>
      </c>
      <c r="M2582" s="110">
        <v>114.76</v>
      </c>
      <c r="N2582" s="110">
        <v>115.32</v>
      </c>
      <c r="O2582" s="110">
        <v>109.3</v>
      </c>
      <c r="P2582" s="110">
        <v>111.12</v>
      </c>
      <c r="Q2582" s="110">
        <v>114.76</v>
      </c>
      <c r="R2582">
        <v>70759040</v>
      </c>
    </row>
    <row r="2583" spans="1:18" x14ac:dyDescent="0.25">
      <c r="A2583" s="133">
        <v>45810</v>
      </c>
      <c r="B2583" s="110">
        <v>117.35</v>
      </c>
      <c r="C2583" s="110">
        <v>116.85</v>
      </c>
      <c r="D2583" s="110">
        <v>114.25</v>
      </c>
      <c r="E2583" s="110">
        <v>114.85</v>
      </c>
      <c r="F2583" s="110">
        <v>116.85</v>
      </c>
      <c r="G2583">
        <v>3708187</v>
      </c>
      <c r="H2583" s="110"/>
      <c r="I2583" s="110"/>
      <c r="L2583" s="133">
        <v>45810</v>
      </c>
      <c r="M2583" s="110">
        <v>116.84</v>
      </c>
      <c r="N2583" s="110">
        <v>117.4</v>
      </c>
      <c r="O2583" s="110">
        <v>114.3</v>
      </c>
      <c r="P2583" s="110">
        <v>114.76</v>
      </c>
      <c r="Q2583" s="110">
        <v>116.84</v>
      </c>
      <c r="R2583">
        <v>47869167</v>
      </c>
    </row>
    <row r="2584" spans="1:18" x14ac:dyDescent="0.25">
      <c r="A2584" s="133">
        <v>45811</v>
      </c>
      <c r="B2584" s="110">
        <v>117.9</v>
      </c>
      <c r="C2584" s="110">
        <v>115.85</v>
      </c>
      <c r="D2584" s="110">
        <v>114.9</v>
      </c>
      <c r="E2584" s="110">
        <v>117.55</v>
      </c>
      <c r="F2584" s="110">
        <v>115.85</v>
      </c>
      <c r="G2584">
        <v>2539896</v>
      </c>
      <c r="H2584" s="110"/>
      <c r="I2584" s="110"/>
      <c r="L2584" s="133">
        <v>45811</v>
      </c>
      <c r="M2584" s="110">
        <v>115.91</v>
      </c>
      <c r="N2584" s="110">
        <v>117.99</v>
      </c>
      <c r="O2584" s="110">
        <v>114.93</v>
      </c>
      <c r="P2584" s="110">
        <v>117.99</v>
      </c>
      <c r="Q2584" s="110">
        <v>115.91</v>
      </c>
      <c r="R2584">
        <v>29821086</v>
      </c>
    </row>
    <row r="2585" spans="1:18" x14ac:dyDescent="0.25">
      <c r="A2585" s="133">
        <v>45812</v>
      </c>
      <c r="B2585" s="110">
        <v>117.75</v>
      </c>
      <c r="C2585" s="110">
        <v>117.3</v>
      </c>
      <c r="D2585" s="110">
        <v>114.85</v>
      </c>
      <c r="E2585" s="110">
        <v>116.05</v>
      </c>
      <c r="F2585" s="110">
        <v>117.3</v>
      </c>
      <c r="G2585">
        <v>869831</v>
      </c>
      <c r="H2585" s="110"/>
      <c r="I2585" s="110"/>
      <c r="L2585" s="133">
        <v>45812</v>
      </c>
      <c r="M2585" s="110">
        <v>117.32</v>
      </c>
      <c r="N2585" s="110">
        <v>117.74</v>
      </c>
      <c r="O2585" s="110">
        <v>114.83</v>
      </c>
      <c r="P2585" s="110">
        <v>116.25</v>
      </c>
      <c r="Q2585" s="110">
        <v>117.32</v>
      </c>
      <c r="R2585">
        <v>20540175</v>
      </c>
    </row>
    <row r="2586" spans="1:18" x14ac:dyDescent="0.25">
      <c r="A2586" s="133">
        <v>45813</v>
      </c>
      <c r="B2586" s="110">
        <v>117.65</v>
      </c>
      <c r="C2586" s="110">
        <v>116.4</v>
      </c>
      <c r="D2586" s="110">
        <v>116.1</v>
      </c>
      <c r="E2586" s="110">
        <v>117.45</v>
      </c>
      <c r="F2586" s="110">
        <v>116.4</v>
      </c>
      <c r="G2586">
        <v>626332</v>
      </c>
      <c r="H2586" s="110"/>
      <c r="I2586" s="110"/>
      <c r="L2586" s="133">
        <v>45813</v>
      </c>
      <c r="M2586" s="110">
        <v>116.38</v>
      </c>
      <c r="N2586" s="110">
        <v>117.65</v>
      </c>
      <c r="O2586" s="110">
        <v>116.05</v>
      </c>
      <c r="P2586" s="110">
        <v>117</v>
      </c>
      <c r="Q2586" s="110">
        <v>116.38</v>
      </c>
      <c r="R2586">
        <v>13566631</v>
      </c>
    </row>
    <row r="2587" spans="1:18" x14ac:dyDescent="0.25">
      <c r="A2587" s="133">
        <v>45814</v>
      </c>
      <c r="B2587" s="110">
        <v>118.05</v>
      </c>
      <c r="C2587" s="110">
        <v>115.7</v>
      </c>
      <c r="D2587" s="110">
        <v>114.1</v>
      </c>
      <c r="E2587" s="110">
        <v>116.7</v>
      </c>
      <c r="F2587" s="110">
        <v>115.7</v>
      </c>
      <c r="G2587">
        <v>3655183</v>
      </c>
      <c r="H2587" s="110"/>
      <c r="I2587" s="110"/>
      <c r="L2587" s="133">
        <v>45814</v>
      </c>
      <c r="M2587" s="110">
        <v>115.71</v>
      </c>
      <c r="N2587" s="110">
        <v>118.1</v>
      </c>
      <c r="O2587" s="110">
        <v>114.05</v>
      </c>
      <c r="P2587" s="110">
        <v>116.88</v>
      </c>
      <c r="Q2587" s="110">
        <v>115.71</v>
      </c>
      <c r="R2587">
        <v>49884802</v>
      </c>
    </row>
    <row r="2588" spans="1:18" x14ac:dyDescent="0.25">
      <c r="A2588" s="133">
        <v>45817</v>
      </c>
      <c r="B2588" s="110">
        <v>119.3</v>
      </c>
      <c r="C2588" s="110">
        <v>117.7</v>
      </c>
      <c r="D2588" s="110">
        <v>116.6</v>
      </c>
      <c r="E2588" s="110">
        <v>116.6</v>
      </c>
      <c r="F2588" s="110">
        <v>117.7</v>
      </c>
      <c r="G2588">
        <v>1573798</v>
      </c>
      <c r="H2588" s="110"/>
      <c r="I2588" s="110"/>
      <c r="L2588" s="133">
        <v>45817</v>
      </c>
      <c r="M2588" s="110">
        <v>117.69</v>
      </c>
      <c r="N2588" s="110">
        <v>119.3</v>
      </c>
      <c r="O2588" s="110">
        <v>116.55</v>
      </c>
      <c r="P2588" s="110">
        <v>116.9</v>
      </c>
      <c r="Q2588" s="110">
        <v>117.69</v>
      </c>
      <c r="R2588">
        <v>34703106</v>
      </c>
    </row>
    <row r="2589" spans="1:18" x14ac:dyDescent="0.25">
      <c r="A2589" s="133">
        <v>45818</v>
      </c>
      <c r="B2589" s="110">
        <v>118.6</v>
      </c>
      <c r="C2589" s="110">
        <v>117.7</v>
      </c>
      <c r="D2589" s="110">
        <v>117.2</v>
      </c>
      <c r="E2589" s="110">
        <v>118.6</v>
      </c>
      <c r="F2589" s="110">
        <v>117.7</v>
      </c>
      <c r="G2589">
        <v>1750634</v>
      </c>
      <c r="H2589" s="110"/>
      <c r="I2589" s="110"/>
      <c r="L2589" s="133">
        <v>45818</v>
      </c>
      <c r="M2589" s="110">
        <v>117.76</v>
      </c>
      <c r="N2589" s="110">
        <v>118.45</v>
      </c>
      <c r="O2589" s="110">
        <v>117.15</v>
      </c>
      <c r="P2589" s="110">
        <v>118.4</v>
      </c>
      <c r="Q2589" s="110">
        <v>117.76</v>
      </c>
      <c r="R2589">
        <v>32755500</v>
      </c>
    </row>
    <row r="2590" spans="1:18" x14ac:dyDescent="0.25">
      <c r="A2590" s="133">
        <v>45819</v>
      </c>
      <c r="B2590" s="110">
        <v>118.95</v>
      </c>
      <c r="C2590" s="110">
        <v>117.1</v>
      </c>
      <c r="D2590" s="110">
        <v>115.85</v>
      </c>
      <c r="E2590" s="110">
        <v>118.75</v>
      </c>
      <c r="F2590" s="110">
        <v>117.1</v>
      </c>
      <c r="G2590">
        <v>1199574</v>
      </c>
      <c r="H2590" s="110"/>
      <c r="I2590" s="110"/>
      <c r="L2590" s="133">
        <v>45819</v>
      </c>
      <c r="M2590" s="110">
        <v>117.09</v>
      </c>
      <c r="N2590" s="110">
        <v>119</v>
      </c>
      <c r="O2590" s="110">
        <v>115.8</v>
      </c>
      <c r="P2590" s="110">
        <v>119</v>
      </c>
      <c r="Q2590" s="110">
        <v>117.09</v>
      </c>
      <c r="R2590">
        <v>41718080</v>
      </c>
    </row>
    <row r="2591" spans="1:18" x14ac:dyDescent="0.25">
      <c r="A2591" s="133">
        <v>45820</v>
      </c>
      <c r="B2591" s="110">
        <v>117.7</v>
      </c>
      <c r="C2591" s="110">
        <v>115.7</v>
      </c>
      <c r="D2591" s="110">
        <v>115.2</v>
      </c>
      <c r="E2591" s="110">
        <v>117.35</v>
      </c>
      <c r="F2591" s="110">
        <v>115.7</v>
      </c>
      <c r="G2591">
        <v>1800565</v>
      </c>
      <c r="H2591" s="110"/>
      <c r="I2591" s="110"/>
      <c r="L2591" s="133">
        <v>45820</v>
      </c>
      <c r="M2591" s="110">
        <v>115.64</v>
      </c>
      <c r="N2591" s="110">
        <v>117.79</v>
      </c>
      <c r="O2591" s="110">
        <v>115.1</v>
      </c>
      <c r="P2591" s="110">
        <v>117.7</v>
      </c>
      <c r="Q2591" s="110">
        <v>115.64</v>
      </c>
      <c r="R2591">
        <v>33242141</v>
      </c>
    </row>
    <row r="2592" spans="1:18" x14ac:dyDescent="0.25">
      <c r="A2592" s="133">
        <v>45821</v>
      </c>
      <c r="B2592" s="110">
        <v>111.7</v>
      </c>
      <c r="C2592" s="110">
        <v>111.45</v>
      </c>
      <c r="D2592" s="110">
        <v>107.55</v>
      </c>
      <c r="E2592" s="110">
        <v>108.3</v>
      </c>
      <c r="F2592" s="110">
        <v>111.45</v>
      </c>
      <c r="G2592">
        <v>3081352</v>
      </c>
      <c r="H2592" s="110"/>
      <c r="I2592" s="110"/>
      <c r="L2592" s="133">
        <v>45821</v>
      </c>
      <c r="M2592" s="110">
        <v>111.46</v>
      </c>
      <c r="N2592" s="110">
        <v>111.77</v>
      </c>
      <c r="O2592" s="110">
        <v>107.52</v>
      </c>
      <c r="P2592" s="110">
        <v>108.49</v>
      </c>
      <c r="Q2592" s="110">
        <v>111.46</v>
      </c>
      <c r="R2592">
        <v>32522564</v>
      </c>
    </row>
    <row r="2593" spans="1:18" x14ac:dyDescent="0.25">
      <c r="A2593" s="133">
        <v>45824</v>
      </c>
      <c r="B2593" s="110">
        <v>111.7</v>
      </c>
      <c r="C2593" s="110">
        <v>111.25</v>
      </c>
      <c r="D2593" s="110">
        <v>109.5</v>
      </c>
      <c r="E2593" s="110">
        <v>110.3</v>
      </c>
      <c r="F2593" s="110">
        <v>111.25</v>
      </c>
      <c r="G2593">
        <v>998766</v>
      </c>
      <c r="H2593" s="110"/>
      <c r="I2593" s="110"/>
      <c r="L2593" s="133">
        <v>45824</v>
      </c>
      <c r="M2593" s="110">
        <v>111.24</v>
      </c>
      <c r="N2593" s="110">
        <v>111.75</v>
      </c>
      <c r="O2593" s="110">
        <v>109.5</v>
      </c>
      <c r="P2593" s="110">
        <v>110.45</v>
      </c>
      <c r="Q2593" s="110">
        <v>111.24</v>
      </c>
      <c r="R2593">
        <v>24551800</v>
      </c>
    </row>
    <row r="2594" spans="1:18" x14ac:dyDescent="0.25">
      <c r="A2594" s="133">
        <v>45825</v>
      </c>
      <c r="B2594" s="110">
        <v>112.1</v>
      </c>
      <c r="C2594" s="110">
        <v>109.15</v>
      </c>
      <c r="D2594" s="110">
        <v>108.95</v>
      </c>
      <c r="E2594" s="110">
        <v>111.25</v>
      </c>
      <c r="F2594" s="110">
        <v>109.15</v>
      </c>
      <c r="G2594">
        <v>1150965</v>
      </c>
      <c r="H2594" s="110"/>
      <c r="I2594" s="110"/>
      <c r="L2594" s="133">
        <v>45825</v>
      </c>
      <c r="M2594" s="110">
        <v>109.23</v>
      </c>
      <c r="N2594" s="110">
        <v>112.1</v>
      </c>
      <c r="O2594" s="110">
        <v>109</v>
      </c>
      <c r="P2594" s="110">
        <v>111.3</v>
      </c>
      <c r="Q2594" s="110">
        <v>109.23</v>
      </c>
      <c r="R2594">
        <v>14822292</v>
      </c>
    </row>
    <row r="2595" spans="1:18" x14ac:dyDescent="0.25">
      <c r="A2595" s="133">
        <v>45826</v>
      </c>
      <c r="B2595" s="110">
        <v>109.9</v>
      </c>
      <c r="C2595" s="110">
        <v>108.2</v>
      </c>
      <c r="D2595" s="110">
        <v>108</v>
      </c>
      <c r="E2595" s="110">
        <v>109.4</v>
      </c>
      <c r="F2595" s="110">
        <v>108.2</v>
      </c>
      <c r="G2595">
        <v>568232</v>
      </c>
      <c r="H2595" s="110"/>
      <c r="I2595" s="110"/>
      <c r="L2595" s="133">
        <v>45826</v>
      </c>
      <c r="M2595" s="110">
        <v>108.22</v>
      </c>
      <c r="N2595" s="110">
        <v>109.85</v>
      </c>
      <c r="O2595" s="110">
        <v>107.94</v>
      </c>
      <c r="P2595" s="110">
        <v>109.23</v>
      </c>
      <c r="Q2595" s="110">
        <v>108.22</v>
      </c>
      <c r="R2595">
        <v>11798762</v>
      </c>
    </row>
    <row r="2596" spans="1:18" x14ac:dyDescent="0.25">
      <c r="A2596" s="133">
        <v>45827</v>
      </c>
      <c r="B2596" s="110">
        <v>108.45</v>
      </c>
      <c r="C2596" s="110">
        <v>104.85</v>
      </c>
      <c r="D2596" s="110">
        <v>104.6</v>
      </c>
      <c r="E2596" s="110">
        <v>108.2</v>
      </c>
      <c r="F2596" s="110">
        <v>104.85</v>
      </c>
      <c r="G2596">
        <v>661407</v>
      </c>
      <c r="H2596" s="110"/>
      <c r="I2596" s="110"/>
      <c r="L2596" s="133">
        <v>45827</v>
      </c>
      <c r="M2596" s="110">
        <v>104.89</v>
      </c>
      <c r="N2596" s="110">
        <v>108.5</v>
      </c>
      <c r="O2596" s="110">
        <v>104.6</v>
      </c>
      <c r="P2596" s="110">
        <v>108.2</v>
      </c>
      <c r="Q2596" s="110">
        <v>104.89</v>
      </c>
      <c r="R2596">
        <v>25631663</v>
      </c>
    </row>
    <row r="2597" spans="1:18" x14ac:dyDescent="0.25">
      <c r="A2597" s="133">
        <v>45828</v>
      </c>
      <c r="B2597" s="110">
        <v>108.2</v>
      </c>
      <c r="C2597" s="110">
        <v>107.2</v>
      </c>
      <c r="D2597" s="110">
        <v>104.85</v>
      </c>
      <c r="E2597" s="110">
        <v>104.85</v>
      </c>
      <c r="F2597" s="110">
        <v>107.2</v>
      </c>
      <c r="G2597">
        <v>580337</v>
      </c>
      <c r="H2597" s="110"/>
      <c r="I2597" s="110"/>
      <c r="L2597" s="133">
        <v>45828</v>
      </c>
      <c r="M2597" s="110">
        <v>107.22</v>
      </c>
      <c r="N2597" s="110">
        <v>108.19</v>
      </c>
      <c r="O2597" s="110">
        <v>104.85</v>
      </c>
      <c r="P2597" s="110">
        <v>104.89</v>
      </c>
      <c r="Q2597" s="110">
        <v>107.22</v>
      </c>
      <c r="R2597">
        <v>23310134</v>
      </c>
    </row>
    <row r="2598" spans="1:18" x14ac:dyDescent="0.25">
      <c r="A2598" s="133">
        <v>45831</v>
      </c>
      <c r="B2598" s="110">
        <v>108.35</v>
      </c>
      <c r="C2598" s="110">
        <v>107.85</v>
      </c>
      <c r="D2598" s="110">
        <v>105.75</v>
      </c>
      <c r="E2598" s="110">
        <v>105.75</v>
      </c>
      <c r="F2598" s="110">
        <v>107.85</v>
      </c>
      <c r="G2598">
        <v>407056</v>
      </c>
      <c r="H2598" s="110"/>
      <c r="I2598" s="110"/>
      <c r="L2598" s="133">
        <v>45831</v>
      </c>
      <c r="M2598" s="110">
        <v>107.82</v>
      </c>
      <c r="N2598" s="110">
        <v>108.33</v>
      </c>
      <c r="O2598" s="110">
        <v>105.98</v>
      </c>
      <c r="P2598" s="110">
        <v>106</v>
      </c>
      <c r="Q2598" s="110">
        <v>107.82</v>
      </c>
      <c r="R2598">
        <v>13114898</v>
      </c>
    </row>
    <row r="2599" spans="1:18" x14ac:dyDescent="0.25">
      <c r="A2599" s="133">
        <v>45832</v>
      </c>
      <c r="B2599" s="110">
        <v>111.45</v>
      </c>
      <c r="C2599" s="110">
        <v>110.65</v>
      </c>
      <c r="D2599" s="110">
        <v>109.3</v>
      </c>
      <c r="E2599" s="110">
        <v>109.6</v>
      </c>
      <c r="F2599" s="110">
        <v>110.65</v>
      </c>
      <c r="G2599">
        <v>1488453</v>
      </c>
      <c r="H2599" s="110"/>
      <c r="I2599" s="110"/>
      <c r="L2599" s="133">
        <v>45832</v>
      </c>
      <c r="M2599" s="110">
        <v>110.61</v>
      </c>
      <c r="N2599" s="110">
        <v>111.44</v>
      </c>
      <c r="O2599" s="110">
        <v>109.31</v>
      </c>
      <c r="P2599" s="110">
        <v>109.6</v>
      </c>
      <c r="Q2599" s="110">
        <v>110.61</v>
      </c>
      <c r="R2599">
        <v>25341633</v>
      </c>
    </row>
    <row r="2600" spans="1:18" x14ac:dyDescent="0.25">
      <c r="A2600" s="133">
        <v>45833</v>
      </c>
      <c r="B2600" s="110">
        <v>111.5</v>
      </c>
      <c r="C2600" s="110">
        <v>110.65</v>
      </c>
      <c r="D2600" s="110">
        <v>110.35</v>
      </c>
      <c r="E2600" s="110">
        <v>110.85</v>
      </c>
      <c r="F2600" s="110">
        <v>110.65</v>
      </c>
      <c r="G2600">
        <v>655602</v>
      </c>
      <c r="H2600" s="110"/>
      <c r="I2600" s="110"/>
      <c r="L2600" s="133">
        <v>45833</v>
      </c>
      <c r="M2600" s="110">
        <v>110.71</v>
      </c>
      <c r="N2600" s="110">
        <v>111.5</v>
      </c>
      <c r="O2600" s="110">
        <v>110.35</v>
      </c>
      <c r="P2600" s="110">
        <v>110.85</v>
      </c>
      <c r="Q2600" s="110">
        <v>110.71</v>
      </c>
      <c r="R2600">
        <v>19878446</v>
      </c>
    </row>
    <row r="2601" spans="1:18" x14ac:dyDescent="0.25">
      <c r="A2601" s="133">
        <v>45834</v>
      </c>
      <c r="B2601" s="110">
        <v>111.25</v>
      </c>
      <c r="C2601" s="110">
        <v>111.1</v>
      </c>
      <c r="D2601" s="110">
        <v>108.7</v>
      </c>
      <c r="E2601" s="110">
        <v>111.05</v>
      </c>
      <c r="F2601" s="110">
        <v>111.1</v>
      </c>
      <c r="G2601">
        <v>775058</v>
      </c>
      <c r="H2601" s="110"/>
      <c r="I2601" s="110"/>
      <c r="L2601" s="133">
        <v>45834</v>
      </c>
      <c r="M2601" s="110">
        <v>111.07</v>
      </c>
      <c r="N2601" s="110">
        <v>111.45</v>
      </c>
      <c r="O2601" s="110">
        <v>108.7</v>
      </c>
      <c r="P2601" s="110">
        <v>110.95</v>
      </c>
      <c r="Q2601" s="110">
        <v>111.07</v>
      </c>
      <c r="R2601">
        <v>21835265</v>
      </c>
    </row>
    <row r="2602" spans="1:18" x14ac:dyDescent="0.25">
      <c r="A2602" s="133">
        <v>45835</v>
      </c>
      <c r="B2602" s="110">
        <v>113</v>
      </c>
      <c r="C2602" s="110">
        <v>111</v>
      </c>
      <c r="D2602" s="110">
        <v>110.65</v>
      </c>
      <c r="E2602" s="110">
        <v>111.1</v>
      </c>
      <c r="F2602" s="110">
        <v>111</v>
      </c>
      <c r="G2602">
        <v>1625084</v>
      </c>
      <c r="H2602" s="110"/>
      <c r="I2602" s="110"/>
      <c r="L2602" s="133">
        <v>45835</v>
      </c>
      <c r="M2602" s="110">
        <v>110.98</v>
      </c>
      <c r="N2602" s="110">
        <v>113</v>
      </c>
      <c r="O2602" s="110">
        <v>110.67</v>
      </c>
      <c r="P2602" s="110">
        <v>111.49</v>
      </c>
      <c r="Q2602" s="110">
        <v>110.98</v>
      </c>
      <c r="R2602">
        <v>34489264</v>
      </c>
    </row>
    <row r="2603" spans="1:18" x14ac:dyDescent="0.25">
      <c r="A2603" s="133">
        <v>45838</v>
      </c>
      <c r="B2603" s="110">
        <v>114.55</v>
      </c>
      <c r="C2603" s="110">
        <v>114.2</v>
      </c>
      <c r="D2603" s="110">
        <v>111.5</v>
      </c>
      <c r="E2603" s="110">
        <v>111.55</v>
      </c>
      <c r="F2603" s="110">
        <v>114.2</v>
      </c>
      <c r="G2603">
        <v>1897887</v>
      </c>
      <c r="H2603" s="110"/>
      <c r="I2603" s="110"/>
      <c r="L2603" s="133">
        <v>45838</v>
      </c>
      <c r="M2603" s="110">
        <v>114.2</v>
      </c>
      <c r="N2603" s="110">
        <v>114.61</v>
      </c>
      <c r="O2603" s="110">
        <v>111.47</v>
      </c>
      <c r="P2603" s="110">
        <v>111.56</v>
      </c>
      <c r="Q2603" s="110">
        <v>114.2</v>
      </c>
      <c r="R2603">
        <v>34766391</v>
      </c>
    </row>
    <row r="2604" spans="1:18" x14ac:dyDescent="0.25">
      <c r="A2604" s="133">
        <v>45839</v>
      </c>
      <c r="B2604" s="110">
        <v>116</v>
      </c>
      <c r="C2604" s="110">
        <v>115.4</v>
      </c>
      <c r="D2604" s="110">
        <v>112.6</v>
      </c>
      <c r="E2604" s="110">
        <v>114.6</v>
      </c>
      <c r="F2604" s="110">
        <v>115.4</v>
      </c>
      <c r="G2604">
        <v>1283613</v>
      </c>
      <c r="H2604" s="110"/>
      <c r="I2604" s="110"/>
      <c r="L2604" s="133">
        <v>45839</v>
      </c>
      <c r="M2604" s="110">
        <v>115.42</v>
      </c>
      <c r="N2604" s="110">
        <v>116</v>
      </c>
      <c r="O2604" s="110">
        <v>112.62</v>
      </c>
      <c r="P2604" s="110">
        <v>114.45</v>
      </c>
      <c r="Q2604" s="110">
        <v>115.42</v>
      </c>
      <c r="R2604">
        <v>30511659</v>
      </c>
    </row>
    <row r="2605" spans="1:18" x14ac:dyDescent="0.25">
      <c r="A2605" s="133">
        <v>45840</v>
      </c>
      <c r="B2605" s="110">
        <v>115.85</v>
      </c>
      <c r="C2605" s="110">
        <v>114.2</v>
      </c>
      <c r="D2605" s="110">
        <v>113.45</v>
      </c>
      <c r="E2605" s="110">
        <v>114.95</v>
      </c>
      <c r="F2605" s="110">
        <v>114.2</v>
      </c>
      <c r="G2605">
        <v>581641</v>
      </c>
      <c r="H2605" s="110"/>
      <c r="I2605" s="110"/>
      <c r="L2605" s="133">
        <v>45840</v>
      </c>
      <c r="M2605" s="110">
        <v>114.23</v>
      </c>
      <c r="N2605" s="110">
        <v>115.86</v>
      </c>
      <c r="O2605" s="110">
        <v>113.42</v>
      </c>
      <c r="P2605" s="110">
        <v>114.7</v>
      </c>
      <c r="Q2605" s="110">
        <v>114.23</v>
      </c>
      <c r="R2605">
        <v>20734163</v>
      </c>
    </row>
    <row r="2606" spans="1:18" x14ac:dyDescent="0.25">
      <c r="A2606" s="133">
        <v>45841</v>
      </c>
      <c r="B2606" s="110">
        <v>115</v>
      </c>
      <c r="C2606" s="110">
        <v>114.15</v>
      </c>
      <c r="D2606" s="110">
        <v>113.7</v>
      </c>
      <c r="E2606" s="110">
        <v>115</v>
      </c>
      <c r="F2606" s="110">
        <v>114.15</v>
      </c>
      <c r="G2606">
        <v>548581</v>
      </c>
      <c r="H2606" s="110"/>
      <c r="I2606" s="110"/>
      <c r="L2606" s="133">
        <v>45841</v>
      </c>
      <c r="M2606" s="110">
        <v>114.16</v>
      </c>
      <c r="N2606" s="110">
        <v>115</v>
      </c>
      <c r="O2606" s="110">
        <v>113.65</v>
      </c>
      <c r="P2606" s="110">
        <v>114.8</v>
      </c>
      <c r="Q2606" s="110">
        <v>114.16</v>
      </c>
      <c r="R2606">
        <v>13257229</v>
      </c>
    </row>
    <row r="2607" spans="1:18" x14ac:dyDescent="0.25">
      <c r="A2607" s="133">
        <v>45842</v>
      </c>
      <c r="B2607" s="110">
        <v>115.15</v>
      </c>
      <c r="C2607" s="110">
        <v>114.3</v>
      </c>
      <c r="D2607" s="110">
        <v>113.6</v>
      </c>
      <c r="E2607" s="110">
        <v>113.75</v>
      </c>
      <c r="F2607" s="110">
        <v>114.3</v>
      </c>
      <c r="G2607">
        <v>389865</v>
      </c>
      <c r="H2607" s="110"/>
      <c r="I2607" s="110"/>
      <c r="L2607" s="133">
        <v>45842</v>
      </c>
      <c r="M2607" s="110">
        <v>114.37</v>
      </c>
      <c r="N2607" s="110">
        <v>115.1</v>
      </c>
      <c r="O2607" s="110">
        <v>113.56</v>
      </c>
      <c r="P2607" s="110">
        <v>113.56</v>
      </c>
      <c r="Q2607" s="110">
        <v>114.37</v>
      </c>
      <c r="R2607">
        <v>10569354</v>
      </c>
    </row>
    <row r="2608" spans="1:18" x14ac:dyDescent="0.25">
      <c r="A2608" s="133">
        <v>45845</v>
      </c>
      <c r="B2608" s="110">
        <v>115.8</v>
      </c>
      <c r="C2608" s="110">
        <v>114.35</v>
      </c>
      <c r="D2608" s="110">
        <v>114.15</v>
      </c>
      <c r="E2608" s="110">
        <v>114.35</v>
      </c>
      <c r="F2608" s="110">
        <v>114.35</v>
      </c>
      <c r="G2608">
        <v>491351</v>
      </c>
      <c r="H2608" s="110"/>
      <c r="I2608" s="110"/>
      <c r="L2608" s="133">
        <v>45845</v>
      </c>
      <c r="M2608" s="110">
        <v>114.31</v>
      </c>
      <c r="N2608" s="110">
        <v>115.8</v>
      </c>
      <c r="O2608" s="110">
        <v>114.1</v>
      </c>
      <c r="P2608" s="110">
        <v>114.37</v>
      </c>
      <c r="Q2608" s="110">
        <v>114.31</v>
      </c>
      <c r="R2608">
        <v>15821152</v>
      </c>
    </row>
    <row r="2609" spans="1:18" x14ac:dyDescent="0.25">
      <c r="A2609" s="133">
        <v>45846</v>
      </c>
      <c r="B2609" s="110">
        <v>114.5</v>
      </c>
      <c r="C2609" s="110">
        <v>113.75</v>
      </c>
      <c r="D2609" s="110">
        <v>112.9</v>
      </c>
      <c r="E2609" s="110">
        <v>114.15</v>
      </c>
      <c r="F2609" s="110">
        <v>113.75</v>
      </c>
      <c r="G2609">
        <v>687832</v>
      </c>
      <c r="H2609" s="110"/>
      <c r="I2609" s="110"/>
      <c r="L2609" s="133">
        <v>45846</v>
      </c>
      <c r="M2609" s="110">
        <v>113.74</v>
      </c>
      <c r="N2609" s="110">
        <v>114.5</v>
      </c>
      <c r="O2609" s="110">
        <v>112.89</v>
      </c>
      <c r="P2609" s="110">
        <v>114.31</v>
      </c>
      <c r="Q2609" s="110">
        <v>113.74</v>
      </c>
      <c r="R2609">
        <v>12740671</v>
      </c>
    </row>
    <row r="2610" spans="1:18" x14ac:dyDescent="0.25">
      <c r="A2610" s="133">
        <v>45847</v>
      </c>
      <c r="B2610" s="110">
        <v>114.45</v>
      </c>
      <c r="C2610" s="110">
        <v>113.9</v>
      </c>
      <c r="D2610" s="110">
        <v>113.4</v>
      </c>
      <c r="E2610" s="110">
        <v>113.4</v>
      </c>
      <c r="F2610" s="110">
        <v>113.9</v>
      </c>
      <c r="G2610">
        <v>1989941</v>
      </c>
      <c r="H2610" s="110"/>
      <c r="I2610" s="110"/>
      <c r="L2610" s="133">
        <v>45847</v>
      </c>
      <c r="M2610" s="110">
        <v>113.96</v>
      </c>
      <c r="N2610" s="110">
        <v>114.45</v>
      </c>
      <c r="O2610" s="110">
        <v>113.4</v>
      </c>
      <c r="P2610" s="110">
        <v>113.6</v>
      </c>
      <c r="Q2610" s="110">
        <v>113.96</v>
      </c>
      <c r="R2610">
        <v>13519733</v>
      </c>
    </row>
    <row r="2611" spans="1:18" x14ac:dyDescent="0.25">
      <c r="A2611" s="133">
        <v>45848</v>
      </c>
      <c r="B2611" s="110">
        <v>114.45</v>
      </c>
      <c r="C2611" s="110">
        <v>112.35</v>
      </c>
      <c r="D2611" s="110">
        <v>111.75</v>
      </c>
      <c r="E2611" s="110">
        <v>114.1</v>
      </c>
      <c r="F2611" s="110">
        <v>112.35</v>
      </c>
      <c r="G2611">
        <v>320634</v>
      </c>
      <c r="H2611" s="110"/>
      <c r="I2611" s="110"/>
      <c r="L2611" s="133">
        <v>45848</v>
      </c>
      <c r="M2611" s="110">
        <v>112.39</v>
      </c>
      <c r="N2611" s="110">
        <v>114.5</v>
      </c>
      <c r="O2611" s="110">
        <v>111.7</v>
      </c>
      <c r="P2611" s="110">
        <v>113.95</v>
      </c>
      <c r="Q2611" s="110">
        <v>112.39</v>
      </c>
      <c r="R2611">
        <v>16076230</v>
      </c>
    </row>
    <row r="2612" spans="1:18" x14ac:dyDescent="0.25">
      <c r="A2612" s="133">
        <v>45849</v>
      </c>
      <c r="B2612" s="110">
        <v>113.45</v>
      </c>
      <c r="C2612" s="110">
        <v>111.85</v>
      </c>
      <c r="D2612" s="110">
        <v>111.1</v>
      </c>
      <c r="E2612" s="110">
        <v>112.5</v>
      </c>
      <c r="F2612" s="110">
        <v>111.85</v>
      </c>
      <c r="G2612">
        <v>1121574</v>
      </c>
      <c r="H2612" s="110"/>
      <c r="I2612" s="110"/>
      <c r="L2612" s="133">
        <v>45849</v>
      </c>
      <c r="M2612" s="110">
        <v>111.92</v>
      </c>
      <c r="N2612" s="110">
        <v>113.49</v>
      </c>
      <c r="O2612" s="110">
        <v>111.21</v>
      </c>
      <c r="P2612" s="110">
        <v>112.38</v>
      </c>
      <c r="Q2612" s="110">
        <v>111.92</v>
      </c>
      <c r="R2612">
        <v>13374647</v>
      </c>
    </row>
    <row r="2613" spans="1:18" x14ac:dyDescent="0.25">
      <c r="A2613" s="133">
        <v>45852</v>
      </c>
      <c r="B2613" s="110">
        <v>115.3</v>
      </c>
      <c r="C2613" s="110">
        <v>113.7</v>
      </c>
      <c r="D2613" s="110">
        <v>111.9</v>
      </c>
      <c r="E2613" s="110">
        <v>111.9</v>
      </c>
      <c r="F2613" s="110">
        <v>113.7</v>
      </c>
      <c r="G2613">
        <v>1401216</v>
      </c>
      <c r="H2613" s="110"/>
      <c r="I2613" s="110"/>
      <c r="L2613" s="133">
        <v>45852</v>
      </c>
      <c r="M2613" s="110">
        <v>113.67</v>
      </c>
      <c r="N2613" s="110">
        <v>115.3</v>
      </c>
      <c r="O2613" s="110">
        <v>111.9</v>
      </c>
      <c r="P2613" s="110">
        <v>111.99</v>
      </c>
      <c r="Q2613" s="110">
        <v>113.67</v>
      </c>
      <c r="R2613">
        <v>27221603</v>
      </c>
    </row>
    <row r="2614" spans="1:18" x14ac:dyDescent="0.25">
      <c r="A2614" s="133">
        <v>45853</v>
      </c>
      <c r="B2614" s="110">
        <v>115.8</v>
      </c>
      <c r="C2614" s="110">
        <v>114.95</v>
      </c>
      <c r="D2614" s="110">
        <v>113.65</v>
      </c>
      <c r="E2614" s="110">
        <v>113.7</v>
      </c>
      <c r="F2614" s="110">
        <v>114.95</v>
      </c>
      <c r="G2614">
        <v>1879801</v>
      </c>
      <c r="H2614" s="110"/>
      <c r="I2614" s="110"/>
      <c r="L2614" s="133">
        <v>45853</v>
      </c>
      <c r="M2614" s="110">
        <v>114.87</v>
      </c>
      <c r="N2614" s="110">
        <v>115.8</v>
      </c>
      <c r="O2614" s="110">
        <v>113.63</v>
      </c>
      <c r="P2614" s="110">
        <v>113.79</v>
      </c>
      <c r="Q2614" s="110">
        <v>114.87</v>
      </c>
      <c r="R2614">
        <v>25377145</v>
      </c>
    </row>
    <row r="2615" spans="1:18" x14ac:dyDescent="0.25">
      <c r="A2615" s="133">
        <v>45854</v>
      </c>
      <c r="B2615" s="110">
        <v>117.35</v>
      </c>
      <c r="C2615" s="110">
        <v>117</v>
      </c>
      <c r="D2615" s="110">
        <v>114.65</v>
      </c>
      <c r="E2615" s="110">
        <v>114.65</v>
      </c>
      <c r="F2615" s="110">
        <v>117</v>
      </c>
      <c r="G2615">
        <v>4870901</v>
      </c>
      <c r="H2615" s="110"/>
      <c r="I2615" s="110"/>
      <c r="L2615" s="133">
        <v>45854</v>
      </c>
      <c r="M2615" s="110">
        <v>117.03</v>
      </c>
      <c r="N2615" s="110">
        <v>117.35</v>
      </c>
      <c r="O2615" s="110">
        <v>114.61</v>
      </c>
      <c r="P2615" s="110">
        <v>114.85</v>
      </c>
      <c r="Q2615" s="110">
        <v>117.03</v>
      </c>
      <c r="R2615">
        <v>40471492</v>
      </c>
    </row>
    <row r="2616" spans="1:18" x14ac:dyDescent="0.25">
      <c r="A2616" s="133">
        <v>45855</v>
      </c>
      <c r="B2616" s="110">
        <v>117.5</v>
      </c>
      <c r="C2616" s="110">
        <v>115.5</v>
      </c>
      <c r="D2616" s="110">
        <v>114.95</v>
      </c>
      <c r="E2616" s="110">
        <v>117.35</v>
      </c>
      <c r="F2616" s="110">
        <v>115.5</v>
      </c>
      <c r="G2616">
        <v>534658</v>
      </c>
      <c r="H2616" s="110"/>
      <c r="I2616" s="110"/>
      <c r="L2616" s="133">
        <v>45855</v>
      </c>
      <c r="M2616" s="110">
        <v>115.53</v>
      </c>
      <c r="N2616" s="110">
        <v>117.5</v>
      </c>
      <c r="O2616" s="110">
        <v>114.91</v>
      </c>
      <c r="P2616" s="110">
        <v>117.5</v>
      </c>
      <c r="Q2616" s="110">
        <v>115.53</v>
      </c>
      <c r="R2616">
        <v>15765452</v>
      </c>
    </row>
    <row r="2617" spans="1:18" x14ac:dyDescent="0.25">
      <c r="A2617" s="133">
        <v>45856</v>
      </c>
      <c r="B2617" s="110">
        <v>116.05</v>
      </c>
      <c r="C2617" s="110">
        <v>114.4</v>
      </c>
      <c r="D2617" s="110">
        <v>114.25</v>
      </c>
      <c r="E2617" s="110">
        <v>115.8</v>
      </c>
      <c r="F2617" s="110">
        <v>114.4</v>
      </c>
      <c r="G2617">
        <v>453899</v>
      </c>
      <c r="H2617" s="110"/>
      <c r="I2617" s="110"/>
      <c r="L2617" s="133">
        <v>45856</v>
      </c>
      <c r="M2617" s="110">
        <v>114.45</v>
      </c>
      <c r="N2617" s="110">
        <v>116.1</v>
      </c>
      <c r="O2617" s="110">
        <v>114.25</v>
      </c>
      <c r="P2617" s="110">
        <v>115.5</v>
      </c>
      <c r="Q2617" s="110">
        <v>114.45</v>
      </c>
      <c r="R2617">
        <v>18085327</v>
      </c>
    </row>
    <row r="2618" spans="1:18" x14ac:dyDescent="0.25">
      <c r="A2618" s="133">
        <v>45859</v>
      </c>
      <c r="B2618" s="110">
        <v>114.7</v>
      </c>
      <c r="C2618" s="110">
        <v>112</v>
      </c>
      <c r="D2618" s="110">
        <v>111.35</v>
      </c>
      <c r="E2618" s="110">
        <v>114.55</v>
      </c>
      <c r="F2618" s="110">
        <v>112</v>
      </c>
      <c r="G2618">
        <v>838870</v>
      </c>
      <c r="H2618" s="110"/>
      <c r="I2618" s="110"/>
      <c r="L2618" s="133">
        <v>45859</v>
      </c>
      <c r="M2618" s="110">
        <v>112.03</v>
      </c>
      <c r="N2618" s="110">
        <v>114.7</v>
      </c>
      <c r="O2618" s="110">
        <v>111.4</v>
      </c>
      <c r="P2618" s="110">
        <v>114.67</v>
      </c>
      <c r="Q2618" s="110">
        <v>112.03</v>
      </c>
      <c r="R2618">
        <v>23975731</v>
      </c>
    </row>
    <row r="2619" spans="1:18" x14ac:dyDescent="0.25">
      <c r="A2619" s="133">
        <v>45860</v>
      </c>
      <c r="B2619" s="110">
        <v>113.3</v>
      </c>
      <c r="C2619" s="110">
        <v>108.05</v>
      </c>
      <c r="D2619" s="110">
        <v>107.7</v>
      </c>
      <c r="E2619" s="110">
        <v>113.3</v>
      </c>
      <c r="F2619" s="110">
        <v>108.05</v>
      </c>
      <c r="G2619">
        <v>1049284</v>
      </c>
      <c r="H2619" s="110"/>
      <c r="I2619" s="110"/>
      <c r="L2619" s="133">
        <v>45860</v>
      </c>
      <c r="M2619" s="110">
        <v>108.05</v>
      </c>
      <c r="N2619" s="110">
        <v>112.7</v>
      </c>
      <c r="O2619" s="110">
        <v>107.71</v>
      </c>
      <c r="P2619" s="110">
        <v>112.69</v>
      </c>
      <c r="Q2619" s="110">
        <v>108.05</v>
      </c>
      <c r="R2619">
        <v>42331690</v>
      </c>
    </row>
    <row r="2620" spans="1:18" x14ac:dyDescent="0.25">
      <c r="A2620" s="133">
        <v>45861</v>
      </c>
      <c r="B2620" s="110">
        <v>108.4</v>
      </c>
      <c r="C2620" s="110">
        <v>107.8</v>
      </c>
      <c r="D2620" s="110">
        <v>106.35</v>
      </c>
      <c r="E2620" s="110">
        <v>108.2</v>
      </c>
      <c r="F2620" s="110">
        <v>107.8</v>
      </c>
      <c r="G2620">
        <v>50519622</v>
      </c>
      <c r="H2620" s="110"/>
      <c r="I2620" s="110"/>
      <c r="L2620" s="133">
        <v>45861</v>
      </c>
      <c r="M2620" s="110">
        <v>107.8</v>
      </c>
      <c r="N2620" s="110">
        <v>108.33</v>
      </c>
      <c r="O2620" s="110">
        <v>106.3</v>
      </c>
      <c r="P2620" s="110">
        <v>108.05</v>
      </c>
      <c r="Q2620" s="110">
        <v>107.8</v>
      </c>
      <c r="R2620">
        <v>38208234</v>
      </c>
    </row>
    <row r="2621" spans="1:18" x14ac:dyDescent="0.25">
      <c r="A2621" s="133">
        <v>45862</v>
      </c>
      <c r="B2621" s="110">
        <v>114</v>
      </c>
      <c r="C2621" s="110">
        <v>113.5</v>
      </c>
      <c r="D2621" s="110">
        <v>107.2</v>
      </c>
      <c r="E2621" s="110">
        <v>108.15</v>
      </c>
      <c r="F2621" s="110">
        <v>113.5</v>
      </c>
      <c r="G2621">
        <v>6222787</v>
      </c>
      <c r="H2621" s="110"/>
      <c r="I2621" s="110"/>
      <c r="L2621" s="133">
        <v>45862</v>
      </c>
      <c r="M2621" s="110">
        <v>113.51</v>
      </c>
      <c r="N2621" s="110">
        <v>113.99</v>
      </c>
      <c r="O2621" s="110">
        <v>107.2</v>
      </c>
      <c r="P2621" s="110">
        <v>108.5</v>
      </c>
      <c r="Q2621" s="110">
        <v>113.51</v>
      </c>
      <c r="R2621">
        <v>86127146</v>
      </c>
    </row>
    <row r="2622" spans="1:18" x14ac:dyDescent="0.25">
      <c r="A2622" s="133">
        <v>45863</v>
      </c>
      <c r="B2622" s="110">
        <v>115.6</v>
      </c>
      <c r="C2622" s="110">
        <v>110.75</v>
      </c>
      <c r="D2622" s="110">
        <v>110.55</v>
      </c>
      <c r="E2622" s="110">
        <v>113.9</v>
      </c>
      <c r="F2622" s="110">
        <v>110.75</v>
      </c>
      <c r="G2622">
        <v>1250612</v>
      </c>
      <c r="H2622" s="110"/>
      <c r="I2622" s="110"/>
      <c r="L2622" s="133">
        <v>45863</v>
      </c>
      <c r="M2622" s="110">
        <v>110.76</v>
      </c>
      <c r="N2622" s="110">
        <v>115.7</v>
      </c>
      <c r="O2622" s="110">
        <v>110.5</v>
      </c>
      <c r="P2622" s="110">
        <v>113.86</v>
      </c>
      <c r="Q2622" s="110">
        <v>110.76</v>
      </c>
      <c r="R2622">
        <v>41767665</v>
      </c>
    </row>
    <row r="2623" spans="1:18" x14ac:dyDescent="0.25">
      <c r="A2623" s="133">
        <v>45866</v>
      </c>
      <c r="B2623" s="110">
        <v>112.8</v>
      </c>
      <c r="C2623" s="110">
        <v>110.45</v>
      </c>
      <c r="D2623" s="110">
        <v>109.95</v>
      </c>
      <c r="E2623" s="110">
        <v>110.75</v>
      </c>
      <c r="F2623" s="110">
        <v>110.45</v>
      </c>
      <c r="G2623">
        <v>569401</v>
      </c>
      <c r="H2623" s="110"/>
      <c r="I2623" s="110"/>
      <c r="L2623" s="133">
        <v>45866</v>
      </c>
      <c r="M2623" s="110">
        <v>110.41</v>
      </c>
      <c r="N2623" s="110">
        <v>112.84</v>
      </c>
      <c r="O2623" s="110">
        <v>109.89</v>
      </c>
      <c r="P2623" s="110">
        <v>110.7</v>
      </c>
      <c r="Q2623" s="110">
        <v>110.41</v>
      </c>
      <c r="R2623">
        <v>23234791</v>
      </c>
    </row>
    <row r="2624" spans="1:18" x14ac:dyDescent="0.25">
      <c r="A2624" s="133">
        <v>45867</v>
      </c>
      <c r="B2624" s="110">
        <v>111.15</v>
      </c>
      <c r="C2624" s="110">
        <v>110.05</v>
      </c>
      <c r="D2624" s="110">
        <v>109.45</v>
      </c>
      <c r="E2624" s="110">
        <v>110.45</v>
      </c>
      <c r="F2624" s="110">
        <v>110.05</v>
      </c>
      <c r="G2624">
        <v>1414321</v>
      </c>
      <c r="H2624" s="110"/>
      <c r="I2624" s="110"/>
      <c r="L2624" s="133">
        <v>45867</v>
      </c>
      <c r="M2624" s="110">
        <v>110.09</v>
      </c>
      <c r="N2624" s="110">
        <v>111.39</v>
      </c>
      <c r="O2624" s="110">
        <v>109.53</v>
      </c>
      <c r="P2624" s="110">
        <v>110.01</v>
      </c>
      <c r="Q2624" s="110">
        <v>110.09</v>
      </c>
      <c r="R2624">
        <v>32038885</v>
      </c>
    </row>
    <row r="2625" spans="1:18" x14ac:dyDescent="0.25">
      <c r="A2625" s="133">
        <v>45868</v>
      </c>
      <c r="B2625" s="110">
        <v>110.75</v>
      </c>
      <c r="C2625" s="110">
        <v>108.15</v>
      </c>
      <c r="D2625" s="110">
        <v>108.1</v>
      </c>
      <c r="E2625" s="110">
        <v>110.75</v>
      </c>
      <c r="F2625" s="110">
        <v>108.15</v>
      </c>
      <c r="G2625">
        <v>503288</v>
      </c>
      <c r="H2625" s="110"/>
      <c r="I2625" s="110"/>
      <c r="L2625" s="133">
        <v>45868</v>
      </c>
      <c r="M2625" s="110">
        <v>108.2</v>
      </c>
      <c r="N2625" s="110">
        <v>110.54</v>
      </c>
      <c r="O2625" s="110">
        <v>108.1</v>
      </c>
      <c r="P2625" s="110">
        <v>110.46</v>
      </c>
      <c r="Q2625" s="110">
        <v>108.2</v>
      </c>
      <c r="R2625">
        <v>23534777</v>
      </c>
    </row>
    <row r="2626" spans="1:18" x14ac:dyDescent="0.25">
      <c r="A2626" s="133">
        <v>45869</v>
      </c>
      <c r="B2626" s="110">
        <v>108.35</v>
      </c>
      <c r="C2626" s="110">
        <v>107.25</v>
      </c>
      <c r="D2626" s="110">
        <v>106.05</v>
      </c>
      <c r="E2626" s="110">
        <v>107</v>
      </c>
      <c r="F2626" s="110">
        <v>107.25</v>
      </c>
      <c r="G2626">
        <v>854509</v>
      </c>
      <c r="H2626" s="110"/>
      <c r="I2626" s="110"/>
      <c r="L2626" s="133">
        <v>45869</v>
      </c>
      <c r="M2626" s="110">
        <v>107.25</v>
      </c>
      <c r="N2626" s="110">
        <v>108.36</v>
      </c>
      <c r="O2626" s="110">
        <v>106.1</v>
      </c>
      <c r="P2626" s="110">
        <v>107.05</v>
      </c>
      <c r="Q2626" s="110">
        <v>107.25</v>
      </c>
      <c r="R2626">
        <v>48203474</v>
      </c>
    </row>
    <row r="2627" spans="1:18" x14ac:dyDescent="0.25">
      <c r="A2627" s="133">
        <v>45870</v>
      </c>
      <c r="B2627" s="110">
        <v>107.4</v>
      </c>
      <c r="C2627" s="110">
        <v>105.85</v>
      </c>
      <c r="D2627" s="110">
        <v>105.65</v>
      </c>
      <c r="E2627" s="110">
        <v>107.2</v>
      </c>
      <c r="F2627" s="110">
        <v>105.85</v>
      </c>
      <c r="G2627">
        <v>792811</v>
      </c>
      <c r="H2627" s="110"/>
      <c r="I2627" s="110"/>
      <c r="L2627" s="133">
        <v>45870</v>
      </c>
      <c r="M2627" s="110">
        <v>105.89</v>
      </c>
      <c r="N2627" s="110">
        <v>107.4</v>
      </c>
      <c r="O2627" s="110">
        <v>105.75</v>
      </c>
      <c r="P2627" s="110">
        <v>107.25</v>
      </c>
      <c r="Q2627" s="110">
        <v>105.89</v>
      </c>
      <c r="R2627">
        <v>13286442</v>
      </c>
    </row>
    <row r="2628" spans="1:18" x14ac:dyDescent="0.25">
      <c r="A2628" s="133">
        <v>45873</v>
      </c>
      <c r="B2628" s="110">
        <v>107.85</v>
      </c>
      <c r="C2628" s="110">
        <v>107.75</v>
      </c>
      <c r="D2628" s="110">
        <v>105.85</v>
      </c>
      <c r="E2628" s="110">
        <v>105.85</v>
      </c>
      <c r="F2628" s="110">
        <v>107.75</v>
      </c>
      <c r="G2628">
        <v>576184</v>
      </c>
      <c r="H2628" s="110"/>
      <c r="I2628" s="110"/>
      <c r="L2628" s="133">
        <v>45873</v>
      </c>
      <c r="M2628" s="110">
        <v>107.75</v>
      </c>
      <c r="N2628" s="110">
        <v>107.94</v>
      </c>
      <c r="O2628" s="110">
        <v>106</v>
      </c>
      <c r="P2628" s="110">
        <v>106</v>
      </c>
      <c r="Q2628" s="110">
        <v>107.75</v>
      </c>
      <c r="R2628">
        <v>21300202</v>
      </c>
    </row>
    <row r="2629" spans="1:18" x14ac:dyDescent="0.25">
      <c r="A2629" s="133">
        <v>45874</v>
      </c>
      <c r="B2629" s="110">
        <v>108.25</v>
      </c>
      <c r="C2629" s="110">
        <v>107.45</v>
      </c>
      <c r="D2629" s="110">
        <v>106.9</v>
      </c>
      <c r="E2629" s="110">
        <v>107.95</v>
      </c>
      <c r="F2629" s="110">
        <v>107.45</v>
      </c>
      <c r="G2629">
        <v>646078</v>
      </c>
      <c r="H2629" s="110"/>
      <c r="I2629" s="110"/>
      <c r="L2629" s="133">
        <v>45874</v>
      </c>
      <c r="M2629" s="110">
        <v>107.46</v>
      </c>
      <c r="N2629" s="110">
        <v>108.3</v>
      </c>
      <c r="O2629" s="110">
        <v>106.9</v>
      </c>
      <c r="P2629" s="110">
        <v>107.75</v>
      </c>
      <c r="Q2629" s="110">
        <v>107.46</v>
      </c>
      <c r="R2629">
        <v>11549473</v>
      </c>
    </row>
    <row r="2630" spans="1:18" x14ac:dyDescent="0.25">
      <c r="A2630" s="133">
        <v>45875</v>
      </c>
      <c r="B2630" s="110">
        <v>110</v>
      </c>
      <c r="C2630" s="110">
        <v>108.75</v>
      </c>
      <c r="D2630" s="110">
        <v>106.15</v>
      </c>
      <c r="E2630" s="110">
        <v>107.85</v>
      </c>
      <c r="F2630" s="110">
        <v>108.75</v>
      </c>
      <c r="G2630">
        <v>615772</v>
      </c>
      <c r="H2630" s="110"/>
      <c r="I2630" s="110"/>
      <c r="L2630" s="133">
        <v>45875</v>
      </c>
      <c r="M2630" s="110">
        <v>108.77</v>
      </c>
      <c r="N2630" s="110">
        <v>110</v>
      </c>
      <c r="O2630" s="110">
        <v>106.11</v>
      </c>
      <c r="P2630" s="110">
        <v>107.99</v>
      </c>
      <c r="Q2630" s="110">
        <v>108.77</v>
      </c>
      <c r="R2630">
        <v>40662042</v>
      </c>
    </row>
    <row r="2631" spans="1:18" x14ac:dyDescent="0.25">
      <c r="A2631" s="133">
        <v>45876</v>
      </c>
      <c r="B2631" s="110">
        <v>109.2</v>
      </c>
      <c r="C2631" s="110">
        <v>108.8</v>
      </c>
      <c r="D2631" s="110">
        <v>106.75</v>
      </c>
      <c r="E2631" s="110">
        <v>108.15</v>
      </c>
      <c r="F2631" s="110">
        <v>108.8</v>
      </c>
      <c r="G2631">
        <v>379683</v>
      </c>
      <c r="H2631" s="110"/>
      <c r="I2631" s="110"/>
      <c r="L2631" s="133">
        <v>45876</v>
      </c>
      <c r="M2631" s="110">
        <v>108.8</v>
      </c>
      <c r="N2631" s="110">
        <v>109.19</v>
      </c>
      <c r="O2631" s="110">
        <v>106.75</v>
      </c>
      <c r="P2631" s="110">
        <v>108.5</v>
      </c>
      <c r="Q2631" s="110">
        <v>108.8</v>
      </c>
      <c r="R2631">
        <v>12014876</v>
      </c>
    </row>
    <row r="2632" spans="1:18" x14ac:dyDescent="0.25">
      <c r="A2632" s="133">
        <v>45877</v>
      </c>
      <c r="B2632" s="110">
        <v>109</v>
      </c>
      <c r="C2632" s="110">
        <v>107.8</v>
      </c>
      <c r="D2632" s="110">
        <v>107.5</v>
      </c>
      <c r="E2632" s="110">
        <v>108.8</v>
      </c>
      <c r="F2632" s="110">
        <v>107.8</v>
      </c>
      <c r="G2632">
        <v>1816084</v>
      </c>
      <c r="H2632" s="110"/>
      <c r="I2632" s="110"/>
      <c r="L2632" s="133">
        <v>45877</v>
      </c>
      <c r="M2632" s="110">
        <v>107.89</v>
      </c>
      <c r="N2632" s="110">
        <v>109.02</v>
      </c>
      <c r="O2632" s="110">
        <v>107.54</v>
      </c>
      <c r="P2632" s="110">
        <v>108.8</v>
      </c>
      <c r="Q2632" s="110">
        <v>107.89</v>
      </c>
      <c r="R2632">
        <v>14136544</v>
      </c>
    </row>
    <row r="2633" spans="1:18" x14ac:dyDescent="0.25">
      <c r="A2633" s="133">
        <v>45880</v>
      </c>
      <c r="B2633" s="110">
        <v>109.9</v>
      </c>
      <c r="C2633" s="110">
        <v>109.4</v>
      </c>
      <c r="D2633" s="110">
        <v>107.4</v>
      </c>
      <c r="E2633" s="110">
        <v>107.8</v>
      </c>
      <c r="F2633" s="110">
        <v>109.4</v>
      </c>
      <c r="G2633">
        <v>750647</v>
      </c>
      <c r="H2633" s="110"/>
      <c r="I2633" s="110"/>
      <c r="L2633" s="133">
        <v>45880</v>
      </c>
      <c r="M2633" s="110">
        <v>109.48</v>
      </c>
      <c r="N2633" s="110">
        <v>109.89</v>
      </c>
      <c r="O2633" s="110">
        <v>107.3</v>
      </c>
      <c r="P2633" s="110">
        <v>107.8</v>
      </c>
      <c r="Q2633" s="110">
        <v>109.48</v>
      </c>
      <c r="R2633">
        <v>16773203</v>
      </c>
    </row>
    <row r="2634" spans="1:18" x14ac:dyDescent="0.25">
      <c r="A2634" s="133">
        <v>45881</v>
      </c>
      <c r="B2634" s="110">
        <v>110.25</v>
      </c>
      <c r="C2634" s="110">
        <v>109.55</v>
      </c>
      <c r="D2634" s="110">
        <v>109</v>
      </c>
      <c r="E2634" s="110">
        <v>109.7</v>
      </c>
      <c r="F2634" s="110">
        <v>109.55</v>
      </c>
      <c r="G2634">
        <v>278636</v>
      </c>
      <c r="H2634" s="110"/>
      <c r="I2634" s="110"/>
      <c r="L2634" s="133">
        <v>45881</v>
      </c>
      <c r="M2634" s="110">
        <v>109.55</v>
      </c>
      <c r="N2634" s="110">
        <v>110.25</v>
      </c>
      <c r="O2634" s="110">
        <v>109.04</v>
      </c>
      <c r="P2634" s="110">
        <v>109.69</v>
      </c>
      <c r="Q2634" s="110">
        <v>109.55</v>
      </c>
      <c r="R2634">
        <v>10606131</v>
      </c>
    </row>
    <row r="2635" spans="1:18" x14ac:dyDescent="0.25">
      <c r="A2635" s="133">
        <v>45882</v>
      </c>
      <c r="B2635" s="110">
        <v>110.5</v>
      </c>
      <c r="C2635" s="110">
        <v>108.9</v>
      </c>
      <c r="D2635" s="110">
        <v>108.5</v>
      </c>
      <c r="E2635" s="110">
        <v>110.2</v>
      </c>
      <c r="F2635" s="110">
        <v>108.9</v>
      </c>
      <c r="G2635">
        <v>728323</v>
      </c>
      <c r="H2635" s="110"/>
      <c r="I2635" s="110"/>
      <c r="L2635" s="133">
        <v>45882</v>
      </c>
      <c r="M2635" s="110">
        <v>108.99</v>
      </c>
      <c r="N2635" s="110">
        <v>110.49</v>
      </c>
      <c r="O2635" s="110">
        <v>108.55</v>
      </c>
      <c r="P2635" s="110">
        <v>109.8</v>
      </c>
      <c r="Q2635" s="110">
        <v>108.99</v>
      </c>
      <c r="R2635">
        <v>12096926</v>
      </c>
    </row>
    <row r="2636" spans="1:18" x14ac:dyDescent="0.25">
      <c r="A2636" s="133">
        <v>45883</v>
      </c>
      <c r="B2636" s="110">
        <v>109.85</v>
      </c>
      <c r="C2636" s="110">
        <v>109.25</v>
      </c>
      <c r="D2636" s="110">
        <v>108.45</v>
      </c>
      <c r="E2636" s="110">
        <v>109.25</v>
      </c>
      <c r="F2636" s="110">
        <v>109.25</v>
      </c>
      <c r="G2636">
        <v>1053154</v>
      </c>
      <c r="H2636" s="110"/>
      <c r="I2636" s="110"/>
      <c r="L2636" s="133">
        <v>45883</v>
      </c>
      <c r="M2636" s="110">
        <v>109.26</v>
      </c>
      <c r="N2636" s="110">
        <v>109.88</v>
      </c>
      <c r="O2636" s="110">
        <v>108.63</v>
      </c>
      <c r="P2636" s="110">
        <v>109.5</v>
      </c>
      <c r="Q2636" s="110">
        <v>109.26</v>
      </c>
      <c r="R2636">
        <v>10879799</v>
      </c>
    </row>
    <row r="2637" spans="1:18" x14ac:dyDescent="0.25">
      <c r="A2637" s="133">
        <v>45887</v>
      </c>
      <c r="B2637" s="110">
        <v>110.5</v>
      </c>
      <c r="C2637" s="110">
        <v>109.3</v>
      </c>
      <c r="D2637" s="110">
        <v>108.9</v>
      </c>
      <c r="E2637" s="110">
        <v>110.1</v>
      </c>
      <c r="F2637" s="110">
        <v>109.3</v>
      </c>
      <c r="G2637">
        <v>1208994</v>
      </c>
      <c r="H2637" s="110"/>
      <c r="I2637" s="110"/>
      <c r="L2637" s="133">
        <v>45887</v>
      </c>
      <c r="M2637" s="110">
        <v>109.34</v>
      </c>
      <c r="N2637" s="110">
        <v>110.42</v>
      </c>
      <c r="O2637" s="110">
        <v>108.9</v>
      </c>
      <c r="P2637" s="110">
        <v>110</v>
      </c>
      <c r="Q2637" s="110">
        <v>109.34</v>
      </c>
      <c r="R2637">
        <v>15704185</v>
      </c>
    </row>
    <row r="2638" spans="1:18" x14ac:dyDescent="0.25">
      <c r="A2638" s="133">
        <v>45888</v>
      </c>
      <c r="B2638" s="110">
        <v>111.85</v>
      </c>
      <c r="C2638" s="110">
        <v>111.65</v>
      </c>
      <c r="D2638" s="110">
        <v>109.25</v>
      </c>
      <c r="E2638" s="110">
        <v>109.35</v>
      </c>
      <c r="F2638" s="110">
        <v>111.65</v>
      </c>
      <c r="G2638">
        <v>1687419</v>
      </c>
      <c r="H2638" s="110"/>
      <c r="I2638" s="110"/>
      <c r="L2638" s="133">
        <v>45888</v>
      </c>
      <c r="M2638" s="110">
        <v>111.67</v>
      </c>
      <c r="N2638" s="110">
        <v>111.9</v>
      </c>
      <c r="O2638" s="110">
        <v>109.05</v>
      </c>
      <c r="P2638" s="110">
        <v>109.5</v>
      </c>
      <c r="Q2638" s="110">
        <v>111.67</v>
      </c>
      <c r="R2638">
        <v>20003557</v>
      </c>
    </row>
    <row r="2639" spans="1:18" x14ac:dyDescent="0.25">
      <c r="A2639" s="133">
        <v>45889</v>
      </c>
      <c r="B2639" s="110">
        <v>112.7</v>
      </c>
      <c r="C2639" s="110">
        <v>112.25</v>
      </c>
      <c r="D2639" s="110">
        <v>111.7</v>
      </c>
      <c r="E2639" s="110">
        <v>111.7</v>
      </c>
      <c r="F2639" s="110">
        <v>112.25</v>
      </c>
      <c r="G2639">
        <v>969967</v>
      </c>
      <c r="H2639" s="110"/>
      <c r="I2639" s="110"/>
      <c r="L2639" s="133">
        <v>45889</v>
      </c>
      <c r="M2639" s="110">
        <v>112.28</v>
      </c>
      <c r="N2639" s="110">
        <v>112.71</v>
      </c>
      <c r="O2639" s="110">
        <v>111.7</v>
      </c>
      <c r="P2639" s="110">
        <v>112</v>
      </c>
      <c r="Q2639" s="110">
        <v>112.28</v>
      </c>
      <c r="R2639">
        <v>14596666</v>
      </c>
    </row>
    <row r="2640" spans="1:18" x14ac:dyDescent="0.25">
      <c r="A2640" s="133">
        <v>45890</v>
      </c>
      <c r="B2640" s="110">
        <v>113</v>
      </c>
      <c r="C2640" s="110">
        <v>111.05</v>
      </c>
      <c r="D2640" s="110">
        <v>110.9</v>
      </c>
      <c r="E2640" s="110">
        <v>113</v>
      </c>
      <c r="F2640" s="110">
        <v>111.05</v>
      </c>
      <c r="G2640">
        <v>1150825</v>
      </c>
      <c r="H2640" s="110"/>
      <c r="I2640" s="110"/>
      <c r="L2640" s="133">
        <v>45890</v>
      </c>
      <c r="M2640" s="110">
        <v>111.07</v>
      </c>
      <c r="N2640" s="110">
        <v>113</v>
      </c>
      <c r="O2640" s="110">
        <v>110.98</v>
      </c>
      <c r="P2640" s="110">
        <v>112.7</v>
      </c>
      <c r="Q2640" s="110">
        <v>111.07</v>
      </c>
      <c r="R2640">
        <v>13162672</v>
      </c>
    </row>
    <row r="2641" spans="1:18" x14ac:dyDescent="0.25">
      <c r="A2641" s="133">
        <v>45891</v>
      </c>
      <c r="B2641" s="110">
        <v>111.75</v>
      </c>
      <c r="C2641" s="110">
        <v>109.95</v>
      </c>
      <c r="D2641" s="110">
        <v>109.8</v>
      </c>
      <c r="E2641" s="110">
        <v>111.1</v>
      </c>
      <c r="F2641" s="110">
        <v>109.95</v>
      </c>
      <c r="G2641">
        <v>201280</v>
      </c>
      <c r="H2641" s="110"/>
      <c r="I2641" s="110"/>
      <c r="L2641" s="133">
        <v>45891</v>
      </c>
      <c r="M2641" s="110">
        <v>109.93</v>
      </c>
      <c r="N2641" s="110">
        <v>111.78</v>
      </c>
      <c r="O2641" s="110">
        <v>109.8</v>
      </c>
      <c r="P2641" s="110">
        <v>111.06</v>
      </c>
      <c r="Q2641" s="110">
        <v>109.93</v>
      </c>
      <c r="R2641">
        <v>12854408</v>
      </c>
    </row>
    <row r="2642" spans="1:18" x14ac:dyDescent="0.25">
      <c r="A2642" s="133">
        <v>45894</v>
      </c>
      <c r="B2642" s="110">
        <v>111</v>
      </c>
      <c r="C2642" s="110">
        <v>108.85</v>
      </c>
      <c r="D2642" s="110">
        <v>108.65</v>
      </c>
      <c r="E2642" s="110">
        <v>110.7</v>
      </c>
      <c r="F2642" s="110">
        <v>108.85</v>
      </c>
      <c r="G2642">
        <v>605989</v>
      </c>
      <c r="H2642" s="110"/>
      <c r="I2642" s="110"/>
      <c r="L2642" s="133">
        <v>45894</v>
      </c>
      <c r="M2642" s="110">
        <v>108.82</v>
      </c>
      <c r="N2642" s="110">
        <v>110.98</v>
      </c>
      <c r="O2642" s="110">
        <v>108.51</v>
      </c>
      <c r="P2642" s="110">
        <v>110</v>
      </c>
      <c r="Q2642" s="110">
        <v>108.82</v>
      </c>
      <c r="R2642">
        <v>16134641</v>
      </c>
    </row>
    <row r="2643" spans="1:18" x14ac:dyDescent="0.25">
      <c r="A2643" s="133">
        <v>45895</v>
      </c>
      <c r="B2643" s="110">
        <v>109.1</v>
      </c>
      <c r="C2643" s="110">
        <v>106</v>
      </c>
      <c r="D2643" s="110">
        <v>105.8</v>
      </c>
      <c r="E2643" s="110">
        <v>108.7</v>
      </c>
      <c r="F2643" s="110">
        <v>106</v>
      </c>
      <c r="G2643">
        <v>690048</v>
      </c>
      <c r="H2643" s="110"/>
      <c r="I2643" s="110"/>
      <c r="L2643" s="133">
        <v>45895</v>
      </c>
      <c r="M2643" s="110">
        <v>106.01</v>
      </c>
      <c r="N2643" s="110">
        <v>109.06</v>
      </c>
      <c r="O2643" s="110">
        <v>105.83</v>
      </c>
      <c r="P2643" s="110">
        <v>108.82</v>
      </c>
      <c r="Q2643" s="110">
        <v>106.01</v>
      </c>
      <c r="R2643">
        <v>27014374</v>
      </c>
    </row>
    <row r="2644" spans="1:18" x14ac:dyDescent="0.25">
      <c r="A2644" s="133">
        <v>45897</v>
      </c>
      <c r="B2644" s="110">
        <v>106.3</v>
      </c>
      <c r="C2644" s="110">
        <v>104.7</v>
      </c>
      <c r="D2644" s="110">
        <v>104.5</v>
      </c>
      <c r="E2644" s="110">
        <v>106</v>
      </c>
      <c r="F2644" s="110">
        <v>104.7</v>
      </c>
      <c r="G2644">
        <v>326021</v>
      </c>
      <c r="H2644" s="110"/>
      <c r="I2644" s="110"/>
      <c r="L2644" s="133">
        <v>45897</v>
      </c>
      <c r="M2644" s="110">
        <v>104.63</v>
      </c>
      <c r="N2644" s="110">
        <v>106.49</v>
      </c>
      <c r="O2644" s="110">
        <v>104.5</v>
      </c>
      <c r="P2644" s="110">
        <v>106.05</v>
      </c>
      <c r="Q2644" s="110">
        <v>104.63</v>
      </c>
      <c r="R2644">
        <v>14184569</v>
      </c>
    </row>
    <row r="2645" spans="1:18" x14ac:dyDescent="0.25">
      <c r="A2645" s="133">
        <v>45898</v>
      </c>
      <c r="B2645" s="110">
        <v>105.2</v>
      </c>
      <c r="C2645" s="110">
        <v>103.8</v>
      </c>
      <c r="D2645" s="110">
        <v>103.5</v>
      </c>
      <c r="E2645" s="110">
        <v>104.45</v>
      </c>
      <c r="F2645" s="110">
        <v>103.8</v>
      </c>
      <c r="G2645">
        <v>842742</v>
      </c>
      <c r="H2645" s="110"/>
      <c r="I2645" s="110"/>
      <c r="L2645" s="133">
        <v>45898</v>
      </c>
      <c r="M2645" s="110">
        <v>103.83</v>
      </c>
      <c r="N2645" s="110">
        <v>105.18</v>
      </c>
      <c r="O2645" s="110">
        <v>103.55</v>
      </c>
      <c r="P2645" s="110">
        <v>104.44</v>
      </c>
      <c r="Q2645" s="110">
        <v>103.83</v>
      </c>
      <c r="R2645">
        <v>13999620</v>
      </c>
    </row>
    <row r="2646" spans="1:18" x14ac:dyDescent="0.25">
      <c r="A2646" s="133">
        <v>45901</v>
      </c>
      <c r="B2646" s="110">
        <v>105.25</v>
      </c>
      <c r="C2646" s="110">
        <v>105.15</v>
      </c>
      <c r="D2646" s="110">
        <v>104</v>
      </c>
      <c r="E2646" s="110">
        <v>104</v>
      </c>
      <c r="F2646" s="110">
        <v>105.15</v>
      </c>
      <c r="G2646">
        <v>337110</v>
      </c>
      <c r="H2646" s="110"/>
      <c r="I2646" s="110"/>
      <c r="L2646" s="133">
        <v>45901</v>
      </c>
      <c r="M2646" s="110">
        <v>105.14</v>
      </c>
      <c r="N2646" s="110">
        <v>105.26</v>
      </c>
      <c r="O2646" s="110">
        <v>104</v>
      </c>
      <c r="P2646" s="110">
        <v>104</v>
      </c>
      <c r="Q2646" s="110">
        <v>105.14</v>
      </c>
      <c r="R2646">
        <v>9174103</v>
      </c>
    </row>
    <row r="2647" spans="1:18" x14ac:dyDescent="0.25">
      <c r="A2647" s="133">
        <v>45902</v>
      </c>
      <c r="B2647" s="110">
        <v>107</v>
      </c>
      <c r="C2647" s="110">
        <v>106.15</v>
      </c>
      <c r="D2647" s="110">
        <v>104.75</v>
      </c>
      <c r="E2647" s="110">
        <v>105.55</v>
      </c>
      <c r="F2647" s="110">
        <v>106.15</v>
      </c>
      <c r="G2647">
        <v>552181</v>
      </c>
      <c r="H2647" s="110"/>
      <c r="I2647" s="110"/>
      <c r="L2647" s="133">
        <v>45902</v>
      </c>
      <c r="M2647" s="110">
        <v>106.16</v>
      </c>
      <c r="N2647" s="110">
        <v>107</v>
      </c>
      <c r="O2647" s="110">
        <v>104.75</v>
      </c>
      <c r="P2647" s="110">
        <v>105.4</v>
      </c>
      <c r="Q2647" s="110">
        <v>106.16</v>
      </c>
      <c r="R2647">
        <v>9179806</v>
      </c>
    </row>
    <row r="2648" spans="1:18" x14ac:dyDescent="0.25">
      <c r="A2648" s="133">
        <v>45903</v>
      </c>
      <c r="B2648" s="110">
        <v>108.5</v>
      </c>
      <c r="C2648" s="110">
        <v>108.35</v>
      </c>
      <c r="D2648" s="110">
        <v>106.05</v>
      </c>
      <c r="E2648" s="110">
        <v>106.05</v>
      </c>
      <c r="F2648" s="110">
        <v>108.35</v>
      </c>
      <c r="G2648">
        <v>395402</v>
      </c>
      <c r="H2648" s="110"/>
      <c r="I2648" s="110"/>
      <c r="L2648" s="133">
        <v>45903</v>
      </c>
      <c r="M2648" s="110">
        <v>108.33</v>
      </c>
      <c r="N2648" s="110">
        <v>108.48</v>
      </c>
      <c r="O2648" s="110">
        <v>106.11</v>
      </c>
      <c r="P2648" s="110">
        <v>106.45</v>
      </c>
      <c r="Q2648" s="110">
        <v>108.33</v>
      </c>
      <c r="R2648">
        <v>12012180</v>
      </c>
    </row>
    <row r="2649" spans="1:18" x14ac:dyDescent="0.25">
      <c r="A2649" s="133">
        <v>45904</v>
      </c>
      <c r="B2649" s="110">
        <v>109.25</v>
      </c>
      <c r="C2649" s="110">
        <v>106.1</v>
      </c>
      <c r="D2649" s="110">
        <v>105.9</v>
      </c>
      <c r="E2649" s="110">
        <v>108.9</v>
      </c>
      <c r="F2649" s="110">
        <v>106.1</v>
      </c>
      <c r="G2649">
        <v>481158</v>
      </c>
      <c r="H2649" s="110"/>
      <c r="I2649" s="110"/>
      <c r="L2649" s="133">
        <v>45904</v>
      </c>
      <c r="M2649" s="110">
        <v>106.08</v>
      </c>
      <c r="N2649" s="110">
        <v>109.2</v>
      </c>
      <c r="O2649" s="110">
        <v>105.94</v>
      </c>
      <c r="P2649" s="110">
        <v>108.9</v>
      </c>
      <c r="Q2649" s="110">
        <v>106.08</v>
      </c>
      <c r="R2649">
        <v>12953562</v>
      </c>
    </row>
    <row r="2650" spans="1:18" x14ac:dyDescent="0.25">
      <c r="A2650" s="133">
        <v>45905</v>
      </c>
      <c r="B2650" s="110">
        <v>107.45</v>
      </c>
      <c r="C2650" s="110">
        <v>107.15</v>
      </c>
      <c r="D2650" s="110">
        <v>105.65</v>
      </c>
      <c r="E2650" s="110">
        <v>106.15</v>
      </c>
      <c r="F2650" s="110">
        <v>107.15</v>
      </c>
      <c r="G2650">
        <v>580226</v>
      </c>
      <c r="H2650" s="110"/>
      <c r="I2650" s="110"/>
      <c r="L2650" s="133">
        <v>45905</v>
      </c>
      <c r="M2650" s="110">
        <v>107.14</v>
      </c>
      <c r="N2650" s="110">
        <v>107.63</v>
      </c>
      <c r="O2650" s="110">
        <v>105.61</v>
      </c>
      <c r="P2650" s="110">
        <v>106.3</v>
      </c>
      <c r="Q2650" s="110">
        <v>107.14</v>
      </c>
      <c r="R2650">
        <v>8009273</v>
      </c>
    </row>
    <row r="2651" spans="1:18" x14ac:dyDescent="0.25">
      <c r="A2651" s="133">
        <v>45908</v>
      </c>
      <c r="B2651" s="110">
        <v>108.65</v>
      </c>
      <c r="C2651" s="110">
        <v>108.1</v>
      </c>
      <c r="D2651" s="110">
        <v>107.15</v>
      </c>
      <c r="E2651" s="110">
        <v>107.25</v>
      </c>
      <c r="F2651" s="110">
        <v>108.1</v>
      </c>
      <c r="G2651">
        <v>625733</v>
      </c>
      <c r="H2651" s="110"/>
      <c r="I2651" s="110"/>
      <c r="L2651" s="133">
        <v>45908</v>
      </c>
      <c r="M2651" s="110">
        <v>108.11</v>
      </c>
      <c r="N2651" s="110">
        <v>108.65</v>
      </c>
      <c r="O2651" s="110">
        <v>107.12</v>
      </c>
      <c r="P2651" s="110">
        <v>107.49</v>
      </c>
      <c r="Q2651" s="110">
        <v>108.11</v>
      </c>
      <c r="R2651">
        <v>8138600</v>
      </c>
    </row>
    <row r="2652" spans="1:18" x14ac:dyDescent="0.25">
      <c r="A2652" s="133">
        <v>45909</v>
      </c>
      <c r="B2652" s="110">
        <v>108.75</v>
      </c>
      <c r="C2652" s="110">
        <v>108.05</v>
      </c>
      <c r="D2652" s="110">
        <v>107.35</v>
      </c>
      <c r="E2652" s="110">
        <v>108.1</v>
      </c>
      <c r="F2652" s="110">
        <v>108.05</v>
      </c>
      <c r="G2652">
        <v>178877</v>
      </c>
      <c r="H2652" s="110"/>
      <c r="I2652" s="110"/>
      <c r="L2652" s="133">
        <v>45909</v>
      </c>
      <c r="M2652" s="110">
        <v>108.04</v>
      </c>
      <c r="N2652" s="110">
        <v>108.8</v>
      </c>
      <c r="O2652" s="110">
        <v>107.36</v>
      </c>
      <c r="P2652" s="110">
        <v>108.11</v>
      </c>
      <c r="Q2652" s="110">
        <v>108.04</v>
      </c>
      <c r="R2652">
        <v>7104394</v>
      </c>
    </row>
    <row r="2653" spans="1:18" x14ac:dyDescent="0.25">
      <c r="A2653" s="133">
        <v>45910</v>
      </c>
      <c r="B2653" s="110">
        <v>111.25</v>
      </c>
      <c r="C2653" s="110">
        <v>110.65</v>
      </c>
      <c r="D2653" s="110">
        <v>108.1</v>
      </c>
      <c r="E2653" s="110">
        <v>108.1</v>
      </c>
      <c r="F2653" s="110">
        <v>110.65</v>
      </c>
      <c r="G2653">
        <v>1604426</v>
      </c>
      <c r="H2653" s="110"/>
      <c r="I2653" s="110"/>
      <c r="L2653" s="133">
        <v>45910</v>
      </c>
      <c r="M2653" s="110">
        <v>110.64</v>
      </c>
      <c r="N2653" s="110">
        <v>111.25</v>
      </c>
      <c r="O2653" s="110">
        <v>108.25</v>
      </c>
      <c r="P2653" s="110">
        <v>108.25</v>
      </c>
      <c r="Q2653" s="110">
        <v>110.64</v>
      </c>
      <c r="R2653">
        <v>18306308</v>
      </c>
    </row>
    <row r="2654" spans="1:18" x14ac:dyDescent="0.25">
      <c r="A2654" s="133">
        <v>45911</v>
      </c>
      <c r="B2654" s="110">
        <v>113.35</v>
      </c>
      <c r="C2654" s="110">
        <v>112.05</v>
      </c>
      <c r="D2654" s="110">
        <v>110.6</v>
      </c>
      <c r="E2654" s="110">
        <v>110.95</v>
      </c>
      <c r="F2654" s="110">
        <v>112.05</v>
      </c>
      <c r="G2654">
        <v>1128452</v>
      </c>
      <c r="H2654" s="110"/>
      <c r="I2654" s="110"/>
      <c r="L2654" s="133">
        <v>45911</v>
      </c>
      <c r="M2654" s="110">
        <v>112.07</v>
      </c>
      <c r="N2654" s="110">
        <v>113.4</v>
      </c>
      <c r="O2654" s="110">
        <v>110.64</v>
      </c>
      <c r="P2654" s="110">
        <v>111.07</v>
      </c>
      <c r="Q2654" s="110">
        <v>112.07</v>
      </c>
      <c r="R2654">
        <v>18795548</v>
      </c>
    </row>
    <row r="2655" spans="1:18" x14ac:dyDescent="0.25">
      <c r="A2655" s="133">
        <v>45912</v>
      </c>
      <c r="B2655" s="110">
        <v>113.05</v>
      </c>
      <c r="C2655" s="110">
        <v>110.95</v>
      </c>
      <c r="D2655" s="110">
        <v>110.8</v>
      </c>
      <c r="E2655" s="110">
        <v>113.05</v>
      </c>
      <c r="F2655" s="110">
        <v>110.95</v>
      </c>
      <c r="G2655">
        <v>369909</v>
      </c>
      <c r="H2655" s="110"/>
      <c r="I2655" s="110"/>
      <c r="L2655" s="133">
        <v>45912</v>
      </c>
      <c r="M2655" s="110">
        <v>110.96</v>
      </c>
      <c r="N2655" s="110">
        <v>112.89</v>
      </c>
      <c r="O2655" s="110">
        <v>110.79</v>
      </c>
      <c r="P2655" s="110">
        <v>112.88</v>
      </c>
      <c r="Q2655" s="110">
        <v>110.96</v>
      </c>
      <c r="R2655">
        <v>10893570</v>
      </c>
    </row>
    <row r="2656" spans="1:18" x14ac:dyDescent="0.25">
      <c r="A2656" s="133">
        <v>45915</v>
      </c>
      <c r="B2656" s="110">
        <v>112.95</v>
      </c>
      <c r="C2656" s="110">
        <v>112.5</v>
      </c>
      <c r="D2656" s="110">
        <v>111.2</v>
      </c>
      <c r="E2656" s="110">
        <v>111.6</v>
      </c>
      <c r="F2656" s="110">
        <v>112.5</v>
      </c>
      <c r="G2656">
        <v>365593</v>
      </c>
      <c r="H2656" s="110"/>
      <c r="I2656" s="110"/>
      <c r="L2656" s="133">
        <v>45915</v>
      </c>
      <c r="M2656" s="110">
        <v>112.51</v>
      </c>
      <c r="N2656" s="110">
        <v>113</v>
      </c>
      <c r="O2656" s="110">
        <v>111.21</v>
      </c>
      <c r="P2656" s="110">
        <v>111.49</v>
      </c>
      <c r="Q2656" s="110">
        <v>112.51</v>
      </c>
      <c r="R2656">
        <v>9013604</v>
      </c>
    </row>
    <row r="2657" spans="1:18" x14ac:dyDescent="0.25">
      <c r="A2657" s="133">
        <v>45916</v>
      </c>
      <c r="B2657" s="110">
        <v>113.85</v>
      </c>
      <c r="C2657" s="110">
        <v>113.25</v>
      </c>
      <c r="D2657" s="110">
        <v>112.5</v>
      </c>
      <c r="E2657" s="110">
        <v>113.65</v>
      </c>
      <c r="F2657" s="110">
        <v>113.25</v>
      </c>
      <c r="G2657">
        <v>652590</v>
      </c>
      <c r="H2657" s="110"/>
      <c r="I2657" s="110"/>
      <c r="L2657" s="133">
        <v>45916</v>
      </c>
      <c r="M2657" s="110">
        <v>113.23</v>
      </c>
      <c r="N2657" s="110">
        <v>113.86</v>
      </c>
      <c r="O2657" s="110">
        <v>112.51</v>
      </c>
      <c r="P2657" s="110">
        <v>113.45</v>
      </c>
      <c r="Q2657" s="110">
        <v>113.23</v>
      </c>
      <c r="R2657">
        <v>15104682</v>
      </c>
    </row>
    <row r="2658" spans="1:18" x14ac:dyDescent="0.25">
      <c r="A2658" s="133">
        <v>45917</v>
      </c>
      <c r="B2658" s="110">
        <v>116.35</v>
      </c>
      <c r="C2658" s="110">
        <v>116.25</v>
      </c>
      <c r="D2658" s="110">
        <v>112.95</v>
      </c>
      <c r="E2658" s="110">
        <v>113.3</v>
      </c>
      <c r="F2658" s="110">
        <v>116.25</v>
      </c>
      <c r="G2658">
        <v>4815803</v>
      </c>
      <c r="H2658" s="110"/>
      <c r="I2658" s="110"/>
      <c r="L2658" s="133">
        <v>45917</v>
      </c>
      <c r="M2658" s="110">
        <v>116.25</v>
      </c>
      <c r="N2658" s="110">
        <v>116.39</v>
      </c>
      <c r="O2658" s="110">
        <v>113.01</v>
      </c>
      <c r="P2658" s="110">
        <v>113.44</v>
      </c>
      <c r="Q2658" s="110">
        <v>116.25</v>
      </c>
      <c r="R2658">
        <v>34943043</v>
      </c>
    </row>
    <row r="2659" spans="1:18" x14ac:dyDescent="0.25">
      <c r="A2659" s="133">
        <v>45918</v>
      </c>
      <c r="B2659" s="110">
        <v>117.65</v>
      </c>
      <c r="C2659" s="110">
        <v>115.4</v>
      </c>
      <c r="D2659" s="110">
        <v>114.65</v>
      </c>
      <c r="E2659" s="110">
        <v>116.7</v>
      </c>
      <c r="F2659" s="110">
        <v>115.4</v>
      </c>
      <c r="G2659">
        <v>2330049</v>
      </c>
      <c r="H2659" s="110"/>
      <c r="I2659" s="110"/>
      <c r="L2659" s="133">
        <v>45918</v>
      </c>
      <c r="M2659" s="110">
        <v>115.41</v>
      </c>
      <c r="N2659" s="110">
        <v>117.7</v>
      </c>
      <c r="O2659" s="110">
        <v>114.7</v>
      </c>
      <c r="P2659" s="110">
        <v>116.9</v>
      </c>
      <c r="Q2659" s="110">
        <v>115.41</v>
      </c>
      <c r="R2659">
        <v>26965142</v>
      </c>
    </row>
    <row r="2660" spans="1:18" x14ac:dyDescent="0.25">
      <c r="A2660" s="133">
        <v>45919</v>
      </c>
      <c r="B2660" s="110">
        <v>118.45</v>
      </c>
      <c r="C2660" s="110">
        <v>117.7</v>
      </c>
      <c r="D2660" s="110">
        <v>115.5</v>
      </c>
      <c r="E2660" s="110">
        <v>115.5</v>
      </c>
      <c r="F2660" s="110">
        <v>117.7</v>
      </c>
      <c r="G2660">
        <v>2428345</v>
      </c>
      <c r="H2660" s="110"/>
      <c r="I2660" s="110"/>
      <c r="L2660" s="133">
        <v>45919</v>
      </c>
      <c r="M2660" s="110">
        <v>117.76</v>
      </c>
      <c r="N2660" s="110">
        <v>118.4</v>
      </c>
      <c r="O2660" s="110">
        <v>115.55</v>
      </c>
      <c r="P2660" s="110">
        <v>115.7</v>
      </c>
      <c r="Q2660" s="110">
        <v>117.76</v>
      </c>
      <c r="R2660">
        <v>46393129</v>
      </c>
    </row>
    <row r="2661" spans="1:18" x14ac:dyDescent="0.25">
      <c r="A2661" s="133">
        <v>45922</v>
      </c>
      <c r="B2661" s="110">
        <v>119.7</v>
      </c>
      <c r="C2661" s="110">
        <v>118.85</v>
      </c>
      <c r="D2661" s="110">
        <v>117.3</v>
      </c>
      <c r="E2661" s="110">
        <v>117.7</v>
      </c>
      <c r="F2661" s="110">
        <v>118.85</v>
      </c>
      <c r="G2661">
        <v>3045298</v>
      </c>
      <c r="H2661" s="110"/>
      <c r="I2661" s="110"/>
      <c r="L2661" s="133">
        <v>45922</v>
      </c>
      <c r="M2661" s="110">
        <v>118.87</v>
      </c>
      <c r="N2661" s="110">
        <v>119.72</v>
      </c>
      <c r="O2661" s="110">
        <v>117.3</v>
      </c>
      <c r="P2661" s="110">
        <v>117.64</v>
      </c>
      <c r="Q2661" s="110">
        <v>118.87</v>
      </c>
      <c r="R2661">
        <v>31509156</v>
      </c>
    </row>
    <row r="2662" spans="1:18" x14ac:dyDescent="0.25">
      <c r="A2662" s="133">
        <v>45923</v>
      </c>
      <c r="B2662" s="110">
        <v>122.15</v>
      </c>
      <c r="C2662" s="110">
        <v>121.9</v>
      </c>
      <c r="D2662" s="110">
        <v>116.9</v>
      </c>
      <c r="E2662" s="110">
        <v>118.85</v>
      </c>
      <c r="F2662" s="110">
        <v>121.9</v>
      </c>
      <c r="G2662">
        <v>3012515</v>
      </c>
      <c r="H2662" s="110"/>
      <c r="I2662" s="110"/>
      <c r="L2662" s="133">
        <v>45923</v>
      </c>
      <c r="M2662" s="110">
        <v>121.9</v>
      </c>
      <c r="N2662" s="110">
        <v>122.09</v>
      </c>
      <c r="O2662" s="110">
        <v>116.93</v>
      </c>
      <c r="P2662" s="110">
        <v>118.77</v>
      </c>
      <c r="Q2662" s="110">
        <v>121.9</v>
      </c>
      <c r="R2662">
        <v>44544453</v>
      </c>
    </row>
    <row r="2663" spans="1:18" x14ac:dyDescent="0.25">
      <c r="A2663" s="133">
        <v>45924</v>
      </c>
      <c r="B2663" s="110">
        <v>124.6</v>
      </c>
      <c r="C2663" s="110">
        <v>122.9</v>
      </c>
      <c r="D2663" s="110">
        <v>122.35</v>
      </c>
      <c r="E2663" s="110">
        <v>122.4</v>
      </c>
      <c r="F2663" s="110">
        <v>122.9</v>
      </c>
      <c r="G2663">
        <v>5070907</v>
      </c>
      <c r="H2663" s="110"/>
      <c r="I2663" s="110"/>
      <c r="L2663" s="133">
        <v>45924</v>
      </c>
      <c r="M2663" s="110">
        <v>122.91</v>
      </c>
      <c r="N2663" s="110">
        <v>124.55</v>
      </c>
      <c r="O2663" s="110">
        <v>122.25</v>
      </c>
      <c r="P2663" s="110">
        <v>122.7</v>
      </c>
      <c r="Q2663" s="110">
        <v>122.91</v>
      </c>
      <c r="R2663">
        <v>55162500</v>
      </c>
    </row>
    <row r="2664" spans="1:18" x14ac:dyDescent="0.25">
      <c r="A2664" s="133">
        <v>45925</v>
      </c>
      <c r="B2664" s="110">
        <v>123.25</v>
      </c>
      <c r="C2664" s="110">
        <v>121.3</v>
      </c>
      <c r="D2664" s="110">
        <v>121.15</v>
      </c>
      <c r="E2664" s="110">
        <v>122.9</v>
      </c>
      <c r="F2664" s="110">
        <v>121.3</v>
      </c>
      <c r="G2664">
        <v>1457701</v>
      </c>
      <c r="H2664" s="110"/>
      <c r="I2664" s="110"/>
      <c r="L2664" s="133">
        <v>45925</v>
      </c>
      <c r="M2664" s="110">
        <v>121.44</v>
      </c>
      <c r="N2664" s="110">
        <v>123.33</v>
      </c>
      <c r="O2664" s="110">
        <v>121.21</v>
      </c>
      <c r="P2664" s="110">
        <v>122.9</v>
      </c>
      <c r="Q2664" s="110">
        <v>121.44</v>
      </c>
      <c r="R2664">
        <v>30764727</v>
      </c>
    </row>
    <row r="2665" spans="1:18" x14ac:dyDescent="0.25">
      <c r="A2665" s="133">
        <v>45926</v>
      </c>
      <c r="B2665" s="110">
        <v>121.35</v>
      </c>
      <c r="C2665" s="110">
        <v>118.1</v>
      </c>
      <c r="D2665" s="110">
        <v>117.45</v>
      </c>
      <c r="E2665" s="110">
        <v>121.15</v>
      </c>
      <c r="F2665" s="110">
        <v>118.1</v>
      </c>
      <c r="G2665">
        <v>2384114</v>
      </c>
      <c r="H2665" s="110"/>
      <c r="I2665" s="110"/>
      <c r="L2665" s="133">
        <v>45926</v>
      </c>
      <c r="M2665" s="110">
        <v>118.08</v>
      </c>
      <c r="N2665" s="110">
        <v>121.55</v>
      </c>
      <c r="O2665" s="110">
        <v>117.5</v>
      </c>
      <c r="P2665" s="110">
        <v>121.35</v>
      </c>
      <c r="Q2665" s="110">
        <v>118.08</v>
      </c>
      <c r="R2665">
        <v>25531804</v>
      </c>
    </row>
    <row r="2666" spans="1:18" x14ac:dyDescent="0.25">
      <c r="A2666" s="133">
        <v>45929</v>
      </c>
      <c r="B2666" s="110">
        <v>121.45</v>
      </c>
      <c r="C2666" s="110">
        <v>120.5</v>
      </c>
      <c r="D2666" s="110">
        <v>118.2</v>
      </c>
      <c r="E2666" s="110">
        <v>118.2</v>
      </c>
      <c r="F2666" s="110">
        <v>120.5</v>
      </c>
      <c r="G2666">
        <v>2221845</v>
      </c>
      <c r="H2666" s="110"/>
      <c r="I2666" s="110"/>
      <c r="L2666" s="133">
        <v>45929</v>
      </c>
      <c r="M2666" s="110">
        <v>120.48</v>
      </c>
      <c r="N2666" s="110">
        <v>121.4</v>
      </c>
      <c r="O2666" s="110">
        <v>118.26</v>
      </c>
      <c r="P2666" s="110">
        <v>118.58</v>
      </c>
      <c r="Q2666" s="110">
        <v>120.48</v>
      </c>
      <c r="R2666">
        <v>28333195</v>
      </c>
    </row>
    <row r="2667" spans="1:18" x14ac:dyDescent="0.25">
      <c r="A2667" s="133">
        <v>45930</v>
      </c>
      <c r="B2667" s="110">
        <v>124.45</v>
      </c>
      <c r="C2667" s="110">
        <v>123.7</v>
      </c>
      <c r="D2667" s="110">
        <v>120.9</v>
      </c>
      <c r="E2667" s="110">
        <v>121.3</v>
      </c>
      <c r="F2667" s="110">
        <v>123.7</v>
      </c>
      <c r="G2667">
        <v>4706233</v>
      </c>
      <c r="H2667" s="110"/>
      <c r="I2667" s="110"/>
      <c r="L2667" s="133">
        <v>45930</v>
      </c>
      <c r="M2667" s="110">
        <v>123.71</v>
      </c>
      <c r="N2667" s="110">
        <v>124.45</v>
      </c>
      <c r="O2667" s="110">
        <v>120.92</v>
      </c>
      <c r="P2667" s="110">
        <v>121.25</v>
      </c>
      <c r="Q2667" s="110">
        <v>123.71</v>
      </c>
      <c r="R2667">
        <v>47473634</v>
      </c>
    </row>
    <row r="2668" spans="1:18" x14ac:dyDescent="0.25">
      <c r="A2668" s="133">
        <v>45931</v>
      </c>
      <c r="B2668" s="110">
        <v>124.6</v>
      </c>
      <c r="C2668" s="110">
        <v>123.65</v>
      </c>
      <c r="D2668" s="110">
        <v>121.2</v>
      </c>
      <c r="E2668" s="110">
        <v>124.6</v>
      </c>
      <c r="F2668" s="110">
        <v>123.65</v>
      </c>
      <c r="G2668">
        <v>1579600</v>
      </c>
      <c r="H2668" s="110"/>
      <c r="I2668" s="110"/>
      <c r="L2668" s="133">
        <v>45931</v>
      </c>
      <c r="M2668" s="110">
        <v>123.76</v>
      </c>
      <c r="N2668" s="110">
        <v>124.5</v>
      </c>
      <c r="O2668" s="110">
        <v>121.17</v>
      </c>
      <c r="P2668" s="110">
        <v>124.3</v>
      </c>
      <c r="Q2668" s="110">
        <v>123.76</v>
      </c>
      <c r="R2668">
        <v>38045288</v>
      </c>
    </row>
    <row r="2669" spans="1:18" x14ac:dyDescent="0.25">
      <c r="A2669" s="133">
        <v>45933</v>
      </c>
      <c r="B2669" s="110">
        <v>126.35</v>
      </c>
      <c r="C2669" s="110">
        <v>125.85</v>
      </c>
      <c r="D2669" s="110">
        <v>123.3</v>
      </c>
      <c r="E2669" s="110">
        <v>124.05</v>
      </c>
      <c r="F2669" s="110">
        <v>125.85</v>
      </c>
      <c r="G2669">
        <v>2707002</v>
      </c>
      <c r="H2669" s="110"/>
      <c r="I2669" s="110"/>
      <c r="L2669" s="133">
        <v>45933</v>
      </c>
      <c r="M2669" s="110">
        <v>125.9</v>
      </c>
      <c r="N2669" s="110">
        <v>126.42</v>
      </c>
      <c r="O2669" s="110">
        <v>123.32</v>
      </c>
      <c r="P2669" s="110">
        <v>123.77</v>
      </c>
      <c r="Q2669" s="110">
        <v>125.9</v>
      </c>
      <c r="R2669">
        <v>34668909</v>
      </c>
    </row>
    <row r="2670" spans="1:18" x14ac:dyDescent="0.25">
      <c r="A2670" s="133">
        <v>45936</v>
      </c>
      <c r="B2670" s="110">
        <v>127.95</v>
      </c>
      <c r="C2670" s="110">
        <v>126.7</v>
      </c>
      <c r="D2670" s="110">
        <v>125.85</v>
      </c>
      <c r="E2670" s="110">
        <v>125.9</v>
      </c>
      <c r="F2670" s="110">
        <v>126.7</v>
      </c>
      <c r="G2670">
        <v>906156</v>
      </c>
      <c r="H2670" s="110"/>
      <c r="I2670" s="110"/>
      <c r="L2670" s="133">
        <v>45936</v>
      </c>
      <c r="M2670" s="110">
        <v>126.76</v>
      </c>
      <c r="N2670" s="110">
        <v>127.95</v>
      </c>
      <c r="O2670" s="110">
        <v>125.87</v>
      </c>
      <c r="P2670" s="110">
        <v>126</v>
      </c>
      <c r="Q2670" s="110">
        <v>126.76</v>
      </c>
      <c r="R2670">
        <v>27335116</v>
      </c>
    </row>
    <row r="2671" spans="1:18" x14ac:dyDescent="0.25">
      <c r="A2671" s="133">
        <v>45937</v>
      </c>
      <c r="B2671" s="110">
        <v>128.55000000000001</v>
      </c>
      <c r="C2671" s="110">
        <v>128.15</v>
      </c>
      <c r="D2671" s="110">
        <v>125.8</v>
      </c>
      <c r="E2671" s="110">
        <v>127.15</v>
      </c>
      <c r="F2671" s="110">
        <v>128.15</v>
      </c>
      <c r="G2671">
        <v>1098534</v>
      </c>
      <c r="H2671" s="110"/>
      <c r="I2671" s="110"/>
      <c r="L2671" s="133">
        <v>45937</v>
      </c>
      <c r="M2671" s="110">
        <v>128.06</v>
      </c>
      <c r="N2671" s="110">
        <v>128.5</v>
      </c>
      <c r="O2671" s="110">
        <v>125.75</v>
      </c>
      <c r="P2671" s="110">
        <v>126.86</v>
      </c>
      <c r="Q2671" s="110">
        <v>128.06</v>
      </c>
      <c r="R2671">
        <v>30539720</v>
      </c>
    </row>
    <row r="2672" spans="1:18" x14ac:dyDescent="0.25">
      <c r="A2672" s="133">
        <v>45938</v>
      </c>
      <c r="B2672" s="110">
        <v>128.65</v>
      </c>
      <c r="C2672" s="110">
        <v>126.05</v>
      </c>
      <c r="D2672" s="110">
        <v>124.65</v>
      </c>
      <c r="E2672" s="110">
        <v>128.65</v>
      </c>
      <c r="F2672" s="110">
        <v>126.05</v>
      </c>
      <c r="G2672">
        <v>1690006</v>
      </c>
      <c r="H2672" s="110"/>
      <c r="I2672" s="110"/>
      <c r="L2672" s="133">
        <v>45938</v>
      </c>
      <c r="M2672" s="110">
        <v>126.04</v>
      </c>
      <c r="N2672" s="110">
        <v>128.55000000000001</v>
      </c>
      <c r="O2672" s="110">
        <v>124.7</v>
      </c>
      <c r="P2672" s="110">
        <v>128.5</v>
      </c>
      <c r="Q2672" s="110">
        <v>126.04</v>
      </c>
      <c r="R2672">
        <v>38012061</v>
      </c>
    </row>
    <row r="2673" spans="1:18" x14ac:dyDescent="0.25">
      <c r="A2673" s="133">
        <v>45939</v>
      </c>
      <c r="B2673" s="110">
        <v>126.95</v>
      </c>
      <c r="C2673" s="110">
        <v>126.15</v>
      </c>
      <c r="D2673" s="110">
        <v>125.5</v>
      </c>
      <c r="E2673" s="110">
        <v>126.4</v>
      </c>
      <c r="F2673" s="110">
        <v>126.15</v>
      </c>
      <c r="G2673">
        <v>1377122</v>
      </c>
      <c r="H2673" s="110"/>
      <c r="I2673" s="110"/>
      <c r="L2673" s="133">
        <v>45939</v>
      </c>
      <c r="M2673" s="110">
        <v>126.17</v>
      </c>
      <c r="N2673" s="110">
        <v>126.99</v>
      </c>
      <c r="O2673" s="110">
        <v>125.51</v>
      </c>
      <c r="P2673" s="110">
        <v>126.49</v>
      </c>
      <c r="Q2673" s="110">
        <v>126.17</v>
      </c>
      <c r="R2673">
        <v>16981691</v>
      </c>
    </row>
    <row r="2674" spans="1:18" x14ac:dyDescent="0.25">
      <c r="A2674" s="133">
        <v>45940</v>
      </c>
      <c r="B2674" s="110">
        <v>128.55000000000001</v>
      </c>
      <c r="C2674" s="110">
        <v>127.45</v>
      </c>
      <c r="D2674" s="110">
        <v>126.6</v>
      </c>
      <c r="E2674" s="110">
        <v>126.65</v>
      </c>
      <c r="F2674" s="110">
        <v>127.45</v>
      </c>
      <c r="G2674">
        <v>833351</v>
      </c>
      <c r="H2674" s="110"/>
      <c r="I2674" s="110"/>
      <c r="L2674" s="133">
        <v>45940</v>
      </c>
      <c r="M2674" s="110">
        <v>127.39</v>
      </c>
      <c r="N2674" s="110">
        <v>128.6</v>
      </c>
      <c r="O2674" s="110">
        <v>126.35</v>
      </c>
      <c r="P2674" s="110">
        <v>126.5</v>
      </c>
      <c r="Q2674" s="110">
        <v>127.39</v>
      </c>
      <c r="R2674">
        <v>23836453</v>
      </c>
    </row>
    <row r="2675" spans="1:18" x14ac:dyDescent="0.25">
      <c r="A2675" s="133">
        <v>45943</v>
      </c>
      <c r="B2675" s="110">
        <v>128.35</v>
      </c>
      <c r="C2675" s="110">
        <v>127.6</v>
      </c>
      <c r="D2675" s="110">
        <v>126.5</v>
      </c>
      <c r="E2675" s="110">
        <v>127.2</v>
      </c>
      <c r="F2675" s="110">
        <v>127.6</v>
      </c>
      <c r="G2675">
        <v>1283521</v>
      </c>
      <c r="H2675" s="110"/>
      <c r="I2675" s="110"/>
      <c r="L2675" s="133">
        <v>45943</v>
      </c>
      <c r="M2675" s="110">
        <v>127.64</v>
      </c>
      <c r="N2675" s="110">
        <v>128.38999999999999</v>
      </c>
      <c r="O2675" s="110">
        <v>126.36</v>
      </c>
      <c r="P2675" s="110">
        <v>127.3</v>
      </c>
      <c r="Q2675" s="110">
        <v>127.64</v>
      </c>
      <c r="R2675">
        <v>21132831</v>
      </c>
    </row>
    <row r="2676" spans="1:18" x14ac:dyDescent="0.25">
      <c r="A2676" s="133">
        <v>45944</v>
      </c>
      <c r="B2676" s="110">
        <v>127.7</v>
      </c>
      <c r="C2676" s="110">
        <v>125.2</v>
      </c>
      <c r="D2676" s="110">
        <v>124.6</v>
      </c>
      <c r="E2676" s="110">
        <v>127.5</v>
      </c>
      <c r="F2676" s="110">
        <v>125.2</v>
      </c>
      <c r="G2676">
        <v>649464</v>
      </c>
      <c r="H2676" s="110"/>
      <c r="I2676" s="110"/>
      <c r="L2676" s="133">
        <v>45944</v>
      </c>
      <c r="M2676" s="110">
        <v>125.22</v>
      </c>
      <c r="N2676" s="110">
        <v>127.8</v>
      </c>
      <c r="O2676" s="110">
        <v>124.6</v>
      </c>
      <c r="P2676" s="110">
        <v>127.35</v>
      </c>
      <c r="Q2676" s="110">
        <v>125.22</v>
      </c>
      <c r="R2676">
        <v>19638720</v>
      </c>
    </row>
    <row r="2677" spans="1:18" x14ac:dyDescent="0.25">
      <c r="A2677" s="133">
        <v>45945</v>
      </c>
      <c r="B2677" s="110">
        <v>128.80000000000001</v>
      </c>
      <c r="C2677" s="110">
        <v>128.4</v>
      </c>
      <c r="D2677" s="110">
        <v>125.6</v>
      </c>
      <c r="E2677" s="110">
        <v>126.15</v>
      </c>
      <c r="F2677" s="110">
        <v>128.4</v>
      </c>
      <c r="G2677">
        <v>513939</v>
      </c>
      <c r="H2677" s="110"/>
      <c r="I2677" s="110"/>
      <c r="L2677" s="133">
        <v>45945</v>
      </c>
      <c r="M2677" s="110">
        <v>128.41</v>
      </c>
      <c r="N2677" s="110">
        <v>128.80000000000001</v>
      </c>
      <c r="O2677" s="110">
        <v>125.6</v>
      </c>
      <c r="P2677" s="110">
        <v>125.8</v>
      </c>
      <c r="Q2677" s="110">
        <v>128.41</v>
      </c>
      <c r="R2677">
        <v>22108228</v>
      </c>
    </row>
    <row r="2678" spans="1:18" x14ac:dyDescent="0.25">
      <c r="A2678" s="133">
        <v>45946</v>
      </c>
      <c r="B2678" s="110">
        <v>130.19999999999999</v>
      </c>
      <c r="C2678" s="110">
        <v>127.4</v>
      </c>
      <c r="D2678" s="110">
        <v>127.25</v>
      </c>
      <c r="E2678" s="110">
        <v>128.65</v>
      </c>
      <c r="F2678" s="110">
        <v>127.4</v>
      </c>
      <c r="G2678">
        <v>992419</v>
      </c>
      <c r="H2678" s="110"/>
      <c r="I2678" s="110"/>
      <c r="L2678" s="133">
        <v>45946</v>
      </c>
      <c r="M2678" s="110">
        <v>127.37</v>
      </c>
      <c r="N2678" s="110">
        <v>130.13999999999999</v>
      </c>
      <c r="O2678" s="110">
        <v>127.19</v>
      </c>
      <c r="P2678" s="110">
        <v>128.99</v>
      </c>
      <c r="Q2678" s="110">
        <v>127.37</v>
      </c>
      <c r="R2678">
        <v>20085575</v>
      </c>
    </row>
    <row r="2679" spans="1:18" x14ac:dyDescent="0.25">
      <c r="A2679" s="133">
        <v>45947</v>
      </c>
      <c r="B2679" s="110">
        <v>127.65</v>
      </c>
      <c r="C2679" s="110">
        <v>125.5</v>
      </c>
      <c r="D2679" s="110">
        <v>124.55</v>
      </c>
      <c r="E2679" s="110">
        <v>127.35</v>
      </c>
      <c r="F2679" s="110">
        <v>125.5</v>
      </c>
      <c r="G2679">
        <v>1368119</v>
      </c>
      <c r="H2679" s="110"/>
      <c r="I2679" s="110"/>
      <c r="L2679" s="133">
        <v>45947</v>
      </c>
      <c r="M2679" s="110">
        <v>125.49</v>
      </c>
      <c r="N2679" s="110">
        <v>127.55</v>
      </c>
      <c r="O2679" s="110">
        <v>124.6</v>
      </c>
      <c r="P2679" s="110">
        <v>127.37</v>
      </c>
      <c r="Q2679" s="110">
        <v>125.49</v>
      </c>
      <c r="R2679">
        <v>20351565</v>
      </c>
    </row>
    <row r="2680" spans="1:18" x14ac:dyDescent="0.25">
      <c r="A2680" s="133">
        <v>45950</v>
      </c>
      <c r="B2680" s="110">
        <v>129.44999999999999</v>
      </c>
      <c r="C2680" s="110">
        <v>127.6</v>
      </c>
      <c r="D2680" s="110">
        <v>126.1</v>
      </c>
      <c r="E2680" s="110">
        <v>126.1</v>
      </c>
      <c r="F2680" s="110">
        <v>127.6</v>
      </c>
      <c r="G2680">
        <v>2062375</v>
      </c>
      <c r="H2680" s="110"/>
      <c r="I2680" s="110"/>
      <c r="L2680" s="133">
        <v>45950</v>
      </c>
      <c r="M2680" s="110">
        <v>127.59</v>
      </c>
      <c r="N2680" s="110">
        <v>129.44999999999999</v>
      </c>
      <c r="O2680" s="110">
        <v>126.11</v>
      </c>
      <c r="P2680" s="110">
        <v>126.2</v>
      </c>
      <c r="Q2680" s="110">
        <v>127.59</v>
      </c>
      <c r="R2680">
        <v>27681896</v>
      </c>
    </row>
    <row r="2681" spans="1:18" x14ac:dyDescent="0.25">
      <c r="A2681" s="133">
        <v>45951</v>
      </c>
      <c r="B2681" s="110">
        <v>128.85</v>
      </c>
      <c r="C2681" s="110">
        <v>127.1</v>
      </c>
      <c r="D2681" s="110">
        <v>126.4</v>
      </c>
      <c r="E2681" s="110">
        <v>128.1</v>
      </c>
      <c r="F2681" s="110">
        <v>127.1</v>
      </c>
      <c r="G2681">
        <v>515837</v>
      </c>
      <c r="H2681" s="110"/>
      <c r="I2681" s="110"/>
      <c r="L2681" s="133">
        <v>45951</v>
      </c>
      <c r="M2681" s="110">
        <v>127.12</v>
      </c>
      <c r="N2681" s="110">
        <v>128.80000000000001</v>
      </c>
      <c r="O2681" s="110">
        <v>126.45</v>
      </c>
      <c r="P2681" s="110">
        <v>128.24</v>
      </c>
      <c r="Q2681" s="110">
        <v>127.12</v>
      </c>
      <c r="R2681">
        <v>7993166</v>
      </c>
    </row>
    <row r="2682" spans="1:18" x14ac:dyDescent="0.25">
      <c r="A2682" s="133">
        <v>45953</v>
      </c>
      <c r="B2682" s="110">
        <v>127.9</v>
      </c>
      <c r="C2682" s="110">
        <v>126.1</v>
      </c>
      <c r="D2682" s="110">
        <v>125.3</v>
      </c>
      <c r="E2682" s="110">
        <v>127.6</v>
      </c>
      <c r="F2682" s="110">
        <v>126.1</v>
      </c>
      <c r="G2682">
        <v>1990132</v>
      </c>
      <c r="H2682" s="110"/>
      <c r="I2682" s="110"/>
      <c r="L2682" s="133">
        <v>45953</v>
      </c>
      <c r="M2682" s="110">
        <v>126.24</v>
      </c>
      <c r="N2682" s="110">
        <v>127.88</v>
      </c>
      <c r="O2682" s="110">
        <v>125.82</v>
      </c>
      <c r="P2682" s="110">
        <v>127.6</v>
      </c>
      <c r="Q2682" s="110">
        <v>126.24</v>
      </c>
      <c r="R2682">
        <v>34824359</v>
      </c>
    </row>
    <row r="2683" spans="1:18" x14ac:dyDescent="0.25">
      <c r="A2683" s="133">
        <v>45954</v>
      </c>
      <c r="B2683" s="110">
        <v>126.95</v>
      </c>
      <c r="C2683" s="110">
        <v>125.7</v>
      </c>
      <c r="D2683" s="110">
        <v>124.75</v>
      </c>
      <c r="E2683" s="110">
        <v>126.35</v>
      </c>
      <c r="F2683" s="110">
        <v>125.7</v>
      </c>
      <c r="G2683">
        <v>1746327</v>
      </c>
      <c r="H2683" s="110"/>
      <c r="I2683" s="110"/>
      <c r="L2683" s="133">
        <v>45954</v>
      </c>
      <c r="M2683" s="110">
        <v>125.7</v>
      </c>
      <c r="N2683" s="110">
        <v>126.93</v>
      </c>
      <c r="O2683" s="110">
        <v>124.73</v>
      </c>
      <c r="P2683" s="110">
        <v>126.5</v>
      </c>
      <c r="Q2683" s="110">
        <v>125.7</v>
      </c>
      <c r="R2683">
        <v>17014666</v>
      </c>
    </row>
    <row r="2684" spans="1:18" x14ac:dyDescent="0.25">
      <c r="A2684" s="133">
        <v>45957</v>
      </c>
      <c r="B2684" s="110">
        <v>130</v>
      </c>
      <c r="C2684" s="110">
        <v>129.19999999999999</v>
      </c>
      <c r="D2684" s="110">
        <v>125.75</v>
      </c>
      <c r="E2684" s="110">
        <v>125.8</v>
      </c>
      <c r="F2684" s="110">
        <v>129.19999999999999</v>
      </c>
      <c r="G2684">
        <v>3336245</v>
      </c>
      <c r="H2684" s="110"/>
      <c r="I2684" s="110"/>
      <c r="L2684" s="133">
        <v>45957</v>
      </c>
      <c r="M2684" s="110">
        <v>129.13</v>
      </c>
      <c r="N2684" s="110">
        <v>129.97999999999999</v>
      </c>
      <c r="O2684" s="110">
        <v>125.73</v>
      </c>
      <c r="P2684" s="110">
        <v>126.25</v>
      </c>
      <c r="Q2684" s="110">
        <v>129.13</v>
      </c>
      <c r="R2684">
        <v>30460506</v>
      </c>
    </row>
    <row r="2685" spans="1:18" x14ac:dyDescent="0.25">
      <c r="A2685" s="133">
        <v>45958</v>
      </c>
      <c r="B2685" s="110">
        <v>131.80000000000001</v>
      </c>
      <c r="C2685" s="110">
        <v>130</v>
      </c>
      <c r="D2685" s="110">
        <v>127.8</v>
      </c>
      <c r="E2685" s="110">
        <v>130.05000000000001</v>
      </c>
      <c r="F2685" s="110">
        <v>130</v>
      </c>
      <c r="G2685">
        <v>3619540</v>
      </c>
      <c r="H2685" s="110"/>
      <c r="I2685" s="110"/>
      <c r="L2685" s="133">
        <v>45958</v>
      </c>
      <c r="M2685" s="110">
        <v>129.97999999999999</v>
      </c>
      <c r="N2685" s="110">
        <v>131.77000000000001</v>
      </c>
      <c r="O2685" s="110">
        <v>127.75</v>
      </c>
      <c r="P2685" s="110">
        <v>130.38999999999999</v>
      </c>
      <c r="Q2685" s="110">
        <v>129.97999999999999</v>
      </c>
      <c r="R2685">
        <v>44849817</v>
      </c>
    </row>
    <row r="2686" spans="1:18" x14ac:dyDescent="0.25">
      <c r="A2686" s="133">
        <v>45959</v>
      </c>
      <c r="B2686" s="110">
        <v>130.44999999999999</v>
      </c>
      <c r="C2686" s="110">
        <v>128.75</v>
      </c>
      <c r="D2686" s="110">
        <v>128.25</v>
      </c>
      <c r="E2686" s="110">
        <v>130</v>
      </c>
      <c r="F2686" s="110">
        <v>128.75</v>
      </c>
      <c r="G2686">
        <v>1506227</v>
      </c>
      <c r="H2686" s="110"/>
      <c r="I2686" s="110"/>
      <c r="L2686" s="133">
        <v>45959</v>
      </c>
      <c r="M2686" s="110">
        <v>128.77000000000001</v>
      </c>
      <c r="N2686" s="110">
        <v>130.4</v>
      </c>
      <c r="O2686" s="110">
        <v>128.30000000000001</v>
      </c>
      <c r="P2686" s="110">
        <v>129.88</v>
      </c>
      <c r="Q2686" s="110">
        <v>128.77000000000001</v>
      </c>
      <c r="R2686">
        <v>37842782</v>
      </c>
    </row>
    <row r="2687" spans="1:18" x14ac:dyDescent="0.25">
      <c r="A2687" s="133">
        <v>45960</v>
      </c>
      <c r="B2687" s="110">
        <v>134.35</v>
      </c>
      <c r="C2687" s="110">
        <v>132.85</v>
      </c>
      <c r="D2687" s="110">
        <v>127.85</v>
      </c>
      <c r="E2687" s="110">
        <v>128.85</v>
      </c>
      <c r="F2687" s="110">
        <v>132.85</v>
      </c>
      <c r="G2687">
        <v>3628950</v>
      </c>
      <c r="H2687" s="110"/>
      <c r="I2687" s="110"/>
      <c r="L2687" s="133">
        <v>45960</v>
      </c>
      <c r="M2687" s="110">
        <v>132.88999999999999</v>
      </c>
      <c r="N2687" s="110">
        <v>134.25</v>
      </c>
      <c r="O2687" s="110">
        <v>127.8</v>
      </c>
      <c r="P2687" s="110">
        <v>129</v>
      </c>
      <c r="Q2687" s="110">
        <v>132.88999999999999</v>
      </c>
      <c r="R2687">
        <v>93428789</v>
      </c>
    </row>
    <row r="2688" spans="1:18" x14ac:dyDescent="0.25">
      <c r="A2688" s="133">
        <v>45961</v>
      </c>
      <c r="B2688" s="110">
        <v>138.55000000000001</v>
      </c>
      <c r="C2688" s="110">
        <v>136.94999999999999</v>
      </c>
      <c r="D2688" s="110">
        <v>131.19999999999999</v>
      </c>
      <c r="E2688" s="110">
        <v>131.5</v>
      </c>
      <c r="F2688" s="110">
        <v>136.94999999999999</v>
      </c>
      <c r="G2688">
        <v>2959608</v>
      </c>
      <c r="H2688" s="110"/>
      <c r="I2688" s="110"/>
      <c r="L2688" s="133">
        <v>45961</v>
      </c>
      <c r="M2688" s="110">
        <v>136.99</v>
      </c>
      <c r="N2688" s="110">
        <v>138.6</v>
      </c>
      <c r="O2688" s="110">
        <v>131.19999999999999</v>
      </c>
      <c r="P2688" s="110">
        <v>131.38999999999999</v>
      </c>
      <c r="Q2688" s="110">
        <v>136.99</v>
      </c>
      <c r="R2688">
        <v>80524287</v>
      </c>
    </row>
    <row r="2689" spans="1:18" x14ac:dyDescent="0.25">
      <c r="A2689" s="133">
        <v>45964</v>
      </c>
      <c r="B2689" s="110">
        <v>141.44999999999999</v>
      </c>
      <c r="C2689" s="110">
        <v>139.6</v>
      </c>
      <c r="D2689" s="110">
        <v>137.19999999999999</v>
      </c>
      <c r="E2689" s="110">
        <v>138.35</v>
      </c>
      <c r="F2689" s="110">
        <v>139.6</v>
      </c>
      <c r="G2689">
        <v>4064929</v>
      </c>
      <c r="H2689" s="110"/>
      <c r="I2689" s="110"/>
      <c r="L2689" s="133">
        <v>45964</v>
      </c>
      <c r="M2689" s="110">
        <v>139.6</v>
      </c>
      <c r="N2689" s="110">
        <v>141.44999999999999</v>
      </c>
      <c r="O2689" s="110">
        <v>137.30000000000001</v>
      </c>
      <c r="P2689" s="110">
        <v>137.66999999999999</v>
      </c>
      <c r="Q2689" s="110">
        <v>139.6</v>
      </c>
      <c r="R2689">
        <v>57720656</v>
      </c>
    </row>
    <row r="2690" spans="1:18" x14ac:dyDescent="0.25">
      <c r="A2690" s="133">
        <v>45965</v>
      </c>
      <c r="B2690" s="110">
        <v>140.65</v>
      </c>
      <c r="C2690" s="110">
        <v>139.6</v>
      </c>
      <c r="D2690" s="110">
        <v>138.5</v>
      </c>
      <c r="E2690" s="110">
        <v>139.6</v>
      </c>
      <c r="F2690" s="110">
        <v>139.6</v>
      </c>
      <c r="G2690">
        <v>1585010</v>
      </c>
      <c r="H2690" s="110"/>
      <c r="I2690" s="110"/>
      <c r="L2690" s="133">
        <v>45965</v>
      </c>
      <c r="M2690" s="110">
        <v>139.6</v>
      </c>
      <c r="N2690" s="110">
        <v>140.69</v>
      </c>
      <c r="O2690" s="110">
        <v>138.55000000000001</v>
      </c>
      <c r="P2690" s="110">
        <v>139.69999999999999</v>
      </c>
      <c r="Q2690" s="110">
        <v>139.6</v>
      </c>
      <c r="R2690">
        <v>34484844</v>
      </c>
    </row>
    <row r="2691" spans="1:18" x14ac:dyDescent="0.25">
      <c r="A2691" s="133">
        <v>45967</v>
      </c>
      <c r="B2691" s="110">
        <v>140.75</v>
      </c>
      <c r="C2691" s="110">
        <v>139.25</v>
      </c>
      <c r="D2691" s="110">
        <v>138.85</v>
      </c>
      <c r="E2691" s="110">
        <v>140.05000000000001</v>
      </c>
      <c r="F2691" s="110">
        <v>139.25</v>
      </c>
      <c r="G2691">
        <v>1420252</v>
      </c>
      <c r="H2691" s="110"/>
      <c r="I2691" s="110"/>
      <c r="L2691" s="133">
        <v>45967</v>
      </c>
      <c r="M2691" s="110">
        <v>139.24</v>
      </c>
      <c r="N2691" s="110">
        <v>140.75</v>
      </c>
      <c r="O2691" s="110">
        <v>138.84</v>
      </c>
      <c r="P2691" s="110">
        <v>140.25</v>
      </c>
      <c r="Q2691" s="110">
        <v>139.24</v>
      </c>
      <c r="R2691">
        <v>22293737</v>
      </c>
    </row>
    <row r="2692" spans="1:18" x14ac:dyDescent="0.25">
      <c r="A2692" s="133">
        <v>45968</v>
      </c>
      <c r="B2692" s="110">
        <v>141.44999999999999</v>
      </c>
      <c r="C2692" s="110">
        <v>140.65</v>
      </c>
      <c r="D2692" s="110">
        <v>136.5</v>
      </c>
      <c r="E2692" s="110">
        <v>138.55000000000001</v>
      </c>
      <c r="F2692" s="110">
        <v>140.65</v>
      </c>
      <c r="G2692">
        <v>1774850</v>
      </c>
      <c r="H2692" s="110"/>
      <c r="I2692" s="110"/>
      <c r="L2692" s="133">
        <v>45968</v>
      </c>
      <c r="M2692" s="110">
        <v>140.66999999999999</v>
      </c>
      <c r="N2692" s="110">
        <v>141.41</v>
      </c>
      <c r="O2692" s="110">
        <v>136.57</v>
      </c>
      <c r="P2692" s="110">
        <v>138.69999999999999</v>
      </c>
      <c r="Q2692" s="110">
        <v>140.66999999999999</v>
      </c>
      <c r="R2692">
        <v>27498022</v>
      </c>
    </row>
    <row r="2693" spans="1:18" x14ac:dyDescent="0.25">
      <c r="A2693" s="133">
        <v>45971</v>
      </c>
      <c r="B2693" s="110">
        <v>142.5</v>
      </c>
      <c r="C2693" s="110">
        <v>141.05000000000001</v>
      </c>
      <c r="D2693" s="110">
        <v>139.9</v>
      </c>
      <c r="E2693" s="110">
        <v>141.30000000000001</v>
      </c>
      <c r="F2693" s="110">
        <v>141.05000000000001</v>
      </c>
      <c r="G2693">
        <v>548181</v>
      </c>
      <c r="H2693" s="110"/>
      <c r="I2693" s="110"/>
      <c r="L2693" s="133">
        <v>45971</v>
      </c>
      <c r="M2693" s="110">
        <v>141.04</v>
      </c>
      <c r="N2693" s="110">
        <v>142.6</v>
      </c>
      <c r="O2693" s="110">
        <v>139.9</v>
      </c>
      <c r="P2693" s="110">
        <v>141.25</v>
      </c>
      <c r="Q2693" s="110">
        <v>141.04</v>
      </c>
      <c r="R2693">
        <v>28309612</v>
      </c>
    </row>
    <row r="2694" spans="1:18" x14ac:dyDescent="0.25">
      <c r="A2694" s="133">
        <v>45972</v>
      </c>
      <c r="B2694" s="110">
        <v>141.35</v>
      </c>
      <c r="C2694" s="110">
        <v>140.85</v>
      </c>
      <c r="D2694" s="110">
        <v>137.94999999999999</v>
      </c>
      <c r="E2694" s="110">
        <v>140.94999999999999</v>
      </c>
      <c r="F2694" s="110">
        <v>140.85</v>
      </c>
      <c r="G2694">
        <v>799143</v>
      </c>
      <c r="H2694" s="110"/>
      <c r="I2694" s="110"/>
      <c r="L2694" s="133">
        <v>45972</v>
      </c>
      <c r="M2694" s="110">
        <v>140.87</v>
      </c>
      <c r="N2694" s="110">
        <v>141.38999999999999</v>
      </c>
      <c r="O2694" s="110">
        <v>137.94999999999999</v>
      </c>
      <c r="P2694" s="110">
        <v>140.6</v>
      </c>
      <c r="Q2694" s="110">
        <v>140.87</v>
      </c>
      <c r="R2694">
        <v>21813910</v>
      </c>
    </row>
    <row r="2695" spans="1:18" x14ac:dyDescent="0.25">
      <c r="A2695" s="133">
        <v>45973</v>
      </c>
      <c r="B2695" s="110">
        <v>144.55000000000001</v>
      </c>
      <c r="C2695" s="110">
        <v>143.30000000000001</v>
      </c>
      <c r="D2695" s="110">
        <v>141.30000000000001</v>
      </c>
      <c r="E2695" s="110">
        <v>141.69999999999999</v>
      </c>
      <c r="F2695" s="110">
        <v>143.30000000000001</v>
      </c>
      <c r="G2695">
        <v>1578817</v>
      </c>
      <c r="H2695" s="110"/>
      <c r="I2695" s="110"/>
      <c r="L2695" s="133">
        <v>45973</v>
      </c>
      <c r="M2695" s="110">
        <v>143.57</v>
      </c>
      <c r="N2695" s="110">
        <v>144.54</v>
      </c>
      <c r="O2695" s="110">
        <v>141.37</v>
      </c>
      <c r="P2695" s="110">
        <v>141.69999999999999</v>
      </c>
      <c r="Q2695" s="110">
        <v>143.57</v>
      </c>
      <c r="R2695">
        <v>39711769</v>
      </c>
    </row>
    <row r="2696" spans="1:18" x14ac:dyDescent="0.25">
      <c r="A2696" s="133">
        <v>45974</v>
      </c>
      <c r="B2696" s="110">
        <v>145.05000000000001</v>
      </c>
      <c r="C2696" s="110">
        <v>143.44999999999999</v>
      </c>
      <c r="D2696" s="110">
        <v>143.05000000000001</v>
      </c>
      <c r="E2696" s="110">
        <v>143.35</v>
      </c>
      <c r="F2696" s="110">
        <v>143.44999999999999</v>
      </c>
      <c r="G2696">
        <v>827793</v>
      </c>
      <c r="H2696" s="110"/>
      <c r="I2696" s="110"/>
      <c r="L2696" s="133">
        <v>45974</v>
      </c>
      <c r="M2696" s="110">
        <v>143.44999999999999</v>
      </c>
      <c r="N2696" s="110">
        <v>145</v>
      </c>
      <c r="O2696" s="110">
        <v>143</v>
      </c>
      <c r="P2696" s="110">
        <v>143.5</v>
      </c>
      <c r="Q2696" s="110">
        <v>143.44999999999999</v>
      </c>
      <c r="R2696">
        <v>27528003</v>
      </c>
    </row>
    <row r="2697" spans="1:18" x14ac:dyDescent="0.25">
      <c r="A2697" s="133">
        <v>45975</v>
      </c>
      <c r="B2697" s="110">
        <v>146.35</v>
      </c>
      <c r="C2697" s="110">
        <v>146.05000000000001</v>
      </c>
      <c r="D2697" s="110">
        <v>143.4</v>
      </c>
      <c r="E2697" s="110">
        <v>143.69999999999999</v>
      </c>
      <c r="F2697" s="110">
        <v>146.05000000000001</v>
      </c>
      <c r="G2697">
        <v>1593784</v>
      </c>
      <c r="H2697" s="110"/>
      <c r="I2697" s="110"/>
      <c r="L2697" s="133">
        <v>45975</v>
      </c>
      <c r="M2697" s="110">
        <v>146.07</v>
      </c>
      <c r="N2697" s="110">
        <v>146.38</v>
      </c>
      <c r="O2697" s="110">
        <v>143.36000000000001</v>
      </c>
      <c r="P2697" s="110">
        <v>143.88</v>
      </c>
      <c r="Q2697" s="110">
        <v>146.07</v>
      </c>
      <c r="R2697">
        <v>26463777</v>
      </c>
    </row>
    <row r="2698" spans="1:18" x14ac:dyDescent="0.25">
      <c r="A2698" s="133">
        <v>45978</v>
      </c>
      <c r="B2698" s="110">
        <v>150.35</v>
      </c>
      <c r="C2698" s="110">
        <v>149.1</v>
      </c>
      <c r="D2698" s="110">
        <v>146.44999999999999</v>
      </c>
      <c r="E2698" s="110">
        <v>146.44999999999999</v>
      </c>
      <c r="F2698" s="110">
        <v>149.1</v>
      </c>
      <c r="G2698">
        <v>1852634</v>
      </c>
      <c r="H2698" s="110"/>
      <c r="I2698" s="110"/>
      <c r="L2698" s="133">
        <v>45978</v>
      </c>
      <c r="M2698" s="110">
        <v>149.12</v>
      </c>
      <c r="N2698" s="110">
        <v>150.32</v>
      </c>
      <c r="O2698" s="110">
        <v>146.27000000000001</v>
      </c>
      <c r="P2698" s="110">
        <v>146.6</v>
      </c>
      <c r="Q2698" s="110">
        <v>149.12</v>
      </c>
      <c r="R2698">
        <v>44625403</v>
      </c>
    </row>
    <row r="2699" spans="1:18" x14ac:dyDescent="0.25">
      <c r="A2699" s="133">
        <v>45979</v>
      </c>
      <c r="B2699" s="110">
        <v>150.65</v>
      </c>
      <c r="C2699" s="110">
        <v>148.94999999999999</v>
      </c>
      <c r="D2699" s="110">
        <v>148.30000000000001</v>
      </c>
      <c r="E2699" s="110">
        <v>149.25</v>
      </c>
      <c r="F2699" s="110">
        <v>148.94999999999999</v>
      </c>
      <c r="G2699">
        <v>1702552</v>
      </c>
      <c r="H2699" s="110"/>
      <c r="I2699" s="110"/>
      <c r="L2699" s="133">
        <v>45979</v>
      </c>
      <c r="M2699" s="110">
        <v>149</v>
      </c>
      <c r="N2699" s="110">
        <v>150.69</v>
      </c>
      <c r="O2699" s="110">
        <v>148.41</v>
      </c>
      <c r="P2699" s="110">
        <v>149.47999999999999</v>
      </c>
      <c r="Q2699" s="110">
        <v>149</v>
      </c>
      <c r="R2699">
        <v>29594222</v>
      </c>
    </row>
    <row r="2700" spans="1:18" x14ac:dyDescent="0.25">
      <c r="A2700" s="133">
        <v>45980</v>
      </c>
      <c r="B2700" s="110">
        <v>150.85</v>
      </c>
      <c r="C2700" s="110">
        <v>150.4</v>
      </c>
      <c r="D2700" s="110">
        <v>147.85</v>
      </c>
      <c r="E2700" s="110">
        <v>149.19999999999999</v>
      </c>
      <c r="F2700" s="110">
        <v>150.4</v>
      </c>
      <c r="G2700">
        <v>1293822</v>
      </c>
      <c r="H2700" s="110"/>
      <c r="I2700" s="110"/>
      <c r="L2700" s="133">
        <v>45980</v>
      </c>
      <c r="M2700" s="110">
        <v>150.38</v>
      </c>
      <c r="N2700" s="110">
        <v>150.88</v>
      </c>
      <c r="O2700" s="110">
        <v>147.71</v>
      </c>
      <c r="P2700" s="110">
        <v>149.19999999999999</v>
      </c>
      <c r="Q2700" s="110">
        <v>150.38</v>
      </c>
      <c r="R2700">
        <v>26500324</v>
      </c>
    </row>
    <row r="2701" spans="1:18" x14ac:dyDescent="0.25">
      <c r="A2701" s="133">
        <v>45981</v>
      </c>
      <c r="B2701" s="110">
        <v>151.80000000000001</v>
      </c>
      <c r="C2701" s="110">
        <v>147.85</v>
      </c>
      <c r="D2701" s="110">
        <v>147.65</v>
      </c>
      <c r="E2701" s="110">
        <v>151.5</v>
      </c>
      <c r="F2701" s="110">
        <v>147.85</v>
      </c>
      <c r="G2701">
        <v>1442004</v>
      </c>
      <c r="H2701" s="110"/>
      <c r="I2701" s="110"/>
      <c r="L2701" s="133">
        <v>45981</v>
      </c>
      <c r="M2701" s="110">
        <v>147.94</v>
      </c>
      <c r="N2701" s="110">
        <v>151.80000000000001</v>
      </c>
      <c r="O2701" s="110">
        <v>147.71</v>
      </c>
      <c r="P2701" s="110">
        <v>151.59</v>
      </c>
      <c r="Q2701" s="110">
        <v>147.94</v>
      </c>
      <c r="R2701">
        <v>19144061</v>
      </c>
    </row>
    <row r="2702" spans="1:18" x14ac:dyDescent="0.25">
      <c r="A2702" s="133">
        <v>45982</v>
      </c>
      <c r="B2702" s="110">
        <v>148.1</v>
      </c>
      <c r="C2702" s="110">
        <v>145.75</v>
      </c>
      <c r="D2702" s="110">
        <v>145</v>
      </c>
      <c r="E2702" s="110">
        <v>147.5</v>
      </c>
      <c r="F2702" s="110">
        <v>145.75</v>
      </c>
      <c r="G2702">
        <v>684457</v>
      </c>
      <c r="H2702" s="110"/>
      <c r="I2702" s="110"/>
      <c r="L2702" s="133">
        <v>45982</v>
      </c>
      <c r="M2702" s="110">
        <v>145.77000000000001</v>
      </c>
      <c r="N2702" s="110">
        <v>148.15</v>
      </c>
      <c r="O2702" s="110">
        <v>144.96</v>
      </c>
      <c r="P2702" s="110">
        <v>147.31</v>
      </c>
      <c r="Q2702" s="110">
        <v>145.77000000000001</v>
      </c>
      <c r="R2702">
        <v>22283701</v>
      </c>
    </row>
    <row r="2703" spans="1:18" x14ac:dyDescent="0.25">
      <c r="A2703" s="133">
        <v>45985</v>
      </c>
      <c r="B2703" s="110">
        <v>148.55000000000001</v>
      </c>
      <c r="C2703" s="110">
        <v>146.6</v>
      </c>
      <c r="D2703" s="110">
        <v>145.80000000000001</v>
      </c>
      <c r="E2703" s="110">
        <v>145.80000000000001</v>
      </c>
      <c r="F2703" s="110">
        <v>146.6</v>
      </c>
      <c r="G2703">
        <v>1550563</v>
      </c>
      <c r="H2703" s="110"/>
      <c r="I2703" s="110"/>
      <c r="L2703" s="133">
        <v>45985</v>
      </c>
      <c r="M2703" s="110">
        <v>146.66999999999999</v>
      </c>
      <c r="N2703" s="110">
        <v>148.59</v>
      </c>
      <c r="O2703" s="110">
        <v>145.84</v>
      </c>
      <c r="P2703" s="110">
        <v>146</v>
      </c>
      <c r="Q2703" s="110">
        <v>146.66999999999999</v>
      </c>
      <c r="R2703">
        <v>35398447</v>
      </c>
    </row>
    <row r="2704" spans="1:18" x14ac:dyDescent="0.25">
      <c r="A2704" s="133">
        <v>45986</v>
      </c>
      <c r="B2704" s="110">
        <v>149.35</v>
      </c>
      <c r="C2704" s="110">
        <v>148.65</v>
      </c>
      <c r="D2704" s="110">
        <v>145.4</v>
      </c>
      <c r="E2704" s="110">
        <v>146.9</v>
      </c>
      <c r="F2704" s="110">
        <v>148.65</v>
      </c>
      <c r="G2704">
        <v>516366</v>
      </c>
      <c r="H2704" s="110"/>
      <c r="I2704" s="110"/>
      <c r="L2704" s="133">
        <v>45986</v>
      </c>
      <c r="M2704" s="110">
        <v>148.69</v>
      </c>
      <c r="N2704" s="110">
        <v>149.38</v>
      </c>
      <c r="O2704" s="110">
        <v>145.30000000000001</v>
      </c>
      <c r="P2704" s="110">
        <v>146.66</v>
      </c>
      <c r="Q2704" s="110">
        <v>148.69</v>
      </c>
      <c r="R2704">
        <v>24048863</v>
      </c>
    </row>
    <row r="2705" spans="1:18" x14ac:dyDescent="0.25">
      <c r="A2705" s="133">
        <v>45987</v>
      </c>
      <c r="B2705" s="110">
        <v>152.5</v>
      </c>
      <c r="C2705" s="110">
        <v>150.19999999999999</v>
      </c>
      <c r="D2705" s="110">
        <v>149</v>
      </c>
      <c r="E2705" s="110">
        <v>149.9</v>
      </c>
      <c r="F2705" s="110">
        <v>150.19999999999999</v>
      </c>
      <c r="G2705">
        <v>774878</v>
      </c>
      <c r="H2705" s="110"/>
      <c r="I2705" s="110"/>
      <c r="L2705" s="133">
        <v>45987</v>
      </c>
      <c r="M2705" s="110">
        <v>150.16</v>
      </c>
      <c r="N2705" s="110">
        <v>152.5</v>
      </c>
      <c r="O2705" s="110">
        <v>148.91999999999999</v>
      </c>
      <c r="P2705" s="110">
        <v>149.69</v>
      </c>
      <c r="Q2705" s="110">
        <v>150.16</v>
      </c>
      <c r="R2705">
        <v>30511761</v>
      </c>
    </row>
    <row r="2706" spans="1:18" x14ac:dyDescent="0.25">
      <c r="A2706" s="133">
        <v>45988</v>
      </c>
      <c r="B2706" s="110">
        <v>152</v>
      </c>
      <c r="C2706" s="110">
        <v>151.5</v>
      </c>
      <c r="D2706" s="110">
        <v>149.80000000000001</v>
      </c>
      <c r="E2706" s="110">
        <v>150.94999999999999</v>
      </c>
      <c r="F2706" s="110">
        <v>151.5</v>
      </c>
      <c r="G2706">
        <v>24996511</v>
      </c>
      <c r="H2706" s="110"/>
      <c r="I2706" s="110"/>
      <c r="L2706" s="133">
        <v>45988</v>
      </c>
      <c r="M2706" s="110">
        <v>151.76</v>
      </c>
      <c r="N2706" s="110">
        <v>152</v>
      </c>
      <c r="O2706" s="110">
        <v>149.85</v>
      </c>
      <c r="P2706" s="110">
        <v>150.9</v>
      </c>
      <c r="Q2706" s="110">
        <v>151.76</v>
      </c>
      <c r="R2706">
        <v>20130369</v>
      </c>
    </row>
    <row r="2707" spans="1:18" x14ac:dyDescent="0.25">
      <c r="A2707" s="133">
        <v>45989</v>
      </c>
      <c r="B2707" s="110">
        <v>152.4</v>
      </c>
      <c r="C2707" s="110">
        <v>151.65</v>
      </c>
      <c r="D2707" s="110">
        <v>150.80000000000001</v>
      </c>
      <c r="E2707" s="110">
        <v>151.6</v>
      </c>
      <c r="F2707" s="110">
        <v>151.65</v>
      </c>
      <c r="G2707">
        <v>2083064</v>
      </c>
      <c r="H2707" s="110"/>
      <c r="I2707" s="110"/>
      <c r="L2707" s="133">
        <v>45989</v>
      </c>
      <c r="M2707" s="110">
        <v>151.58000000000001</v>
      </c>
      <c r="N2707" s="110">
        <v>152.34</v>
      </c>
      <c r="O2707" s="110">
        <v>150.83000000000001</v>
      </c>
      <c r="P2707" s="110">
        <v>151.99</v>
      </c>
      <c r="Q2707" s="110">
        <v>151.58000000000001</v>
      </c>
      <c r="R2707">
        <v>19414509</v>
      </c>
    </row>
    <row r="2708" spans="1:18" x14ac:dyDescent="0.25">
      <c r="A2708" s="133">
        <v>45992</v>
      </c>
      <c r="B2708" s="110">
        <v>153.65</v>
      </c>
      <c r="C2708" s="110">
        <v>150.25</v>
      </c>
      <c r="D2708" s="110">
        <v>149.25</v>
      </c>
      <c r="E2708" s="110">
        <v>151.80000000000001</v>
      </c>
      <c r="F2708" s="110">
        <v>150.25</v>
      </c>
      <c r="G2708">
        <v>2285306</v>
      </c>
      <c r="H2708" s="110"/>
      <c r="I2708" s="110"/>
      <c r="L2708" s="133">
        <v>45992</v>
      </c>
      <c r="M2708" s="110">
        <v>150.5</v>
      </c>
      <c r="N2708" s="110">
        <v>153.68</v>
      </c>
      <c r="O2708" s="110">
        <v>149.6</v>
      </c>
      <c r="P2708" s="110">
        <v>152</v>
      </c>
      <c r="Q2708" s="110">
        <v>150.5</v>
      </c>
      <c r="R2708">
        <v>17845829</v>
      </c>
    </row>
    <row r="2709" spans="1:18" x14ac:dyDescent="0.25">
      <c r="A2709" s="133">
        <v>45993</v>
      </c>
      <c r="B2709">
        <v>154.19999999999999</v>
      </c>
      <c r="C2709">
        <v>152.05000000000001</v>
      </c>
      <c r="D2709">
        <v>150.55000000000001</v>
      </c>
      <c r="E2709">
        <v>150.55000000000001</v>
      </c>
      <c r="F2709">
        <v>152.05000000000001</v>
      </c>
      <c r="G2709">
        <v>1151300</v>
      </c>
      <c r="H2709" s="110"/>
      <c r="I2709" s="110"/>
      <c r="L2709" s="133">
        <v>45993</v>
      </c>
      <c r="M2709" s="110">
        <v>152.03</v>
      </c>
      <c r="N2709" s="110">
        <v>154.21</v>
      </c>
      <c r="O2709" s="110">
        <v>150.6</v>
      </c>
      <c r="P2709" s="110">
        <v>150.88</v>
      </c>
      <c r="Q2709" s="110">
        <v>152.03</v>
      </c>
      <c r="R2709">
        <v>42353933</v>
      </c>
    </row>
    <row r="2710" spans="1:18" x14ac:dyDescent="0.25">
      <c r="A2710" s="133">
        <v>45994</v>
      </c>
      <c r="B2710">
        <v>152.9</v>
      </c>
      <c r="C2710">
        <v>146.05000000000001</v>
      </c>
      <c r="D2710">
        <v>145</v>
      </c>
      <c r="E2710">
        <v>152.9</v>
      </c>
      <c r="F2710">
        <v>146.05000000000001</v>
      </c>
      <c r="G2710">
        <v>2912953</v>
      </c>
      <c r="H2710" s="110"/>
      <c r="I2710" s="110"/>
      <c r="L2710" s="133">
        <v>45994</v>
      </c>
      <c r="M2710" s="110">
        <v>146.08000000000001</v>
      </c>
      <c r="N2710" s="110">
        <v>152.94999999999999</v>
      </c>
      <c r="O2710" s="110">
        <v>145.03</v>
      </c>
      <c r="P2710" s="110">
        <v>152.80000000000001</v>
      </c>
      <c r="Q2710" s="110">
        <v>146.08000000000001</v>
      </c>
      <c r="R2710">
        <v>43621493</v>
      </c>
    </row>
    <row r="2711" spans="1:18" x14ac:dyDescent="0.25">
      <c r="A2711" s="133">
        <v>45995</v>
      </c>
      <c r="B2711">
        <v>148.80000000000001</v>
      </c>
      <c r="C2711">
        <v>147.25</v>
      </c>
      <c r="D2711">
        <v>145.80000000000001</v>
      </c>
      <c r="E2711">
        <v>146.25</v>
      </c>
      <c r="F2711">
        <v>147.25</v>
      </c>
      <c r="G2711">
        <v>636102</v>
      </c>
      <c r="H2711" s="110"/>
      <c r="I2711" s="110"/>
      <c r="L2711" s="133">
        <v>45995</v>
      </c>
      <c r="M2711" s="110">
        <v>147.38999999999999</v>
      </c>
      <c r="N2711" s="110">
        <v>148.79</v>
      </c>
      <c r="O2711" s="110">
        <v>145.81</v>
      </c>
      <c r="P2711" s="110">
        <v>146.08000000000001</v>
      </c>
      <c r="Q2711" s="110">
        <v>147.38999999999999</v>
      </c>
      <c r="R2711">
        <v>23552476</v>
      </c>
    </row>
    <row r="2712" spans="1:18" x14ac:dyDescent="0.25">
      <c r="A2712" s="133">
        <v>45996</v>
      </c>
      <c r="B2712">
        <v>149.44999999999999</v>
      </c>
      <c r="C2712">
        <v>148.55000000000001</v>
      </c>
      <c r="D2712">
        <v>146.69999999999999</v>
      </c>
      <c r="E2712">
        <v>147.55000000000001</v>
      </c>
      <c r="F2712">
        <v>148.55000000000001</v>
      </c>
      <c r="G2712">
        <v>2061479</v>
      </c>
      <c r="H2712" s="110"/>
      <c r="I2712" s="110"/>
      <c r="L2712" s="133">
        <v>45996</v>
      </c>
      <c r="M2712" s="110">
        <v>148.63999999999999</v>
      </c>
      <c r="N2712" s="110">
        <v>149.44999999999999</v>
      </c>
      <c r="O2712" s="110">
        <v>146.69</v>
      </c>
      <c r="P2712" s="110">
        <v>147.69</v>
      </c>
      <c r="Q2712" s="110">
        <v>148.63999999999999</v>
      </c>
      <c r="R2712">
        <v>23212483</v>
      </c>
    </row>
    <row r="2713" spans="1:18" x14ac:dyDescent="0.25">
      <c r="A2713" s="133">
        <v>45999</v>
      </c>
      <c r="B2713">
        <v>148.80000000000001</v>
      </c>
      <c r="C2713">
        <v>142.85</v>
      </c>
      <c r="D2713">
        <v>141.9</v>
      </c>
      <c r="E2713">
        <v>148.80000000000001</v>
      </c>
      <c r="F2713">
        <v>142.85</v>
      </c>
      <c r="G2713">
        <v>749993</v>
      </c>
      <c r="H2713" s="110"/>
      <c r="I2713" s="110"/>
      <c r="L2713" s="133">
        <v>45999</v>
      </c>
      <c r="M2713" s="110">
        <v>142.84</v>
      </c>
      <c r="N2713" s="110">
        <v>148.9</v>
      </c>
      <c r="O2713" s="110">
        <v>141.97</v>
      </c>
      <c r="P2713" s="110">
        <v>148.5</v>
      </c>
      <c r="Q2713" s="110">
        <v>142.84</v>
      </c>
      <c r="R2713">
        <v>27695937</v>
      </c>
    </row>
    <row r="2714" spans="1:18" x14ac:dyDescent="0.25">
      <c r="A2714" s="133">
        <v>46000</v>
      </c>
      <c r="B2714">
        <v>146.5</v>
      </c>
      <c r="C2714">
        <v>146.05000000000001</v>
      </c>
      <c r="D2714">
        <v>141.05000000000001</v>
      </c>
      <c r="E2714">
        <v>142.55000000000001</v>
      </c>
      <c r="F2714">
        <v>146.05000000000001</v>
      </c>
      <c r="G2714">
        <v>1626221</v>
      </c>
      <c r="H2714" s="110"/>
      <c r="I2714" s="110"/>
      <c r="L2714" s="133">
        <v>46000</v>
      </c>
      <c r="M2714" s="110">
        <v>146.19</v>
      </c>
      <c r="N2714" s="110">
        <v>146.49</v>
      </c>
      <c r="O2714" s="110">
        <v>141.11000000000001</v>
      </c>
      <c r="P2714" s="110">
        <v>142.55000000000001</v>
      </c>
      <c r="Q2714" s="110">
        <v>146.19</v>
      </c>
      <c r="R2714">
        <v>30373958</v>
      </c>
    </row>
    <row r="2715" spans="1:18" x14ac:dyDescent="0.25">
      <c r="A2715" s="133">
        <v>46001</v>
      </c>
      <c r="B2715">
        <v>147.75</v>
      </c>
      <c r="C2715">
        <v>145.55000000000001</v>
      </c>
      <c r="D2715">
        <v>144.5</v>
      </c>
      <c r="E2715">
        <v>146.94999999999999</v>
      </c>
      <c r="F2715">
        <v>145.55000000000001</v>
      </c>
      <c r="G2715">
        <v>822445</v>
      </c>
      <c r="H2715" s="110"/>
      <c r="I2715" s="110"/>
      <c r="L2715" s="133">
        <v>46001</v>
      </c>
      <c r="M2715" s="110">
        <v>145.56</v>
      </c>
      <c r="N2715" s="110">
        <v>147.79</v>
      </c>
      <c r="O2715" s="110">
        <v>144.4</v>
      </c>
      <c r="P2715" s="110">
        <v>146.69999999999999</v>
      </c>
      <c r="Q2715" s="110">
        <v>145.56</v>
      </c>
      <c r="R2715">
        <v>24139924</v>
      </c>
    </row>
    <row r="2716" spans="1:18" x14ac:dyDescent="0.25">
      <c r="A2716" s="133">
        <v>46002</v>
      </c>
      <c r="B2716">
        <v>148</v>
      </c>
      <c r="C2716">
        <v>146.75</v>
      </c>
      <c r="D2716">
        <v>145.25</v>
      </c>
      <c r="E2716">
        <v>146.15</v>
      </c>
      <c r="F2716">
        <v>146.75</v>
      </c>
      <c r="G2716">
        <v>566389</v>
      </c>
      <c r="H2716" s="110"/>
      <c r="I2716" s="110"/>
      <c r="L2716" s="133">
        <v>46002</v>
      </c>
      <c r="M2716" s="110">
        <v>146.80000000000001</v>
      </c>
      <c r="N2716" s="110">
        <v>147.99</v>
      </c>
      <c r="O2716" s="110">
        <v>145.25</v>
      </c>
      <c r="P2716" s="110">
        <v>145.69999999999999</v>
      </c>
      <c r="Q2716" s="110">
        <v>146.80000000000001</v>
      </c>
      <c r="R2716">
        <v>19389862</v>
      </c>
    </row>
    <row r="2717" spans="1:18" x14ac:dyDescent="0.25">
      <c r="A2717" s="133">
        <v>46003</v>
      </c>
      <c r="B2717">
        <v>147.69999999999999</v>
      </c>
      <c r="C2717">
        <v>146.6</v>
      </c>
      <c r="D2717">
        <v>145.69999999999999</v>
      </c>
      <c r="E2717">
        <v>147.25</v>
      </c>
      <c r="F2717">
        <v>146.6</v>
      </c>
      <c r="G2717">
        <v>1261202</v>
      </c>
      <c r="H2717" s="110"/>
      <c r="I2717" s="110"/>
      <c r="L2717" s="133">
        <v>46003</v>
      </c>
      <c r="M2717" s="110">
        <v>146.63</v>
      </c>
      <c r="N2717" s="110">
        <v>147.79</v>
      </c>
      <c r="O2717" s="110">
        <v>145.71</v>
      </c>
      <c r="P2717" s="110">
        <v>147.01</v>
      </c>
      <c r="Q2717" s="110">
        <v>146.63</v>
      </c>
      <c r="R2717">
        <v>14181844</v>
      </c>
    </row>
    <row r="2718" spans="1:18" x14ac:dyDescent="0.25">
      <c r="A2718" s="133">
        <v>46006</v>
      </c>
      <c r="B2718">
        <v>149</v>
      </c>
      <c r="C2718">
        <v>148.30000000000001</v>
      </c>
      <c r="D2718">
        <v>146</v>
      </c>
      <c r="E2718">
        <v>146</v>
      </c>
      <c r="F2718">
        <v>148.30000000000001</v>
      </c>
      <c r="G2718">
        <v>448531</v>
      </c>
      <c r="H2718" s="110"/>
      <c r="I2718" s="110"/>
      <c r="L2718" s="133">
        <v>46006</v>
      </c>
      <c r="M2718" s="110">
        <v>148.29</v>
      </c>
      <c r="N2718" s="110">
        <v>148.9</v>
      </c>
      <c r="O2718" s="110">
        <v>146</v>
      </c>
      <c r="P2718" s="110">
        <v>146.11000000000001</v>
      </c>
      <c r="Q2718" s="110">
        <v>148.29</v>
      </c>
      <c r="R2718">
        <v>16431186</v>
      </c>
    </row>
    <row r="2719" spans="1:18" x14ac:dyDescent="0.25">
      <c r="A2719" s="133">
        <v>46007</v>
      </c>
      <c r="B2719">
        <v>148.80000000000001</v>
      </c>
      <c r="C2719">
        <v>147.19999999999999</v>
      </c>
      <c r="D2719">
        <v>146.5</v>
      </c>
      <c r="E2719">
        <v>148.05000000000001</v>
      </c>
      <c r="F2719">
        <v>147.19999999999999</v>
      </c>
      <c r="G2719">
        <v>642077</v>
      </c>
      <c r="H2719" s="110"/>
      <c r="I2719" s="110"/>
      <c r="L2719" s="133">
        <v>46007</v>
      </c>
      <c r="M2719" s="110">
        <v>147.16999999999999</v>
      </c>
      <c r="N2719" s="110">
        <v>148.9</v>
      </c>
      <c r="O2719" s="110">
        <v>146.49</v>
      </c>
      <c r="P2719" s="110">
        <v>148.30000000000001</v>
      </c>
      <c r="Q2719" s="110">
        <v>147.16999999999999</v>
      </c>
      <c r="R2719">
        <v>14586929</v>
      </c>
    </row>
    <row r="2720" spans="1:18" x14ac:dyDescent="0.25">
      <c r="A2720" s="133">
        <v>46008</v>
      </c>
      <c r="B2720">
        <v>150.69999999999999</v>
      </c>
      <c r="C2720">
        <v>150.19999999999999</v>
      </c>
      <c r="D2720">
        <v>146.94999999999999</v>
      </c>
      <c r="E2720">
        <v>147.15</v>
      </c>
      <c r="F2720">
        <v>150.19999999999999</v>
      </c>
      <c r="G2720">
        <v>1674830</v>
      </c>
      <c r="H2720" s="110"/>
      <c r="I2720" s="110"/>
      <c r="L2720" s="133">
        <v>46008</v>
      </c>
      <c r="M2720" s="110">
        <v>150.21</v>
      </c>
      <c r="N2720" s="110">
        <v>150.78</v>
      </c>
      <c r="O2720" s="110">
        <v>146.91</v>
      </c>
      <c r="P2720" s="110">
        <v>147</v>
      </c>
      <c r="Q2720" s="110">
        <v>150.21</v>
      </c>
      <c r="R2720">
        <v>26335842</v>
      </c>
    </row>
    <row r="2721" spans="1:18" x14ac:dyDescent="0.25">
      <c r="A2721" s="133">
        <v>46009</v>
      </c>
      <c r="B2721">
        <v>151.5</v>
      </c>
      <c r="C2721">
        <v>149.80000000000001</v>
      </c>
      <c r="D2721">
        <v>148.35</v>
      </c>
      <c r="E2721">
        <v>151</v>
      </c>
      <c r="F2721">
        <v>149.80000000000001</v>
      </c>
      <c r="G2721">
        <v>447957</v>
      </c>
      <c r="H2721" s="110"/>
      <c r="I2721" s="110"/>
      <c r="L2721" s="133">
        <v>46009</v>
      </c>
      <c r="M2721" s="110">
        <v>149.83000000000001</v>
      </c>
      <c r="N2721" s="110">
        <v>151.72</v>
      </c>
      <c r="O2721" s="110">
        <v>148.32</v>
      </c>
      <c r="P2721" s="110">
        <v>150.9</v>
      </c>
      <c r="Q2721" s="110">
        <v>149.83000000000001</v>
      </c>
      <c r="R2721">
        <v>16158407</v>
      </c>
    </row>
    <row r="2722" spans="1:18" x14ac:dyDescent="0.25">
      <c r="A2722" s="133">
        <v>46010</v>
      </c>
      <c r="B2722">
        <v>150.85</v>
      </c>
      <c r="C2722">
        <v>148.55000000000001</v>
      </c>
      <c r="D2722">
        <v>147.25</v>
      </c>
      <c r="E2722">
        <v>150.4</v>
      </c>
      <c r="F2722">
        <v>148.55000000000001</v>
      </c>
      <c r="G2722">
        <v>1074691</v>
      </c>
      <c r="H2722" s="110"/>
      <c r="I2722" s="110"/>
      <c r="L2722" s="133">
        <v>46010</v>
      </c>
      <c r="M2722" s="110">
        <v>148.58000000000001</v>
      </c>
      <c r="N2722" s="110">
        <v>150.97999999999999</v>
      </c>
      <c r="O2722" s="110">
        <v>147.27000000000001</v>
      </c>
      <c r="P2722" s="110">
        <v>150.1</v>
      </c>
      <c r="Q2722" s="110">
        <v>148.58000000000001</v>
      </c>
      <c r="R2722">
        <v>26225514</v>
      </c>
    </row>
    <row r="2723" spans="1:18" x14ac:dyDescent="0.25">
      <c r="A2723" s="133">
        <v>46013</v>
      </c>
      <c r="B2723">
        <v>150.5</v>
      </c>
      <c r="C2723">
        <v>150.19999999999999</v>
      </c>
      <c r="D2723">
        <v>148.85</v>
      </c>
      <c r="E2723">
        <v>149.25</v>
      </c>
      <c r="F2723">
        <v>150.19999999999999</v>
      </c>
      <c r="G2723">
        <v>3973774</v>
      </c>
      <c r="H2723" s="110"/>
      <c r="I2723" s="110"/>
      <c r="L2723" s="133">
        <v>46013</v>
      </c>
      <c r="M2723" s="110">
        <v>150.30000000000001</v>
      </c>
      <c r="N2723" s="110">
        <v>150.5</v>
      </c>
      <c r="O2723" s="110">
        <v>148.86000000000001</v>
      </c>
      <c r="P2723" s="110">
        <v>149.30000000000001</v>
      </c>
      <c r="Q2723" s="110">
        <v>150.30000000000001</v>
      </c>
      <c r="R2723">
        <v>15647315</v>
      </c>
    </row>
    <row r="2724" spans="1:18" x14ac:dyDescent="0.25">
      <c r="A2724" s="133">
        <v>46014</v>
      </c>
      <c r="B2724">
        <v>151.35</v>
      </c>
      <c r="C2724">
        <v>150.25</v>
      </c>
      <c r="D2724">
        <v>149.6</v>
      </c>
      <c r="E2724">
        <v>151</v>
      </c>
      <c r="F2724">
        <v>150.25</v>
      </c>
      <c r="G2724">
        <v>879419</v>
      </c>
      <c r="H2724" s="110"/>
      <c r="I2724" s="110"/>
      <c r="L2724" s="133">
        <v>46014</v>
      </c>
      <c r="M2724" s="110">
        <v>150.22</v>
      </c>
      <c r="N2724" s="110">
        <v>151.25</v>
      </c>
      <c r="O2724" s="110">
        <v>149.61000000000001</v>
      </c>
      <c r="P2724" s="110">
        <v>150.85</v>
      </c>
      <c r="Q2724" s="110">
        <v>150.22</v>
      </c>
      <c r="R2724">
        <v>16025851</v>
      </c>
    </row>
    <row r="2725" spans="1:18" x14ac:dyDescent="0.25">
      <c r="A2725" s="133">
        <v>46015</v>
      </c>
      <c r="B2725">
        <v>151.15</v>
      </c>
      <c r="C2725">
        <v>149.69999999999999</v>
      </c>
      <c r="D2725">
        <v>149.4</v>
      </c>
      <c r="E2725">
        <v>150.94999999999999</v>
      </c>
      <c r="F2725">
        <v>149.69999999999999</v>
      </c>
      <c r="G2725">
        <v>5232403</v>
      </c>
      <c r="H2725" s="110"/>
      <c r="I2725" s="110"/>
      <c r="L2725" s="133">
        <v>46015</v>
      </c>
      <c r="M2725" s="110">
        <v>149.66999999999999</v>
      </c>
      <c r="N2725" s="110">
        <v>151.16999999999999</v>
      </c>
      <c r="O2725" s="110">
        <v>149.43</v>
      </c>
      <c r="P2725" s="110">
        <v>150.77000000000001</v>
      </c>
      <c r="Q2725" s="110">
        <v>149.66999999999999</v>
      </c>
      <c r="R2725">
        <v>16461725</v>
      </c>
    </row>
    <row r="2726" spans="1:18" x14ac:dyDescent="0.25">
      <c r="A2726" s="133">
        <v>46017</v>
      </c>
      <c r="B2726">
        <v>150.80000000000001</v>
      </c>
      <c r="C2726">
        <v>150</v>
      </c>
      <c r="D2726">
        <v>148.94999999999999</v>
      </c>
      <c r="E2726">
        <v>149.65</v>
      </c>
      <c r="F2726">
        <v>150</v>
      </c>
      <c r="G2726">
        <v>1011966</v>
      </c>
      <c r="H2726" s="110"/>
      <c r="I2726" s="110"/>
      <c r="L2726" s="133">
        <v>46017</v>
      </c>
      <c r="M2726" s="110">
        <v>150.07</v>
      </c>
      <c r="N2726" s="110">
        <v>150.85</v>
      </c>
      <c r="O2726" s="110">
        <v>148.96</v>
      </c>
      <c r="P2726" s="110">
        <v>149.80000000000001</v>
      </c>
      <c r="Q2726" s="110">
        <v>150.07</v>
      </c>
      <c r="R2726">
        <v>12422858</v>
      </c>
    </row>
    <row r="2727" spans="1:18" x14ac:dyDescent="0.25">
      <c r="A2727" s="133">
        <v>46020</v>
      </c>
      <c r="B2727">
        <v>152.05000000000001</v>
      </c>
      <c r="C2727">
        <v>151</v>
      </c>
      <c r="D2727">
        <v>149.5</v>
      </c>
      <c r="E2727">
        <v>150</v>
      </c>
      <c r="F2727">
        <v>151</v>
      </c>
      <c r="G2727">
        <v>1313899</v>
      </c>
      <c r="H2727" s="110"/>
      <c r="I2727" s="110"/>
      <c r="L2727" s="133">
        <v>46020</v>
      </c>
      <c r="M2727" s="110">
        <v>150.91999999999999</v>
      </c>
      <c r="N2727" s="110">
        <v>152.1</v>
      </c>
      <c r="O2727" s="110">
        <v>149.77000000000001</v>
      </c>
      <c r="P2727" s="110">
        <v>150.06</v>
      </c>
      <c r="Q2727" s="110">
        <v>150.91999999999999</v>
      </c>
      <c r="R2727">
        <v>19512200</v>
      </c>
    </row>
    <row r="2728" spans="1:18" x14ac:dyDescent="0.25">
      <c r="A2728" s="133">
        <v>46021</v>
      </c>
      <c r="B2728">
        <v>154.44999999999999</v>
      </c>
      <c r="C2728">
        <v>154</v>
      </c>
      <c r="D2728">
        <v>149.1</v>
      </c>
      <c r="E2728">
        <v>150.9</v>
      </c>
      <c r="F2728">
        <v>154</v>
      </c>
      <c r="G2728">
        <v>1802272</v>
      </c>
      <c r="H2728" s="110"/>
      <c r="I2728" s="110"/>
      <c r="L2728" s="133">
        <v>46021</v>
      </c>
      <c r="M2728" s="110">
        <v>154.03</v>
      </c>
      <c r="N2728" s="110">
        <v>154.5</v>
      </c>
      <c r="O2728" s="110">
        <v>149.12</v>
      </c>
      <c r="P2728" s="110">
        <v>150.5</v>
      </c>
      <c r="Q2728" s="110">
        <v>154.03</v>
      </c>
      <c r="R2728">
        <v>76140412</v>
      </c>
    </row>
    <row r="2729" spans="1:18" x14ac:dyDescent="0.25">
      <c r="A2729" s="133">
        <v>46022</v>
      </c>
      <c r="B2729">
        <v>158</v>
      </c>
      <c r="C2729">
        <v>154.9</v>
      </c>
      <c r="D2729">
        <v>153.05000000000001</v>
      </c>
      <c r="E2729">
        <v>154.1</v>
      </c>
      <c r="F2729">
        <v>154.9</v>
      </c>
      <c r="G2729">
        <v>1320224</v>
      </c>
      <c r="H2729" s="110"/>
      <c r="I2729" s="110"/>
      <c r="L2729" s="133">
        <v>46022</v>
      </c>
      <c r="M2729" s="110">
        <v>154.91</v>
      </c>
      <c r="N2729" s="110">
        <v>158</v>
      </c>
      <c r="O2729" s="110">
        <v>153</v>
      </c>
      <c r="P2729" s="110">
        <v>154.03</v>
      </c>
      <c r="Q2729" s="110">
        <v>154.91</v>
      </c>
      <c r="R2729">
        <v>35538921</v>
      </c>
    </row>
    <row r="2730" spans="1:18" x14ac:dyDescent="0.25">
      <c r="A2730" s="133">
        <v>46023</v>
      </c>
      <c r="B2730">
        <v>156.15</v>
      </c>
      <c r="C2730">
        <v>154.25</v>
      </c>
      <c r="D2730">
        <v>153.6</v>
      </c>
      <c r="E2730">
        <v>155.15</v>
      </c>
      <c r="F2730">
        <v>154.25</v>
      </c>
      <c r="G2730">
        <v>1279235</v>
      </c>
      <c r="H2730" s="110"/>
      <c r="I2730" s="110"/>
      <c r="L2730" s="133">
        <v>46023</v>
      </c>
      <c r="M2730" s="110">
        <v>154.24</v>
      </c>
      <c r="N2730" s="110">
        <v>156.28</v>
      </c>
      <c r="O2730" s="110">
        <v>153.55000000000001</v>
      </c>
      <c r="P2730" s="110">
        <v>155</v>
      </c>
      <c r="Q2730" s="110">
        <v>154.24</v>
      </c>
      <c r="R2730">
        <v>18111681</v>
      </c>
    </row>
    <row r="2731" spans="1:18" x14ac:dyDescent="0.25">
      <c r="A2731" s="133">
        <v>46024</v>
      </c>
      <c r="B2731">
        <v>155.6</v>
      </c>
      <c r="C2731">
        <v>154.94999999999999</v>
      </c>
      <c r="D2731">
        <v>152.85</v>
      </c>
      <c r="E2731">
        <v>155</v>
      </c>
      <c r="F2731">
        <v>154.94999999999999</v>
      </c>
      <c r="G2731">
        <v>1709284</v>
      </c>
      <c r="H2731" s="110"/>
      <c r="I2731" s="110"/>
      <c r="L2731" s="133">
        <v>46024</v>
      </c>
      <c r="M2731" s="110">
        <v>154.87</v>
      </c>
      <c r="N2731" s="110">
        <v>155.66999999999999</v>
      </c>
      <c r="O2731" s="110">
        <v>152.80000000000001</v>
      </c>
      <c r="P2731" s="110">
        <v>154.9</v>
      </c>
      <c r="Q2731" s="110">
        <v>154.87</v>
      </c>
      <c r="R2731">
        <v>29236511</v>
      </c>
    </row>
    <row r="2732" spans="1:18" x14ac:dyDescent="0.25">
      <c r="A2732" s="133">
        <v>46027</v>
      </c>
      <c r="B2732">
        <v>157.6</v>
      </c>
      <c r="C2732">
        <v>154.15</v>
      </c>
      <c r="D2732">
        <v>153.4</v>
      </c>
      <c r="E2732">
        <v>155.25</v>
      </c>
      <c r="F2732">
        <v>154.15</v>
      </c>
      <c r="G2732">
        <v>2050403</v>
      </c>
      <c r="H2732" s="110"/>
      <c r="I2732" s="110"/>
      <c r="L2732" s="133">
        <v>46027</v>
      </c>
      <c r="M2732" s="110">
        <v>154.22999999999999</v>
      </c>
      <c r="N2732" s="110">
        <v>157.6</v>
      </c>
      <c r="O2732" s="110">
        <v>153.52000000000001</v>
      </c>
      <c r="P2732" s="110">
        <v>155.5</v>
      </c>
      <c r="Q2732" s="110">
        <v>154.22999999999999</v>
      </c>
      <c r="R2732">
        <v>19385780</v>
      </c>
    </row>
    <row r="2733" spans="1:18" x14ac:dyDescent="0.25">
      <c r="A2733" s="133">
        <v>46028</v>
      </c>
      <c r="B2733">
        <v>156.1</v>
      </c>
      <c r="C2733">
        <v>153.85</v>
      </c>
      <c r="D2733">
        <v>152.69999999999999</v>
      </c>
      <c r="E2733">
        <v>154.30000000000001</v>
      </c>
      <c r="F2733">
        <v>153.85</v>
      </c>
      <c r="G2733">
        <v>680734</v>
      </c>
      <c r="H2733" s="110"/>
      <c r="I2733" s="110"/>
      <c r="L2733" s="133">
        <v>46028</v>
      </c>
      <c r="M2733" s="110">
        <v>153.88</v>
      </c>
      <c r="N2733" s="110">
        <v>156.12</v>
      </c>
      <c r="O2733" s="110">
        <v>152.6</v>
      </c>
      <c r="P2733" s="110">
        <v>154.5</v>
      </c>
      <c r="Q2733" s="110">
        <v>153.88</v>
      </c>
      <c r="R2733">
        <v>17196220</v>
      </c>
    </row>
    <row r="2734" spans="1:18" x14ac:dyDescent="0.25">
      <c r="A2734" s="133">
        <v>46029</v>
      </c>
      <c r="B2734">
        <v>156.4</v>
      </c>
      <c r="C2734">
        <v>153</v>
      </c>
      <c r="D2734">
        <v>151.80000000000001</v>
      </c>
      <c r="E2734">
        <v>154.1</v>
      </c>
      <c r="F2734">
        <v>153</v>
      </c>
      <c r="G2734">
        <v>1070549</v>
      </c>
      <c r="H2734" s="110"/>
      <c r="I2734" s="110"/>
      <c r="L2734" s="133">
        <v>46029</v>
      </c>
      <c r="M2734" s="110">
        <v>152.96</v>
      </c>
      <c r="N2734" s="110">
        <v>156.38999999999999</v>
      </c>
      <c r="O2734" s="110">
        <v>151.71</v>
      </c>
      <c r="P2734" s="110">
        <v>154.1</v>
      </c>
      <c r="Q2734" s="110">
        <v>152.96</v>
      </c>
      <c r="R2734">
        <v>22810626</v>
      </c>
    </row>
    <row r="2735" spans="1:18" x14ac:dyDescent="0.25">
      <c r="A2735" s="133">
        <v>46030</v>
      </c>
      <c r="B2735">
        <v>153.75</v>
      </c>
      <c r="C2735">
        <v>150.44999999999999</v>
      </c>
      <c r="D2735">
        <v>149.65</v>
      </c>
      <c r="E2735">
        <v>153.30000000000001</v>
      </c>
      <c r="F2735">
        <v>150.44999999999999</v>
      </c>
      <c r="G2735">
        <v>1040771</v>
      </c>
      <c r="H2735" s="110"/>
      <c r="I2735" s="110"/>
      <c r="L2735" s="133">
        <v>46030</v>
      </c>
      <c r="M2735" s="110">
        <v>150.46</v>
      </c>
      <c r="N2735" s="110">
        <v>153.80000000000001</v>
      </c>
      <c r="O2735" s="110">
        <v>149.63999999999999</v>
      </c>
      <c r="P2735" s="110">
        <v>153.15</v>
      </c>
      <c r="Q2735" s="110">
        <v>150.46</v>
      </c>
      <c r="R2735">
        <v>17324688</v>
      </c>
    </row>
    <row r="2736" spans="1:18" x14ac:dyDescent="0.25">
      <c r="A2736" s="133">
        <v>46031</v>
      </c>
      <c r="B2736">
        <v>152.85</v>
      </c>
      <c r="C2736">
        <v>150.5</v>
      </c>
      <c r="D2736">
        <v>149.4</v>
      </c>
      <c r="E2736">
        <v>150.44999999999999</v>
      </c>
      <c r="F2736">
        <v>150.5</v>
      </c>
      <c r="G2736">
        <v>1830433</v>
      </c>
      <c r="H2736" s="110"/>
      <c r="I2736" s="110"/>
      <c r="L2736" s="133">
        <v>46031</v>
      </c>
      <c r="M2736" s="110">
        <v>150.54</v>
      </c>
      <c r="N2736" s="110">
        <v>152.9</v>
      </c>
      <c r="O2736" s="110">
        <v>149.21</v>
      </c>
      <c r="P2736" s="110">
        <v>150.4</v>
      </c>
      <c r="Q2736" s="110">
        <v>150.54</v>
      </c>
      <c r="R2736">
        <v>18132919</v>
      </c>
    </row>
    <row r="2737" spans="1:18" x14ac:dyDescent="0.25">
      <c r="A2737" s="133">
        <v>46034</v>
      </c>
      <c r="B2737">
        <v>151.30000000000001</v>
      </c>
      <c r="C2737">
        <v>150</v>
      </c>
      <c r="D2737">
        <v>146.94999999999999</v>
      </c>
      <c r="E2737">
        <v>150.75</v>
      </c>
      <c r="F2737">
        <v>150</v>
      </c>
      <c r="G2737">
        <v>793911</v>
      </c>
      <c r="H2737" s="110"/>
      <c r="I2737" s="110"/>
      <c r="L2737" s="133">
        <v>46034</v>
      </c>
      <c r="M2737" s="110">
        <v>150.02000000000001</v>
      </c>
      <c r="N2737" s="110">
        <v>151.36000000000001</v>
      </c>
      <c r="O2737" s="110">
        <v>146.96</v>
      </c>
      <c r="P2737" s="110">
        <v>150.55000000000001</v>
      </c>
      <c r="Q2737" s="110">
        <v>150.02000000000001</v>
      </c>
      <c r="R2737">
        <v>25793554</v>
      </c>
    </row>
    <row r="2738" spans="1:18" x14ac:dyDescent="0.25">
      <c r="A2738" s="133">
        <v>46035</v>
      </c>
      <c r="B2738">
        <v>151.55000000000001</v>
      </c>
      <c r="C2738">
        <v>150.85</v>
      </c>
      <c r="D2738">
        <v>149.25</v>
      </c>
      <c r="E2738">
        <v>150.4</v>
      </c>
      <c r="F2738">
        <v>150.85</v>
      </c>
      <c r="G2738">
        <v>1188314</v>
      </c>
      <c r="H2738" s="110"/>
      <c r="I2738" s="110"/>
      <c r="L2738" s="133">
        <v>46035</v>
      </c>
      <c r="M2738" s="110">
        <v>150.86000000000001</v>
      </c>
      <c r="N2738" s="110">
        <v>151.59</v>
      </c>
      <c r="O2738" s="110">
        <v>149.24</v>
      </c>
      <c r="P2738" s="110">
        <v>150.99</v>
      </c>
      <c r="Q2738" s="110">
        <v>150.86000000000001</v>
      </c>
      <c r="R2738">
        <v>13262673</v>
      </c>
    </row>
    <row r="2739" spans="1:18" x14ac:dyDescent="0.25">
      <c r="A2739" s="133">
        <v>46036</v>
      </c>
      <c r="B2739">
        <v>154.6</v>
      </c>
      <c r="C2739">
        <v>153.94999999999999</v>
      </c>
      <c r="D2739">
        <v>150.5</v>
      </c>
      <c r="E2739">
        <v>151.1</v>
      </c>
      <c r="F2739">
        <v>153.94999999999999</v>
      </c>
      <c r="G2739">
        <v>2154368</v>
      </c>
      <c r="H2739" s="110"/>
      <c r="I2739" s="110"/>
      <c r="L2739" s="133">
        <v>46036</v>
      </c>
      <c r="M2739" s="110">
        <v>153.88999999999999</v>
      </c>
      <c r="N2739" s="110">
        <v>154.55000000000001</v>
      </c>
      <c r="O2739" s="110">
        <v>150.4</v>
      </c>
      <c r="P2739" s="110">
        <v>151.30000000000001</v>
      </c>
      <c r="Q2739" s="110">
        <v>153.88999999999999</v>
      </c>
      <c r="R2739">
        <v>21735599</v>
      </c>
    </row>
    <row r="2740" spans="1:18" x14ac:dyDescent="0.25">
      <c r="A2740" s="133">
        <v>46038</v>
      </c>
      <c r="B2740">
        <v>157.6</v>
      </c>
      <c r="C2740">
        <v>157.05000000000001</v>
      </c>
      <c r="D2740">
        <v>153.9</v>
      </c>
      <c r="E2740">
        <v>154.1</v>
      </c>
      <c r="F2740">
        <v>157.05000000000001</v>
      </c>
      <c r="G2740">
        <v>2484628</v>
      </c>
      <c r="H2740" s="110"/>
      <c r="I2740" s="110"/>
      <c r="L2740" s="133">
        <v>46038</v>
      </c>
      <c r="M2740" s="110">
        <v>157.13</v>
      </c>
      <c r="N2740" s="110">
        <v>157.72</v>
      </c>
      <c r="O2740" s="110">
        <v>153.85</v>
      </c>
      <c r="P2740" s="110">
        <v>154</v>
      </c>
      <c r="Q2740" s="110">
        <v>157.13</v>
      </c>
      <c r="R2740">
        <v>35174000</v>
      </c>
    </row>
    <row r="2741" spans="1:18" x14ac:dyDescent="0.25">
      <c r="A2741" s="133">
        <v>46041</v>
      </c>
      <c r="B2741">
        <v>159.05000000000001</v>
      </c>
      <c r="C2741">
        <v>156.9</v>
      </c>
      <c r="D2741">
        <v>156</v>
      </c>
      <c r="E2741">
        <v>157.15</v>
      </c>
      <c r="F2741">
        <v>156.9</v>
      </c>
      <c r="G2741">
        <v>1595801</v>
      </c>
      <c r="H2741" s="110"/>
      <c r="I2741" s="110"/>
      <c r="L2741" s="133">
        <v>46041</v>
      </c>
      <c r="M2741" s="110">
        <v>156.86000000000001</v>
      </c>
      <c r="N2741" s="110">
        <v>159.1</v>
      </c>
      <c r="O2741" s="110">
        <v>156.05000000000001</v>
      </c>
      <c r="P2741" s="110">
        <v>157.44999999999999</v>
      </c>
      <c r="Q2741" s="110">
        <v>156.86000000000001</v>
      </c>
      <c r="R2741">
        <v>24657963</v>
      </c>
    </row>
    <row r="2742" spans="1:18" x14ac:dyDescent="0.25">
      <c r="A2742" s="133">
        <v>46042</v>
      </c>
      <c r="B2742">
        <v>159.05000000000001</v>
      </c>
      <c r="C2742">
        <v>153.6</v>
      </c>
      <c r="D2742">
        <v>153.05000000000001</v>
      </c>
      <c r="E2742">
        <v>157.15</v>
      </c>
      <c r="F2742">
        <v>153.6</v>
      </c>
      <c r="G2742">
        <v>1749409</v>
      </c>
      <c r="H2742" s="110"/>
      <c r="I2742" s="110"/>
      <c r="L2742" s="133">
        <v>46042</v>
      </c>
      <c r="M2742" s="110">
        <v>153.68</v>
      </c>
      <c r="N2742" s="110">
        <v>159.09</v>
      </c>
      <c r="O2742" s="110">
        <v>153.06</v>
      </c>
      <c r="P2742" s="110">
        <v>157.5</v>
      </c>
      <c r="Q2742" s="110">
        <v>153.68</v>
      </c>
      <c r="R2742">
        <v>35087078</v>
      </c>
    </row>
    <row r="2743" spans="1:18" x14ac:dyDescent="0.25">
      <c r="A2743" s="133">
        <v>46043</v>
      </c>
      <c r="B2743">
        <v>155.5</v>
      </c>
      <c r="C2743">
        <v>150.69999999999999</v>
      </c>
      <c r="D2743">
        <v>149.80000000000001</v>
      </c>
      <c r="E2743">
        <v>153.35</v>
      </c>
      <c r="F2743">
        <v>150.69999999999999</v>
      </c>
      <c r="G2743">
        <v>763804</v>
      </c>
      <c r="H2743" s="110"/>
      <c r="I2743" s="110"/>
      <c r="L2743" s="133">
        <v>46043</v>
      </c>
      <c r="M2743" s="110">
        <v>150.76</v>
      </c>
      <c r="N2743" s="110">
        <v>155.49</v>
      </c>
      <c r="O2743" s="110">
        <v>149.81</v>
      </c>
      <c r="P2743" s="110">
        <v>152.80000000000001</v>
      </c>
      <c r="Q2743" s="110">
        <v>150.76</v>
      </c>
      <c r="R2743">
        <v>24315864</v>
      </c>
    </row>
    <row r="2744" spans="1:18" x14ac:dyDescent="0.25">
      <c r="A2744" s="133">
        <v>46044</v>
      </c>
      <c r="B2744">
        <v>155.6</v>
      </c>
      <c r="C2744">
        <v>154.69999999999999</v>
      </c>
      <c r="D2744">
        <v>151.05000000000001</v>
      </c>
      <c r="E2744">
        <v>151.05000000000001</v>
      </c>
      <c r="F2744">
        <v>154.69999999999999</v>
      </c>
      <c r="G2744">
        <v>1019290</v>
      </c>
      <c r="H2744" s="110"/>
      <c r="I2744" s="110"/>
      <c r="L2744" s="133">
        <v>46044</v>
      </c>
      <c r="M2744" s="110">
        <v>154.68</v>
      </c>
      <c r="N2744" s="110">
        <v>155.59</v>
      </c>
      <c r="O2744" s="110">
        <v>152</v>
      </c>
      <c r="P2744" s="110">
        <v>152</v>
      </c>
      <c r="Q2744" s="110">
        <v>154.68</v>
      </c>
      <c r="R2744">
        <v>18824351</v>
      </c>
    </row>
    <row r="2745" spans="1:18" x14ac:dyDescent="0.25">
      <c r="A2745" s="133">
        <v>46045</v>
      </c>
      <c r="B2745">
        <v>156.80000000000001</v>
      </c>
      <c r="C2745">
        <v>151.75</v>
      </c>
      <c r="D2745">
        <v>151</v>
      </c>
      <c r="E2745">
        <v>155.19999999999999</v>
      </c>
      <c r="F2745">
        <v>151.75</v>
      </c>
      <c r="G2745">
        <v>2636137</v>
      </c>
      <c r="H2745" s="110"/>
      <c r="I2745" s="110"/>
      <c r="L2745" s="133">
        <v>46045</v>
      </c>
      <c r="M2745" s="110">
        <v>151.81</v>
      </c>
      <c r="N2745" s="110">
        <v>156.78</v>
      </c>
      <c r="O2745" s="110">
        <v>150.91999999999999</v>
      </c>
      <c r="P2745" s="110">
        <v>155.69999999999999</v>
      </c>
      <c r="Q2745" s="110">
        <v>151.81</v>
      </c>
      <c r="R2745">
        <v>26875350</v>
      </c>
    </row>
    <row r="2746" spans="1:18" x14ac:dyDescent="0.25">
      <c r="A2746" s="133">
        <v>46049</v>
      </c>
      <c r="B2746">
        <v>155.44999999999999</v>
      </c>
      <c r="C2746">
        <v>154.75</v>
      </c>
      <c r="D2746">
        <v>152.1</v>
      </c>
      <c r="E2746">
        <v>152.65</v>
      </c>
      <c r="F2746">
        <v>154.75</v>
      </c>
      <c r="G2746">
        <v>1143073</v>
      </c>
      <c r="H2746" s="110"/>
      <c r="I2746" s="110"/>
      <c r="L2746" s="133">
        <v>46049</v>
      </c>
      <c r="M2746" s="110">
        <v>154.72</v>
      </c>
      <c r="N2746" s="110">
        <v>155.44999999999999</v>
      </c>
      <c r="O2746" s="110">
        <v>152.1</v>
      </c>
      <c r="P2746" s="110">
        <v>152.9</v>
      </c>
      <c r="Q2746" s="110">
        <v>154.72</v>
      </c>
      <c r="R2746">
        <v>23086886</v>
      </c>
    </row>
    <row r="2747" spans="1:18" x14ac:dyDescent="0.25">
      <c r="A2747" s="133">
        <v>46050</v>
      </c>
      <c r="B2747">
        <v>158.19999999999999</v>
      </c>
      <c r="C2747">
        <v>157.80000000000001</v>
      </c>
      <c r="D2747">
        <v>152.30000000000001</v>
      </c>
      <c r="E2747">
        <v>155.1</v>
      </c>
      <c r="F2747">
        <v>157.80000000000001</v>
      </c>
      <c r="G2747">
        <v>2266829</v>
      </c>
      <c r="H2747" s="110"/>
      <c r="I2747" s="110"/>
      <c r="L2747" s="133">
        <v>46050</v>
      </c>
      <c r="M2747" s="110">
        <v>157.74</v>
      </c>
      <c r="N2747" s="110">
        <v>158.25</v>
      </c>
      <c r="O2747" s="110">
        <v>152.31</v>
      </c>
      <c r="P2747" s="110">
        <v>155.49</v>
      </c>
      <c r="Q2747" s="110">
        <v>157.74</v>
      </c>
      <c r="R2747">
        <v>28198960</v>
      </c>
    </row>
    <row r="2748" spans="1:18" x14ac:dyDescent="0.25">
      <c r="A2748" s="133">
        <v>46051</v>
      </c>
      <c r="B2748">
        <v>160.80000000000001</v>
      </c>
      <c r="C2748">
        <v>150.30000000000001</v>
      </c>
      <c r="D2748">
        <v>148.94999999999999</v>
      </c>
      <c r="E2748">
        <v>158.25</v>
      </c>
      <c r="F2748">
        <v>150.30000000000001</v>
      </c>
      <c r="G2748">
        <v>6061998</v>
      </c>
      <c r="H2748" s="110"/>
      <c r="I2748" s="110"/>
      <c r="L2748" s="133">
        <v>46051</v>
      </c>
      <c r="M2748" s="110">
        <v>150.32</v>
      </c>
      <c r="N2748" s="110">
        <v>160.79</v>
      </c>
      <c r="O2748" s="110">
        <v>149</v>
      </c>
      <c r="P2748" s="110">
        <v>158</v>
      </c>
      <c r="Q2748" s="110">
        <v>150.32</v>
      </c>
      <c r="R2748">
        <v>88706121</v>
      </c>
    </row>
    <row r="2749" spans="1:18" x14ac:dyDescent="0.25">
      <c r="A2749" s="133">
        <v>46052</v>
      </c>
      <c r="B2749">
        <v>150.94999999999999</v>
      </c>
      <c r="C2749">
        <v>147.4</v>
      </c>
      <c r="D2749">
        <v>146.69999999999999</v>
      </c>
      <c r="E2749">
        <v>150.94999999999999</v>
      </c>
      <c r="F2749">
        <v>147.4</v>
      </c>
      <c r="G2749">
        <v>1222513</v>
      </c>
      <c r="H2749" s="110"/>
      <c r="I2749" s="110"/>
      <c r="L2749" s="133">
        <v>46052</v>
      </c>
      <c r="M2749" s="110">
        <v>147.41999999999999</v>
      </c>
      <c r="N2749" s="110">
        <v>150.69999999999999</v>
      </c>
      <c r="O2749" s="110">
        <v>146.62</v>
      </c>
      <c r="P2749" s="110">
        <v>150.69999999999999</v>
      </c>
      <c r="Q2749" s="110">
        <v>147.41999999999999</v>
      </c>
      <c r="R2749">
        <v>43411151</v>
      </c>
    </row>
    <row r="2750" spans="1:18" x14ac:dyDescent="0.25">
      <c r="A2750" s="133">
        <v>46054</v>
      </c>
      <c r="B2750">
        <v>148.9</v>
      </c>
      <c r="C2750">
        <v>140.94999999999999</v>
      </c>
      <c r="D2750">
        <v>138.05000000000001</v>
      </c>
      <c r="E2750">
        <v>147.25</v>
      </c>
      <c r="F2750">
        <v>140.94999999999999</v>
      </c>
      <c r="G2750">
        <v>1473824</v>
      </c>
      <c r="H2750" s="110"/>
      <c r="I2750" s="110"/>
      <c r="L2750" s="133">
        <v>46054</v>
      </c>
      <c r="M2750" s="110">
        <v>141.05000000000001</v>
      </c>
      <c r="N2750" s="110">
        <v>148.91999999999999</v>
      </c>
      <c r="O2750" s="110">
        <v>138.01</v>
      </c>
      <c r="P2750" s="110">
        <v>145.97999999999999</v>
      </c>
      <c r="Q2750" s="110">
        <v>141.05000000000001</v>
      </c>
      <c r="R2750">
        <v>26364131</v>
      </c>
    </row>
    <row r="2751" spans="1:18" x14ac:dyDescent="0.25">
      <c r="A2751" s="133">
        <v>46055</v>
      </c>
      <c r="B2751">
        <v>146.9</v>
      </c>
      <c r="C2751">
        <v>146.35</v>
      </c>
      <c r="D2751">
        <v>139.1</v>
      </c>
      <c r="E2751">
        <v>140.80000000000001</v>
      </c>
      <c r="F2751">
        <v>146.35</v>
      </c>
      <c r="G2751">
        <v>1178133</v>
      </c>
      <c r="H2751" s="110"/>
      <c r="I2751" s="110"/>
      <c r="L2751" s="133">
        <v>46055</v>
      </c>
      <c r="M2751" s="110">
        <v>146.47</v>
      </c>
      <c r="N2751" s="110">
        <v>146.97</v>
      </c>
      <c r="O2751" s="110">
        <v>139</v>
      </c>
      <c r="P2751" s="110">
        <v>141.05000000000001</v>
      </c>
      <c r="Q2751" s="110">
        <v>146.47</v>
      </c>
      <c r="R2751">
        <v>32606697</v>
      </c>
    </row>
    <row r="2752" spans="1:18" x14ac:dyDescent="0.25">
      <c r="A2752" s="133">
        <v>46056</v>
      </c>
      <c r="B2752">
        <v>157.1</v>
      </c>
      <c r="C2752">
        <v>147.25</v>
      </c>
      <c r="D2752">
        <v>147</v>
      </c>
      <c r="E2752">
        <v>151.80000000000001</v>
      </c>
      <c r="F2752">
        <v>147.25</v>
      </c>
      <c r="G2752">
        <v>1257366</v>
      </c>
      <c r="H2752" s="110"/>
      <c r="I2752" s="110"/>
      <c r="L2752" s="133">
        <v>46056</v>
      </c>
      <c r="M2752" s="110">
        <v>147.34</v>
      </c>
      <c r="N2752" s="110">
        <v>157.5</v>
      </c>
      <c r="O2752" s="110">
        <v>146.88</v>
      </c>
      <c r="P2752" s="110">
        <v>152.5</v>
      </c>
      <c r="Q2752" s="110">
        <v>147.34</v>
      </c>
      <c r="R2752">
        <v>40510681</v>
      </c>
    </row>
    <row r="2753" spans="1:18" x14ac:dyDescent="0.25">
      <c r="A2753" s="133">
        <v>46057</v>
      </c>
      <c r="B2753">
        <v>148.4</v>
      </c>
      <c r="C2753">
        <v>147.5</v>
      </c>
      <c r="D2753">
        <v>146</v>
      </c>
      <c r="E2753">
        <v>148.35</v>
      </c>
      <c r="F2753">
        <v>147.5</v>
      </c>
      <c r="G2753">
        <v>726575</v>
      </c>
      <c r="H2753" s="110"/>
      <c r="I2753" s="110"/>
      <c r="L2753" s="133">
        <v>46057</v>
      </c>
      <c r="M2753" s="110">
        <v>147.5</v>
      </c>
      <c r="N2753" s="110">
        <v>148.5</v>
      </c>
      <c r="O2753" s="110">
        <v>146</v>
      </c>
      <c r="P2753" s="110">
        <v>147.5</v>
      </c>
      <c r="Q2753" s="110">
        <v>147.5</v>
      </c>
      <c r="R2753">
        <v>26421597</v>
      </c>
    </row>
    <row r="2754" spans="1:18" x14ac:dyDescent="0.25">
      <c r="A2754" s="133">
        <v>46058</v>
      </c>
      <c r="B2754">
        <v>149.55000000000001</v>
      </c>
      <c r="C2754">
        <v>148.19999999999999</v>
      </c>
      <c r="D2754">
        <v>147.55000000000001</v>
      </c>
      <c r="E2754">
        <v>148.15</v>
      </c>
      <c r="F2754">
        <v>148.19999999999999</v>
      </c>
      <c r="G2754">
        <v>737895</v>
      </c>
      <c r="H2754" s="110"/>
      <c r="I2754" s="110"/>
      <c r="L2754" s="133">
        <v>46058</v>
      </c>
      <c r="M2754" s="110">
        <v>148.29</v>
      </c>
      <c r="N2754" s="110">
        <v>149.58000000000001</v>
      </c>
      <c r="O2754" s="110">
        <v>147.57</v>
      </c>
      <c r="P2754" s="110">
        <v>148</v>
      </c>
      <c r="Q2754" s="110">
        <v>148.29</v>
      </c>
      <c r="R2754">
        <v>16041047</v>
      </c>
    </row>
    <row r="2755" spans="1:18" x14ac:dyDescent="0.25">
      <c r="A2755" s="133">
        <v>46059</v>
      </c>
      <c r="B2755">
        <v>149.1</v>
      </c>
      <c r="C2755">
        <v>147.15</v>
      </c>
      <c r="D2755">
        <v>144.85</v>
      </c>
      <c r="E2755">
        <v>148.44999999999999</v>
      </c>
      <c r="F2755">
        <v>147.15</v>
      </c>
      <c r="G2755">
        <v>442698</v>
      </c>
      <c r="H2755" s="110"/>
      <c r="I2755" s="110"/>
      <c r="L2755" s="133">
        <v>46059</v>
      </c>
      <c r="M2755" s="110">
        <v>147.31</v>
      </c>
      <c r="N2755" s="110">
        <v>149.19999999999999</v>
      </c>
      <c r="O2755" s="110">
        <v>144.86000000000001</v>
      </c>
      <c r="P2755" s="110">
        <v>148</v>
      </c>
      <c r="Q2755" s="110">
        <v>147.31</v>
      </c>
      <c r="R2755">
        <v>21884724</v>
      </c>
    </row>
    <row r="2756" spans="1:18" x14ac:dyDescent="0.25">
      <c r="A2756" s="133">
        <v>46062</v>
      </c>
      <c r="B2756">
        <v>150.4</v>
      </c>
      <c r="C2756">
        <v>147.94999999999999</v>
      </c>
      <c r="D2756">
        <v>147.35</v>
      </c>
      <c r="E2756">
        <v>148.30000000000001</v>
      </c>
      <c r="F2756">
        <v>147.94999999999999</v>
      </c>
      <c r="G2756">
        <v>609807</v>
      </c>
      <c r="H2756" s="110"/>
      <c r="I2756" s="110"/>
      <c r="L2756" s="133">
        <v>46062</v>
      </c>
      <c r="M2756" s="110">
        <v>147.93</v>
      </c>
      <c r="N2756" s="110">
        <v>150.37</v>
      </c>
      <c r="O2756" s="110">
        <v>147.35</v>
      </c>
      <c r="P2756" s="110">
        <v>148.65</v>
      </c>
      <c r="Q2756" s="110">
        <v>147.93</v>
      </c>
      <c r="R2756">
        <v>31077822</v>
      </c>
    </row>
    <row r="2757" spans="1:18" x14ac:dyDescent="0.25">
      <c r="A2757" s="133">
        <v>46063</v>
      </c>
      <c r="B2757">
        <v>148.4</v>
      </c>
      <c r="C2757">
        <v>146.85</v>
      </c>
      <c r="D2757">
        <v>146.5</v>
      </c>
      <c r="E2757">
        <v>148.19999999999999</v>
      </c>
      <c r="F2757">
        <v>146.85</v>
      </c>
      <c r="G2757">
        <v>992251</v>
      </c>
      <c r="H2757" s="110"/>
      <c r="I2757" s="110"/>
      <c r="L2757" s="133">
        <v>46063</v>
      </c>
      <c r="M2757" s="110">
        <v>146.83000000000001</v>
      </c>
      <c r="N2757" s="110">
        <v>148.53</v>
      </c>
      <c r="O2757" s="110">
        <v>146.44999999999999</v>
      </c>
      <c r="P2757" s="110">
        <v>148</v>
      </c>
      <c r="Q2757" s="110">
        <v>146.83000000000001</v>
      </c>
      <c r="R2757">
        <v>18264415</v>
      </c>
    </row>
    <row r="2758" spans="1:18" x14ac:dyDescent="0.25">
      <c r="A2758" s="133">
        <v>46064</v>
      </c>
      <c r="B2758">
        <v>147.30000000000001</v>
      </c>
      <c r="C2758">
        <v>145.44999999999999</v>
      </c>
      <c r="D2758">
        <v>144</v>
      </c>
      <c r="E2758">
        <v>147.19999999999999</v>
      </c>
      <c r="F2758">
        <v>145.44999999999999</v>
      </c>
      <c r="G2758">
        <v>757686</v>
      </c>
      <c r="H2758" s="110"/>
      <c r="I2758" s="110"/>
      <c r="L2758" s="133">
        <v>46064</v>
      </c>
      <c r="M2758" s="110">
        <v>145.51</v>
      </c>
      <c r="N2758" s="110">
        <v>147.34</v>
      </c>
      <c r="O2758" s="110">
        <v>144</v>
      </c>
      <c r="P2758" s="110">
        <v>147.34</v>
      </c>
      <c r="Q2758" s="110">
        <v>145.51</v>
      </c>
      <c r="R2758">
        <v>31370839</v>
      </c>
    </row>
    <row r="2759" spans="1:18" x14ac:dyDescent="0.25">
      <c r="A2759" s="133">
        <v>46065</v>
      </c>
      <c r="B2759">
        <v>145.75</v>
      </c>
      <c r="C2759">
        <v>144.80000000000001</v>
      </c>
      <c r="D2759">
        <v>143.65</v>
      </c>
      <c r="E2759">
        <v>145.44999999999999</v>
      </c>
      <c r="F2759">
        <v>144.80000000000001</v>
      </c>
      <c r="G2759">
        <v>458328</v>
      </c>
      <c r="H2759" s="110"/>
      <c r="I2759" s="110"/>
      <c r="L2759" s="133">
        <v>46065</v>
      </c>
      <c r="M2759" s="110">
        <v>144.81</v>
      </c>
      <c r="N2759" s="110">
        <v>145.80000000000001</v>
      </c>
      <c r="O2759" s="110">
        <v>143.65</v>
      </c>
      <c r="P2759" s="110">
        <v>145.5</v>
      </c>
      <c r="Q2759" s="110">
        <v>144.81</v>
      </c>
      <c r="R2759">
        <v>20031934</v>
      </c>
    </row>
    <row r="2760" spans="1:18" x14ac:dyDescent="0.25">
      <c r="A2760" s="133">
        <v>46066</v>
      </c>
      <c r="B2760">
        <v>143.9</v>
      </c>
      <c r="C2760">
        <v>141.75</v>
      </c>
      <c r="D2760">
        <v>141.4</v>
      </c>
      <c r="E2760">
        <v>143.9</v>
      </c>
      <c r="F2760">
        <v>141.75</v>
      </c>
      <c r="G2760">
        <v>644038</v>
      </c>
      <c r="H2760" s="110"/>
      <c r="I2760" s="110"/>
      <c r="L2760" s="133">
        <v>46066</v>
      </c>
      <c r="M2760" s="110">
        <v>141.77000000000001</v>
      </c>
      <c r="N2760" s="110">
        <v>143.80000000000001</v>
      </c>
      <c r="O2760" s="110">
        <v>141.41999999999999</v>
      </c>
      <c r="P2760" s="110">
        <v>143.80000000000001</v>
      </c>
      <c r="Q2760" s="110">
        <v>141.77000000000001</v>
      </c>
      <c r="R2760">
        <v>14139257</v>
      </c>
    </row>
    <row r="2761" spans="1:18" x14ac:dyDescent="0.25">
      <c r="A2761" s="133">
        <v>46069</v>
      </c>
      <c r="B2761">
        <v>146.30000000000001</v>
      </c>
      <c r="C2761">
        <v>145.94999999999999</v>
      </c>
      <c r="D2761">
        <v>140.05000000000001</v>
      </c>
      <c r="E2761">
        <v>141.4</v>
      </c>
      <c r="F2761">
        <v>145.94999999999999</v>
      </c>
      <c r="G2761">
        <v>508764</v>
      </c>
      <c r="H2761" s="110"/>
      <c r="I2761" s="110"/>
      <c r="L2761" s="133">
        <v>46069</v>
      </c>
      <c r="M2761" s="110">
        <v>145.84</v>
      </c>
      <c r="N2761" s="110">
        <v>146.27000000000001</v>
      </c>
      <c r="O2761" s="110">
        <v>140.15</v>
      </c>
      <c r="P2761" s="110">
        <v>141</v>
      </c>
      <c r="Q2761" s="110">
        <v>145.84</v>
      </c>
      <c r="R2761">
        <v>18090364</v>
      </c>
    </row>
    <row r="2762" spans="1:18" x14ac:dyDescent="0.25">
      <c r="A2762" s="133">
        <v>46070</v>
      </c>
      <c r="B2762">
        <v>149.9</v>
      </c>
      <c r="C2762">
        <v>149.1</v>
      </c>
      <c r="D2762">
        <v>144.75</v>
      </c>
      <c r="E2762">
        <v>145.94999999999999</v>
      </c>
      <c r="F2762">
        <v>149.1</v>
      </c>
      <c r="G2762">
        <v>1430507</v>
      </c>
      <c r="H2762" s="110"/>
      <c r="I2762" s="110"/>
      <c r="L2762" s="133">
        <v>46070</v>
      </c>
      <c r="M2762" s="110">
        <v>149.11000000000001</v>
      </c>
      <c r="N2762" s="110">
        <v>149.9</v>
      </c>
      <c r="O2762" s="110">
        <v>144.80000000000001</v>
      </c>
      <c r="P2762" s="110">
        <v>145.80000000000001</v>
      </c>
      <c r="Q2762" s="110">
        <v>149.11000000000001</v>
      </c>
      <c r="R2762">
        <v>24239721</v>
      </c>
    </row>
    <row r="2763" spans="1:18" x14ac:dyDescent="0.25">
      <c r="A2763" s="133">
        <v>46071</v>
      </c>
      <c r="B2763">
        <v>152.44999999999999</v>
      </c>
      <c r="C2763">
        <v>151.94999999999999</v>
      </c>
      <c r="D2763">
        <v>149.4</v>
      </c>
      <c r="E2763">
        <v>149.5</v>
      </c>
      <c r="F2763">
        <v>151.94999999999999</v>
      </c>
      <c r="G2763">
        <v>895440</v>
      </c>
      <c r="H2763" s="110"/>
      <c r="I2763" s="110"/>
      <c r="L2763" s="133">
        <v>46071</v>
      </c>
      <c r="M2763" s="110">
        <v>151.94</v>
      </c>
      <c r="N2763" s="110">
        <v>152.47999999999999</v>
      </c>
      <c r="O2763" s="110">
        <v>149.38</v>
      </c>
      <c r="P2763" s="110">
        <v>149.5</v>
      </c>
      <c r="Q2763" s="110">
        <v>151.94</v>
      </c>
      <c r="R2763">
        <v>26925046</v>
      </c>
    </row>
    <row r="2764" spans="1:18" x14ac:dyDescent="0.25">
      <c r="A2764" s="133">
        <v>46072</v>
      </c>
      <c r="B2764">
        <v>152.65</v>
      </c>
      <c r="C2764">
        <v>149.4</v>
      </c>
      <c r="D2764">
        <v>148.75</v>
      </c>
      <c r="E2764">
        <v>151.94999999999999</v>
      </c>
      <c r="F2764">
        <v>149.4</v>
      </c>
      <c r="G2764">
        <v>1107772</v>
      </c>
      <c r="H2764" s="110"/>
      <c r="I2764" s="110"/>
      <c r="L2764" s="133">
        <v>46072</v>
      </c>
      <c r="M2764" s="110">
        <v>149.41999999999999</v>
      </c>
      <c r="N2764" s="110">
        <v>152.59</v>
      </c>
      <c r="O2764" s="110">
        <v>148.77000000000001</v>
      </c>
      <c r="P2764" s="110">
        <v>152.13999999999999</v>
      </c>
      <c r="Q2764" s="110">
        <v>149.41999999999999</v>
      </c>
      <c r="R2764">
        <v>15847818</v>
      </c>
    </row>
    <row r="2765" spans="1:18" x14ac:dyDescent="0.25">
      <c r="A2765" s="133">
        <v>46073</v>
      </c>
      <c r="B2765">
        <v>154.5</v>
      </c>
      <c r="C2765">
        <v>154.19999999999999</v>
      </c>
      <c r="D2765">
        <v>148.35</v>
      </c>
      <c r="E2765">
        <v>149.30000000000001</v>
      </c>
      <c r="F2765">
        <v>154.19999999999999</v>
      </c>
      <c r="G2765">
        <v>971122</v>
      </c>
      <c r="H2765" s="110"/>
      <c r="I2765" s="110"/>
      <c r="L2765" s="133">
        <v>46073</v>
      </c>
      <c r="M2765" s="110">
        <v>154.15</v>
      </c>
      <c r="N2765" s="110">
        <v>154.5</v>
      </c>
      <c r="O2765" s="110">
        <v>148.41</v>
      </c>
      <c r="P2765" s="110">
        <v>149.19999999999999</v>
      </c>
      <c r="Q2765" s="110">
        <v>154.15</v>
      </c>
      <c r="R2765">
        <v>35644772</v>
      </c>
    </row>
    <row r="2766" spans="1:18" x14ac:dyDescent="0.25">
      <c r="A2766" s="133">
        <v>46076</v>
      </c>
      <c r="B2766">
        <v>157.1</v>
      </c>
      <c r="C2766">
        <v>156.44999999999999</v>
      </c>
      <c r="D2766">
        <v>154.75</v>
      </c>
      <c r="E2766">
        <v>155</v>
      </c>
      <c r="F2766">
        <v>156.44999999999999</v>
      </c>
      <c r="G2766">
        <v>1514653</v>
      </c>
      <c r="H2766" s="110"/>
      <c r="I2766" s="110"/>
      <c r="L2766" s="133">
        <v>46076</v>
      </c>
      <c r="M2766" s="110">
        <v>156.44</v>
      </c>
      <c r="N2766" s="110">
        <v>157.1</v>
      </c>
      <c r="O2766" s="110">
        <v>154.74</v>
      </c>
      <c r="P2766" s="110">
        <v>155</v>
      </c>
      <c r="Q2766" s="110">
        <v>156.44</v>
      </c>
      <c r="R2766">
        <v>23618301</v>
      </c>
    </row>
    <row r="2767" spans="1:18" x14ac:dyDescent="0.25">
      <c r="A2767" s="133">
        <v>46077</v>
      </c>
      <c r="B2767">
        <v>158.1</v>
      </c>
      <c r="C2767">
        <v>157.05000000000001</v>
      </c>
      <c r="D2767">
        <v>154.94999999999999</v>
      </c>
      <c r="E2767">
        <v>155.75</v>
      </c>
      <c r="F2767">
        <v>157.05000000000001</v>
      </c>
      <c r="G2767">
        <v>1290356</v>
      </c>
      <c r="H2767" s="110"/>
      <c r="I2767" s="110"/>
      <c r="L2767" s="133">
        <v>46077</v>
      </c>
      <c r="M2767" s="110">
        <v>157.03</v>
      </c>
      <c r="N2767" s="110">
        <v>158.1</v>
      </c>
      <c r="O2767" s="110">
        <v>155</v>
      </c>
      <c r="P2767" s="110">
        <v>155.94999999999999</v>
      </c>
      <c r="Q2767" s="110">
        <v>157.03</v>
      </c>
      <c r="R2767">
        <v>27666076</v>
      </c>
    </row>
    <row r="2768" spans="1:18" x14ac:dyDescent="0.25">
      <c r="A2768" s="133">
        <v>46078</v>
      </c>
      <c r="B2768">
        <v>159.55000000000001</v>
      </c>
      <c r="C2768">
        <v>158.65</v>
      </c>
      <c r="D2768">
        <v>157</v>
      </c>
      <c r="E2768">
        <v>157.25</v>
      </c>
      <c r="F2768">
        <v>158.65</v>
      </c>
      <c r="G2768">
        <v>12207350</v>
      </c>
      <c r="H2768" s="110"/>
      <c r="I2768" s="110"/>
      <c r="L2768" s="133">
        <v>46078</v>
      </c>
      <c r="M2768" s="110">
        <v>158.93</v>
      </c>
      <c r="N2768" s="110">
        <v>159.6</v>
      </c>
      <c r="O2768" s="110">
        <v>156.9</v>
      </c>
      <c r="P2768" s="110">
        <v>157.49</v>
      </c>
      <c r="Q2768" s="110">
        <v>158.93</v>
      </c>
      <c r="R2768">
        <v>34100843</v>
      </c>
    </row>
    <row r="2769" spans="1:18" x14ac:dyDescent="0.25">
      <c r="A2769" s="133">
        <v>46079</v>
      </c>
      <c r="B2769">
        <v>162.9</v>
      </c>
      <c r="C2769">
        <v>158.9</v>
      </c>
      <c r="D2769">
        <v>156.65</v>
      </c>
      <c r="E2769">
        <v>159.25</v>
      </c>
      <c r="F2769">
        <v>158.9</v>
      </c>
      <c r="G2769">
        <v>1587669</v>
      </c>
      <c r="H2769" s="110"/>
      <c r="I2769" s="110"/>
      <c r="L2769" s="133">
        <v>46079</v>
      </c>
      <c r="M2769" s="110">
        <v>158.88</v>
      </c>
      <c r="N2769" s="110">
        <v>162.88999999999999</v>
      </c>
      <c r="O2769" s="110">
        <v>156.62</v>
      </c>
      <c r="P2769" s="110">
        <v>159.37</v>
      </c>
      <c r="Q2769" s="110">
        <v>158.88</v>
      </c>
      <c r="R2769">
        <v>37476276</v>
      </c>
    </row>
    <row r="2770" spans="1:18" x14ac:dyDescent="0.25">
      <c r="A2770" s="133">
        <v>46080</v>
      </c>
      <c r="B2770">
        <v>158.94999999999999</v>
      </c>
      <c r="C2770">
        <v>157.44999999999999</v>
      </c>
      <c r="D2770">
        <v>156.6</v>
      </c>
      <c r="E2770">
        <v>158.65</v>
      </c>
      <c r="F2770">
        <v>157.44999999999999</v>
      </c>
      <c r="G2770">
        <v>1039412</v>
      </c>
      <c r="H2770" s="110"/>
      <c r="I2770" s="110"/>
      <c r="L2770" s="133">
        <v>46080</v>
      </c>
      <c r="M2770" s="110">
        <v>157.37</v>
      </c>
      <c r="N2770" s="110">
        <v>158.88999999999999</v>
      </c>
      <c r="O2770" s="110">
        <v>156.6</v>
      </c>
      <c r="P2770" s="110">
        <v>158.88</v>
      </c>
      <c r="Q2770" s="110">
        <v>157.37</v>
      </c>
      <c r="R2770">
        <v>23377836</v>
      </c>
    </row>
    <row r="2771" spans="1:18" x14ac:dyDescent="0.25">
      <c r="A2771" s="133">
        <v>46083</v>
      </c>
      <c r="B2771">
        <v>156.25</v>
      </c>
      <c r="C2771">
        <v>153.55000000000001</v>
      </c>
      <c r="D2771">
        <v>147.80000000000001</v>
      </c>
      <c r="E2771">
        <v>147.80000000000001</v>
      </c>
      <c r="F2771">
        <v>153.55000000000001</v>
      </c>
      <c r="G2771">
        <v>1926398</v>
      </c>
      <c r="H2771" s="110"/>
      <c r="I2771" s="110"/>
      <c r="L2771" s="133">
        <v>46083</v>
      </c>
      <c r="M2771" s="110">
        <v>153.56</v>
      </c>
      <c r="N2771" s="110">
        <v>156.25</v>
      </c>
      <c r="O2771" s="110">
        <v>150.30000000000001</v>
      </c>
      <c r="P2771" s="110">
        <v>150.30000000000001</v>
      </c>
      <c r="Q2771" s="110">
        <v>153.56</v>
      </c>
      <c r="R2771">
        <v>28209294</v>
      </c>
    </row>
    <row r="2772" spans="1:18" x14ac:dyDescent="0.25">
      <c r="A2772" s="133">
        <v>46085</v>
      </c>
      <c r="B2772">
        <v>151.6</v>
      </c>
      <c r="C2772">
        <v>146.85</v>
      </c>
      <c r="D2772">
        <v>145.5</v>
      </c>
      <c r="E2772">
        <v>150.44999999999999</v>
      </c>
      <c r="F2772">
        <v>146.85</v>
      </c>
      <c r="G2772">
        <v>1074306</v>
      </c>
      <c r="H2772" s="110"/>
      <c r="I2772" s="110"/>
      <c r="L2772" s="133">
        <v>46085</v>
      </c>
      <c r="M2772" s="110">
        <v>146.93</v>
      </c>
      <c r="N2772" s="110">
        <v>151.51</v>
      </c>
      <c r="O2772" s="110">
        <v>145.52000000000001</v>
      </c>
      <c r="P2772" s="110">
        <v>150</v>
      </c>
      <c r="Q2772" s="110">
        <v>146.93</v>
      </c>
      <c r="R2772">
        <v>36072028</v>
      </c>
    </row>
    <row r="2773" spans="1:18" x14ac:dyDescent="0.25">
      <c r="A2773" s="133">
        <v>46086</v>
      </c>
      <c r="B2773">
        <v>149.75</v>
      </c>
      <c r="C2773">
        <v>148.55000000000001</v>
      </c>
      <c r="D2773">
        <v>145.80000000000001</v>
      </c>
      <c r="E2773">
        <v>148</v>
      </c>
      <c r="F2773">
        <v>148.55000000000001</v>
      </c>
      <c r="G2773">
        <v>583194</v>
      </c>
      <c r="H2773" s="110"/>
      <c r="I2773" s="110"/>
      <c r="L2773" s="133">
        <v>46086</v>
      </c>
      <c r="M2773" s="110">
        <v>148.51</v>
      </c>
      <c r="N2773" s="110">
        <v>149.69999999999999</v>
      </c>
      <c r="O2773" s="110">
        <v>145.75</v>
      </c>
      <c r="P2773" s="110">
        <v>148</v>
      </c>
      <c r="Q2773" s="110">
        <v>148.51</v>
      </c>
      <c r="R2773">
        <v>24474731</v>
      </c>
    </row>
    <row r="2774" spans="1:18" x14ac:dyDescent="0.25">
      <c r="A2774" s="133">
        <v>46087</v>
      </c>
      <c r="B2774">
        <v>149.30000000000001</v>
      </c>
      <c r="C2774">
        <v>145.9</v>
      </c>
      <c r="D2774">
        <v>145.6</v>
      </c>
      <c r="E2774">
        <v>147.25</v>
      </c>
      <c r="F2774">
        <v>145.9</v>
      </c>
      <c r="G2774">
        <v>1149363</v>
      </c>
      <c r="H2774" s="110"/>
      <c r="I2774" s="110"/>
      <c r="L2774" s="133">
        <v>46087</v>
      </c>
      <c r="M2774" s="110">
        <v>145.97</v>
      </c>
      <c r="N2774" s="110">
        <v>149.34</v>
      </c>
      <c r="O2774" s="110">
        <v>145.6</v>
      </c>
      <c r="P2774" s="110">
        <v>147.58000000000001</v>
      </c>
      <c r="Q2774" s="110">
        <v>145.97</v>
      </c>
      <c r="R2774">
        <v>23417808</v>
      </c>
    </row>
    <row r="2775" spans="1:18" x14ac:dyDescent="0.25">
      <c r="A2775" s="133">
        <v>46090</v>
      </c>
      <c r="B2775">
        <v>141.19999999999999</v>
      </c>
      <c r="C2775">
        <v>139.9</v>
      </c>
      <c r="D2775">
        <v>136.25</v>
      </c>
      <c r="E2775">
        <v>140.4</v>
      </c>
      <c r="F2775">
        <v>139.9</v>
      </c>
      <c r="G2775">
        <v>1015662</v>
      </c>
      <c r="H2775" s="110"/>
      <c r="I2775" s="110"/>
      <c r="L2775" s="133">
        <v>46090</v>
      </c>
      <c r="M2775" s="110">
        <v>139.91</v>
      </c>
      <c r="N2775" s="110">
        <v>141.01</v>
      </c>
      <c r="O2775" s="110">
        <v>136.30000000000001</v>
      </c>
      <c r="P2775" s="110">
        <v>140.15</v>
      </c>
      <c r="Q2775" s="110">
        <v>139.91</v>
      </c>
      <c r="R2775">
        <v>29651646</v>
      </c>
    </row>
    <row r="2776" spans="1:18" x14ac:dyDescent="0.25">
      <c r="A2776" s="133">
        <v>46091</v>
      </c>
      <c r="B2776">
        <v>143.85</v>
      </c>
      <c r="C2776">
        <v>142.19999999999999</v>
      </c>
      <c r="D2776">
        <v>140.19999999999999</v>
      </c>
      <c r="E2776">
        <v>141.9</v>
      </c>
      <c r="F2776">
        <v>142.19999999999999</v>
      </c>
      <c r="G2776">
        <v>581125</v>
      </c>
      <c r="H2776" s="110"/>
      <c r="I2776" s="110"/>
      <c r="L2776" s="133">
        <v>46091</v>
      </c>
      <c r="M2776" s="110">
        <v>142.27000000000001</v>
      </c>
      <c r="N2776" s="110">
        <v>143.85</v>
      </c>
      <c r="O2776" s="110">
        <v>140.16999999999999</v>
      </c>
      <c r="P2776" s="110">
        <v>142.5</v>
      </c>
      <c r="Q2776" s="110">
        <v>142.27000000000001</v>
      </c>
      <c r="R2776">
        <v>21772242</v>
      </c>
    </row>
    <row r="2777" spans="1:18" x14ac:dyDescent="0.25">
      <c r="A2777" s="133">
        <v>46092</v>
      </c>
      <c r="B2777">
        <v>143.69999999999999</v>
      </c>
      <c r="C2777">
        <v>139.30000000000001</v>
      </c>
      <c r="D2777">
        <v>139</v>
      </c>
      <c r="E2777">
        <v>142.80000000000001</v>
      </c>
      <c r="F2777">
        <v>139.30000000000001</v>
      </c>
      <c r="G2777">
        <v>550065</v>
      </c>
      <c r="H2777" s="110"/>
      <c r="I2777" s="110"/>
      <c r="L2777" s="133">
        <v>46092</v>
      </c>
      <c r="M2777" s="110">
        <v>139.41</v>
      </c>
      <c r="N2777" s="110">
        <v>143.69999999999999</v>
      </c>
      <c r="O2777" s="110">
        <v>139.01</v>
      </c>
      <c r="P2777" s="110">
        <v>143</v>
      </c>
      <c r="Q2777" s="110">
        <v>139.41</v>
      </c>
      <c r="R2777">
        <v>13349850</v>
      </c>
    </row>
    <row r="2778" spans="1:18" x14ac:dyDescent="0.25">
      <c r="A2778" s="133">
        <v>46093</v>
      </c>
      <c r="B2778">
        <v>142.9</v>
      </c>
      <c r="C2778">
        <v>140.30000000000001</v>
      </c>
      <c r="D2778">
        <v>136.19999999999999</v>
      </c>
      <c r="E2778">
        <v>138.80000000000001</v>
      </c>
      <c r="F2778">
        <v>140.30000000000001</v>
      </c>
      <c r="G2778">
        <v>790205</v>
      </c>
      <c r="H2778" s="110"/>
      <c r="I2778" s="110"/>
      <c r="L2778" s="133">
        <v>46093</v>
      </c>
      <c r="M2778" s="110">
        <v>140.34</v>
      </c>
      <c r="N2778" s="110">
        <v>142.86000000000001</v>
      </c>
      <c r="O2778" s="110">
        <v>136.26</v>
      </c>
      <c r="P2778" s="110">
        <v>138.6</v>
      </c>
      <c r="Q2778" s="110">
        <v>140.34</v>
      </c>
      <c r="R2778">
        <v>21773776</v>
      </c>
    </row>
    <row r="2779" spans="1:18" x14ac:dyDescent="0.25">
      <c r="A2779" s="133">
        <v>46094</v>
      </c>
      <c r="B2779">
        <v>139.6</v>
      </c>
      <c r="C2779">
        <v>134.80000000000001</v>
      </c>
      <c r="D2779">
        <v>134.44999999999999</v>
      </c>
      <c r="E2779">
        <v>139.5</v>
      </c>
      <c r="F2779">
        <v>134.80000000000001</v>
      </c>
      <c r="G2779">
        <v>981764</v>
      </c>
      <c r="H2779" s="110"/>
      <c r="I2779" s="110"/>
      <c r="L2779" s="133">
        <v>46094</v>
      </c>
      <c r="M2779" s="110">
        <v>134.68</v>
      </c>
      <c r="N2779" s="110">
        <v>139.66999999999999</v>
      </c>
      <c r="O2779" s="110">
        <v>134.34</v>
      </c>
      <c r="P2779" s="110">
        <v>139</v>
      </c>
      <c r="Q2779" s="110">
        <v>134.68</v>
      </c>
      <c r="R2779">
        <v>21035474</v>
      </c>
    </row>
    <row r="2780" spans="1:18" x14ac:dyDescent="0.25">
      <c r="A2780" s="133">
        <v>46097</v>
      </c>
      <c r="B2780">
        <v>135.4</v>
      </c>
      <c r="C2780">
        <v>134.75</v>
      </c>
      <c r="D2780">
        <v>131.5</v>
      </c>
      <c r="E2780">
        <v>134.4</v>
      </c>
      <c r="F2780">
        <v>134.75</v>
      </c>
      <c r="G2780">
        <v>1004112</v>
      </c>
      <c r="H2780" s="110"/>
      <c r="I2780" s="110"/>
      <c r="L2780" s="133">
        <v>46097</v>
      </c>
      <c r="M2780" s="110">
        <v>134.51</v>
      </c>
      <c r="N2780" s="110">
        <v>135.38</v>
      </c>
      <c r="O2780" s="110">
        <v>131.5</v>
      </c>
      <c r="P2780" s="110">
        <v>134.5</v>
      </c>
      <c r="Q2780" s="110">
        <v>134.51</v>
      </c>
      <c r="R2780">
        <v>28679443</v>
      </c>
    </row>
    <row r="2781" spans="1:18" x14ac:dyDescent="0.25">
      <c r="A2781" s="133">
        <v>46098</v>
      </c>
      <c r="B2781">
        <v>136.85</v>
      </c>
      <c r="C2781">
        <v>136.5</v>
      </c>
      <c r="D2781">
        <v>133.69999999999999</v>
      </c>
      <c r="E2781">
        <v>134.80000000000001</v>
      </c>
      <c r="F2781">
        <v>136.5</v>
      </c>
      <c r="G2781">
        <v>802166</v>
      </c>
      <c r="H2781" s="110"/>
      <c r="I2781" s="110"/>
      <c r="L2781" s="133">
        <v>46098</v>
      </c>
      <c r="M2781" s="110">
        <v>136.58000000000001</v>
      </c>
      <c r="N2781" s="110">
        <v>136.85</v>
      </c>
      <c r="O2781" s="110">
        <v>133.66999999999999</v>
      </c>
      <c r="P2781" s="110">
        <v>135</v>
      </c>
      <c r="Q2781" s="110">
        <v>136.58000000000001</v>
      </c>
      <c r="R2781">
        <v>21872417</v>
      </c>
    </row>
    <row r="2782" spans="1:18" x14ac:dyDescent="0.25">
      <c r="A2782" s="133">
        <v>46099</v>
      </c>
      <c r="B2782">
        <v>138.35</v>
      </c>
      <c r="C2782">
        <v>137.44999999999999</v>
      </c>
      <c r="D2782">
        <v>136.5</v>
      </c>
      <c r="E2782">
        <v>137.4</v>
      </c>
      <c r="F2782">
        <v>137.44999999999999</v>
      </c>
      <c r="G2782">
        <v>666916</v>
      </c>
      <c r="H2782" s="110"/>
      <c r="I2782" s="110"/>
      <c r="L2782" s="133">
        <v>46099</v>
      </c>
      <c r="M2782" s="110">
        <v>137.51</v>
      </c>
      <c r="N2782" s="110">
        <v>138.38</v>
      </c>
      <c r="O2782" s="110">
        <v>136.41999999999999</v>
      </c>
      <c r="P2782" s="110">
        <v>137.25</v>
      </c>
      <c r="Q2782" s="110">
        <v>137.51</v>
      </c>
      <c r="R2782">
        <v>18020962</v>
      </c>
    </row>
    <row r="2783" spans="1:18" x14ac:dyDescent="0.25">
      <c r="A2783" s="133">
        <v>46100</v>
      </c>
      <c r="B2783">
        <v>136.15</v>
      </c>
      <c r="C2783">
        <v>133.1</v>
      </c>
      <c r="D2783">
        <v>131.9</v>
      </c>
      <c r="E2783">
        <v>133.94999999999999</v>
      </c>
      <c r="F2783">
        <v>133.1</v>
      </c>
      <c r="G2783">
        <v>598899</v>
      </c>
      <c r="H2783" s="110"/>
      <c r="I2783" s="110"/>
      <c r="L2783" s="133">
        <v>46100</v>
      </c>
      <c r="M2783" s="110">
        <v>132.91999999999999</v>
      </c>
      <c r="N2783" s="110">
        <v>136.1</v>
      </c>
      <c r="O2783" s="110">
        <v>131.9</v>
      </c>
      <c r="P2783" s="110">
        <v>133.80000000000001</v>
      </c>
      <c r="Q2783" s="110">
        <v>132.91999999999999</v>
      </c>
      <c r="R2783">
        <v>18150227</v>
      </c>
    </row>
    <row r="2784" spans="1:18" x14ac:dyDescent="0.25">
      <c r="A2784" s="133">
        <v>46101</v>
      </c>
      <c r="B2784">
        <v>139.85</v>
      </c>
      <c r="C2784">
        <v>136.4</v>
      </c>
      <c r="D2784">
        <v>134.30000000000001</v>
      </c>
      <c r="E2784">
        <v>134.30000000000001</v>
      </c>
      <c r="F2784">
        <v>136.4</v>
      </c>
      <c r="G2784">
        <v>1428137</v>
      </c>
      <c r="H2784" s="110"/>
      <c r="I2784" s="110"/>
      <c r="L2784" s="133">
        <v>46101</v>
      </c>
      <c r="M2784" s="110">
        <v>136.44</v>
      </c>
      <c r="N2784" s="110">
        <v>139.84</v>
      </c>
      <c r="O2784" s="110">
        <v>134.5</v>
      </c>
      <c r="P2784" s="110">
        <v>134.5</v>
      </c>
      <c r="Q2784" s="110">
        <v>136.44</v>
      </c>
      <c r="R2784">
        <v>30539089</v>
      </c>
    </row>
    <row r="2785" spans="1:18" x14ac:dyDescent="0.25">
      <c r="A2785" s="133">
        <v>46104</v>
      </c>
      <c r="B2785">
        <v>134.80000000000001</v>
      </c>
      <c r="C2785">
        <v>129.5</v>
      </c>
      <c r="D2785">
        <v>129</v>
      </c>
      <c r="E2785">
        <v>134.80000000000001</v>
      </c>
      <c r="F2785">
        <v>129.5</v>
      </c>
      <c r="G2785">
        <v>724200</v>
      </c>
      <c r="H2785" s="110"/>
      <c r="I2785" s="110"/>
      <c r="L2785" s="133">
        <v>46104</v>
      </c>
      <c r="M2785" s="110">
        <v>129.56</v>
      </c>
      <c r="N2785" s="110">
        <v>134</v>
      </c>
      <c r="O2785" s="110">
        <v>129.02000000000001</v>
      </c>
      <c r="P2785" s="110">
        <v>134</v>
      </c>
      <c r="Q2785" s="110">
        <v>129.56</v>
      </c>
      <c r="R2785">
        <v>22467854</v>
      </c>
    </row>
    <row r="2786" spans="1:18" x14ac:dyDescent="0.25">
      <c r="A2786" s="133">
        <v>46105</v>
      </c>
      <c r="B2786">
        <v>134.55000000000001</v>
      </c>
      <c r="C2786">
        <v>133.15</v>
      </c>
      <c r="D2786">
        <v>131.65</v>
      </c>
      <c r="E2786">
        <v>133.30000000000001</v>
      </c>
      <c r="F2786">
        <v>133.15</v>
      </c>
      <c r="G2786">
        <v>627725</v>
      </c>
      <c r="H2786" s="110"/>
      <c r="I2786" s="110"/>
      <c r="L2786" s="133">
        <v>46105</v>
      </c>
      <c r="M2786" s="110">
        <v>133.15</v>
      </c>
      <c r="N2786" s="110">
        <v>134.59</v>
      </c>
      <c r="O2786" s="110">
        <v>131.55000000000001</v>
      </c>
      <c r="P2786" s="110">
        <v>133</v>
      </c>
      <c r="Q2786" s="110">
        <v>133.15</v>
      </c>
      <c r="R2786">
        <v>22308902</v>
      </c>
    </row>
    <row r="2787" spans="1:18" x14ac:dyDescent="0.25">
      <c r="A2787" s="133">
        <v>46106</v>
      </c>
      <c r="B2787">
        <v>137.5</v>
      </c>
      <c r="C2787">
        <v>136.55000000000001</v>
      </c>
      <c r="D2787">
        <v>134.30000000000001</v>
      </c>
      <c r="E2787">
        <v>135</v>
      </c>
      <c r="F2787">
        <v>136.55000000000001</v>
      </c>
      <c r="G2787">
        <v>917792</v>
      </c>
      <c r="H2787" s="110"/>
      <c r="I2787" s="110"/>
      <c r="L2787" s="133">
        <v>46106</v>
      </c>
      <c r="M2787" s="110">
        <v>136.53</v>
      </c>
      <c r="N2787" s="110">
        <v>137.59</v>
      </c>
      <c r="O2787" s="110">
        <v>134.28</v>
      </c>
      <c r="P2787" s="110">
        <v>134.80000000000001</v>
      </c>
      <c r="Q2787" s="110">
        <v>136.53</v>
      </c>
      <c r="R2787">
        <v>21680573</v>
      </c>
    </row>
    <row r="2788" spans="1:18" x14ac:dyDescent="0.25">
      <c r="A2788" s="133">
        <v>46108</v>
      </c>
      <c r="B2788">
        <v>135</v>
      </c>
      <c r="C2788">
        <v>130.35</v>
      </c>
      <c r="D2788">
        <v>129.75</v>
      </c>
      <c r="E2788">
        <v>135</v>
      </c>
      <c r="F2788">
        <v>130.35</v>
      </c>
      <c r="G2788">
        <v>3596158</v>
      </c>
      <c r="H2788" s="110"/>
      <c r="I2788" s="110"/>
      <c r="L2788" s="133">
        <v>46108</v>
      </c>
      <c r="M2788" s="110">
        <v>130.44999999999999</v>
      </c>
      <c r="N2788" s="110">
        <v>134.85</v>
      </c>
      <c r="O2788" s="110">
        <v>129.72999999999999</v>
      </c>
      <c r="P2788" s="110">
        <v>134.80000000000001</v>
      </c>
      <c r="Q2788" s="110">
        <v>130.44999999999999</v>
      </c>
      <c r="R2788">
        <v>44250226</v>
      </c>
    </row>
    <row r="2789" spans="1:18" x14ac:dyDescent="0.25">
      <c r="A2789" s="133">
        <v>46111</v>
      </c>
      <c r="B2789">
        <v>128.44999999999999</v>
      </c>
      <c r="C2789">
        <v>123.55</v>
      </c>
      <c r="D2789">
        <v>123</v>
      </c>
      <c r="E2789">
        <v>128</v>
      </c>
      <c r="F2789">
        <v>123.55</v>
      </c>
      <c r="G2789">
        <v>1219203</v>
      </c>
      <c r="H2789" s="110"/>
      <c r="I2789" s="110"/>
      <c r="L2789" s="133">
        <v>46111</v>
      </c>
      <c r="M2789" s="110">
        <v>123.45</v>
      </c>
      <c r="N2789" s="110">
        <v>128.41999999999999</v>
      </c>
      <c r="O2789" s="110">
        <v>123</v>
      </c>
      <c r="P2789" s="110">
        <v>127.91</v>
      </c>
      <c r="Q2789" s="110">
        <v>123.45</v>
      </c>
      <c r="R2789">
        <v>34665726</v>
      </c>
    </row>
    <row r="2790" spans="1:18" x14ac:dyDescent="0.25">
      <c r="A2790" s="133">
        <v>46113</v>
      </c>
      <c r="B2790">
        <v>129.55000000000001</v>
      </c>
      <c r="C2790">
        <v>127.35</v>
      </c>
      <c r="D2790">
        <v>126.25</v>
      </c>
      <c r="E2790">
        <v>128.6</v>
      </c>
      <c r="F2790">
        <v>127.35</v>
      </c>
      <c r="G2790">
        <v>1289717</v>
      </c>
      <c r="H2790" s="110"/>
      <c r="I2790" s="110"/>
      <c r="L2790" s="133">
        <v>46113</v>
      </c>
      <c r="M2790" s="110">
        <v>127.3</v>
      </c>
      <c r="N2790" s="110">
        <v>129.5</v>
      </c>
      <c r="O2790" s="110">
        <v>126.3</v>
      </c>
      <c r="P2790" s="110">
        <v>128.02000000000001</v>
      </c>
      <c r="Q2790" s="110">
        <v>127.3</v>
      </c>
      <c r="R2790">
        <v>29217022</v>
      </c>
    </row>
    <row r="2791" spans="1:18" x14ac:dyDescent="0.25">
      <c r="A2791" s="133">
        <v>46114</v>
      </c>
      <c r="B2791">
        <v>127.85</v>
      </c>
      <c r="C2791">
        <v>127.05</v>
      </c>
      <c r="D2791">
        <v>121.8</v>
      </c>
      <c r="E2791">
        <v>123.15</v>
      </c>
      <c r="F2791">
        <v>127.05</v>
      </c>
      <c r="G2791">
        <v>1374941</v>
      </c>
      <c r="H2791" s="110"/>
      <c r="I2791" s="110"/>
      <c r="L2791" s="133">
        <v>46114</v>
      </c>
      <c r="M2791" s="110">
        <v>127.04</v>
      </c>
      <c r="N2791" s="110">
        <v>127.71</v>
      </c>
      <c r="O2791" s="110">
        <v>121.79</v>
      </c>
      <c r="P2791" s="110">
        <v>124.16</v>
      </c>
      <c r="Q2791" s="110">
        <v>127.04</v>
      </c>
      <c r="R2791">
        <v>29741553</v>
      </c>
    </row>
    <row r="2792" spans="1:18" x14ac:dyDescent="0.25">
      <c r="A2792" s="133">
        <v>46118</v>
      </c>
      <c r="B2792">
        <v>130.9</v>
      </c>
      <c r="C2792">
        <v>130.44999999999999</v>
      </c>
      <c r="D2792">
        <v>125</v>
      </c>
      <c r="E2792">
        <v>127</v>
      </c>
      <c r="F2792">
        <v>130.44999999999999</v>
      </c>
      <c r="G2792">
        <v>1814963</v>
      </c>
      <c r="H2792" s="110"/>
      <c r="I2792" s="110"/>
      <c r="L2792" s="133">
        <v>46118</v>
      </c>
      <c r="M2792" s="110">
        <v>130.51</v>
      </c>
      <c r="N2792" s="110">
        <v>130.99</v>
      </c>
      <c r="O2792" s="110">
        <v>125.11</v>
      </c>
      <c r="P2792" s="110">
        <v>127.2</v>
      </c>
      <c r="Q2792" s="110">
        <v>130.51</v>
      </c>
      <c r="R2792">
        <v>26453809</v>
      </c>
    </row>
    <row r="2793" spans="1:18" x14ac:dyDescent="0.25">
      <c r="A2793" s="133">
        <v>46119</v>
      </c>
      <c r="B2793">
        <v>130.69999999999999</v>
      </c>
      <c r="C2793">
        <v>129.5</v>
      </c>
      <c r="D2793">
        <v>128.44999999999999</v>
      </c>
      <c r="E2793">
        <v>130.35</v>
      </c>
      <c r="F2793">
        <v>129.5</v>
      </c>
      <c r="G2793">
        <v>921683</v>
      </c>
      <c r="H2793" s="110"/>
      <c r="I2793" s="110"/>
      <c r="L2793" s="133">
        <v>46119</v>
      </c>
      <c r="M2793" s="110">
        <v>129.51</v>
      </c>
      <c r="N2793" s="110">
        <v>130.74</v>
      </c>
      <c r="O2793" s="110">
        <v>128.4</v>
      </c>
      <c r="P2793" s="110">
        <v>129.80000000000001</v>
      </c>
      <c r="Q2793" s="110">
        <v>129.51</v>
      </c>
      <c r="R2793">
        <v>16070269</v>
      </c>
    </row>
    <row r="2794" spans="1:18" x14ac:dyDescent="0.25">
      <c r="A2794" s="133">
        <v>46120</v>
      </c>
      <c r="B2794">
        <v>139.65</v>
      </c>
      <c r="C2794">
        <v>139.15</v>
      </c>
      <c r="D2794">
        <v>134.6</v>
      </c>
      <c r="E2794">
        <v>136.69999999999999</v>
      </c>
      <c r="F2794">
        <v>139.15</v>
      </c>
      <c r="G2794">
        <v>1158875</v>
      </c>
      <c r="H2794" s="110"/>
      <c r="I2794" s="110"/>
      <c r="L2794" s="133">
        <v>46120</v>
      </c>
      <c r="M2794" s="110">
        <v>139.19</v>
      </c>
      <c r="N2794" s="110">
        <v>139.74</v>
      </c>
      <c r="O2794" s="110">
        <v>134.65</v>
      </c>
      <c r="P2794" s="110">
        <v>135.97999999999999</v>
      </c>
      <c r="Q2794" s="110">
        <v>139.19</v>
      </c>
      <c r="R2794">
        <v>34185753</v>
      </c>
    </row>
    <row r="2795" spans="1:18" x14ac:dyDescent="0.25">
      <c r="A2795" s="133">
        <v>46121</v>
      </c>
      <c r="B2795">
        <v>140.55000000000001</v>
      </c>
      <c r="C2795">
        <v>137.9</v>
      </c>
      <c r="D2795">
        <v>137.1</v>
      </c>
      <c r="E2795">
        <v>139.05000000000001</v>
      </c>
      <c r="F2795">
        <v>137.9</v>
      </c>
      <c r="G2795">
        <v>1006609</v>
      </c>
      <c r="H2795" s="110"/>
      <c r="I2795" s="110"/>
      <c r="L2795" s="133">
        <v>46121</v>
      </c>
      <c r="M2795" s="110">
        <v>137.91</v>
      </c>
      <c r="N2795" s="110">
        <v>140.55000000000001</v>
      </c>
      <c r="O2795" s="110">
        <v>137.06</v>
      </c>
      <c r="P2795" s="110">
        <v>138.51</v>
      </c>
      <c r="Q2795" s="110">
        <v>137.91</v>
      </c>
      <c r="R2795">
        <v>22775497</v>
      </c>
    </row>
    <row r="2796" spans="1:18" x14ac:dyDescent="0.25">
      <c r="A2796" s="133">
        <v>46122</v>
      </c>
      <c r="B2796">
        <v>140.6</v>
      </c>
      <c r="C2796">
        <v>140.1</v>
      </c>
      <c r="D2796">
        <v>139</v>
      </c>
      <c r="E2796">
        <v>140.1</v>
      </c>
      <c r="F2796">
        <v>140.1</v>
      </c>
      <c r="G2796">
        <v>684471</v>
      </c>
      <c r="H2796" s="110"/>
      <c r="I2796" s="110"/>
      <c r="L2796" s="133">
        <v>46122</v>
      </c>
      <c r="M2796" s="110">
        <v>140.15</v>
      </c>
      <c r="N2796" s="110">
        <v>140.62</v>
      </c>
      <c r="O2796" s="110">
        <v>139.04</v>
      </c>
      <c r="P2796" s="110">
        <v>139.83000000000001</v>
      </c>
      <c r="Q2796" s="110">
        <v>140.15</v>
      </c>
      <c r="R2796">
        <v>20916386</v>
      </c>
    </row>
    <row r="2797" spans="1:18" x14ac:dyDescent="0.25">
      <c r="A2797" s="133">
        <v>46125</v>
      </c>
      <c r="B2797">
        <v>139.35</v>
      </c>
      <c r="C2797">
        <v>138.9</v>
      </c>
      <c r="D2797">
        <v>134.55000000000001</v>
      </c>
      <c r="E2797">
        <v>134.55000000000001</v>
      </c>
      <c r="F2797">
        <v>138.9</v>
      </c>
      <c r="G2797">
        <v>648271</v>
      </c>
      <c r="H2797" s="110"/>
      <c r="I2797" s="110"/>
      <c r="L2797" s="133">
        <v>46125</v>
      </c>
      <c r="M2797" s="110">
        <v>138.77000000000001</v>
      </c>
      <c r="N2797" s="110">
        <v>139.34</v>
      </c>
      <c r="O2797" s="110">
        <v>134.6</v>
      </c>
      <c r="P2797" s="110">
        <v>135</v>
      </c>
      <c r="Q2797" s="110">
        <v>138.77000000000001</v>
      </c>
      <c r="R2797">
        <v>20752320</v>
      </c>
    </row>
    <row r="2798" spans="1:18" x14ac:dyDescent="0.25">
      <c r="A2798" s="133">
        <v>46127</v>
      </c>
      <c r="B2798">
        <v>143.65</v>
      </c>
      <c r="C2798">
        <v>141.80000000000001</v>
      </c>
      <c r="D2798">
        <v>140.5</v>
      </c>
      <c r="E2798">
        <v>142.15</v>
      </c>
      <c r="F2798">
        <v>141.80000000000001</v>
      </c>
      <c r="G2798">
        <v>1657099</v>
      </c>
      <c r="H2798" s="110"/>
      <c r="I2798" s="110"/>
      <c r="L2798" s="133">
        <v>46127</v>
      </c>
      <c r="M2798" s="110">
        <v>141.71</v>
      </c>
      <c r="N2798" s="110">
        <v>143.66999999999999</v>
      </c>
      <c r="O2798" s="110">
        <v>140.55000000000001</v>
      </c>
      <c r="P2798" s="110">
        <v>141.69999999999999</v>
      </c>
      <c r="Q2798" s="110">
        <v>141.71</v>
      </c>
      <c r="R2798">
        <v>24167224</v>
      </c>
    </row>
    <row r="2799" spans="1:18" x14ac:dyDescent="0.25">
      <c r="A2799" s="133">
        <v>46128</v>
      </c>
      <c r="B2799">
        <v>143.30000000000001</v>
      </c>
      <c r="C2799">
        <v>141.05000000000001</v>
      </c>
      <c r="D2799">
        <v>139.80000000000001</v>
      </c>
      <c r="E2799">
        <v>142.44999999999999</v>
      </c>
      <c r="F2799">
        <v>141.05000000000001</v>
      </c>
      <c r="G2799">
        <v>1940698</v>
      </c>
      <c r="H2799" s="110"/>
      <c r="I2799" s="110"/>
      <c r="L2799" s="133">
        <v>46128</v>
      </c>
      <c r="M2799" s="110">
        <v>141.03</v>
      </c>
      <c r="N2799" s="110">
        <v>143.22</v>
      </c>
      <c r="O2799" s="110">
        <v>139.81</v>
      </c>
      <c r="P2799" s="110">
        <v>141.80000000000001</v>
      </c>
      <c r="Q2799" s="110">
        <v>141.03</v>
      </c>
      <c r="R2799">
        <v>25681786</v>
      </c>
    </row>
    <row r="2800" spans="1:18" x14ac:dyDescent="0.25">
      <c r="A2800" s="133">
        <v>46129</v>
      </c>
      <c r="B2800">
        <v>142.80000000000001</v>
      </c>
      <c r="C2800">
        <v>142.35</v>
      </c>
      <c r="D2800">
        <v>139.85</v>
      </c>
      <c r="E2800">
        <v>140.9</v>
      </c>
      <c r="F2800">
        <v>142.35</v>
      </c>
      <c r="G2800">
        <v>1336499</v>
      </c>
      <c r="H2800" s="110"/>
      <c r="I2800" s="110"/>
      <c r="L2800" s="133">
        <v>46129</v>
      </c>
      <c r="M2800" s="110">
        <v>142.37</v>
      </c>
      <c r="N2800" s="110">
        <v>142.80000000000001</v>
      </c>
      <c r="O2800" s="110">
        <v>139.88</v>
      </c>
      <c r="P2800" s="110">
        <v>141.05000000000001</v>
      </c>
      <c r="Q2800" s="110">
        <v>142.37</v>
      </c>
      <c r="R2800">
        <v>13628290</v>
      </c>
    </row>
    <row r="2801" spans="1:18" x14ac:dyDescent="0.25">
      <c r="A2801" s="133">
        <v>46132</v>
      </c>
      <c r="B2801">
        <v>144.44999999999999</v>
      </c>
      <c r="C2801">
        <v>142.69999999999999</v>
      </c>
      <c r="D2801">
        <v>141.30000000000001</v>
      </c>
      <c r="E2801">
        <v>143.05000000000001</v>
      </c>
      <c r="F2801">
        <v>142.69999999999999</v>
      </c>
      <c r="G2801">
        <v>560379</v>
      </c>
      <c r="H2801" s="110"/>
      <c r="I2801" s="110"/>
      <c r="L2801" s="133">
        <v>46132</v>
      </c>
      <c r="M2801" s="110">
        <v>142.74</v>
      </c>
      <c r="N2801" s="110">
        <v>144.49</v>
      </c>
      <c r="O2801" s="110">
        <v>141.31</v>
      </c>
      <c r="P2801" s="110">
        <v>142.80000000000001</v>
      </c>
      <c r="Q2801" s="110">
        <v>142.74</v>
      </c>
      <c r="R2801">
        <v>21390225</v>
      </c>
    </row>
    <row r="2802" spans="1:18" x14ac:dyDescent="0.25">
      <c r="A2802" s="133">
        <v>46133</v>
      </c>
      <c r="B2802">
        <v>144.9</v>
      </c>
      <c r="C2802">
        <v>144.35</v>
      </c>
      <c r="D2802">
        <v>143</v>
      </c>
      <c r="E2802">
        <v>143.94999999999999</v>
      </c>
      <c r="F2802">
        <v>144.35</v>
      </c>
      <c r="G2802">
        <v>555814</v>
      </c>
      <c r="H2802" s="110"/>
      <c r="I2802" s="110"/>
      <c r="L2802" s="133">
        <v>46133</v>
      </c>
      <c r="M2802" s="110">
        <v>144.26</v>
      </c>
      <c r="N2802" s="110">
        <v>144.94999999999999</v>
      </c>
      <c r="O2802" s="110">
        <v>142.84</v>
      </c>
      <c r="P2802" s="110">
        <v>143.4</v>
      </c>
      <c r="Q2802" s="110">
        <v>144.26</v>
      </c>
      <c r="R2802">
        <v>14365044</v>
      </c>
    </row>
    <row r="2803" spans="1:18" x14ac:dyDescent="0.25">
      <c r="A2803" s="133">
        <v>46134</v>
      </c>
      <c r="B2803">
        <v>146.85</v>
      </c>
      <c r="C2803">
        <v>145.25</v>
      </c>
      <c r="D2803">
        <v>143</v>
      </c>
      <c r="E2803">
        <v>144</v>
      </c>
      <c r="F2803">
        <v>145.25</v>
      </c>
      <c r="G2803">
        <v>1072186</v>
      </c>
      <c r="H2803" s="110"/>
      <c r="I2803" s="110"/>
      <c r="L2803" s="133">
        <v>46134</v>
      </c>
      <c r="M2803" s="110">
        <v>145.22999999999999</v>
      </c>
      <c r="N2803" s="110">
        <v>146.88999999999999</v>
      </c>
      <c r="O2803" s="110">
        <v>143.13</v>
      </c>
      <c r="P2803" s="110">
        <v>143.87</v>
      </c>
      <c r="Q2803" s="110">
        <v>145.22999999999999</v>
      </c>
      <c r="R2803">
        <v>18626914</v>
      </c>
    </row>
    <row r="2804" spans="1:18" x14ac:dyDescent="0.25">
      <c r="A2804" s="133">
        <v>46135</v>
      </c>
      <c r="B2804">
        <v>144.65</v>
      </c>
      <c r="C2804">
        <v>140.9</v>
      </c>
      <c r="D2804">
        <v>140.19999999999999</v>
      </c>
      <c r="E2804">
        <v>144.65</v>
      </c>
      <c r="F2804">
        <v>140.9</v>
      </c>
      <c r="G2804">
        <v>1918632</v>
      </c>
      <c r="H2804" s="110"/>
      <c r="I2804" s="110"/>
      <c r="L2804" s="133">
        <v>46135</v>
      </c>
      <c r="M2804" s="110">
        <v>140.87</v>
      </c>
      <c r="N2804" s="110">
        <v>144.58000000000001</v>
      </c>
      <c r="O2804" s="110">
        <v>140.21</v>
      </c>
      <c r="P2804" s="110">
        <v>144.5</v>
      </c>
      <c r="Q2804" s="110">
        <v>140.87</v>
      </c>
      <c r="R2804">
        <v>22459475</v>
      </c>
    </row>
    <row r="2805" spans="1:18" x14ac:dyDescent="0.25">
      <c r="A2805" s="133">
        <v>46136</v>
      </c>
      <c r="B2805">
        <v>141.94999999999999</v>
      </c>
      <c r="C2805">
        <v>140.9</v>
      </c>
      <c r="D2805">
        <v>138.1</v>
      </c>
      <c r="E2805">
        <v>141</v>
      </c>
      <c r="F2805">
        <v>140.9</v>
      </c>
      <c r="G2805">
        <v>1024861</v>
      </c>
      <c r="H2805" s="110"/>
      <c r="I2805" s="110"/>
      <c r="L2805" s="133">
        <v>46136</v>
      </c>
      <c r="M2805" s="110">
        <v>140.85</v>
      </c>
      <c r="N2805" s="110">
        <v>141.86000000000001</v>
      </c>
      <c r="O2805" s="110">
        <v>138.15</v>
      </c>
      <c r="P2805" s="110">
        <v>141.33000000000001</v>
      </c>
      <c r="Q2805" s="110">
        <v>140.85</v>
      </c>
      <c r="R2805">
        <v>18904603</v>
      </c>
    </row>
    <row r="2806" spans="1:18" x14ac:dyDescent="0.25">
      <c r="A2806" s="133">
        <v>46139</v>
      </c>
      <c r="B2806">
        <v>142.44999999999999</v>
      </c>
      <c r="C2806">
        <v>140.5</v>
      </c>
      <c r="D2806">
        <v>139.80000000000001</v>
      </c>
      <c r="E2806">
        <v>141.35</v>
      </c>
      <c r="F2806">
        <v>140.5</v>
      </c>
      <c r="G2806">
        <v>735689</v>
      </c>
      <c r="H2806" s="110"/>
      <c r="I2806" s="110"/>
      <c r="L2806" s="133">
        <v>46139</v>
      </c>
      <c r="M2806" s="110">
        <v>140.52000000000001</v>
      </c>
      <c r="N2806" s="110">
        <v>142.41999999999999</v>
      </c>
      <c r="O2806" s="110">
        <v>139.81</v>
      </c>
      <c r="P2806" s="110">
        <v>141.19</v>
      </c>
      <c r="Q2806" s="110">
        <v>140.52000000000001</v>
      </c>
      <c r="R2806">
        <v>13700038</v>
      </c>
    </row>
    <row r="2807" spans="1:18" x14ac:dyDescent="0.25">
      <c r="A2807" s="133">
        <v>46140</v>
      </c>
      <c r="B2807">
        <v>138.30000000000001</v>
      </c>
      <c r="C2807">
        <v>137.1</v>
      </c>
      <c r="D2807">
        <v>136.1</v>
      </c>
      <c r="E2807">
        <v>137.44999999999999</v>
      </c>
      <c r="F2807">
        <v>137.1</v>
      </c>
      <c r="G2807">
        <v>655504</v>
      </c>
      <c r="H2807" s="110"/>
      <c r="I2807" s="110"/>
      <c r="L2807" s="133">
        <v>46140</v>
      </c>
      <c r="M2807" s="110">
        <v>137.1</v>
      </c>
      <c r="N2807" s="110">
        <v>138.36000000000001</v>
      </c>
      <c r="O2807" s="110">
        <v>136.21</v>
      </c>
      <c r="P2807" s="110">
        <v>136.27000000000001</v>
      </c>
      <c r="Q2807" s="110">
        <v>137.1</v>
      </c>
      <c r="R2807">
        <v>22276591</v>
      </c>
    </row>
    <row r="2808" spans="1:18" x14ac:dyDescent="0.25">
      <c r="A2808" s="133">
        <v>46141</v>
      </c>
      <c r="B2808">
        <v>139.5</v>
      </c>
      <c r="C2808">
        <v>136.94999999999999</v>
      </c>
      <c r="D2808">
        <v>136.19999999999999</v>
      </c>
      <c r="E2808">
        <v>137.4</v>
      </c>
      <c r="F2808">
        <v>136.94999999999999</v>
      </c>
      <c r="G2808">
        <v>1073189</v>
      </c>
      <c r="H2808" s="110"/>
      <c r="I2808" s="110"/>
      <c r="L2808" s="133">
        <v>46141</v>
      </c>
      <c r="M2808" s="110">
        <v>137.06</v>
      </c>
      <c r="N2808" s="110">
        <v>139.5</v>
      </c>
      <c r="O2808" s="110">
        <v>136.22</v>
      </c>
      <c r="P2808" s="110">
        <v>137.36000000000001</v>
      </c>
      <c r="Q2808" s="110">
        <v>137.06</v>
      </c>
      <c r="R2808">
        <v>18218577</v>
      </c>
    </row>
    <row r="2809" spans="1:18" x14ac:dyDescent="0.25">
      <c r="A2809" s="133">
        <v>46142</v>
      </c>
      <c r="B2809">
        <v>137.19999999999999</v>
      </c>
      <c r="C2809">
        <v>134.65</v>
      </c>
      <c r="D2809">
        <v>133.5</v>
      </c>
      <c r="E2809">
        <v>137.19999999999999</v>
      </c>
      <c r="F2809">
        <v>134.65</v>
      </c>
      <c r="G2809">
        <v>630949</v>
      </c>
      <c r="H2809" s="110"/>
      <c r="I2809" s="110"/>
      <c r="L2809" s="133">
        <v>46142</v>
      </c>
      <c r="M2809" s="110">
        <v>134.65</v>
      </c>
      <c r="N2809" s="110">
        <v>136.71</v>
      </c>
      <c r="O2809" s="110">
        <v>133.46</v>
      </c>
      <c r="P2809" s="110">
        <v>136.71</v>
      </c>
      <c r="Q2809" s="110">
        <v>134.65</v>
      </c>
      <c r="R2809">
        <v>20009501</v>
      </c>
    </row>
    <row r="2810" spans="1:18" x14ac:dyDescent="0.25">
      <c r="A2810" s="133">
        <v>46146</v>
      </c>
      <c r="B2810">
        <v>137.75</v>
      </c>
      <c r="C2810">
        <v>134.9</v>
      </c>
      <c r="D2810">
        <v>134.19999999999999</v>
      </c>
      <c r="E2810">
        <v>135.05000000000001</v>
      </c>
      <c r="F2810">
        <v>134.9</v>
      </c>
      <c r="G2810">
        <v>645191</v>
      </c>
      <c r="H2810" s="110"/>
      <c r="I2810" s="110"/>
      <c r="L2810" s="133">
        <v>46146</v>
      </c>
      <c r="M2810" s="110">
        <v>134.80000000000001</v>
      </c>
      <c r="N2810" s="110">
        <v>137.78</v>
      </c>
      <c r="O2810" s="110">
        <v>134.18</v>
      </c>
      <c r="P2810" s="110">
        <v>135.34</v>
      </c>
      <c r="Q2810" s="110">
        <v>134.80000000000001</v>
      </c>
      <c r="R2810">
        <v>11387717</v>
      </c>
    </row>
    <row r="2811" spans="1:18" x14ac:dyDescent="0.25">
      <c r="A2811" s="133">
        <v>46147</v>
      </c>
      <c r="B2811">
        <v>135.25</v>
      </c>
      <c r="C2811">
        <v>134.30000000000001</v>
      </c>
      <c r="D2811">
        <v>133.15</v>
      </c>
      <c r="E2811">
        <v>134.9</v>
      </c>
      <c r="F2811">
        <v>134.30000000000001</v>
      </c>
      <c r="G2811">
        <v>799953</v>
      </c>
      <c r="H2811" s="110"/>
      <c r="I2811" s="110"/>
      <c r="L2811" s="133">
        <v>46147</v>
      </c>
      <c r="M2811" s="110">
        <v>134.31</v>
      </c>
      <c r="N2811" s="110">
        <v>135.33000000000001</v>
      </c>
      <c r="O2811" s="110">
        <v>133.13</v>
      </c>
      <c r="P2811" s="110">
        <v>134.97999999999999</v>
      </c>
      <c r="Q2811" s="110">
        <v>134.31</v>
      </c>
      <c r="R2811">
        <v>11758309</v>
      </c>
    </row>
    <row r="2812" spans="1:18" x14ac:dyDescent="0.25">
      <c r="A2812" s="133">
        <v>46148</v>
      </c>
      <c r="B2812">
        <v>138.4</v>
      </c>
      <c r="C2812">
        <v>138.1</v>
      </c>
      <c r="D2812">
        <v>134.55000000000001</v>
      </c>
      <c r="E2812">
        <v>137.44999999999999</v>
      </c>
      <c r="F2812">
        <v>138.1</v>
      </c>
      <c r="G2812">
        <v>1369871</v>
      </c>
      <c r="H2812" s="110"/>
      <c r="I2812" s="110"/>
      <c r="L2812" s="133">
        <v>46148</v>
      </c>
      <c r="M2812" s="110">
        <v>138.04</v>
      </c>
      <c r="N2812" s="110">
        <v>138.36000000000001</v>
      </c>
      <c r="O2812" s="110">
        <v>134.51</v>
      </c>
      <c r="P2812" s="110">
        <v>137.22999999999999</v>
      </c>
      <c r="Q2812" s="110">
        <v>138.04</v>
      </c>
      <c r="R2812">
        <v>23655306</v>
      </c>
    </row>
    <row r="2813" spans="1:18" x14ac:dyDescent="0.25">
      <c r="A2813" s="133">
        <v>46149</v>
      </c>
      <c r="B2813">
        <v>139</v>
      </c>
      <c r="C2813">
        <v>135.94999999999999</v>
      </c>
      <c r="D2813">
        <v>135.6</v>
      </c>
      <c r="E2813">
        <v>138.75</v>
      </c>
      <c r="F2813">
        <v>135.94999999999999</v>
      </c>
      <c r="G2813">
        <v>1394322</v>
      </c>
      <c r="H2813" s="110"/>
      <c r="I2813" s="110"/>
      <c r="L2813" s="133">
        <v>46149</v>
      </c>
      <c r="M2813" s="110">
        <v>135.93</v>
      </c>
      <c r="N2813" s="110">
        <v>138.9</v>
      </c>
      <c r="O2813" s="110">
        <v>135.54</v>
      </c>
      <c r="P2813" s="110">
        <v>138.80000000000001</v>
      </c>
      <c r="Q2813" s="110">
        <v>135.93</v>
      </c>
      <c r="R2813">
        <v>25338776</v>
      </c>
    </row>
    <row r="2814" spans="1:18" x14ac:dyDescent="0.25">
      <c r="A2814" s="133">
        <v>46150</v>
      </c>
      <c r="B2814">
        <v>135.69999999999999</v>
      </c>
      <c r="C2814">
        <v>134.35</v>
      </c>
      <c r="D2814">
        <v>133.85</v>
      </c>
      <c r="E2814">
        <v>135</v>
      </c>
      <c r="F2814">
        <v>134.35</v>
      </c>
      <c r="G2814">
        <v>848136</v>
      </c>
      <c r="H2814" s="110"/>
      <c r="I2814" s="110"/>
      <c r="L2814" s="133">
        <v>46150</v>
      </c>
      <c r="M2814" s="110">
        <v>134.34</v>
      </c>
      <c r="N2814" s="110">
        <v>135.69999999999999</v>
      </c>
      <c r="O2814" s="110">
        <v>133.80000000000001</v>
      </c>
      <c r="P2814" s="110">
        <v>135</v>
      </c>
      <c r="Q2814" s="110">
        <v>134.34</v>
      </c>
      <c r="R2814">
        <v>16998224</v>
      </c>
    </row>
    <row r="2815" spans="1:18" x14ac:dyDescent="0.25">
      <c r="A2815" s="133">
        <v>46153</v>
      </c>
      <c r="B2815">
        <v>139.35</v>
      </c>
      <c r="C2815">
        <v>129.35</v>
      </c>
      <c r="D2815">
        <v>128.55000000000001</v>
      </c>
      <c r="E2815">
        <v>132.65</v>
      </c>
      <c r="F2815">
        <v>129.35</v>
      </c>
      <c r="G2815">
        <v>3969116</v>
      </c>
      <c r="H2815" s="110"/>
      <c r="I2815" s="110"/>
      <c r="L2815" s="133">
        <v>46153</v>
      </c>
      <c r="M2815" s="110">
        <v>129.43</v>
      </c>
      <c r="N2815" s="110">
        <v>139.4</v>
      </c>
      <c r="O2815" s="110">
        <v>128.58000000000001</v>
      </c>
      <c r="P2815" s="110">
        <v>133.02000000000001</v>
      </c>
      <c r="Q2815" s="110">
        <v>129.43</v>
      </c>
      <c r="R2815">
        <v>71593041</v>
      </c>
    </row>
    <row r="2816" spans="1:18" x14ac:dyDescent="0.25">
      <c r="A2816" s="133">
        <v>46154</v>
      </c>
      <c r="B2816">
        <v>132.35</v>
      </c>
      <c r="C2816">
        <v>130.05000000000001</v>
      </c>
      <c r="D2816">
        <v>127.5</v>
      </c>
      <c r="E2816">
        <v>128</v>
      </c>
      <c r="F2816">
        <v>130.05000000000001</v>
      </c>
      <c r="G2816">
        <v>1902394</v>
      </c>
      <c r="H2816" s="110"/>
      <c r="I2816" s="110"/>
      <c r="L2816" s="133">
        <v>46154</v>
      </c>
      <c r="M2816" s="110">
        <v>130.01</v>
      </c>
      <c r="N2816" s="110">
        <v>132.35</v>
      </c>
      <c r="O2816" s="110">
        <v>127.43</v>
      </c>
      <c r="P2816" s="110">
        <v>127.66</v>
      </c>
      <c r="Q2816" s="110">
        <v>130.01</v>
      </c>
      <c r="R2816">
        <v>29525188</v>
      </c>
    </row>
    <row r="2817" spans="1:18" x14ac:dyDescent="0.25">
      <c r="A2817" s="133">
        <v>46155</v>
      </c>
      <c r="B2817">
        <v>131.25</v>
      </c>
      <c r="C2817">
        <v>129.25</v>
      </c>
      <c r="D2817">
        <v>127.85</v>
      </c>
      <c r="E2817">
        <v>130.1</v>
      </c>
      <c r="F2817">
        <v>129.25</v>
      </c>
      <c r="G2817">
        <v>1073123</v>
      </c>
      <c r="H2817" s="110"/>
      <c r="I2817" s="110"/>
      <c r="L2817" s="133">
        <v>46155</v>
      </c>
      <c r="M2817" s="110">
        <v>129.26</v>
      </c>
      <c r="N2817" s="110">
        <v>131.19999999999999</v>
      </c>
      <c r="O2817" s="110">
        <v>127.9</v>
      </c>
      <c r="P2817" s="110">
        <v>130.46</v>
      </c>
      <c r="Q2817" s="110">
        <v>129.26</v>
      </c>
      <c r="R2817">
        <v>21722400</v>
      </c>
    </row>
    <row r="2818" spans="1:18" x14ac:dyDescent="0.25">
      <c r="A2818" s="133">
        <v>46156</v>
      </c>
      <c r="B2818">
        <v>132.94999999999999</v>
      </c>
      <c r="C2818">
        <v>130.85</v>
      </c>
      <c r="D2818">
        <v>127.25</v>
      </c>
      <c r="E2818">
        <v>130</v>
      </c>
      <c r="F2818">
        <v>130.85</v>
      </c>
      <c r="G2818">
        <v>816948</v>
      </c>
      <c r="H2818" s="110"/>
      <c r="I2818" s="110"/>
      <c r="L2818" s="133">
        <v>46156</v>
      </c>
      <c r="M2818" s="110">
        <v>130.84</v>
      </c>
      <c r="N2818" s="110">
        <v>132.94999999999999</v>
      </c>
      <c r="O2818" s="110">
        <v>127.23</v>
      </c>
      <c r="P2818" s="110">
        <v>129.9</v>
      </c>
      <c r="Q2818" s="110">
        <v>130.84</v>
      </c>
      <c r="R2818">
        <v>27954529</v>
      </c>
    </row>
    <row r="2819" spans="1:18" x14ac:dyDescent="0.25">
      <c r="A2819" s="133">
        <v>46157</v>
      </c>
      <c r="B2819">
        <v>131.25</v>
      </c>
      <c r="C2819">
        <v>128</v>
      </c>
      <c r="D2819">
        <v>127.75</v>
      </c>
      <c r="E2819">
        <v>130.94999999999999</v>
      </c>
      <c r="F2819">
        <v>128</v>
      </c>
      <c r="G2819">
        <v>1229647</v>
      </c>
      <c r="H2819" s="110"/>
      <c r="I2819" s="110"/>
      <c r="L2819" s="133">
        <v>46157</v>
      </c>
      <c r="M2819" s="110">
        <v>128.07</v>
      </c>
      <c r="N2819" s="110">
        <v>131.38</v>
      </c>
      <c r="O2819" s="110">
        <v>127.8</v>
      </c>
      <c r="P2819" s="110">
        <v>131.38</v>
      </c>
      <c r="Q2819" s="110">
        <v>128.07</v>
      </c>
      <c r="R2819">
        <v>38366481</v>
      </c>
    </row>
    <row r="2820" spans="1:18" x14ac:dyDescent="0.25">
      <c r="A2820" s="133">
        <v>46160</v>
      </c>
      <c r="B2820">
        <v>127.15</v>
      </c>
      <c r="C2820">
        <v>124.9</v>
      </c>
      <c r="D2820">
        <v>124.05</v>
      </c>
      <c r="E2820">
        <v>127.15</v>
      </c>
      <c r="F2820">
        <v>124.9</v>
      </c>
      <c r="G2820">
        <v>641562</v>
      </c>
      <c r="H2820" s="110"/>
      <c r="I2820" s="110"/>
      <c r="L2820" s="133">
        <v>46160</v>
      </c>
      <c r="M2820" s="110">
        <v>124.9</v>
      </c>
      <c r="N2820" s="110">
        <v>127</v>
      </c>
      <c r="O2820" s="110">
        <v>124</v>
      </c>
      <c r="P2820" s="110">
        <v>127</v>
      </c>
      <c r="Q2820" s="110">
        <v>124.9</v>
      </c>
      <c r="R2820">
        <v>22211890</v>
      </c>
    </row>
    <row r="2821" spans="1:18" x14ac:dyDescent="0.25">
      <c r="A2821" s="133">
        <v>46161</v>
      </c>
      <c r="B2821">
        <v>126.75</v>
      </c>
      <c r="C2821">
        <v>126.1</v>
      </c>
      <c r="D2821">
        <v>125.05</v>
      </c>
      <c r="E2821">
        <v>125.35</v>
      </c>
      <c r="F2821">
        <v>126.1</v>
      </c>
      <c r="G2821">
        <v>988118</v>
      </c>
      <c r="H2821" s="110"/>
      <c r="I2821" s="110"/>
      <c r="L2821" s="133">
        <v>46161</v>
      </c>
      <c r="M2821" s="110">
        <v>126.15</v>
      </c>
      <c r="N2821" s="110">
        <v>126.76</v>
      </c>
      <c r="O2821" s="110">
        <v>125.09</v>
      </c>
      <c r="P2821" s="110">
        <v>125.09</v>
      </c>
      <c r="Q2821" s="110">
        <v>126.15</v>
      </c>
      <c r="R2821">
        <v>18723002</v>
      </c>
    </row>
    <row r="2822" spans="1:18" x14ac:dyDescent="0.25">
      <c r="A2822" s="133">
        <v>46162</v>
      </c>
      <c r="B2822">
        <v>128.05000000000001</v>
      </c>
      <c r="C2822">
        <v>127.75</v>
      </c>
      <c r="D2822">
        <v>123.7</v>
      </c>
      <c r="E2822">
        <v>125.15</v>
      </c>
      <c r="F2822">
        <v>127.75</v>
      </c>
      <c r="G2822">
        <v>997373</v>
      </c>
      <c r="H2822" s="110"/>
      <c r="I2822" s="110"/>
      <c r="L2822" s="133">
        <v>46162</v>
      </c>
      <c r="M2822" s="110">
        <v>127.66</v>
      </c>
      <c r="N2822" s="110">
        <v>128</v>
      </c>
      <c r="O2822" s="110">
        <v>123.67</v>
      </c>
      <c r="P2822" s="110">
        <v>125</v>
      </c>
      <c r="Q2822" s="110">
        <v>127.66</v>
      </c>
      <c r="R2822">
        <v>21282627</v>
      </c>
    </row>
    <row r="2823" spans="1:18" x14ac:dyDescent="0.25">
      <c r="A2823" s="133">
        <v>46163</v>
      </c>
      <c r="B2823">
        <v>129.55000000000001</v>
      </c>
      <c r="C2823">
        <v>128</v>
      </c>
      <c r="D2823">
        <v>127.35</v>
      </c>
      <c r="E2823">
        <v>129</v>
      </c>
      <c r="F2823">
        <v>128</v>
      </c>
      <c r="G2823">
        <v>680360</v>
      </c>
      <c r="H2823" s="110"/>
      <c r="I2823" s="110"/>
      <c r="L2823" s="133">
        <v>46163</v>
      </c>
      <c r="M2823" s="110">
        <v>127.97</v>
      </c>
      <c r="N2823" s="110">
        <v>129.57</v>
      </c>
      <c r="O2823" s="110">
        <v>127.3</v>
      </c>
      <c r="P2823" s="110">
        <v>129</v>
      </c>
      <c r="Q2823" s="110">
        <v>127.97</v>
      </c>
      <c r="R2823">
        <v>18615692</v>
      </c>
    </row>
    <row r="2824" spans="1:18" x14ac:dyDescent="0.25">
      <c r="A2824" s="133">
        <v>46164</v>
      </c>
      <c r="B2824">
        <v>128.75</v>
      </c>
      <c r="C2824">
        <v>128.35</v>
      </c>
      <c r="D2824">
        <v>127.65</v>
      </c>
      <c r="E2824">
        <v>128.15</v>
      </c>
      <c r="F2824">
        <v>128.35</v>
      </c>
      <c r="G2824">
        <v>698014</v>
      </c>
      <c r="H2824" s="110"/>
      <c r="I2824" s="110"/>
      <c r="L2824" s="133">
        <v>46164</v>
      </c>
      <c r="M2824" s="110">
        <v>128.22999999999999</v>
      </c>
      <c r="N2824" s="110">
        <v>128.78</v>
      </c>
      <c r="O2824" s="110">
        <v>127.66</v>
      </c>
      <c r="P2824" s="110">
        <v>127.99</v>
      </c>
      <c r="Q2824" s="110">
        <v>128.22999999999999</v>
      </c>
      <c r="R2824">
        <v>18634807</v>
      </c>
    </row>
    <row r="2825" spans="1:18" x14ac:dyDescent="0.25">
      <c r="A2825" s="133">
        <v>46167</v>
      </c>
      <c r="B2825">
        <v>134.19999999999999</v>
      </c>
      <c r="C2825">
        <v>133.75</v>
      </c>
      <c r="D2825">
        <v>129.85</v>
      </c>
      <c r="E2825">
        <v>129.85</v>
      </c>
      <c r="F2825">
        <v>133.75</v>
      </c>
      <c r="G2825">
        <v>1940894</v>
      </c>
      <c r="H2825" s="110"/>
      <c r="I2825" s="110"/>
      <c r="L2825" s="133">
        <v>46167</v>
      </c>
      <c r="M2825" s="110">
        <v>133.69999999999999</v>
      </c>
      <c r="N2825" s="110">
        <v>134.19999999999999</v>
      </c>
      <c r="O2825" s="110">
        <v>130</v>
      </c>
      <c r="P2825" s="110">
        <v>130.80000000000001</v>
      </c>
      <c r="Q2825" s="110">
        <v>133.69999999999999</v>
      </c>
      <c r="R2825">
        <v>27988813</v>
      </c>
    </row>
    <row r="2826" spans="1:18" x14ac:dyDescent="0.25">
      <c r="A2826" s="133">
        <v>46168</v>
      </c>
      <c r="B2826">
        <v>135.5</v>
      </c>
      <c r="C2826">
        <v>133.15</v>
      </c>
      <c r="D2826">
        <v>132.55000000000001</v>
      </c>
      <c r="E2826">
        <v>134.19999999999999</v>
      </c>
      <c r="F2826">
        <v>133.15</v>
      </c>
      <c r="G2826">
        <v>1657125</v>
      </c>
      <c r="H2826" s="110"/>
      <c r="I2826" s="110"/>
      <c r="L2826" s="133">
        <v>46168</v>
      </c>
      <c r="M2826" s="110">
        <v>133.15</v>
      </c>
      <c r="N2826" s="110">
        <v>135.5</v>
      </c>
      <c r="O2826" s="110">
        <v>132.58000000000001</v>
      </c>
      <c r="P2826" s="110">
        <v>134.32</v>
      </c>
      <c r="Q2826" s="110">
        <v>133.15</v>
      </c>
      <c r="R2826">
        <v>23285321</v>
      </c>
    </row>
    <row r="2827" spans="1:18" x14ac:dyDescent="0.25">
      <c r="A2827" s="133">
        <v>46169</v>
      </c>
      <c r="B2827">
        <v>135.25</v>
      </c>
      <c r="C2827">
        <v>134.19999999999999</v>
      </c>
      <c r="D2827">
        <v>133.1</v>
      </c>
      <c r="E2827">
        <v>133.30000000000001</v>
      </c>
      <c r="F2827">
        <v>134.19999999999999</v>
      </c>
      <c r="G2827">
        <v>984211</v>
      </c>
      <c r="H2827" s="110"/>
      <c r="I2827" s="110"/>
      <c r="L2827" s="133">
        <v>46169</v>
      </c>
      <c r="M2827" s="110">
        <v>134.16</v>
      </c>
      <c r="N2827" s="110">
        <v>135.30000000000001</v>
      </c>
      <c r="O2827" s="110">
        <v>133.1</v>
      </c>
      <c r="P2827" s="110">
        <v>133.47999999999999</v>
      </c>
      <c r="Q2827" s="110">
        <v>134.16</v>
      </c>
      <c r="R2827">
        <v>26115218</v>
      </c>
    </row>
    <row r="2828" spans="1:18" x14ac:dyDescent="0.25">
      <c r="A2828" s="133">
        <v>46171</v>
      </c>
      <c r="B2828">
        <v>135.19999999999999</v>
      </c>
      <c r="C2828">
        <v>130.9</v>
      </c>
      <c r="D2828">
        <v>130.1</v>
      </c>
      <c r="E2828">
        <v>134.69999999999999</v>
      </c>
      <c r="F2828">
        <v>130.9</v>
      </c>
      <c r="G2828">
        <v>1276647</v>
      </c>
      <c r="H2828" s="110"/>
      <c r="I2828" s="110"/>
      <c r="L2828" s="133">
        <v>46171</v>
      </c>
      <c r="M2828" s="110">
        <v>130.80000000000001</v>
      </c>
      <c r="N2828" s="110">
        <v>135.15</v>
      </c>
      <c r="O2828" s="110">
        <v>130.15</v>
      </c>
      <c r="P2828" s="110">
        <v>134.96</v>
      </c>
      <c r="Q2828" s="110">
        <v>130.80000000000001</v>
      </c>
      <c r="R2828">
        <v>57212379</v>
      </c>
    </row>
    <row r="2829" spans="1:18" x14ac:dyDescent="0.25">
      <c r="A2829" s="133">
        <v>46174</v>
      </c>
      <c r="B2829">
        <v>132.35</v>
      </c>
      <c r="C2829">
        <v>128</v>
      </c>
      <c r="D2829">
        <v>127.5</v>
      </c>
      <c r="E2829">
        <v>131.30000000000001</v>
      </c>
      <c r="F2829">
        <v>128</v>
      </c>
      <c r="G2829">
        <v>831405</v>
      </c>
      <c r="H2829" s="110"/>
      <c r="I2829" s="110"/>
      <c r="L2829" s="133">
        <v>46174</v>
      </c>
      <c r="M2829" s="110">
        <v>127.96</v>
      </c>
      <c r="N2829" s="110">
        <v>132.22</v>
      </c>
      <c r="O2829" s="110">
        <v>127.5</v>
      </c>
      <c r="P2829" s="110">
        <v>131.44999999999999</v>
      </c>
      <c r="Q2829" s="110">
        <v>127.96</v>
      </c>
      <c r="R2829">
        <v>27235875</v>
      </c>
    </row>
    <row r="2830" spans="1:18" x14ac:dyDescent="0.25">
      <c r="A2830" s="133">
        <v>46175</v>
      </c>
      <c r="B2830">
        <v>129.5</v>
      </c>
      <c r="C2830">
        <v>129.05000000000001</v>
      </c>
      <c r="D2830">
        <v>125.5</v>
      </c>
      <c r="E2830">
        <v>127</v>
      </c>
      <c r="F2830">
        <v>129.05000000000001</v>
      </c>
      <c r="G2830">
        <v>1059180</v>
      </c>
      <c r="H2830" s="110"/>
      <c r="I2830" s="110"/>
      <c r="L2830" s="133">
        <v>46175</v>
      </c>
      <c r="M2830" s="110">
        <v>129.08000000000001</v>
      </c>
      <c r="N2830" s="110">
        <v>129.5</v>
      </c>
      <c r="O2830" s="110">
        <v>125.5</v>
      </c>
      <c r="P2830" s="110">
        <v>127</v>
      </c>
      <c r="Q2830" s="110">
        <v>129.08000000000001</v>
      </c>
      <c r="R2830">
        <v>39618370</v>
      </c>
    </row>
    <row r="2831" spans="1:18" x14ac:dyDescent="0.25">
      <c r="A2831" s="133">
        <v>46176</v>
      </c>
      <c r="B2831">
        <v>132.25</v>
      </c>
      <c r="C2831">
        <v>131.85</v>
      </c>
      <c r="D2831">
        <v>127.3</v>
      </c>
      <c r="E2831">
        <v>129.55000000000001</v>
      </c>
      <c r="F2831">
        <v>131.85</v>
      </c>
      <c r="G2831">
        <v>6610461</v>
      </c>
      <c r="H2831" s="110"/>
      <c r="I2831" s="110"/>
      <c r="L2831" s="133">
        <v>46176</v>
      </c>
      <c r="M2831" s="110">
        <v>131.85</v>
      </c>
      <c r="N2831" s="110">
        <v>132.25</v>
      </c>
      <c r="O2831" s="110">
        <v>127.24</v>
      </c>
      <c r="P2831" s="110">
        <v>129.15</v>
      </c>
      <c r="Q2831" s="110">
        <v>131.85</v>
      </c>
      <c r="R2831">
        <v>38359464</v>
      </c>
    </row>
    <row r="2832" spans="1:18" x14ac:dyDescent="0.25">
      <c r="A2832" s="133">
        <v>46177</v>
      </c>
      <c r="B2832">
        <v>133.4</v>
      </c>
      <c r="C2832">
        <v>133</v>
      </c>
      <c r="D2832">
        <v>129.75</v>
      </c>
      <c r="E2832">
        <v>131.1</v>
      </c>
      <c r="F2832">
        <v>133</v>
      </c>
      <c r="G2832">
        <v>2858263</v>
      </c>
      <c r="H2832" s="110"/>
      <c r="I2832" s="110"/>
      <c r="L2832" s="133">
        <v>46177</v>
      </c>
      <c r="M2832" s="110">
        <v>133.12</v>
      </c>
      <c r="N2832" s="110">
        <v>133.44999999999999</v>
      </c>
      <c r="O2832" s="110">
        <v>129.72999999999999</v>
      </c>
      <c r="P2832" s="110">
        <v>131</v>
      </c>
      <c r="Q2832" s="110">
        <v>133.12</v>
      </c>
      <c r="R2832">
        <v>24944436</v>
      </c>
    </row>
    <row r="2833" spans="1:18" x14ac:dyDescent="0.25">
      <c r="A2833" s="133">
        <v>46178</v>
      </c>
      <c r="B2833">
        <v>136.4</v>
      </c>
      <c r="C2833">
        <v>135.80000000000001</v>
      </c>
      <c r="D2833">
        <v>133.05000000000001</v>
      </c>
      <c r="E2833">
        <v>133.44999999999999</v>
      </c>
      <c r="F2833">
        <v>135.80000000000001</v>
      </c>
      <c r="G2833">
        <v>4768016</v>
      </c>
      <c r="H2833" s="110"/>
      <c r="I2833" s="110"/>
      <c r="L2833" s="133">
        <v>46178</v>
      </c>
      <c r="M2833" s="110">
        <v>135.81</v>
      </c>
      <c r="N2833" s="110">
        <v>136.4</v>
      </c>
      <c r="O2833" s="110">
        <v>133.04</v>
      </c>
      <c r="P2833" s="110">
        <v>133.19999999999999</v>
      </c>
      <c r="Q2833" s="110">
        <v>135.81</v>
      </c>
      <c r="R2833">
        <v>47139920</v>
      </c>
    </row>
    <row r="2834" spans="1:18" x14ac:dyDescent="0.25">
      <c r="A2834" s="133">
        <v>46181</v>
      </c>
      <c r="B2834">
        <v>136.55000000000001</v>
      </c>
      <c r="C2834">
        <v>131.85</v>
      </c>
      <c r="D2834">
        <v>131.4</v>
      </c>
      <c r="E2834">
        <v>135</v>
      </c>
      <c r="F2834">
        <v>131.85</v>
      </c>
      <c r="G2834">
        <v>1636906</v>
      </c>
      <c r="H2834" s="110"/>
      <c r="I2834" s="110"/>
      <c r="L2834" s="133">
        <v>46181</v>
      </c>
      <c r="M2834" s="110">
        <v>131.91</v>
      </c>
      <c r="N2834" s="110">
        <v>136.5</v>
      </c>
      <c r="O2834" s="110">
        <v>131.4</v>
      </c>
      <c r="P2834" s="110">
        <v>134.83000000000001</v>
      </c>
      <c r="Q2834" s="110">
        <v>131.91</v>
      </c>
      <c r="R2834">
        <v>29260366</v>
      </c>
    </row>
    <row r="2835" spans="1:18" x14ac:dyDescent="0.25">
      <c r="A2835" s="133">
        <v>46182</v>
      </c>
      <c r="B2835">
        <v>137.80000000000001</v>
      </c>
      <c r="C2835">
        <v>137.5</v>
      </c>
      <c r="D2835">
        <v>131.6</v>
      </c>
      <c r="E2835">
        <v>131.75</v>
      </c>
      <c r="F2835">
        <v>137.5</v>
      </c>
      <c r="G2835">
        <v>8729531</v>
      </c>
      <c r="H2835" s="110"/>
      <c r="I2835" s="110"/>
      <c r="L2835" s="133">
        <v>46182</v>
      </c>
      <c r="M2835" s="110">
        <v>137.51</v>
      </c>
      <c r="N2835" s="110">
        <v>137.80000000000001</v>
      </c>
      <c r="O2835" s="110">
        <v>131.4</v>
      </c>
      <c r="P2835" s="110">
        <v>131.4</v>
      </c>
      <c r="Q2835" s="110">
        <v>137.51</v>
      </c>
      <c r="R2835">
        <v>57740162</v>
      </c>
    </row>
    <row r="2836" spans="1:18" x14ac:dyDescent="0.25">
      <c r="A2836" s="133">
        <v>46183</v>
      </c>
      <c r="B2836">
        <v>138.30000000000001</v>
      </c>
      <c r="C2836">
        <v>133.5</v>
      </c>
      <c r="D2836">
        <v>133.1</v>
      </c>
      <c r="E2836">
        <v>137.75</v>
      </c>
      <c r="F2836">
        <v>133.5</v>
      </c>
      <c r="G2836">
        <v>1515429</v>
      </c>
      <c r="H2836" s="110"/>
      <c r="I2836" s="110"/>
      <c r="L2836" s="133">
        <v>46183</v>
      </c>
      <c r="M2836" s="110">
        <v>133.46</v>
      </c>
      <c r="N2836" s="110">
        <v>138.26</v>
      </c>
      <c r="O2836" s="110">
        <v>133.11000000000001</v>
      </c>
      <c r="P2836" s="110">
        <v>137.51</v>
      </c>
      <c r="Q2836" s="110">
        <v>133.46</v>
      </c>
      <c r="R2836">
        <v>39658979</v>
      </c>
    </row>
    <row r="2837" spans="1:18" x14ac:dyDescent="0.25">
      <c r="A2837" s="133">
        <v>46184</v>
      </c>
      <c r="B2837">
        <v>133.80000000000001</v>
      </c>
      <c r="C2837">
        <v>131.55000000000001</v>
      </c>
      <c r="D2837">
        <v>130.55000000000001</v>
      </c>
      <c r="E2837">
        <v>133</v>
      </c>
      <c r="F2837">
        <v>131.55000000000001</v>
      </c>
      <c r="G2837">
        <v>1495039</v>
      </c>
      <c r="H2837" s="110"/>
      <c r="I2837" s="110"/>
      <c r="L2837" s="133">
        <v>46184</v>
      </c>
      <c r="M2837" s="110">
        <v>131.52000000000001</v>
      </c>
      <c r="N2837" s="110">
        <v>133.78</v>
      </c>
      <c r="O2837" s="110">
        <v>130.6</v>
      </c>
      <c r="P2837" s="110">
        <v>132.69999999999999</v>
      </c>
      <c r="Q2837" s="110">
        <v>131.52000000000001</v>
      </c>
      <c r="R2837">
        <v>46246010</v>
      </c>
    </row>
    <row r="2838" spans="1:18" x14ac:dyDescent="0.25">
      <c r="A2838" s="133">
        <v>46185</v>
      </c>
      <c r="B2838">
        <v>131.9</v>
      </c>
      <c r="C2838">
        <v>131.6</v>
      </c>
      <c r="D2838">
        <v>128.80000000000001</v>
      </c>
      <c r="E2838">
        <v>130.1</v>
      </c>
      <c r="F2838">
        <v>131.6</v>
      </c>
      <c r="G2838">
        <v>1802030</v>
      </c>
      <c r="H2838" s="110"/>
      <c r="I2838" s="110"/>
      <c r="L2838" s="133">
        <v>46185</v>
      </c>
      <c r="M2838" s="110">
        <v>131.66999999999999</v>
      </c>
      <c r="N2838" s="110">
        <v>131.91999999999999</v>
      </c>
      <c r="O2838" s="110">
        <v>128.80000000000001</v>
      </c>
      <c r="P2838" s="110">
        <v>130</v>
      </c>
      <c r="Q2838" s="110">
        <v>131.66999999999999</v>
      </c>
      <c r="R2838">
        <v>25287693</v>
      </c>
    </row>
    <row r="2839" spans="1:18" x14ac:dyDescent="0.25">
      <c r="H2839" s="110"/>
      <c r="I2839" s="110"/>
    </row>
    <row r="2840" spans="1:18" x14ac:dyDescent="0.25">
      <c r="H2840" s="110"/>
      <c r="I2840" s="110"/>
    </row>
    <row r="2841" spans="1:18" x14ac:dyDescent="0.25">
      <c r="H2841" s="110"/>
      <c r="I2841" s="110"/>
    </row>
    <row r="2842" spans="1:18" x14ac:dyDescent="0.25">
      <c r="H2842" s="110"/>
      <c r="I2842" s="110"/>
    </row>
    <row r="2843" spans="1:18" x14ac:dyDescent="0.25">
      <c r="H2843" s="110"/>
      <c r="I2843" s="110"/>
    </row>
    <row r="2844" spans="1:18" x14ac:dyDescent="0.25">
      <c r="H2844" s="110"/>
      <c r="I2844" s="110"/>
    </row>
    <row r="2845" spans="1:18" x14ac:dyDescent="0.25">
      <c r="H2845" s="110"/>
      <c r="I2845" s="110"/>
    </row>
    <row r="2846" spans="1:18" x14ac:dyDescent="0.25">
      <c r="H2846" s="110"/>
      <c r="I2846" s="110"/>
    </row>
    <row r="2847" spans="1:18" x14ac:dyDescent="0.25">
      <c r="H2847" s="110"/>
      <c r="I2847" s="110"/>
    </row>
    <row r="2848" spans="1:18" x14ac:dyDescent="0.25">
      <c r="H2848" s="110"/>
      <c r="I2848" s="110"/>
    </row>
    <row r="2849" spans="8:9" x14ac:dyDescent="0.25">
      <c r="H2849" s="110"/>
      <c r="I2849" s="110"/>
    </row>
    <row r="2850" spans="8:9" x14ac:dyDescent="0.25">
      <c r="H2850" s="110"/>
      <c r="I2850" s="110"/>
    </row>
    <row r="2851" spans="8:9" x14ac:dyDescent="0.25">
      <c r="H2851" s="110"/>
      <c r="I2851" s="110"/>
    </row>
    <row r="2852" spans="8:9" x14ac:dyDescent="0.25">
      <c r="H2852" s="110"/>
      <c r="I2852" s="110"/>
    </row>
    <row r="2853" spans="8:9" x14ac:dyDescent="0.25">
      <c r="H2853" s="110"/>
      <c r="I2853" s="110"/>
    </row>
    <row r="2854" spans="8:9" x14ac:dyDescent="0.25">
      <c r="H2854" s="110"/>
      <c r="I2854" s="110"/>
    </row>
    <row r="2855" spans="8:9" x14ac:dyDescent="0.25">
      <c r="H2855" s="110"/>
      <c r="I2855" s="110"/>
    </row>
    <row r="2856" spans="8:9" x14ac:dyDescent="0.25">
      <c r="H2856" s="110"/>
      <c r="I2856" s="110"/>
    </row>
    <row r="2857" spans="8:9" x14ac:dyDescent="0.25">
      <c r="H2857" s="110"/>
      <c r="I2857" s="110"/>
    </row>
    <row r="2858" spans="8:9" x14ac:dyDescent="0.25">
      <c r="H2858" s="110"/>
      <c r="I2858" s="110"/>
    </row>
    <row r="2859" spans="8:9" x14ac:dyDescent="0.25">
      <c r="H2859" s="110"/>
      <c r="I2859" s="110"/>
    </row>
    <row r="2860" spans="8:9" x14ac:dyDescent="0.25">
      <c r="H2860" s="110"/>
      <c r="I2860" s="110"/>
    </row>
    <row r="2861" spans="8:9" x14ac:dyDescent="0.25">
      <c r="H2861" s="110"/>
      <c r="I2861" s="110"/>
    </row>
    <row r="2862" spans="8:9" x14ac:dyDescent="0.25">
      <c r="H2862" s="110"/>
      <c r="I2862" s="110"/>
    </row>
    <row r="2863" spans="8:9" x14ac:dyDescent="0.25">
      <c r="H2863" s="110"/>
      <c r="I2863" s="110"/>
    </row>
    <row r="2864" spans="8:9" x14ac:dyDescent="0.25">
      <c r="H2864" s="110"/>
      <c r="I2864" s="110"/>
    </row>
    <row r="2865" spans="8:9" x14ac:dyDescent="0.25">
      <c r="H2865" s="110"/>
      <c r="I2865" s="110"/>
    </row>
    <row r="2866" spans="8:9" x14ac:dyDescent="0.25">
      <c r="H2866" s="110"/>
      <c r="I2866" s="110"/>
    </row>
    <row r="2867" spans="8:9" x14ac:dyDescent="0.25">
      <c r="H2867" s="110"/>
      <c r="I2867" s="110"/>
    </row>
    <row r="2868" spans="8:9" x14ac:dyDescent="0.25">
      <c r="H2868" s="110"/>
      <c r="I2868" s="110"/>
    </row>
    <row r="2869" spans="8:9" x14ac:dyDescent="0.25">
      <c r="H2869" s="110"/>
      <c r="I2869" s="110"/>
    </row>
    <row r="2870" spans="8:9" x14ac:dyDescent="0.25">
      <c r="H2870" s="110"/>
      <c r="I2870" s="110"/>
    </row>
    <row r="2871" spans="8:9" x14ac:dyDescent="0.25">
      <c r="H2871" s="110"/>
      <c r="I2871" s="110"/>
    </row>
    <row r="2872" spans="8:9" x14ac:dyDescent="0.25">
      <c r="H2872" s="110"/>
      <c r="I2872" s="110"/>
    </row>
    <row r="2873" spans="8:9" x14ac:dyDescent="0.25">
      <c r="H2873" s="110"/>
      <c r="I2873" s="110"/>
    </row>
    <row r="2874" spans="8:9" x14ac:dyDescent="0.25">
      <c r="H2874" s="110"/>
      <c r="I2874" s="110"/>
    </row>
    <row r="2875" spans="8:9" x14ac:dyDescent="0.25">
      <c r="H2875" s="110"/>
      <c r="I2875" s="110"/>
    </row>
    <row r="2876" spans="8:9" x14ac:dyDescent="0.25">
      <c r="H2876" s="110"/>
      <c r="I2876" s="110"/>
    </row>
    <row r="2877" spans="8:9" x14ac:dyDescent="0.25">
      <c r="H2877" s="110"/>
      <c r="I2877" s="110"/>
    </row>
    <row r="2878" spans="8:9" x14ac:dyDescent="0.25">
      <c r="H2878" s="110"/>
      <c r="I2878" s="110"/>
    </row>
    <row r="2879" spans="8:9" x14ac:dyDescent="0.25">
      <c r="H2879" s="110"/>
      <c r="I2879" s="110"/>
    </row>
    <row r="2880" spans="8:9" x14ac:dyDescent="0.25">
      <c r="H2880" s="110"/>
      <c r="I2880" s="110"/>
    </row>
    <row r="2881" spans="8:9" x14ac:dyDescent="0.25">
      <c r="H2881" s="110"/>
      <c r="I2881" s="110"/>
    </row>
    <row r="2882" spans="8:9" x14ac:dyDescent="0.25">
      <c r="H2882" s="110"/>
      <c r="I2882" s="110"/>
    </row>
    <row r="2883" spans="8:9" x14ac:dyDescent="0.25">
      <c r="H2883" s="110"/>
      <c r="I2883" s="110"/>
    </row>
    <row r="2884" spans="8:9" x14ac:dyDescent="0.25">
      <c r="H2884" s="110"/>
      <c r="I2884" s="110"/>
    </row>
    <row r="2885" spans="8:9" x14ac:dyDescent="0.25">
      <c r="H2885" s="110"/>
      <c r="I2885" s="110"/>
    </row>
    <row r="2886" spans="8:9" x14ac:dyDescent="0.25">
      <c r="H2886" s="110"/>
      <c r="I2886" s="110"/>
    </row>
    <row r="2887" spans="8:9" x14ac:dyDescent="0.25">
      <c r="H2887" s="110"/>
      <c r="I2887" s="110"/>
    </row>
    <row r="2888" spans="8:9" x14ac:dyDescent="0.25">
      <c r="H2888" s="110"/>
      <c r="I2888" s="110"/>
    </row>
    <row r="2889" spans="8:9" x14ac:dyDescent="0.25">
      <c r="H2889" s="110"/>
      <c r="I2889" s="110"/>
    </row>
    <row r="2890" spans="8:9" x14ac:dyDescent="0.25">
      <c r="H2890" s="110"/>
      <c r="I2890" s="110"/>
    </row>
    <row r="2891" spans="8:9" x14ac:dyDescent="0.25">
      <c r="H2891" s="110"/>
      <c r="I2891" s="110"/>
    </row>
    <row r="2892" spans="8:9" x14ac:dyDescent="0.25">
      <c r="H2892" s="110"/>
      <c r="I2892" s="110"/>
    </row>
    <row r="2893" spans="8:9" x14ac:dyDescent="0.25">
      <c r="H2893" s="110"/>
      <c r="I2893" s="110"/>
    </row>
    <row r="2894" spans="8:9" x14ac:dyDescent="0.25">
      <c r="H2894" s="110"/>
      <c r="I2894" s="110"/>
    </row>
    <row r="2895" spans="8:9" x14ac:dyDescent="0.25">
      <c r="H2895" s="110"/>
      <c r="I2895" s="110"/>
    </row>
    <row r="2896" spans="8:9" x14ac:dyDescent="0.25">
      <c r="H2896" s="110"/>
      <c r="I2896" s="110"/>
    </row>
    <row r="2897" spans="8:9" x14ac:dyDescent="0.25">
      <c r="H2897" s="110"/>
      <c r="I2897" s="110"/>
    </row>
    <row r="2898" spans="8:9" x14ac:dyDescent="0.25">
      <c r="H2898" s="110"/>
      <c r="I2898" s="110"/>
    </row>
    <row r="2899" spans="8:9" x14ac:dyDescent="0.25">
      <c r="H2899" s="110"/>
      <c r="I2899" s="110"/>
    </row>
    <row r="2900" spans="8:9" x14ac:dyDescent="0.25">
      <c r="H2900" s="110"/>
      <c r="I2900" s="110"/>
    </row>
    <row r="2901" spans="8:9" x14ac:dyDescent="0.25">
      <c r="H2901" s="110"/>
      <c r="I2901" s="110"/>
    </row>
    <row r="2902" spans="8:9" x14ac:dyDescent="0.25">
      <c r="H2902" s="110"/>
      <c r="I2902" s="110"/>
    </row>
    <row r="2903" spans="8:9" x14ac:dyDescent="0.25">
      <c r="H2903" s="110"/>
      <c r="I2903" s="110"/>
    </row>
    <row r="2904" spans="8:9" x14ac:dyDescent="0.25">
      <c r="H2904" s="110"/>
      <c r="I2904" s="110"/>
    </row>
    <row r="2905" spans="8:9" x14ac:dyDescent="0.25">
      <c r="H2905" s="110"/>
      <c r="I2905" s="110"/>
    </row>
    <row r="2906" spans="8:9" x14ac:dyDescent="0.25">
      <c r="H2906" s="110"/>
      <c r="I2906" s="110"/>
    </row>
    <row r="2907" spans="8:9" x14ac:dyDescent="0.25">
      <c r="H2907" s="110"/>
      <c r="I2907" s="110"/>
    </row>
    <row r="2908" spans="8:9" x14ac:dyDescent="0.25">
      <c r="H2908" s="110"/>
      <c r="I2908" s="110"/>
    </row>
    <row r="2909" spans="8:9" x14ac:dyDescent="0.25">
      <c r="H2909" s="110"/>
      <c r="I2909" s="110"/>
    </row>
    <row r="2910" spans="8:9" x14ac:dyDescent="0.25">
      <c r="H2910" s="110"/>
      <c r="I2910" s="110"/>
    </row>
    <row r="2911" spans="8:9" x14ac:dyDescent="0.25">
      <c r="H2911" s="110"/>
      <c r="I2911" s="110"/>
    </row>
    <row r="2912" spans="8:9" x14ac:dyDescent="0.25">
      <c r="H2912" s="110"/>
      <c r="I2912" s="110"/>
    </row>
    <row r="2913" spans="8:9" x14ac:dyDescent="0.25">
      <c r="H2913" s="110"/>
      <c r="I2913" s="110"/>
    </row>
    <row r="2914" spans="8:9" x14ac:dyDescent="0.25">
      <c r="H2914" s="110"/>
      <c r="I2914" s="110"/>
    </row>
    <row r="2915" spans="8:9" x14ac:dyDescent="0.25">
      <c r="H2915" s="110"/>
      <c r="I2915" s="110"/>
    </row>
    <row r="2916" spans="8:9" x14ac:dyDescent="0.25">
      <c r="H2916" s="110"/>
      <c r="I2916" s="110"/>
    </row>
    <row r="2917" spans="8:9" x14ac:dyDescent="0.25">
      <c r="H2917" s="110"/>
      <c r="I2917" s="110"/>
    </row>
    <row r="2918" spans="8:9" x14ac:dyDescent="0.25">
      <c r="H2918" s="110"/>
      <c r="I2918" s="110"/>
    </row>
    <row r="2919" spans="8:9" x14ac:dyDescent="0.25">
      <c r="H2919" s="110"/>
      <c r="I2919" s="110"/>
    </row>
    <row r="2920" spans="8:9" x14ac:dyDescent="0.25">
      <c r="H2920" s="110"/>
      <c r="I2920" s="110"/>
    </row>
    <row r="2921" spans="8:9" x14ac:dyDescent="0.25">
      <c r="H2921" s="110"/>
      <c r="I2921" s="110"/>
    </row>
    <row r="2922" spans="8:9" x14ac:dyDescent="0.25">
      <c r="H2922" s="110"/>
      <c r="I2922" s="110"/>
    </row>
    <row r="2923" spans="8:9" x14ac:dyDescent="0.25">
      <c r="H2923" s="110"/>
      <c r="I2923" s="110"/>
    </row>
    <row r="2924" spans="8:9" x14ac:dyDescent="0.25">
      <c r="H2924" s="110"/>
      <c r="I2924" s="110"/>
    </row>
    <row r="2925" spans="8:9" x14ac:dyDescent="0.25">
      <c r="H2925" s="110"/>
      <c r="I2925" s="110"/>
    </row>
    <row r="2926" spans="8:9" x14ac:dyDescent="0.25">
      <c r="H2926" s="110"/>
      <c r="I2926" s="110"/>
    </row>
    <row r="2927" spans="8:9" x14ac:dyDescent="0.25">
      <c r="H2927" s="110"/>
      <c r="I2927" s="110"/>
    </row>
    <row r="2928" spans="8:9" x14ac:dyDescent="0.25">
      <c r="H2928" s="110"/>
      <c r="I2928" s="110"/>
    </row>
    <row r="2929" spans="8:9" x14ac:dyDescent="0.25">
      <c r="H2929" s="110"/>
      <c r="I2929" s="110"/>
    </row>
    <row r="2930" spans="8:9" x14ac:dyDescent="0.25">
      <c r="H2930" s="110"/>
      <c r="I2930" s="110"/>
    </row>
    <row r="2931" spans="8:9" x14ac:dyDescent="0.25">
      <c r="H2931" s="110"/>
      <c r="I2931" s="110"/>
    </row>
    <row r="2932" spans="8:9" x14ac:dyDescent="0.25">
      <c r="H2932" s="110"/>
      <c r="I2932" s="110"/>
    </row>
    <row r="2933" spans="8:9" x14ac:dyDescent="0.25">
      <c r="H2933" s="110"/>
      <c r="I2933" s="110"/>
    </row>
    <row r="2934" spans="8:9" x14ac:dyDescent="0.25">
      <c r="H2934" s="110"/>
      <c r="I2934" s="110"/>
    </row>
    <row r="2935" spans="8:9" x14ac:dyDescent="0.25">
      <c r="H2935" s="110"/>
      <c r="I2935" s="110"/>
    </row>
    <row r="2936" spans="8:9" x14ac:dyDescent="0.25">
      <c r="H2936" s="110"/>
      <c r="I2936" s="110"/>
    </row>
    <row r="2937" spans="8:9" x14ac:dyDescent="0.25">
      <c r="H2937" s="110"/>
      <c r="I2937" s="110"/>
    </row>
    <row r="2938" spans="8:9" x14ac:dyDescent="0.25">
      <c r="H2938" s="110"/>
      <c r="I2938" s="110"/>
    </row>
    <row r="2939" spans="8:9" x14ac:dyDescent="0.25">
      <c r="H2939" s="110"/>
      <c r="I2939" s="110"/>
    </row>
    <row r="2940" spans="8:9" x14ac:dyDescent="0.25">
      <c r="H2940" s="110"/>
      <c r="I2940" s="110"/>
    </row>
    <row r="2941" spans="8:9" x14ac:dyDescent="0.25">
      <c r="H2941" s="110"/>
      <c r="I2941" s="110"/>
    </row>
    <row r="2942" spans="8:9" x14ac:dyDescent="0.25">
      <c r="H2942" s="110"/>
      <c r="I2942" s="110"/>
    </row>
    <row r="2943" spans="8:9" x14ac:dyDescent="0.25">
      <c r="H2943" s="110"/>
      <c r="I2943" s="110"/>
    </row>
    <row r="2944" spans="8:9" x14ac:dyDescent="0.25">
      <c r="H2944" s="110"/>
      <c r="I2944" s="110"/>
    </row>
    <row r="2945" spans="8:9" x14ac:dyDescent="0.25">
      <c r="H2945" s="110"/>
      <c r="I2945" s="110"/>
    </row>
    <row r="2946" spans="8:9" x14ac:dyDescent="0.25">
      <c r="H2946" s="110"/>
      <c r="I2946" s="110"/>
    </row>
    <row r="2947" spans="8:9" x14ac:dyDescent="0.25">
      <c r="H2947" s="110"/>
      <c r="I2947" s="110"/>
    </row>
    <row r="2948" spans="8:9" x14ac:dyDescent="0.25">
      <c r="H2948" s="110"/>
      <c r="I2948" s="110"/>
    </row>
    <row r="2949" spans="8:9" x14ac:dyDescent="0.25">
      <c r="H2949" s="110"/>
      <c r="I2949" s="110"/>
    </row>
    <row r="2950" spans="8:9" x14ac:dyDescent="0.25">
      <c r="H2950" s="110"/>
      <c r="I2950" s="110"/>
    </row>
    <row r="2951" spans="8:9" x14ac:dyDescent="0.25">
      <c r="H2951" s="110"/>
      <c r="I2951" s="110"/>
    </row>
    <row r="2952" spans="8:9" x14ac:dyDescent="0.25">
      <c r="H2952" s="110"/>
      <c r="I2952" s="110"/>
    </row>
    <row r="2953" spans="8:9" x14ac:dyDescent="0.25">
      <c r="H2953" s="110"/>
      <c r="I2953" s="110"/>
    </row>
    <row r="2954" spans="8:9" x14ac:dyDescent="0.25">
      <c r="H2954" s="110"/>
      <c r="I2954" s="110"/>
    </row>
    <row r="2955" spans="8:9" x14ac:dyDescent="0.25">
      <c r="H2955" s="110"/>
      <c r="I2955" s="110"/>
    </row>
    <row r="2956" spans="8:9" x14ac:dyDescent="0.25">
      <c r="H2956" s="110"/>
      <c r="I2956" s="110"/>
    </row>
    <row r="2957" spans="8:9" x14ac:dyDescent="0.25">
      <c r="H2957" s="110"/>
      <c r="I2957" s="110"/>
    </row>
    <row r="2958" spans="8:9" x14ac:dyDescent="0.25">
      <c r="H2958" s="110"/>
      <c r="I2958" s="110"/>
    </row>
    <row r="2959" spans="8:9" x14ac:dyDescent="0.25">
      <c r="H2959" s="110"/>
      <c r="I2959" s="110"/>
    </row>
    <row r="2960" spans="8:9" x14ac:dyDescent="0.25">
      <c r="H2960" s="110"/>
      <c r="I2960" s="110"/>
    </row>
    <row r="2961" spans="8:9" x14ac:dyDescent="0.25">
      <c r="H2961" s="110"/>
      <c r="I2961" s="110"/>
    </row>
    <row r="2962" spans="8:9" x14ac:dyDescent="0.25">
      <c r="H2962" s="110"/>
      <c r="I2962" s="110"/>
    </row>
    <row r="2963" spans="8:9" x14ac:dyDescent="0.25">
      <c r="H2963" s="110"/>
      <c r="I2963" s="110"/>
    </row>
    <row r="2964" spans="8:9" x14ac:dyDescent="0.25">
      <c r="H2964" s="110"/>
      <c r="I2964" s="110"/>
    </row>
    <row r="2965" spans="8:9" x14ac:dyDescent="0.25">
      <c r="H2965" s="110"/>
      <c r="I2965" s="110"/>
    </row>
    <row r="2966" spans="8:9" x14ac:dyDescent="0.25">
      <c r="H2966" s="110"/>
      <c r="I2966" s="110"/>
    </row>
    <row r="2967" spans="8:9" x14ac:dyDescent="0.25">
      <c r="H2967" s="110"/>
      <c r="I2967" s="110"/>
    </row>
    <row r="2968" spans="8:9" x14ac:dyDescent="0.25">
      <c r="H2968" s="110"/>
      <c r="I2968" s="110"/>
    </row>
    <row r="2969" spans="8:9" x14ac:dyDescent="0.25">
      <c r="H2969" s="110"/>
      <c r="I2969" s="110"/>
    </row>
    <row r="2970" spans="8:9" x14ac:dyDescent="0.25">
      <c r="H2970" s="110"/>
      <c r="I2970" s="110"/>
    </row>
    <row r="2971" spans="8:9" x14ac:dyDescent="0.25">
      <c r="H2971" s="110"/>
      <c r="I2971" s="110"/>
    </row>
    <row r="2972" spans="8:9" x14ac:dyDescent="0.25">
      <c r="H2972" s="110"/>
      <c r="I2972" s="110"/>
    </row>
    <row r="2973" spans="8:9" x14ac:dyDescent="0.25">
      <c r="H2973" s="110"/>
      <c r="I2973" s="110"/>
    </row>
    <row r="2974" spans="8:9" x14ac:dyDescent="0.25">
      <c r="H2974" s="110"/>
      <c r="I2974" s="110"/>
    </row>
    <row r="2975" spans="8:9" x14ac:dyDescent="0.25">
      <c r="H2975" s="110"/>
      <c r="I2975" s="110"/>
    </row>
    <row r="2976" spans="8:9" x14ac:dyDescent="0.25">
      <c r="H2976" s="110"/>
      <c r="I2976" s="110"/>
    </row>
    <row r="2977" spans="8:9" x14ac:dyDescent="0.25">
      <c r="H2977" s="110"/>
      <c r="I2977" s="110"/>
    </row>
    <row r="2978" spans="8:9" x14ac:dyDescent="0.25">
      <c r="H2978" s="110"/>
      <c r="I2978" s="110"/>
    </row>
    <row r="2979" spans="8:9" x14ac:dyDescent="0.25">
      <c r="H2979" s="110"/>
      <c r="I2979" s="110"/>
    </row>
    <row r="2980" spans="8:9" x14ac:dyDescent="0.25">
      <c r="H2980" s="110"/>
      <c r="I2980" s="110"/>
    </row>
    <row r="2981" spans="8:9" x14ac:dyDescent="0.25">
      <c r="H2981" s="110"/>
      <c r="I2981" s="110"/>
    </row>
    <row r="2982" spans="8:9" x14ac:dyDescent="0.25">
      <c r="H2982" s="110"/>
      <c r="I2982" s="110"/>
    </row>
    <row r="2983" spans="8:9" x14ac:dyDescent="0.25">
      <c r="H2983" s="110"/>
      <c r="I2983" s="110"/>
    </row>
    <row r="2984" spans="8:9" x14ac:dyDescent="0.25">
      <c r="H2984" s="110"/>
      <c r="I2984" s="110"/>
    </row>
    <row r="2985" spans="8:9" x14ac:dyDescent="0.25">
      <c r="H2985" s="110"/>
      <c r="I2985" s="110"/>
    </row>
    <row r="2986" spans="8:9" x14ac:dyDescent="0.25">
      <c r="H2986" s="110"/>
      <c r="I2986" s="110"/>
    </row>
    <row r="2987" spans="8:9" x14ac:dyDescent="0.25">
      <c r="H2987" s="110"/>
      <c r="I2987" s="110"/>
    </row>
    <row r="2988" spans="8:9" x14ac:dyDescent="0.25">
      <c r="H2988" s="110"/>
      <c r="I2988" s="110"/>
    </row>
    <row r="2989" spans="8:9" x14ac:dyDescent="0.25">
      <c r="H2989" s="110"/>
      <c r="I2989" s="110"/>
    </row>
    <row r="2990" spans="8:9" x14ac:dyDescent="0.25">
      <c r="H2990" s="110"/>
      <c r="I2990" s="110"/>
    </row>
    <row r="2991" spans="8:9" x14ac:dyDescent="0.25">
      <c r="H2991" s="110"/>
      <c r="I2991" s="110"/>
    </row>
    <row r="2992" spans="8:9" x14ac:dyDescent="0.25">
      <c r="H2992" s="110"/>
      <c r="I2992" s="110"/>
    </row>
    <row r="2993" spans="8:9" x14ac:dyDescent="0.25">
      <c r="H2993" s="110"/>
      <c r="I2993" s="110"/>
    </row>
    <row r="2994" spans="8:9" x14ac:dyDescent="0.25">
      <c r="H2994" s="110"/>
      <c r="I2994" s="110"/>
    </row>
    <row r="2995" spans="8:9" x14ac:dyDescent="0.25">
      <c r="H2995" s="110"/>
      <c r="I2995" s="110"/>
    </row>
    <row r="2996" spans="8:9" x14ac:dyDescent="0.25">
      <c r="H2996" s="110"/>
      <c r="I2996" s="110"/>
    </row>
    <row r="2997" spans="8:9" x14ac:dyDescent="0.25">
      <c r="H2997" s="110"/>
      <c r="I2997" s="110"/>
    </row>
    <row r="2998" spans="8:9" x14ac:dyDescent="0.25">
      <c r="H2998" s="110"/>
      <c r="I2998" s="110"/>
    </row>
    <row r="2999" spans="8:9" x14ac:dyDescent="0.25">
      <c r="H2999" s="110"/>
      <c r="I2999" s="110"/>
    </row>
    <row r="3000" spans="8:9" x14ac:dyDescent="0.25">
      <c r="H3000" s="110"/>
      <c r="I3000" s="110"/>
    </row>
    <row r="3001" spans="8:9" x14ac:dyDescent="0.25">
      <c r="H3001" s="110"/>
      <c r="I3001" s="110"/>
    </row>
    <row r="3002" spans="8:9" x14ac:dyDescent="0.25">
      <c r="H3002" s="110"/>
      <c r="I3002" s="110"/>
    </row>
    <row r="3003" spans="8:9" x14ac:dyDescent="0.25">
      <c r="H3003" s="110"/>
      <c r="I3003" s="110"/>
    </row>
    <row r="3004" spans="8:9" x14ac:dyDescent="0.25">
      <c r="H3004" s="110"/>
      <c r="I3004" s="110"/>
    </row>
    <row r="3005" spans="8:9" x14ac:dyDescent="0.25">
      <c r="H3005" s="110"/>
      <c r="I3005" s="110"/>
    </row>
    <row r="3006" spans="8:9" x14ac:dyDescent="0.25">
      <c r="H3006" s="110"/>
      <c r="I3006" s="110"/>
    </row>
    <row r="3007" spans="8:9" x14ac:dyDescent="0.25">
      <c r="H3007" s="110"/>
      <c r="I3007" s="110"/>
    </row>
    <row r="3008" spans="8:9" x14ac:dyDescent="0.25">
      <c r="H3008" s="110"/>
      <c r="I3008" s="110"/>
    </row>
    <row r="3009" spans="8:9" x14ac:dyDescent="0.25">
      <c r="H3009" s="110"/>
      <c r="I3009" s="110"/>
    </row>
    <row r="3010" spans="8:9" x14ac:dyDescent="0.25">
      <c r="H3010" s="110"/>
      <c r="I3010" s="110"/>
    </row>
    <row r="3011" spans="8:9" x14ac:dyDescent="0.25">
      <c r="H3011" s="110"/>
      <c r="I3011" s="110"/>
    </row>
    <row r="3012" spans="8:9" x14ac:dyDescent="0.25">
      <c r="H3012" s="110"/>
      <c r="I3012" s="110"/>
    </row>
    <row r="3013" spans="8:9" x14ac:dyDescent="0.25">
      <c r="H3013" s="110"/>
      <c r="I3013" s="110"/>
    </row>
    <row r="3014" spans="8:9" x14ac:dyDescent="0.25">
      <c r="H3014" s="110"/>
      <c r="I3014" s="110"/>
    </row>
    <row r="3015" spans="8:9" x14ac:dyDescent="0.25">
      <c r="H3015" s="110"/>
      <c r="I3015" s="110"/>
    </row>
    <row r="3016" spans="8:9" x14ac:dyDescent="0.25">
      <c r="H3016" s="110"/>
      <c r="I3016" s="110"/>
    </row>
    <row r="3017" spans="8:9" x14ac:dyDescent="0.25">
      <c r="H3017" s="110"/>
      <c r="I3017" s="110"/>
    </row>
    <row r="3018" spans="8:9" x14ac:dyDescent="0.25">
      <c r="H3018" s="110"/>
      <c r="I3018" s="110"/>
    </row>
    <row r="3019" spans="8:9" x14ac:dyDescent="0.25">
      <c r="H3019" s="110"/>
      <c r="I3019" s="110"/>
    </row>
    <row r="3020" spans="8:9" x14ac:dyDescent="0.25">
      <c r="H3020" s="110"/>
      <c r="I3020" s="110"/>
    </row>
    <row r="3021" spans="8:9" x14ac:dyDescent="0.25">
      <c r="H3021" s="110"/>
      <c r="I3021" s="110"/>
    </row>
    <row r="3022" spans="8:9" x14ac:dyDescent="0.25">
      <c r="H3022" s="110"/>
      <c r="I3022" s="110"/>
    </row>
    <row r="3023" spans="8:9" x14ac:dyDescent="0.25">
      <c r="H3023" s="110"/>
      <c r="I3023" s="110"/>
    </row>
    <row r="3024" spans="8:9" x14ac:dyDescent="0.25">
      <c r="H3024" s="110"/>
      <c r="I3024" s="110"/>
    </row>
    <row r="3025" spans="8:9" x14ac:dyDescent="0.25">
      <c r="H3025" s="110"/>
      <c r="I3025" s="110"/>
    </row>
    <row r="3026" spans="8:9" x14ac:dyDescent="0.25">
      <c r="H3026" s="110"/>
      <c r="I3026" s="110"/>
    </row>
    <row r="3027" spans="8:9" x14ac:dyDescent="0.25">
      <c r="H3027" s="110"/>
      <c r="I3027" s="110"/>
    </row>
    <row r="3028" spans="8:9" x14ac:dyDescent="0.25">
      <c r="H3028" s="110"/>
      <c r="I3028" s="110"/>
    </row>
    <row r="3029" spans="8:9" x14ac:dyDescent="0.25">
      <c r="H3029" s="110"/>
      <c r="I3029" s="110"/>
    </row>
    <row r="3030" spans="8:9" x14ac:dyDescent="0.25">
      <c r="H3030" s="110"/>
      <c r="I3030" s="110"/>
    </row>
    <row r="3031" spans="8:9" x14ac:dyDescent="0.25">
      <c r="H3031" s="110"/>
      <c r="I3031" s="110"/>
    </row>
    <row r="3032" spans="8:9" x14ac:dyDescent="0.25">
      <c r="H3032" s="110"/>
      <c r="I3032" s="110"/>
    </row>
    <row r="3033" spans="8:9" x14ac:dyDescent="0.25">
      <c r="H3033" s="110"/>
      <c r="I3033" s="110"/>
    </row>
    <row r="3034" spans="8:9" x14ac:dyDescent="0.25">
      <c r="H3034" s="110"/>
      <c r="I3034" s="110"/>
    </row>
    <row r="3035" spans="8:9" x14ac:dyDescent="0.25">
      <c r="H3035" s="110"/>
      <c r="I3035" s="110"/>
    </row>
    <row r="3036" spans="8:9" x14ac:dyDescent="0.25">
      <c r="H3036" s="110"/>
      <c r="I3036" s="110"/>
    </row>
    <row r="3037" spans="8:9" x14ac:dyDescent="0.25">
      <c r="H3037" s="110"/>
      <c r="I3037" s="110"/>
    </row>
    <row r="3038" spans="8:9" x14ac:dyDescent="0.25">
      <c r="H3038" s="110"/>
      <c r="I3038" s="110"/>
    </row>
    <row r="3039" spans="8:9" x14ac:dyDescent="0.25">
      <c r="H3039" s="110"/>
      <c r="I3039" s="110"/>
    </row>
    <row r="3040" spans="8:9" x14ac:dyDescent="0.25">
      <c r="H3040" s="110"/>
      <c r="I3040" s="110"/>
    </row>
    <row r="3041" spans="8:9" x14ac:dyDescent="0.25">
      <c r="H3041" s="110"/>
      <c r="I3041" s="110"/>
    </row>
    <row r="3042" spans="8:9" x14ac:dyDescent="0.25">
      <c r="H3042" s="110"/>
      <c r="I3042" s="110"/>
    </row>
    <row r="3043" spans="8:9" x14ac:dyDescent="0.25">
      <c r="H3043" s="110"/>
      <c r="I3043" s="110"/>
    </row>
    <row r="3044" spans="8:9" x14ac:dyDescent="0.25">
      <c r="H3044" s="110"/>
      <c r="I3044" s="110"/>
    </row>
    <row r="3045" spans="8:9" x14ac:dyDescent="0.25">
      <c r="H3045" s="110"/>
      <c r="I3045" s="110"/>
    </row>
    <row r="3046" spans="8:9" x14ac:dyDescent="0.25">
      <c r="H3046" s="110"/>
      <c r="I3046" s="110"/>
    </row>
    <row r="3047" spans="8:9" x14ac:dyDescent="0.25">
      <c r="H3047" s="110"/>
      <c r="I3047" s="110"/>
    </row>
    <row r="3048" spans="8:9" x14ac:dyDescent="0.25">
      <c r="H3048" s="110"/>
      <c r="I3048" s="110"/>
    </row>
    <row r="3049" spans="8:9" x14ac:dyDescent="0.25">
      <c r="H3049" s="110"/>
      <c r="I3049" s="110"/>
    </row>
    <row r="3050" spans="8:9" x14ac:dyDescent="0.25">
      <c r="H3050" s="110"/>
      <c r="I3050" s="110"/>
    </row>
    <row r="3051" spans="8:9" x14ac:dyDescent="0.25">
      <c r="H3051" s="110"/>
      <c r="I3051" s="110"/>
    </row>
    <row r="3052" spans="8:9" x14ac:dyDescent="0.25">
      <c r="H3052" s="110"/>
      <c r="I3052" s="110"/>
    </row>
    <row r="3053" spans="8:9" x14ac:dyDescent="0.25">
      <c r="H3053" s="110"/>
      <c r="I3053" s="110"/>
    </row>
    <row r="3054" spans="8:9" x14ac:dyDescent="0.25">
      <c r="H3054" s="110"/>
      <c r="I3054" s="110"/>
    </row>
    <row r="3055" spans="8:9" x14ac:dyDescent="0.25">
      <c r="H3055" s="110"/>
      <c r="I3055" s="110"/>
    </row>
    <row r="3056" spans="8:9" x14ac:dyDescent="0.25">
      <c r="H3056" s="110"/>
      <c r="I3056" s="110"/>
    </row>
    <row r="3057" spans="8:9" x14ac:dyDescent="0.25">
      <c r="H3057" s="110"/>
      <c r="I3057" s="110"/>
    </row>
    <row r="3058" spans="8:9" x14ac:dyDescent="0.25">
      <c r="H3058" s="110"/>
      <c r="I3058" s="110"/>
    </row>
    <row r="3059" spans="8:9" x14ac:dyDescent="0.25">
      <c r="H3059" s="110"/>
      <c r="I3059" s="110"/>
    </row>
    <row r="3060" spans="8:9" x14ac:dyDescent="0.25">
      <c r="H3060" s="110"/>
      <c r="I3060" s="110"/>
    </row>
    <row r="3061" spans="8:9" x14ac:dyDescent="0.25">
      <c r="H3061" s="110"/>
      <c r="I3061" s="110"/>
    </row>
    <row r="3062" spans="8:9" x14ac:dyDescent="0.25">
      <c r="H3062" s="110"/>
      <c r="I3062" s="110"/>
    </row>
    <row r="3063" spans="8:9" x14ac:dyDescent="0.25">
      <c r="H3063" s="110"/>
      <c r="I3063" s="110"/>
    </row>
    <row r="3064" spans="8:9" x14ac:dyDescent="0.25">
      <c r="H3064" s="110"/>
      <c r="I3064" s="110"/>
    </row>
    <row r="3065" spans="8:9" x14ac:dyDescent="0.25">
      <c r="H3065" s="110"/>
      <c r="I3065" s="110"/>
    </row>
    <row r="3066" spans="8:9" x14ac:dyDescent="0.25">
      <c r="H3066" s="110"/>
      <c r="I3066" s="110"/>
    </row>
    <row r="3067" spans="8:9" x14ac:dyDescent="0.25">
      <c r="H3067" s="110"/>
      <c r="I3067" s="110"/>
    </row>
    <row r="3068" spans="8:9" x14ac:dyDescent="0.25">
      <c r="H3068" s="110"/>
      <c r="I3068" s="110"/>
    </row>
    <row r="3069" spans="8:9" x14ac:dyDescent="0.25">
      <c r="H3069" s="110"/>
      <c r="I3069" s="110"/>
    </row>
    <row r="3070" spans="8:9" x14ac:dyDescent="0.25">
      <c r="H3070" s="110"/>
      <c r="I3070" s="110"/>
    </row>
    <row r="3071" spans="8:9" x14ac:dyDescent="0.25">
      <c r="H3071" s="110"/>
      <c r="I3071" s="110"/>
    </row>
    <row r="3072" spans="8:9" x14ac:dyDescent="0.25">
      <c r="H3072" s="110"/>
      <c r="I3072" s="110"/>
    </row>
    <row r="3073" spans="8:9" x14ac:dyDescent="0.25">
      <c r="H3073" s="110"/>
      <c r="I3073" s="110"/>
    </row>
    <row r="3074" spans="8:9" x14ac:dyDescent="0.25">
      <c r="H3074" s="110"/>
      <c r="I3074" s="110"/>
    </row>
    <row r="3075" spans="8:9" x14ac:dyDescent="0.25">
      <c r="H3075" s="110"/>
      <c r="I3075" s="110"/>
    </row>
    <row r="3076" spans="8:9" x14ac:dyDescent="0.25">
      <c r="H3076" s="110"/>
      <c r="I3076" s="110"/>
    </row>
    <row r="3077" spans="8:9" x14ac:dyDescent="0.25">
      <c r="H3077" s="110"/>
      <c r="I3077" s="110"/>
    </row>
    <row r="3078" spans="8:9" x14ac:dyDescent="0.25">
      <c r="H3078" s="110"/>
      <c r="I3078" s="110"/>
    </row>
    <row r="3079" spans="8:9" x14ac:dyDescent="0.25">
      <c r="H3079" s="110"/>
      <c r="I3079" s="110"/>
    </row>
    <row r="3080" spans="8:9" x14ac:dyDescent="0.25">
      <c r="H3080" s="110"/>
      <c r="I3080" s="110"/>
    </row>
    <row r="3081" spans="8:9" x14ac:dyDescent="0.25">
      <c r="H3081" s="110"/>
      <c r="I3081" s="110"/>
    </row>
    <row r="3082" spans="8:9" x14ac:dyDescent="0.25">
      <c r="H3082" s="110"/>
      <c r="I3082" s="110"/>
    </row>
    <row r="3083" spans="8:9" x14ac:dyDescent="0.25">
      <c r="H3083" s="110"/>
      <c r="I3083" s="110"/>
    </row>
    <row r="3084" spans="8:9" x14ac:dyDescent="0.25">
      <c r="H3084" s="110"/>
      <c r="I3084" s="110"/>
    </row>
    <row r="3085" spans="8:9" x14ac:dyDescent="0.25">
      <c r="H3085" s="110"/>
      <c r="I3085" s="110"/>
    </row>
    <row r="3086" spans="8:9" x14ac:dyDescent="0.25">
      <c r="H3086" s="110"/>
      <c r="I3086" s="110"/>
    </row>
    <row r="3087" spans="8:9" x14ac:dyDescent="0.25">
      <c r="H3087" s="110"/>
      <c r="I3087" s="110"/>
    </row>
    <row r="3088" spans="8:9" x14ac:dyDescent="0.25">
      <c r="H3088" s="110"/>
      <c r="I3088" s="110"/>
    </row>
    <row r="3089" spans="8:9" x14ac:dyDescent="0.25">
      <c r="H3089" s="110"/>
      <c r="I3089" s="110"/>
    </row>
    <row r="3090" spans="8:9" x14ac:dyDescent="0.25">
      <c r="H3090" s="110"/>
      <c r="I3090" s="110"/>
    </row>
    <row r="3091" spans="8:9" x14ac:dyDescent="0.25">
      <c r="H3091" s="110"/>
      <c r="I3091" s="110"/>
    </row>
    <row r="3092" spans="8:9" x14ac:dyDescent="0.25">
      <c r="H3092" s="110"/>
      <c r="I3092" s="110"/>
    </row>
    <row r="3093" spans="8:9" x14ac:dyDescent="0.25">
      <c r="H3093" s="110"/>
      <c r="I3093" s="110"/>
    </row>
    <row r="3094" spans="8:9" x14ac:dyDescent="0.25">
      <c r="H3094" s="110"/>
      <c r="I3094" s="110"/>
    </row>
    <row r="3095" spans="8:9" x14ac:dyDescent="0.25">
      <c r="H3095" s="110"/>
      <c r="I3095" s="110"/>
    </row>
    <row r="3096" spans="8:9" x14ac:dyDescent="0.25">
      <c r="H3096" s="110"/>
      <c r="I3096" s="110"/>
    </row>
    <row r="3097" spans="8:9" x14ac:dyDescent="0.25">
      <c r="H3097" s="110"/>
      <c r="I3097" s="110"/>
    </row>
    <row r="3098" spans="8:9" x14ac:dyDescent="0.25">
      <c r="H3098" s="110"/>
      <c r="I3098" s="110"/>
    </row>
    <row r="3099" spans="8:9" x14ac:dyDescent="0.25">
      <c r="H3099" s="110"/>
      <c r="I3099" s="110"/>
    </row>
    <row r="3100" spans="8:9" x14ac:dyDescent="0.25">
      <c r="H3100" s="110"/>
      <c r="I3100" s="110"/>
    </row>
    <row r="3101" spans="8:9" x14ac:dyDescent="0.25">
      <c r="H3101" s="110"/>
      <c r="I3101" s="110"/>
    </row>
    <row r="3102" spans="8:9" x14ac:dyDescent="0.25">
      <c r="H3102" s="110"/>
      <c r="I3102" s="110"/>
    </row>
    <row r="3103" spans="8:9" x14ac:dyDescent="0.25">
      <c r="H3103" s="110"/>
      <c r="I3103" s="110"/>
    </row>
    <row r="3104" spans="8:9" x14ac:dyDescent="0.25">
      <c r="H3104" s="110"/>
      <c r="I3104" s="110"/>
    </row>
    <row r="3105" spans="8:9" x14ac:dyDescent="0.25">
      <c r="H3105" s="110"/>
      <c r="I3105" s="110"/>
    </row>
    <row r="3106" spans="8:9" x14ac:dyDescent="0.25">
      <c r="H3106" s="110"/>
      <c r="I3106" s="110"/>
    </row>
    <row r="3107" spans="8:9" x14ac:dyDescent="0.25">
      <c r="H3107" s="110"/>
      <c r="I3107" s="110"/>
    </row>
    <row r="3108" spans="8:9" x14ac:dyDescent="0.25">
      <c r="H3108" s="110"/>
      <c r="I3108" s="110"/>
    </row>
    <row r="3109" spans="8:9" x14ac:dyDescent="0.25">
      <c r="H3109" s="110"/>
      <c r="I3109" s="110"/>
    </row>
    <row r="3110" spans="8:9" x14ac:dyDescent="0.25">
      <c r="H3110" s="110"/>
      <c r="I3110" s="110"/>
    </row>
    <row r="3111" spans="8:9" x14ac:dyDescent="0.25">
      <c r="H3111" s="110"/>
      <c r="I3111" s="110"/>
    </row>
    <row r="3112" spans="8:9" x14ac:dyDescent="0.25">
      <c r="H3112" s="110"/>
      <c r="I3112" s="110"/>
    </row>
    <row r="3113" spans="8:9" x14ac:dyDescent="0.25">
      <c r="H3113" s="110"/>
      <c r="I3113" s="110"/>
    </row>
    <row r="3114" spans="8:9" x14ac:dyDescent="0.25">
      <c r="H3114" s="110"/>
      <c r="I3114" s="110"/>
    </row>
    <row r="3115" spans="8:9" x14ac:dyDescent="0.25">
      <c r="H3115" s="110"/>
      <c r="I3115" s="110"/>
    </row>
    <row r="3116" spans="8:9" x14ac:dyDescent="0.25">
      <c r="H3116" s="110"/>
      <c r="I3116" s="110"/>
    </row>
    <row r="3117" spans="8:9" x14ac:dyDescent="0.25">
      <c r="H3117" s="110"/>
      <c r="I3117" s="110"/>
    </row>
    <row r="3118" spans="8:9" x14ac:dyDescent="0.25">
      <c r="H3118" s="110"/>
      <c r="I3118" s="110"/>
    </row>
    <row r="3119" spans="8:9" x14ac:dyDescent="0.25">
      <c r="H3119" s="110"/>
      <c r="I3119" s="110"/>
    </row>
    <row r="3120" spans="8:9" x14ac:dyDescent="0.25">
      <c r="H3120" s="110"/>
      <c r="I3120" s="110"/>
    </row>
    <row r="3121" spans="8:9" x14ac:dyDescent="0.25">
      <c r="H3121" s="110"/>
      <c r="I3121" s="110"/>
    </row>
    <row r="3122" spans="8:9" x14ac:dyDescent="0.25">
      <c r="H3122" s="110"/>
      <c r="I3122" s="110"/>
    </row>
    <row r="3123" spans="8:9" x14ac:dyDescent="0.25">
      <c r="H3123" s="110"/>
      <c r="I3123" s="110"/>
    </row>
    <row r="3124" spans="8:9" x14ac:dyDescent="0.25">
      <c r="H3124" s="110"/>
      <c r="I3124" s="110"/>
    </row>
    <row r="3125" spans="8:9" x14ac:dyDescent="0.25">
      <c r="H3125" s="110"/>
      <c r="I3125" s="110"/>
    </row>
    <row r="3126" spans="8:9" x14ac:dyDescent="0.25">
      <c r="H3126" s="110"/>
      <c r="I3126" s="110"/>
    </row>
    <row r="3127" spans="8:9" x14ac:dyDescent="0.25">
      <c r="H3127" s="110"/>
      <c r="I3127" s="110"/>
    </row>
    <row r="3128" spans="8:9" x14ac:dyDescent="0.25">
      <c r="H3128" s="110"/>
      <c r="I3128" s="110"/>
    </row>
    <row r="3129" spans="8:9" x14ac:dyDescent="0.25">
      <c r="H3129" s="110"/>
      <c r="I3129" s="110"/>
    </row>
    <row r="3130" spans="8:9" x14ac:dyDescent="0.25">
      <c r="H3130" s="110"/>
      <c r="I3130" s="110"/>
    </row>
    <row r="3131" spans="8:9" x14ac:dyDescent="0.25">
      <c r="H3131" s="110"/>
      <c r="I3131" s="110"/>
    </row>
    <row r="3132" spans="8:9" x14ac:dyDescent="0.25">
      <c r="H3132" s="110"/>
      <c r="I3132" s="110"/>
    </row>
    <row r="3133" spans="8:9" x14ac:dyDescent="0.25">
      <c r="H3133" s="110"/>
      <c r="I3133" s="110"/>
    </row>
    <row r="3134" spans="8:9" x14ac:dyDescent="0.25">
      <c r="H3134" s="110"/>
      <c r="I3134" s="110"/>
    </row>
    <row r="3135" spans="8:9" x14ac:dyDescent="0.25">
      <c r="H3135" s="110"/>
      <c r="I3135" s="110"/>
    </row>
    <row r="3136" spans="8:9" x14ac:dyDescent="0.25">
      <c r="H3136" s="110"/>
      <c r="I3136" s="110"/>
    </row>
    <row r="3137" spans="8:9" x14ac:dyDescent="0.25">
      <c r="H3137" s="110"/>
      <c r="I3137" s="110"/>
    </row>
    <row r="3138" spans="8:9" x14ac:dyDescent="0.25">
      <c r="H3138" s="110"/>
      <c r="I3138" s="110"/>
    </row>
    <row r="3139" spans="8:9" x14ac:dyDescent="0.25">
      <c r="H3139" s="110"/>
      <c r="I3139" s="110"/>
    </row>
    <row r="3140" spans="8:9" x14ac:dyDescent="0.25">
      <c r="H3140" s="110"/>
      <c r="I3140" s="110"/>
    </row>
    <row r="3141" spans="8:9" x14ac:dyDescent="0.25">
      <c r="H3141" s="110"/>
      <c r="I3141" s="110"/>
    </row>
    <row r="3142" spans="8:9" x14ac:dyDescent="0.25">
      <c r="H3142" s="110"/>
      <c r="I3142" s="110"/>
    </row>
    <row r="3143" spans="8:9" x14ac:dyDescent="0.25">
      <c r="H3143" s="110"/>
      <c r="I3143" s="110"/>
    </row>
    <row r="3144" spans="8:9" x14ac:dyDescent="0.25">
      <c r="H3144" s="110"/>
      <c r="I3144" s="110"/>
    </row>
    <row r="3145" spans="8:9" x14ac:dyDescent="0.25">
      <c r="H3145" s="110"/>
      <c r="I3145" s="110"/>
    </row>
    <row r="3146" spans="8:9" x14ac:dyDescent="0.25">
      <c r="H3146" s="110"/>
      <c r="I3146" s="110"/>
    </row>
    <row r="3147" spans="8:9" x14ac:dyDescent="0.25">
      <c r="H3147" s="110"/>
      <c r="I3147" s="110"/>
    </row>
    <row r="3148" spans="8:9" x14ac:dyDescent="0.25">
      <c r="H3148" s="110"/>
      <c r="I3148" s="110"/>
    </row>
    <row r="3149" spans="8:9" x14ac:dyDescent="0.25">
      <c r="H3149" s="110"/>
      <c r="I3149" s="110"/>
    </row>
    <row r="3150" spans="8:9" x14ac:dyDescent="0.25">
      <c r="H3150" s="110"/>
      <c r="I3150" s="110"/>
    </row>
    <row r="3151" spans="8:9" x14ac:dyDescent="0.25">
      <c r="H3151" s="110"/>
      <c r="I3151" s="110"/>
    </row>
    <row r="3152" spans="8:9" x14ac:dyDescent="0.25">
      <c r="H3152" s="110"/>
      <c r="I3152" s="110"/>
    </row>
    <row r="3153" spans="8:9" x14ac:dyDescent="0.25">
      <c r="H3153" s="110"/>
      <c r="I3153" s="110"/>
    </row>
    <row r="3154" spans="8:9" x14ac:dyDescent="0.25">
      <c r="H3154" s="110"/>
      <c r="I3154" s="110"/>
    </row>
    <row r="3155" spans="8:9" x14ac:dyDescent="0.25">
      <c r="H3155" s="110"/>
      <c r="I3155" s="110"/>
    </row>
    <row r="3156" spans="8:9" x14ac:dyDescent="0.25">
      <c r="H3156" s="110"/>
      <c r="I3156" s="110"/>
    </row>
    <row r="3157" spans="8:9" x14ac:dyDescent="0.25">
      <c r="H3157" s="110"/>
      <c r="I3157" s="110"/>
    </row>
    <row r="3158" spans="8:9" x14ac:dyDescent="0.25">
      <c r="H3158" s="110"/>
      <c r="I3158" s="110"/>
    </row>
    <row r="3159" spans="8:9" x14ac:dyDescent="0.25">
      <c r="H3159" s="110"/>
      <c r="I3159" s="110"/>
    </row>
    <row r="3160" spans="8:9" x14ac:dyDescent="0.25">
      <c r="H3160" s="110"/>
      <c r="I3160" s="110"/>
    </row>
    <row r="3161" spans="8:9" x14ac:dyDescent="0.25">
      <c r="H3161" s="110"/>
      <c r="I3161" s="110"/>
    </row>
    <row r="3162" spans="8:9" x14ac:dyDescent="0.25">
      <c r="H3162" s="110"/>
      <c r="I3162" s="110"/>
    </row>
    <row r="3163" spans="8:9" x14ac:dyDescent="0.25">
      <c r="H3163" s="110"/>
      <c r="I3163" s="110"/>
    </row>
    <row r="3164" spans="8:9" x14ac:dyDescent="0.25">
      <c r="H3164" s="110"/>
      <c r="I3164" s="110"/>
    </row>
    <row r="3165" spans="8:9" x14ac:dyDescent="0.25">
      <c r="H3165" s="110"/>
      <c r="I3165" s="110"/>
    </row>
    <row r="3166" spans="8:9" x14ac:dyDescent="0.25">
      <c r="H3166" s="110"/>
      <c r="I3166" s="110"/>
    </row>
    <row r="3167" spans="8:9" x14ac:dyDescent="0.25">
      <c r="H3167" s="110"/>
      <c r="I3167" s="110"/>
    </row>
    <row r="3168" spans="8:9" x14ac:dyDescent="0.25">
      <c r="H3168" s="110"/>
      <c r="I3168" s="110"/>
    </row>
    <row r="3169" spans="8:9" x14ac:dyDescent="0.25">
      <c r="H3169" s="110"/>
      <c r="I3169" s="110"/>
    </row>
    <row r="3170" spans="8:9" x14ac:dyDescent="0.25">
      <c r="H3170" s="110"/>
      <c r="I3170" s="110"/>
    </row>
    <row r="3171" spans="8:9" x14ac:dyDescent="0.25">
      <c r="H3171" s="110"/>
      <c r="I3171" s="110"/>
    </row>
    <row r="3172" spans="8:9" x14ac:dyDescent="0.25">
      <c r="H3172" s="110"/>
      <c r="I3172" s="110"/>
    </row>
    <row r="3173" spans="8:9" x14ac:dyDescent="0.25">
      <c r="H3173" s="110"/>
      <c r="I3173" s="110"/>
    </row>
    <row r="3174" spans="8:9" x14ac:dyDescent="0.25">
      <c r="H3174" s="110"/>
      <c r="I3174" s="110"/>
    </row>
    <row r="3175" spans="8:9" x14ac:dyDescent="0.25">
      <c r="H3175" s="110"/>
      <c r="I3175" s="110"/>
    </row>
    <row r="3176" spans="8:9" x14ac:dyDescent="0.25">
      <c r="H3176" s="110"/>
      <c r="I3176" s="110"/>
    </row>
    <row r="3177" spans="8:9" x14ac:dyDescent="0.25">
      <c r="H3177" s="110"/>
      <c r="I3177" s="110"/>
    </row>
    <row r="3178" spans="8:9" x14ac:dyDescent="0.25">
      <c r="H3178" s="110"/>
      <c r="I3178" s="110"/>
    </row>
    <row r="3179" spans="8:9" x14ac:dyDescent="0.25">
      <c r="H3179" s="110"/>
      <c r="I3179" s="110"/>
    </row>
    <row r="3180" spans="8:9" x14ac:dyDescent="0.25">
      <c r="H3180" s="110"/>
      <c r="I3180" s="110"/>
    </row>
    <row r="3181" spans="8:9" x14ac:dyDescent="0.25">
      <c r="H3181" s="110"/>
      <c r="I3181" s="110"/>
    </row>
    <row r="3182" spans="8:9" x14ac:dyDescent="0.25">
      <c r="H3182" s="110"/>
      <c r="I3182" s="110"/>
    </row>
    <row r="3183" spans="8:9" x14ac:dyDescent="0.25">
      <c r="H3183" s="110"/>
      <c r="I3183" s="110"/>
    </row>
    <row r="3184" spans="8:9" x14ac:dyDescent="0.25">
      <c r="H3184" s="110"/>
      <c r="I3184" s="110"/>
    </row>
    <row r="3185" spans="8:9" x14ac:dyDescent="0.25">
      <c r="H3185" s="110"/>
      <c r="I3185" s="110"/>
    </row>
    <row r="3186" spans="8:9" x14ac:dyDescent="0.25">
      <c r="H3186" s="110"/>
      <c r="I3186" s="110"/>
    </row>
    <row r="3187" spans="8:9" x14ac:dyDescent="0.25">
      <c r="H3187" s="110"/>
      <c r="I3187" s="110"/>
    </row>
    <row r="3188" spans="8:9" x14ac:dyDescent="0.25">
      <c r="H3188" s="110"/>
      <c r="I3188" s="110"/>
    </row>
    <row r="3189" spans="8:9" x14ac:dyDescent="0.25">
      <c r="H3189" s="110"/>
      <c r="I3189" s="110"/>
    </row>
    <row r="3190" spans="8:9" x14ac:dyDescent="0.25">
      <c r="H3190" s="110"/>
      <c r="I3190" s="110"/>
    </row>
    <row r="3191" spans="8:9" x14ac:dyDescent="0.25">
      <c r="H3191" s="110"/>
      <c r="I3191" s="110"/>
    </row>
    <row r="3192" spans="8:9" x14ac:dyDescent="0.25">
      <c r="H3192" s="110"/>
      <c r="I3192" s="110"/>
    </row>
    <row r="3193" spans="8:9" x14ac:dyDescent="0.25">
      <c r="H3193" s="110"/>
      <c r="I3193" s="110"/>
    </row>
    <row r="3194" spans="8:9" x14ac:dyDescent="0.25">
      <c r="H3194" s="110"/>
      <c r="I3194" s="110"/>
    </row>
    <row r="3195" spans="8:9" x14ac:dyDescent="0.25">
      <c r="H3195" s="110"/>
      <c r="I3195" s="110"/>
    </row>
    <row r="3196" spans="8:9" x14ac:dyDescent="0.25">
      <c r="H3196" s="110"/>
      <c r="I3196" s="110"/>
    </row>
    <row r="3197" spans="8:9" x14ac:dyDescent="0.25">
      <c r="H3197" s="110"/>
      <c r="I3197" s="110"/>
    </row>
    <row r="3198" spans="8:9" x14ac:dyDescent="0.25">
      <c r="H3198" s="110"/>
      <c r="I3198" s="110"/>
    </row>
    <row r="3199" spans="8:9" x14ac:dyDescent="0.25">
      <c r="H3199" s="110"/>
      <c r="I3199" s="110"/>
    </row>
    <row r="3200" spans="8:9" x14ac:dyDescent="0.25">
      <c r="H3200" s="110"/>
      <c r="I3200" s="110"/>
    </row>
    <row r="3201" spans="8:9" x14ac:dyDescent="0.25">
      <c r="H3201" s="110"/>
      <c r="I3201" s="110"/>
    </row>
    <row r="3202" spans="8:9" x14ac:dyDescent="0.25">
      <c r="H3202" s="110"/>
      <c r="I3202" s="110"/>
    </row>
    <row r="3203" spans="8:9" x14ac:dyDescent="0.25">
      <c r="H3203" s="110"/>
      <c r="I3203" s="110"/>
    </row>
    <row r="3204" spans="8:9" x14ac:dyDescent="0.25">
      <c r="H3204" s="110"/>
      <c r="I3204" s="110"/>
    </row>
    <row r="3205" spans="8:9" x14ac:dyDescent="0.25">
      <c r="H3205" s="110"/>
      <c r="I3205" s="110"/>
    </row>
    <row r="3206" spans="8:9" x14ac:dyDescent="0.25">
      <c r="H3206" s="110"/>
      <c r="I3206" s="110"/>
    </row>
    <row r="3207" spans="8:9" x14ac:dyDescent="0.25">
      <c r="H3207" s="110"/>
      <c r="I3207" s="110"/>
    </row>
    <row r="3208" spans="8:9" x14ac:dyDescent="0.25">
      <c r="H3208" s="110"/>
      <c r="I3208" s="110"/>
    </row>
    <row r="3209" spans="8:9" x14ac:dyDescent="0.25">
      <c r="H3209" s="110"/>
      <c r="I3209" s="110"/>
    </row>
    <row r="3210" spans="8:9" x14ac:dyDescent="0.25">
      <c r="H3210" s="110"/>
      <c r="I3210" s="110"/>
    </row>
    <row r="3211" spans="8:9" x14ac:dyDescent="0.25">
      <c r="H3211" s="110"/>
      <c r="I3211" s="110"/>
    </row>
    <row r="3212" spans="8:9" x14ac:dyDescent="0.25">
      <c r="H3212" s="110"/>
      <c r="I3212" s="110"/>
    </row>
    <row r="3213" spans="8:9" x14ac:dyDescent="0.25">
      <c r="H3213" s="110"/>
      <c r="I3213" s="110"/>
    </row>
    <row r="3214" spans="8:9" x14ac:dyDescent="0.25">
      <c r="H3214" s="110"/>
      <c r="I3214" s="110"/>
    </row>
    <row r="3215" spans="8:9" x14ac:dyDescent="0.25">
      <c r="H3215" s="110"/>
      <c r="I3215" s="110"/>
    </row>
    <row r="3216" spans="8:9" x14ac:dyDescent="0.25">
      <c r="H3216" s="110"/>
      <c r="I3216" s="110"/>
    </row>
    <row r="3217" spans="8:9" x14ac:dyDescent="0.25">
      <c r="H3217" s="110"/>
      <c r="I3217" s="110"/>
    </row>
    <row r="3218" spans="8:9" x14ac:dyDescent="0.25">
      <c r="H3218" s="110"/>
      <c r="I3218" s="110"/>
    </row>
    <row r="3219" spans="8:9" x14ac:dyDescent="0.25">
      <c r="H3219" s="110"/>
      <c r="I3219" s="110"/>
    </row>
    <row r="3220" spans="8:9" x14ac:dyDescent="0.25">
      <c r="H3220" s="110"/>
      <c r="I3220" s="110"/>
    </row>
    <row r="3221" spans="8:9" x14ac:dyDescent="0.25">
      <c r="H3221" s="110"/>
      <c r="I3221" s="110"/>
    </row>
    <row r="3222" spans="8:9" x14ac:dyDescent="0.25">
      <c r="H3222" s="110"/>
      <c r="I3222" s="110"/>
    </row>
    <row r="3223" spans="8:9" x14ac:dyDescent="0.25">
      <c r="H3223" s="110"/>
      <c r="I3223" s="110"/>
    </row>
    <row r="3224" spans="8:9" x14ac:dyDescent="0.25">
      <c r="H3224" s="110"/>
      <c r="I3224" s="110"/>
    </row>
    <row r="3225" spans="8:9" x14ac:dyDescent="0.25">
      <c r="H3225" s="110"/>
      <c r="I3225" s="110"/>
    </row>
    <row r="3226" spans="8:9" x14ac:dyDescent="0.25">
      <c r="H3226" s="110"/>
      <c r="I3226" s="110"/>
    </row>
    <row r="3227" spans="8:9" x14ac:dyDescent="0.25">
      <c r="H3227" s="110"/>
      <c r="I3227" s="110"/>
    </row>
    <row r="3228" spans="8:9" x14ac:dyDescent="0.25">
      <c r="H3228" s="110"/>
      <c r="I3228" s="110"/>
    </row>
    <row r="3229" spans="8:9" x14ac:dyDescent="0.25">
      <c r="H3229" s="110"/>
      <c r="I3229" s="110"/>
    </row>
    <row r="3230" spans="8:9" x14ac:dyDescent="0.25">
      <c r="H3230" s="110"/>
      <c r="I3230" s="110"/>
    </row>
    <row r="3231" spans="8:9" x14ac:dyDescent="0.25">
      <c r="H3231" s="110"/>
      <c r="I3231" s="110"/>
    </row>
    <row r="3232" spans="8:9" x14ac:dyDescent="0.25">
      <c r="H3232" s="110"/>
      <c r="I3232" s="110"/>
    </row>
    <row r="3233" spans="8:9" x14ac:dyDescent="0.25">
      <c r="H3233" s="110"/>
      <c r="I3233" s="110"/>
    </row>
    <row r="3234" spans="8:9" x14ac:dyDescent="0.25">
      <c r="H3234" s="110"/>
      <c r="I3234" s="110"/>
    </row>
    <row r="3235" spans="8:9" x14ac:dyDescent="0.25">
      <c r="H3235" s="110"/>
      <c r="I3235" s="110"/>
    </row>
    <row r="3236" spans="8:9" x14ac:dyDescent="0.25">
      <c r="H3236" s="110"/>
      <c r="I3236" s="110"/>
    </row>
    <row r="3237" spans="8:9" x14ac:dyDescent="0.25">
      <c r="H3237" s="110"/>
      <c r="I3237" s="110"/>
    </row>
    <row r="3238" spans="8:9" x14ac:dyDescent="0.25">
      <c r="H3238" s="110"/>
      <c r="I3238" s="110"/>
    </row>
    <row r="3239" spans="8:9" x14ac:dyDescent="0.25">
      <c r="H3239" s="110"/>
      <c r="I3239" s="110"/>
    </row>
    <row r="3240" spans="8:9" x14ac:dyDescent="0.25">
      <c r="H3240" s="110"/>
      <c r="I3240" s="110"/>
    </row>
    <row r="3241" spans="8:9" x14ac:dyDescent="0.25">
      <c r="H3241" s="110"/>
      <c r="I3241" s="110"/>
    </row>
    <row r="3242" spans="8:9" x14ac:dyDescent="0.25">
      <c r="H3242" s="110"/>
      <c r="I3242" s="110"/>
    </row>
    <row r="3243" spans="8:9" x14ac:dyDescent="0.25">
      <c r="H3243" s="110"/>
      <c r="I3243" s="110"/>
    </row>
    <row r="3244" spans="8:9" x14ac:dyDescent="0.25">
      <c r="H3244" s="110"/>
      <c r="I3244" s="110"/>
    </row>
    <row r="3245" spans="8:9" x14ac:dyDescent="0.25">
      <c r="H3245" s="110"/>
      <c r="I3245" s="110"/>
    </row>
    <row r="3246" spans="8:9" x14ac:dyDescent="0.25">
      <c r="H3246" s="110"/>
      <c r="I3246" s="110"/>
    </row>
    <row r="3247" spans="8:9" x14ac:dyDescent="0.25">
      <c r="H3247" s="110"/>
      <c r="I3247" s="110"/>
    </row>
    <row r="3248" spans="8:9" x14ac:dyDescent="0.25">
      <c r="H3248" s="110"/>
      <c r="I3248" s="110"/>
    </row>
    <row r="3249" spans="8:9" x14ac:dyDescent="0.25">
      <c r="H3249" s="110"/>
      <c r="I3249" s="110"/>
    </row>
    <row r="3250" spans="8:9" x14ac:dyDescent="0.25">
      <c r="H3250" s="110"/>
      <c r="I3250" s="110"/>
    </row>
    <row r="3251" spans="8:9" x14ac:dyDescent="0.25">
      <c r="H3251" s="110"/>
      <c r="I3251" s="110"/>
    </row>
    <row r="3252" spans="8:9" x14ac:dyDescent="0.25">
      <c r="H3252" s="110"/>
      <c r="I3252" s="110"/>
    </row>
    <row r="3253" spans="8:9" x14ac:dyDescent="0.25">
      <c r="H3253" s="110"/>
      <c r="I3253" s="110"/>
    </row>
    <row r="3254" spans="8:9" x14ac:dyDescent="0.25">
      <c r="H3254" s="110"/>
      <c r="I3254" s="110"/>
    </row>
    <row r="3255" spans="8:9" x14ac:dyDescent="0.25">
      <c r="H3255" s="110"/>
      <c r="I3255" s="110"/>
    </row>
    <row r="3256" spans="8:9" x14ac:dyDescent="0.25">
      <c r="H3256" s="110"/>
      <c r="I3256" s="110"/>
    </row>
    <row r="3257" spans="8:9" x14ac:dyDescent="0.25">
      <c r="H3257" s="110"/>
      <c r="I3257" s="110"/>
    </row>
    <row r="3258" spans="8:9" x14ac:dyDescent="0.25">
      <c r="H3258" s="110"/>
      <c r="I3258" s="110"/>
    </row>
    <row r="3259" spans="8:9" x14ac:dyDescent="0.25">
      <c r="H3259" s="110"/>
      <c r="I3259" s="110"/>
    </row>
    <row r="3260" spans="8:9" x14ac:dyDescent="0.25">
      <c r="H3260" s="110"/>
      <c r="I3260" s="110"/>
    </row>
    <row r="3261" spans="8:9" x14ac:dyDescent="0.25">
      <c r="H3261" s="110"/>
      <c r="I3261" s="110"/>
    </row>
    <row r="3262" spans="8:9" x14ac:dyDescent="0.25">
      <c r="H3262" s="110"/>
      <c r="I3262" s="110"/>
    </row>
    <row r="3263" spans="8:9" x14ac:dyDescent="0.25">
      <c r="H3263" s="110"/>
      <c r="I3263" s="110"/>
    </row>
    <row r="3264" spans="8:9" x14ac:dyDescent="0.25">
      <c r="H3264" s="110"/>
      <c r="I3264" s="110"/>
    </row>
    <row r="3265" spans="8:9" x14ac:dyDescent="0.25">
      <c r="H3265" s="110"/>
      <c r="I3265" s="110"/>
    </row>
    <row r="3266" spans="8:9" x14ac:dyDescent="0.25">
      <c r="H3266" s="110"/>
      <c r="I3266" s="110"/>
    </row>
    <row r="3267" spans="8:9" x14ac:dyDescent="0.25">
      <c r="H3267" s="110"/>
      <c r="I3267" s="110"/>
    </row>
    <row r="3268" spans="8:9" x14ac:dyDescent="0.25">
      <c r="H3268" s="110"/>
      <c r="I3268" s="110"/>
    </row>
    <row r="3269" spans="8:9" x14ac:dyDescent="0.25">
      <c r="H3269" s="110"/>
      <c r="I3269" s="110"/>
    </row>
    <row r="3270" spans="8:9" x14ac:dyDescent="0.25">
      <c r="H3270" s="110"/>
      <c r="I3270" s="110"/>
    </row>
    <row r="3271" spans="8:9" x14ac:dyDescent="0.25">
      <c r="H3271" s="110"/>
      <c r="I3271" s="110"/>
    </row>
    <row r="3272" spans="8:9" x14ac:dyDescent="0.25">
      <c r="H3272" s="110"/>
      <c r="I3272" s="110"/>
    </row>
    <row r="3273" spans="8:9" x14ac:dyDescent="0.25">
      <c r="H3273" s="110"/>
      <c r="I3273" s="110"/>
    </row>
    <row r="3274" spans="8:9" x14ac:dyDescent="0.25">
      <c r="H3274" s="110"/>
      <c r="I3274" s="110"/>
    </row>
    <row r="3275" spans="8:9" x14ac:dyDescent="0.25">
      <c r="H3275" s="110"/>
      <c r="I3275" s="110"/>
    </row>
    <row r="3276" spans="8:9" x14ac:dyDescent="0.25">
      <c r="H3276" s="110"/>
      <c r="I3276" s="110"/>
    </row>
    <row r="3277" spans="8:9" x14ac:dyDescent="0.25">
      <c r="H3277" s="110"/>
      <c r="I3277" s="110"/>
    </row>
    <row r="3278" spans="8:9" x14ac:dyDescent="0.25">
      <c r="H3278" s="110"/>
      <c r="I3278" s="110"/>
    </row>
    <row r="3279" spans="8:9" x14ac:dyDescent="0.25">
      <c r="H3279" s="110"/>
      <c r="I3279" s="110"/>
    </row>
    <row r="3280" spans="8:9" x14ac:dyDescent="0.25">
      <c r="H3280" s="110"/>
      <c r="I3280" s="110"/>
    </row>
    <row r="3281" spans="8:9" x14ac:dyDescent="0.25">
      <c r="H3281" s="110"/>
      <c r="I3281" s="110"/>
    </row>
    <row r="3282" spans="8:9" x14ac:dyDescent="0.25">
      <c r="H3282" s="110"/>
      <c r="I3282" s="110"/>
    </row>
    <row r="3283" spans="8:9" x14ac:dyDescent="0.25">
      <c r="H3283" s="110"/>
      <c r="I3283" s="110"/>
    </row>
    <row r="3284" spans="8:9" x14ac:dyDescent="0.25">
      <c r="H3284" s="110"/>
      <c r="I3284" s="110"/>
    </row>
    <row r="3285" spans="8:9" x14ac:dyDescent="0.25">
      <c r="H3285" s="110"/>
      <c r="I3285" s="110"/>
    </row>
    <row r="3286" spans="8:9" x14ac:dyDescent="0.25">
      <c r="H3286" s="110"/>
      <c r="I3286" s="110"/>
    </row>
    <row r="3287" spans="8:9" x14ac:dyDescent="0.25">
      <c r="H3287" s="110"/>
      <c r="I3287" s="110"/>
    </row>
    <row r="3288" spans="8:9" x14ac:dyDescent="0.25">
      <c r="H3288" s="110"/>
      <c r="I3288" s="110"/>
    </row>
    <row r="3289" spans="8:9" x14ac:dyDescent="0.25">
      <c r="H3289" s="110"/>
      <c r="I3289" s="110"/>
    </row>
    <row r="3290" spans="8:9" x14ac:dyDescent="0.25">
      <c r="H3290" s="110"/>
      <c r="I3290" s="110"/>
    </row>
    <row r="3291" spans="8:9" x14ac:dyDescent="0.25">
      <c r="H3291" s="110"/>
      <c r="I3291" s="110"/>
    </row>
    <row r="3292" spans="8:9" x14ac:dyDescent="0.25">
      <c r="H3292" s="110"/>
      <c r="I3292" s="110"/>
    </row>
    <row r="3293" spans="8:9" x14ac:dyDescent="0.25">
      <c r="H3293" s="110"/>
      <c r="I3293" s="110"/>
    </row>
    <row r="3294" spans="8:9" x14ac:dyDescent="0.25">
      <c r="H3294" s="110"/>
      <c r="I3294" s="110"/>
    </row>
    <row r="3295" spans="8:9" x14ac:dyDescent="0.25">
      <c r="H3295" s="110"/>
      <c r="I3295" s="110"/>
    </row>
    <row r="3296" spans="8:9" x14ac:dyDescent="0.25">
      <c r="H3296" s="110"/>
      <c r="I3296" s="110"/>
    </row>
    <row r="3297" spans="8:9" x14ac:dyDescent="0.25">
      <c r="H3297" s="110"/>
      <c r="I3297" s="110"/>
    </row>
    <row r="3298" spans="8:9" x14ac:dyDescent="0.25">
      <c r="H3298" s="110"/>
      <c r="I3298" s="110"/>
    </row>
    <row r="3299" spans="8:9" x14ac:dyDescent="0.25">
      <c r="H3299" s="110"/>
      <c r="I3299" s="110"/>
    </row>
    <row r="3300" spans="8:9" x14ac:dyDescent="0.25">
      <c r="H3300" s="110"/>
      <c r="I3300" s="110"/>
    </row>
    <row r="3301" spans="8:9" x14ac:dyDescent="0.25">
      <c r="H3301" s="110"/>
      <c r="I3301" s="110"/>
    </row>
    <row r="3302" spans="8:9" x14ac:dyDescent="0.25">
      <c r="H3302" s="110"/>
      <c r="I3302" s="110"/>
    </row>
    <row r="3303" spans="8:9" x14ac:dyDescent="0.25">
      <c r="H3303" s="110"/>
      <c r="I3303" s="110"/>
    </row>
    <row r="3304" spans="8:9" x14ac:dyDescent="0.25">
      <c r="H3304" s="110"/>
      <c r="I3304" s="110"/>
    </row>
    <row r="3305" spans="8:9" x14ac:dyDescent="0.25">
      <c r="H3305" s="110"/>
      <c r="I3305" s="110"/>
    </row>
    <row r="3306" spans="8:9" x14ac:dyDescent="0.25">
      <c r="H3306" s="110"/>
      <c r="I3306" s="110"/>
    </row>
    <row r="3307" spans="8:9" x14ac:dyDescent="0.25">
      <c r="H3307" s="110"/>
      <c r="I3307" s="110"/>
    </row>
    <row r="3308" spans="8:9" x14ac:dyDescent="0.25">
      <c r="H3308" s="110"/>
      <c r="I3308" s="110"/>
    </row>
    <row r="3309" spans="8:9" x14ac:dyDescent="0.25">
      <c r="H3309" s="110"/>
      <c r="I3309" s="110"/>
    </row>
    <row r="3310" spans="8:9" x14ac:dyDescent="0.25">
      <c r="H3310" s="110"/>
      <c r="I3310" s="110"/>
    </row>
    <row r="3311" spans="8:9" x14ac:dyDescent="0.25">
      <c r="H3311" s="110"/>
      <c r="I3311" s="110"/>
    </row>
    <row r="3312" spans="8:9" x14ac:dyDescent="0.25">
      <c r="H3312" s="110"/>
      <c r="I3312" s="110"/>
    </row>
    <row r="3313" spans="8:9" x14ac:dyDescent="0.25">
      <c r="H3313" s="110"/>
      <c r="I3313" s="110"/>
    </row>
    <row r="3314" spans="8:9" x14ac:dyDescent="0.25">
      <c r="H3314" s="110"/>
      <c r="I3314" s="110"/>
    </row>
    <row r="3315" spans="8:9" x14ac:dyDescent="0.25">
      <c r="H3315" s="110"/>
      <c r="I3315" s="110"/>
    </row>
    <row r="3316" spans="8:9" x14ac:dyDescent="0.25">
      <c r="H3316" s="110"/>
      <c r="I3316" s="110"/>
    </row>
    <row r="3317" spans="8:9" x14ac:dyDescent="0.25">
      <c r="H3317" s="110"/>
      <c r="I3317" s="110"/>
    </row>
    <row r="3318" spans="8:9" x14ac:dyDescent="0.25">
      <c r="H3318" s="110"/>
      <c r="I3318" s="110"/>
    </row>
    <row r="3319" spans="8:9" x14ac:dyDescent="0.25">
      <c r="H3319" s="110"/>
      <c r="I3319" s="110"/>
    </row>
    <row r="3320" spans="8:9" x14ac:dyDescent="0.25">
      <c r="H3320" s="110"/>
      <c r="I3320" s="110"/>
    </row>
    <row r="3321" spans="8:9" x14ac:dyDescent="0.25">
      <c r="H3321" s="110"/>
      <c r="I3321" s="110"/>
    </row>
    <row r="3322" spans="8:9" x14ac:dyDescent="0.25">
      <c r="H3322" s="110"/>
      <c r="I3322" s="110"/>
    </row>
    <row r="3323" spans="8:9" x14ac:dyDescent="0.25">
      <c r="H3323" s="110"/>
      <c r="I3323" s="110"/>
    </row>
    <row r="3324" spans="8:9" x14ac:dyDescent="0.25">
      <c r="H3324" s="110"/>
      <c r="I3324" s="110"/>
    </row>
    <row r="3325" spans="8:9" x14ac:dyDescent="0.25">
      <c r="H3325" s="110"/>
      <c r="I3325" s="110"/>
    </row>
    <row r="3326" spans="8:9" x14ac:dyDescent="0.25">
      <c r="H3326" s="110"/>
      <c r="I3326" s="110"/>
    </row>
    <row r="3327" spans="8:9" x14ac:dyDescent="0.25">
      <c r="H3327" s="110"/>
      <c r="I3327" s="110"/>
    </row>
    <row r="3328" spans="8:9" x14ac:dyDescent="0.25">
      <c r="H3328" s="110"/>
      <c r="I3328" s="110"/>
    </row>
    <row r="3329" spans="8:9" x14ac:dyDescent="0.25">
      <c r="H3329" s="110"/>
      <c r="I3329" s="110"/>
    </row>
    <row r="3330" spans="8:9" x14ac:dyDescent="0.25">
      <c r="H3330" s="110"/>
      <c r="I3330" s="110"/>
    </row>
    <row r="3331" spans="8:9" x14ac:dyDescent="0.25">
      <c r="H3331" s="110"/>
      <c r="I3331" s="110"/>
    </row>
    <row r="3332" spans="8:9" x14ac:dyDescent="0.25">
      <c r="H3332" s="110"/>
      <c r="I3332" s="110"/>
    </row>
    <row r="3333" spans="8:9" x14ac:dyDescent="0.25">
      <c r="H3333" s="110"/>
      <c r="I3333" s="110"/>
    </row>
    <row r="3334" spans="8:9" x14ac:dyDescent="0.25">
      <c r="H3334" s="110"/>
      <c r="I3334" s="110"/>
    </row>
    <row r="3335" spans="8:9" x14ac:dyDescent="0.25">
      <c r="H3335" s="110"/>
      <c r="I3335" s="110"/>
    </row>
    <row r="3336" spans="8:9" x14ac:dyDescent="0.25">
      <c r="H3336" s="110"/>
      <c r="I3336" s="110"/>
    </row>
    <row r="3337" spans="8:9" x14ac:dyDescent="0.25">
      <c r="H3337" s="110"/>
      <c r="I3337" s="110"/>
    </row>
    <row r="3338" spans="8:9" x14ac:dyDescent="0.25">
      <c r="H3338" s="110"/>
      <c r="I3338" s="110"/>
    </row>
    <row r="3339" spans="8:9" x14ac:dyDescent="0.25">
      <c r="H3339" s="110"/>
      <c r="I3339" s="110"/>
    </row>
    <row r="3340" spans="8:9" x14ac:dyDescent="0.25">
      <c r="H3340" s="110"/>
      <c r="I3340" s="110"/>
    </row>
    <row r="3341" spans="8:9" x14ac:dyDescent="0.25">
      <c r="H3341" s="110"/>
      <c r="I3341" s="110"/>
    </row>
    <row r="3342" spans="8:9" x14ac:dyDescent="0.25">
      <c r="H3342" s="110"/>
      <c r="I3342" s="110"/>
    </row>
    <row r="3343" spans="8:9" x14ac:dyDescent="0.25">
      <c r="H3343" s="110"/>
      <c r="I3343" s="110"/>
    </row>
    <row r="3344" spans="8:9" x14ac:dyDescent="0.25">
      <c r="H3344" s="110"/>
      <c r="I3344" s="110"/>
    </row>
    <row r="3345" spans="8:9" x14ac:dyDescent="0.25">
      <c r="H3345" s="110"/>
      <c r="I3345" s="110"/>
    </row>
    <row r="3346" spans="8:9" x14ac:dyDescent="0.25">
      <c r="H3346" s="110"/>
      <c r="I3346" s="110"/>
    </row>
    <row r="3347" spans="8:9" x14ac:dyDescent="0.25">
      <c r="H3347" s="110"/>
      <c r="I3347" s="110"/>
    </row>
    <row r="3348" spans="8:9" x14ac:dyDescent="0.25">
      <c r="H3348" s="110"/>
      <c r="I3348" s="110"/>
    </row>
    <row r="3349" spans="8:9" x14ac:dyDescent="0.25">
      <c r="H3349" s="110"/>
      <c r="I3349" s="110"/>
    </row>
    <row r="3350" spans="8:9" x14ac:dyDescent="0.25">
      <c r="H3350" s="110"/>
      <c r="I3350" s="110"/>
    </row>
    <row r="3351" spans="8:9" x14ac:dyDescent="0.25">
      <c r="H3351" s="110"/>
      <c r="I3351" s="110"/>
    </row>
    <row r="3352" spans="8:9" x14ac:dyDescent="0.25">
      <c r="H3352" s="110"/>
      <c r="I3352" s="110"/>
    </row>
    <row r="3353" spans="8:9" x14ac:dyDescent="0.25">
      <c r="H3353" s="110"/>
      <c r="I3353" s="110"/>
    </row>
    <row r="3354" spans="8:9" x14ac:dyDescent="0.25">
      <c r="H3354" s="110"/>
      <c r="I3354" s="110"/>
    </row>
    <row r="3355" spans="8:9" x14ac:dyDescent="0.25">
      <c r="H3355" s="110"/>
      <c r="I3355" s="110"/>
    </row>
    <row r="3356" spans="8:9" x14ac:dyDescent="0.25">
      <c r="H3356" s="110"/>
      <c r="I3356" s="110"/>
    </row>
    <row r="3357" spans="8:9" x14ac:dyDescent="0.25">
      <c r="H3357" s="110"/>
      <c r="I3357" s="110"/>
    </row>
    <row r="3358" spans="8:9" x14ac:dyDescent="0.25">
      <c r="H3358" s="110"/>
      <c r="I3358" s="110"/>
    </row>
    <row r="3359" spans="8:9" x14ac:dyDescent="0.25">
      <c r="H3359" s="110"/>
      <c r="I3359" s="110"/>
    </row>
    <row r="3360" spans="8:9" x14ac:dyDescent="0.25">
      <c r="H3360" s="110"/>
      <c r="I3360" s="110"/>
    </row>
    <row r="3361" spans="8:9" x14ac:dyDescent="0.25">
      <c r="H3361" s="110"/>
      <c r="I3361" s="110"/>
    </row>
    <row r="3362" spans="8:9" x14ac:dyDescent="0.25">
      <c r="H3362" s="110"/>
      <c r="I3362" s="110"/>
    </row>
    <row r="3363" spans="8:9" x14ac:dyDescent="0.25">
      <c r="H3363" s="110"/>
      <c r="I3363" s="110"/>
    </row>
    <row r="3364" spans="8:9" x14ac:dyDescent="0.25">
      <c r="H3364" s="110"/>
      <c r="I3364" s="110"/>
    </row>
    <row r="3365" spans="8:9" x14ac:dyDescent="0.25">
      <c r="H3365" s="110"/>
      <c r="I3365" s="110"/>
    </row>
    <row r="3366" spans="8:9" x14ac:dyDescent="0.25">
      <c r="H3366" s="110"/>
      <c r="I3366" s="110"/>
    </row>
    <row r="3367" spans="8:9" x14ac:dyDescent="0.25">
      <c r="H3367" s="110"/>
      <c r="I3367" s="110"/>
    </row>
    <row r="3368" spans="8:9" x14ac:dyDescent="0.25">
      <c r="H3368" s="110"/>
      <c r="I3368" s="110"/>
    </row>
    <row r="3369" spans="8:9" x14ac:dyDescent="0.25">
      <c r="H3369" s="110"/>
      <c r="I3369" s="110"/>
    </row>
    <row r="3370" spans="8:9" x14ac:dyDescent="0.25">
      <c r="H3370" s="110"/>
      <c r="I3370" s="110"/>
    </row>
    <row r="3371" spans="8:9" x14ac:dyDescent="0.25">
      <c r="H3371" s="110"/>
      <c r="I3371" s="110"/>
    </row>
    <row r="3372" spans="8:9" x14ac:dyDescent="0.25">
      <c r="H3372" s="110"/>
      <c r="I3372" s="110"/>
    </row>
    <row r="3373" spans="8:9" x14ac:dyDescent="0.25">
      <c r="H3373" s="110"/>
      <c r="I3373" s="110"/>
    </row>
    <row r="3374" spans="8:9" x14ac:dyDescent="0.25">
      <c r="H3374" s="110"/>
      <c r="I3374" s="110"/>
    </row>
    <row r="3375" spans="8:9" x14ac:dyDescent="0.25">
      <c r="H3375" s="110"/>
      <c r="I3375" s="110"/>
    </row>
    <row r="3376" spans="8:9" x14ac:dyDescent="0.25">
      <c r="H3376" s="110"/>
      <c r="I3376" s="110"/>
    </row>
    <row r="3377" spans="8:9" x14ac:dyDescent="0.25">
      <c r="H3377" s="110"/>
      <c r="I3377" s="110"/>
    </row>
    <row r="3378" spans="8:9" x14ac:dyDescent="0.25">
      <c r="H3378" s="110"/>
      <c r="I3378" s="110"/>
    </row>
    <row r="3379" spans="8:9" x14ac:dyDescent="0.25">
      <c r="H3379" s="110"/>
      <c r="I3379" s="110"/>
    </row>
    <row r="3380" spans="8:9" x14ac:dyDescent="0.25">
      <c r="H3380" s="110"/>
      <c r="I3380" s="110"/>
    </row>
    <row r="3381" spans="8:9" x14ac:dyDescent="0.25">
      <c r="H3381" s="110"/>
      <c r="I3381" s="110"/>
    </row>
    <row r="3382" spans="8:9" x14ac:dyDescent="0.25">
      <c r="H3382" s="110"/>
      <c r="I3382" s="110"/>
    </row>
    <row r="3383" spans="8:9" x14ac:dyDescent="0.25">
      <c r="H3383" s="110"/>
      <c r="I3383" s="110"/>
    </row>
    <row r="3384" spans="8:9" x14ac:dyDescent="0.25">
      <c r="H3384" s="110"/>
      <c r="I3384" s="110"/>
    </row>
    <row r="3385" spans="8:9" x14ac:dyDescent="0.25">
      <c r="H3385" s="110"/>
      <c r="I3385" s="110"/>
    </row>
    <row r="3386" spans="8:9" x14ac:dyDescent="0.25">
      <c r="H3386" s="110"/>
      <c r="I3386" s="110"/>
    </row>
    <row r="3387" spans="8:9" x14ac:dyDescent="0.25">
      <c r="H3387" s="110"/>
      <c r="I3387" s="110"/>
    </row>
    <row r="3388" spans="8:9" x14ac:dyDescent="0.25">
      <c r="H3388" s="110"/>
      <c r="I3388" s="110"/>
    </row>
    <row r="3389" spans="8:9" x14ac:dyDescent="0.25">
      <c r="H3389" s="110"/>
      <c r="I3389" s="110"/>
    </row>
    <row r="3390" spans="8:9" x14ac:dyDescent="0.25">
      <c r="H3390" s="110"/>
      <c r="I3390" s="110"/>
    </row>
    <row r="3391" spans="8:9" x14ac:dyDescent="0.25">
      <c r="H3391" s="110"/>
      <c r="I3391" s="110"/>
    </row>
    <row r="3392" spans="8:9" x14ac:dyDescent="0.25">
      <c r="H3392" s="110"/>
      <c r="I3392" s="110"/>
    </row>
    <row r="3393" spans="8:9" x14ac:dyDescent="0.25">
      <c r="H3393" s="110"/>
      <c r="I3393" s="110"/>
    </row>
    <row r="3394" spans="8:9" x14ac:dyDescent="0.25">
      <c r="H3394" s="110"/>
      <c r="I3394" s="110"/>
    </row>
    <row r="3395" spans="8:9" x14ac:dyDescent="0.25">
      <c r="H3395" s="110"/>
      <c r="I3395" s="110"/>
    </row>
    <row r="3396" spans="8:9" x14ac:dyDescent="0.25">
      <c r="H3396" s="110"/>
      <c r="I3396" s="110"/>
    </row>
    <row r="3397" spans="8:9" x14ac:dyDescent="0.25">
      <c r="H3397" s="110"/>
      <c r="I3397" s="110"/>
    </row>
    <row r="3398" spans="8:9" x14ac:dyDescent="0.25">
      <c r="H3398" s="110"/>
      <c r="I3398" s="110"/>
    </row>
    <row r="3399" spans="8:9" x14ac:dyDescent="0.25">
      <c r="H3399" s="110"/>
      <c r="I3399" s="110"/>
    </row>
    <row r="3400" spans="8:9" x14ac:dyDescent="0.25">
      <c r="H3400" s="110"/>
      <c r="I3400" s="110"/>
    </row>
    <row r="3401" spans="8:9" x14ac:dyDescent="0.25">
      <c r="H3401" s="110"/>
      <c r="I3401" s="110"/>
    </row>
    <row r="3402" spans="8:9" x14ac:dyDescent="0.25">
      <c r="H3402" s="110"/>
      <c r="I3402" s="110"/>
    </row>
    <row r="3403" spans="8:9" x14ac:dyDescent="0.25">
      <c r="H3403" s="110"/>
      <c r="I3403" s="110"/>
    </row>
    <row r="3404" spans="8:9" x14ac:dyDescent="0.25">
      <c r="H3404" s="110"/>
      <c r="I3404" s="110"/>
    </row>
    <row r="3405" spans="8:9" x14ac:dyDescent="0.25">
      <c r="H3405" s="110"/>
      <c r="I3405" s="110"/>
    </row>
    <row r="3406" spans="8:9" x14ac:dyDescent="0.25">
      <c r="H3406" s="110"/>
      <c r="I3406" s="110"/>
    </row>
    <row r="3407" spans="8:9" x14ac:dyDescent="0.25">
      <c r="H3407" s="110"/>
      <c r="I3407" s="110"/>
    </row>
    <row r="3408" spans="8:9" x14ac:dyDescent="0.25">
      <c r="H3408" s="110"/>
      <c r="I3408" s="110"/>
    </row>
    <row r="3409" spans="8:9" x14ac:dyDescent="0.25">
      <c r="H3409" s="110"/>
      <c r="I3409" s="110"/>
    </row>
    <row r="3410" spans="8:9" x14ac:dyDescent="0.25">
      <c r="H3410" s="110"/>
      <c r="I3410" s="110"/>
    </row>
    <row r="3411" spans="8:9" x14ac:dyDescent="0.25">
      <c r="H3411" s="110"/>
      <c r="I3411" s="110"/>
    </row>
    <row r="3412" spans="8:9" x14ac:dyDescent="0.25">
      <c r="H3412" s="110"/>
      <c r="I3412" s="110"/>
    </row>
    <row r="3413" spans="8:9" x14ac:dyDescent="0.25">
      <c r="H3413" s="110"/>
      <c r="I3413" s="110"/>
    </row>
    <row r="3414" spans="8:9" x14ac:dyDescent="0.25">
      <c r="H3414" s="110"/>
      <c r="I3414" s="110"/>
    </row>
    <row r="3415" spans="8:9" x14ac:dyDescent="0.25">
      <c r="H3415" s="110"/>
      <c r="I3415" s="110"/>
    </row>
    <row r="3416" spans="8:9" x14ac:dyDescent="0.25">
      <c r="H3416" s="110"/>
      <c r="I3416" s="110"/>
    </row>
    <row r="3417" spans="8:9" x14ac:dyDescent="0.25">
      <c r="H3417" s="110"/>
      <c r="I3417" s="110"/>
    </row>
    <row r="3418" spans="8:9" x14ac:dyDescent="0.25">
      <c r="H3418" s="110"/>
      <c r="I3418" s="110"/>
    </row>
    <row r="3419" spans="8:9" x14ac:dyDescent="0.25">
      <c r="H3419" s="110"/>
      <c r="I3419" s="110"/>
    </row>
    <row r="3420" spans="8:9" x14ac:dyDescent="0.25">
      <c r="H3420" s="110"/>
      <c r="I3420" s="110"/>
    </row>
    <row r="3421" spans="8:9" x14ac:dyDescent="0.25">
      <c r="H3421" s="110"/>
      <c r="I3421" s="110"/>
    </row>
    <row r="3422" spans="8:9" x14ac:dyDescent="0.25">
      <c r="H3422" s="110"/>
      <c r="I3422" s="110"/>
    </row>
    <row r="3423" spans="8:9" x14ac:dyDescent="0.25">
      <c r="H3423" s="110"/>
      <c r="I3423" s="110"/>
    </row>
    <row r="3424" spans="8:9" x14ac:dyDescent="0.25">
      <c r="H3424" s="110"/>
      <c r="I3424" s="110"/>
    </row>
    <row r="3425" spans="8:9" x14ac:dyDescent="0.25">
      <c r="H3425" s="110"/>
      <c r="I3425" s="110"/>
    </row>
    <row r="3426" spans="8:9" x14ac:dyDescent="0.25">
      <c r="H3426" s="110"/>
      <c r="I3426" s="110"/>
    </row>
    <row r="3427" spans="8:9" x14ac:dyDescent="0.25">
      <c r="H3427" s="110"/>
      <c r="I3427" s="110"/>
    </row>
    <row r="3428" spans="8:9" x14ac:dyDescent="0.25">
      <c r="H3428" s="110"/>
      <c r="I3428" s="110"/>
    </row>
    <row r="3429" spans="8:9" x14ac:dyDescent="0.25">
      <c r="H3429" s="110"/>
      <c r="I3429" s="110"/>
    </row>
    <row r="3430" spans="8:9" x14ac:dyDescent="0.25">
      <c r="H3430" s="110"/>
      <c r="I3430" s="110"/>
    </row>
    <row r="3431" spans="8:9" x14ac:dyDescent="0.25">
      <c r="H3431" s="110"/>
      <c r="I3431" s="110"/>
    </row>
    <row r="3432" spans="8:9" x14ac:dyDescent="0.25">
      <c r="H3432" s="110"/>
      <c r="I3432" s="110"/>
    </row>
    <row r="3433" spans="8:9" x14ac:dyDescent="0.25">
      <c r="H3433" s="110"/>
      <c r="I3433" s="110"/>
    </row>
    <row r="3434" spans="8:9" x14ac:dyDescent="0.25">
      <c r="H3434" s="110"/>
      <c r="I3434" s="110"/>
    </row>
    <row r="3435" spans="8:9" x14ac:dyDescent="0.25">
      <c r="H3435" s="110"/>
      <c r="I3435" s="110"/>
    </row>
    <row r="3436" spans="8:9" x14ac:dyDescent="0.25">
      <c r="H3436" s="110"/>
      <c r="I3436" s="110"/>
    </row>
    <row r="3437" spans="8:9" x14ac:dyDescent="0.25">
      <c r="H3437" s="110"/>
      <c r="I3437" s="110"/>
    </row>
    <row r="3438" spans="8:9" x14ac:dyDescent="0.25">
      <c r="H3438" s="110"/>
      <c r="I3438" s="110"/>
    </row>
    <row r="3439" spans="8:9" x14ac:dyDescent="0.25">
      <c r="H3439" s="110"/>
      <c r="I3439" s="110"/>
    </row>
    <row r="3440" spans="8:9" x14ac:dyDescent="0.25">
      <c r="H3440" s="110"/>
      <c r="I3440" s="110"/>
    </row>
    <row r="3441" spans="8:9" x14ac:dyDescent="0.25">
      <c r="H3441" s="110"/>
      <c r="I3441" s="110"/>
    </row>
    <row r="3442" spans="8:9" x14ac:dyDescent="0.25">
      <c r="H3442" s="110"/>
      <c r="I3442" s="110"/>
    </row>
    <row r="3443" spans="8:9" x14ac:dyDescent="0.25">
      <c r="H3443" s="110"/>
      <c r="I3443" s="110"/>
    </row>
    <row r="3444" spans="8:9" x14ac:dyDescent="0.25">
      <c r="H3444" s="110"/>
      <c r="I3444" s="110"/>
    </row>
    <row r="3445" spans="8:9" x14ac:dyDescent="0.25">
      <c r="H3445" s="110"/>
      <c r="I3445" s="110"/>
    </row>
    <row r="3446" spans="8:9" x14ac:dyDescent="0.25">
      <c r="H3446" s="110"/>
      <c r="I3446" s="110"/>
    </row>
    <row r="3447" spans="8:9" x14ac:dyDescent="0.25">
      <c r="H3447" s="110"/>
      <c r="I3447" s="110"/>
    </row>
    <row r="3448" spans="8:9" x14ac:dyDescent="0.25">
      <c r="H3448" s="110"/>
      <c r="I3448" s="110"/>
    </row>
    <row r="3449" spans="8:9" x14ac:dyDescent="0.25">
      <c r="H3449" s="110"/>
      <c r="I3449" s="110"/>
    </row>
    <row r="3450" spans="8:9" x14ac:dyDescent="0.25">
      <c r="H3450" s="110"/>
      <c r="I3450" s="110"/>
    </row>
    <row r="3451" spans="8:9" x14ac:dyDescent="0.25">
      <c r="H3451" s="110"/>
      <c r="I3451" s="110"/>
    </row>
    <row r="3452" spans="8:9" x14ac:dyDescent="0.25">
      <c r="H3452" s="110"/>
      <c r="I3452" s="110"/>
    </row>
    <row r="3453" spans="8:9" x14ac:dyDescent="0.25">
      <c r="H3453" s="110"/>
      <c r="I3453" s="110"/>
    </row>
    <row r="3454" spans="8:9" x14ac:dyDescent="0.25">
      <c r="H3454" s="110"/>
      <c r="I3454" s="110"/>
    </row>
    <row r="3455" spans="8:9" x14ac:dyDescent="0.25">
      <c r="H3455" s="110"/>
      <c r="I3455" s="110"/>
    </row>
    <row r="3456" spans="8:9" x14ac:dyDescent="0.25">
      <c r="H3456" s="110"/>
      <c r="I3456" s="110"/>
    </row>
    <row r="3457" spans="8:9" x14ac:dyDescent="0.25">
      <c r="H3457" s="110"/>
      <c r="I3457" s="110"/>
    </row>
    <row r="3458" spans="8:9" x14ac:dyDescent="0.25">
      <c r="H3458" s="110"/>
      <c r="I3458" s="110"/>
    </row>
    <row r="3459" spans="8:9" x14ac:dyDescent="0.25">
      <c r="H3459" s="110"/>
      <c r="I3459" s="110"/>
    </row>
    <row r="3460" spans="8:9" x14ac:dyDescent="0.25">
      <c r="H3460" s="110"/>
      <c r="I3460" s="110"/>
    </row>
    <row r="3461" spans="8:9" x14ac:dyDescent="0.25">
      <c r="H3461" s="110"/>
      <c r="I3461" s="110"/>
    </row>
    <row r="3462" spans="8:9" x14ac:dyDescent="0.25">
      <c r="H3462" s="110"/>
      <c r="I3462" s="110"/>
    </row>
    <row r="3463" spans="8:9" x14ac:dyDescent="0.25">
      <c r="H3463" s="110"/>
      <c r="I3463" s="110"/>
    </row>
    <row r="3464" spans="8:9" x14ac:dyDescent="0.25">
      <c r="H3464" s="110"/>
      <c r="I3464" s="110"/>
    </row>
    <row r="3465" spans="8:9" x14ac:dyDescent="0.25">
      <c r="H3465" s="110"/>
      <c r="I3465" s="110"/>
    </row>
    <row r="3466" spans="8:9" x14ac:dyDescent="0.25">
      <c r="H3466" s="110"/>
      <c r="I3466" s="110"/>
    </row>
    <row r="3467" spans="8:9" x14ac:dyDescent="0.25">
      <c r="H3467" s="110"/>
      <c r="I3467" s="110"/>
    </row>
    <row r="3468" spans="8:9" x14ac:dyDescent="0.25">
      <c r="H3468" s="110"/>
      <c r="I3468" s="110"/>
    </row>
    <row r="3469" spans="8:9" x14ac:dyDescent="0.25">
      <c r="H3469" s="110"/>
      <c r="I3469" s="110"/>
    </row>
    <row r="3470" spans="8:9" x14ac:dyDescent="0.25">
      <c r="H3470" s="110"/>
      <c r="I3470" s="110"/>
    </row>
    <row r="3471" spans="8:9" x14ac:dyDescent="0.25">
      <c r="H3471" s="110"/>
      <c r="I3471" s="110"/>
    </row>
    <row r="3472" spans="8:9" x14ac:dyDescent="0.25">
      <c r="H3472" s="110"/>
      <c r="I3472" s="110"/>
    </row>
    <row r="3473" spans="8:9" x14ac:dyDescent="0.25">
      <c r="H3473" s="110"/>
      <c r="I3473" s="110"/>
    </row>
    <row r="3474" spans="8:9" x14ac:dyDescent="0.25">
      <c r="H3474" s="110"/>
      <c r="I3474" s="110"/>
    </row>
    <row r="3475" spans="8:9" x14ac:dyDescent="0.25">
      <c r="H3475" s="110"/>
      <c r="I3475" s="110"/>
    </row>
    <row r="3476" spans="8:9" x14ac:dyDescent="0.25">
      <c r="H3476" s="110"/>
      <c r="I3476" s="110"/>
    </row>
    <row r="3477" spans="8:9" x14ac:dyDescent="0.25">
      <c r="H3477" s="110"/>
      <c r="I3477" s="110"/>
    </row>
    <row r="3478" spans="8:9" x14ac:dyDescent="0.25">
      <c r="H3478" s="110"/>
      <c r="I3478" s="110"/>
    </row>
    <row r="3479" spans="8:9" x14ac:dyDescent="0.25">
      <c r="H3479" s="110"/>
      <c r="I3479" s="110"/>
    </row>
    <row r="3480" spans="8:9" x14ac:dyDescent="0.25">
      <c r="H3480" s="110"/>
      <c r="I3480" s="110"/>
    </row>
    <row r="3481" spans="8:9" x14ac:dyDescent="0.25">
      <c r="H3481" s="110"/>
      <c r="I3481" s="110"/>
    </row>
    <row r="3482" spans="8:9" x14ac:dyDescent="0.25">
      <c r="H3482" s="110"/>
      <c r="I3482" s="110"/>
    </row>
    <row r="3483" spans="8:9" x14ac:dyDescent="0.25">
      <c r="H3483" s="110"/>
      <c r="I3483" s="110"/>
    </row>
    <row r="3484" spans="8:9" x14ac:dyDescent="0.25">
      <c r="H3484" s="110"/>
      <c r="I3484" s="110"/>
    </row>
    <row r="3485" spans="8:9" x14ac:dyDescent="0.25">
      <c r="H3485" s="110"/>
      <c r="I3485" s="110"/>
    </row>
    <row r="3486" spans="8:9" x14ac:dyDescent="0.25">
      <c r="H3486" s="110"/>
      <c r="I3486" s="110"/>
    </row>
    <row r="3487" spans="8:9" x14ac:dyDescent="0.25">
      <c r="H3487" s="110"/>
      <c r="I3487" s="110"/>
    </row>
    <row r="3488" spans="8:9" x14ac:dyDescent="0.25">
      <c r="H3488" s="110"/>
      <c r="I3488" s="110"/>
    </row>
    <row r="3489" spans="8:9" x14ac:dyDescent="0.25">
      <c r="H3489" s="110"/>
      <c r="I3489" s="110"/>
    </row>
    <row r="3490" spans="8:9" x14ac:dyDescent="0.25">
      <c r="H3490" s="110"/>
      <c r="I3490" s="110"/>
    </row>
    <row r="3491" spans="8:9" x14ac:dyDescent="0.25">
      <c r="H3491" s="110"/>
      <c r="I3491" s="110"/>
    </row>
    <row r="3492" spans="8:9" x14ac:dyDescent="0.25">
      <c r="H3492" s="110"/>
      <c r="I3492" s="110"/>
    </row>
    <row r="3493" spans="8:9" x14ac:dyDescent="0.25">
      <c r="H3493" s="110"/>
      <c r="I3493" s="110"/>
    </row>
    <row r="3494" spans="8:9" x14ac:dyDescent="0.25">
      <c r="H3494" s="110"/>
      <c r="I3494" s="110"/>
    </row>
    <row r="3495" spans="8:9" x14ac:dyDescent="0.25">
      <c r="H3495" s="110"/>
      <c r="I3495" s="110"/>
    </row>
    <row r="3496" spans="8:9" x14ac:dyDescent="0.25">
      <c r="H3496" s="110"/>
      <c r="I3496" s="110"/>
    </row>
    <row r="3497" spans="8:9" x14ac:dyDescent="0.25">
      <c r="H3497" s="110"/>
      <c r="I3497" s="110"/>
    </row>
    <row r="3498" spans="8:9" x14ac:dyDescent="0.25">
      <c r="H3498" s="110"/>
      <c r="I3498" s="110"/>
    </row>
    <row r="3499" spans="8:9" x14ac:dyDescent="0.25">
      <c r="H3499" s="110"/>
      <c r="I3499" s="110"/>
    </row>
    <row r="3500" spans="8:9" x14ac:dyDescent="0.25">
      <c r="H3500" s="110"/>
      <c r="I3500" s="110"/>
    </row>
    <row r="3501" spans="8:9" x14ac:dyDescent="0.25">
      <c r="H3501" s="110"/>
      <c r="I3501" s="110"/>
    </row>
    <row r="3502" spans="8:9" x14ac:dyDescent="0.25">
      <c r="H3502" s="110"/>
      <c r="I3502" s="110"/>
    </row>
    <row r="3503" spans="8:9" x14ac:dyDescent="0.25">
      <c r="H3503" s="110"/>
      <c r="I3503" s="110"/>
    </row>
    <row r="3504" spans="8:9" x14ac:dyDescent="0.25">
      <c r="H3504" s="110"/>
      <c r="I3504" s="110"/>
    </row>
    <row r="3505" spans="8:9" x14ac:dyDescent="0.25">
      <c r="H3505" s="110"/>
      <c r="I3505" s="110"/>
    </row>
    <row r="3506" spans="8:9" x14ac:dyDescent="0.25">
      <c r="H3506" s="110"/>
      <c r="I3506" s="110"/>
    </row>
    <row r="3507" spans="8:9" x14ac:dyDescent="0.25">
      <c r="H3507" s="110"/>
      <c r="I3507" s="110"/>
    </row>
    <row r="3508" spans="8:9" x14ac:dyDescent="0.25">
      <c r="H3508" s="110"/>
      <c r="I3508" s="110"/>
    </row>
    <row r="3509" spans="8:9" x14ac:dyDescent="0.25">
      <c r="H3509" s="110"/>
      <c r="I3509" s="110"/>
    </row>
    <row r="3510" spans="8:9" x14ac:dyDescent="0.25">
      <c r="H3510" s="110"/>
      <c r="I3510" s="110"/>
    </row>
    <row r="3511" spans="8:9" x14ac:dyDescent="0.25">
      <c r="H3511" s="110"/>
      <c r="I3511" s="110"/>
    </row>
    <row r="3512" spans="8:9" x14ac:dyDescent="0.25">
      <c r="H3512" s="110"/>
      <c r="I3512" s="110"/>
    </row>
    <row r="3513" spans="8:9" x14ac:dyDescent="0.25">
      <c r="H3513" s="110"/>
      <c r="I3513" s="110"/>
    </row>
    <row r="3514" spans="8:9" x14ac:dyDescent="0.25">
      <c r="H3514" s="110"/>
      <c r="I3514" s="110"/>
    </row>
    <row r="3515" spans="8:9" x14ac:dyDescent="0.25">
      <c r="H3515" s="110"/>
      <c r="I3515" s="110"/>
    </row>
    <row r="3516" spans="8:9" x14ac:dyDescent="0.25">
      <c r="H3516" s="110"/>
      <c r="I3516" s="110"/>
    </row>
    <row r="3517" spans="8:9" x14ac:dyDescent="0.25">
      <c r="H3517" s="110"/>
      <c r="I3517" s="110"/>
    </row>
    <row r="3518" spans="8:9" x14ac:dyDescent="0.25">
      <c r="H3518" s="110"/>
      <c r="I3518" s="110"/>
    </row>
    <row r="3519" spans="8:9" x14ac:dyDescent="0.25">
      <c r="H3519" s="110"/>
      <c r="I3519" s="110"/>
    </row>
    <row r="3520" spans="8:9" x14ac:dyDescent="0.25">
      <c r="H3520" s="110"/>
      <c r="I3520" s="110"/>
    </row>
    <row r="3521" spans="8:9" x14ac:dyDescent="0.25">
      <c r="H3521" s="110"/>
      <c r="I3521" s="110"/>
    </row>
    <row r="3522" spans="8:9" x14ac:dyDescent="0.25">
      <c r="H3522" s="110"/>
      <c r="I3522" s="110"/>
    </row>
    <row r="3523" spans="8:9" x14ac:dyDescent="0.25">
      <c r="H3523" s="110"/>
      <c r="I3523" s="110"/>
    </row>
    <row r="3524" spans="8:9" x14ac:dyDescent="0.25">
      <c r="H3524" s="110"/>
      <c r="I3524" s="110"/>
    </row>
    <row r="3525" spans="8:9" x14ac:dyDescent="0.25">
      <c r="H3525" s="110"/>
      <c r="I3525" s="110"/>
    </row>
    <row r="3526" spans="8:9" x14ac:dyDescent="0.25">
      <c r="H3526" s="110"/>
      <c r="I3526" s="110"/>
    </row>
    <row r="3527" spans="8:9" x14ac:dyDescent="0.25">
      <c r="H3527" s="110"/>
      <c r="I3527" s="110"/>
    </row>
    <row r="3528" spans="8:9" x14ac:dyDescent="0.25">
      <c r="H3528" s="110"/>
      <c r="I3528" s="110"/>
    </row>
    <row r="3529" spans="8:9" x14ac:dyDescent="0.25">
      <c r="H3529" s="110"/>
      <c r="I3529" s="110"/>
    </row>
    <row r="3530" spans="8:9" x14ac:dyDescent="0.25">
      <c r="H3530" s="110"/>
      <c r="I3530" s="110"/>
    </row>
    <row r="3531" spans="8:9" x14ac:dyDescent="0.25">
      <c r="H3531" s="110"/>
      <c r="I3531" s="110"/>
    </row>
    <row r="3532" spans="8:9" x14ac:dyDescent="0.25">
      <c r="H3532" s="110"/>
      <c r="I3532" s="110"/>
    </row>
    <row r="3533" spans="8:9" x14ac:dyDescent="0.25">
      <c r="H3533" s="110"/>
      <c r="I3533" s="110"/>
    </row>
    <row r="3534" spans="8:9" x14ac:dyDescent="0.25">
      <c r="H3534" s="110"/>
      <c r="I3534" s="110"/>
    </row>
    <row r="3535" spans="8:9" x14ac:dyDescent="0.25">
      <c r="H3535" s="110"/>
      <c r="I3535" s="110"/>
    </row>
    <row r="3536" spans="8:9" x14ac:dyDescent="0.25">
      <c r="H3536" s="110"/>
      <c r="I3536" s="110"/>
    </row>
    <row r="3537" spans="8:9" x14ac:dyDescent="0.25">
      <c r="H3537" s="110"/>
      <c r="I3537" s="110"/>
    </row>
    <row r="3538" spans="8:9" x14ac:dyDescent="0.25">
      <c r="H3538" s="110"/>
      <c r="I3538" s="110"/>
    </row>
    <row r="3539" spans="8:9" x14ac:dyDescent="0.25">
      <c r="H3539" s="110"/>
      <c r="I3539" s="110"/>
    </row>
    <row r="3540" spans="8:9" x14ac:dyDescent="0.25">
      <c r="H3540" s="110"/>
      <c r="I3540" s="110"/>
    </row>
    <row r="3541" spans="8:9" x14ac:dyDescent="0.25">
      <c r="H3541" s="110"/>
      <c r="I3541" s="110"/>
    </row>
    <row r="3542" spans="8:9" x14ac:dyDescent="0.25">
      <c r="H3542" s="110"/>
      <c r="I3542" s="110"/>
    </row>
    <row r="3543" spans="8:9" x14ac:dyDescent="0.25">
      <c r="H3543" s="110"/>
      <c r="I3543" s="110"/>
    </row>
    <row r="3544" spans="8:9" x14ac:dyDescent="0.25">
      <c r="H3544" s="110"/>
      <c r="I3544" s="110"/>
    </row>
    <row r="3545" spans="8:9" x14ac:dyDescent="0.25">
      <c r="H3545" s="110"/>
      <c r="I3545" s="110"/>
    </row>
    <row r="3546" spans="8:9" x14ac:dyDescent="0.25">
      <c r="H3546" s="110"/>
      <c r="I3546" s="110"/>
    </row>
    <row r="3547" spans="8:9" x14ac:dyDescent="0.25">
      <c r="H3547" s="110"/>
      <c r="I3547" s="110"/>
    </row>
    <row r="3548" spans="8:9" x14ac:dyDescent="0.25">
      <c r="H3548" s="110"/>
      <c r="I3548" s="110"/>
    </row>
    <row r="3549" spans="8:9" x14ac:dyDescent="0.25">
      <c r="H3549" s="110"/>
      <c r="I3549" s="110"/>
    </row>
    <row r="3550" spans="8:9" x14ac:dyDescent="0.25">
      <c r="H3550" s="110"/>
      <c r="I3550" s="110"/>
    </row>
    <row r="3551" spans="8:9" x14ac:dyDescent="0.25">
      <c r="H3551" s="110"/>
      <c r="I3551" s="110"/>
    </row>
    <row r="3552" spans="8:9" x14ac:dyDescent="0.25">
      <c r="H3552" s="110"/>
      <c r="I3552" s="110"/>
    </row>
    <row r="3553" spans="8:9" x14ac:dyDescent="0.25">
      <c r="H3553" s="110"/>
      <c r="I3553" s="110"/>
    </row>
    <row r="3554" spans="8:9" x14ac:dyDescent="0.25">
      <c r="H3554" s="110"/>
      <c r="I3554" s="110"/>
    </row>
    <row r="3555" spans="8:9" x14ac:dyDescent="0.25">
      <c r="H3555" s="110"/>
      <c r="I3555" s="110"/>
    </row>
    <row r="3556" spans="8:9" x14ac:dyDescent="0.25">
      <c r="H3556" s="110"/>
      <c r="I3556" s="110"/>
    </row>
    <row r="3557" spans="8:9" x14ac:dyDescent="0.25">
      <c r="H3557" s="110"/>
      <c r="I3557" s="110"/>
    </row>
    <row r="3558" spans="8:9" x14ac:dyDescent="0.25">
      <c r="H3558" s="110"/>
      <c r="I3558" s="110"/>
    </row>
    <row r="3559" spans="8:9" x14ac:dyDescent="0.25">
      <c r="H3559" s="110"/>
      <c r="I3559" s="110"/>
    </row>
    <row r="3560" spans="8:9" x14ac:dyDescent="0.25">
      <c r="H3560" s="110"/>
      <c r="I3560" s="110"/>
    </row>
    <row r="3561" spans="8:9" x14ac:dyDescent="0.25">
      <c r="H3561" s="110"/>
      <c r="I3561" s="110"/>
    </row>
    <row r="3562" spans="8:9" x14ac:dyDescent="0.25">
      <c r="H3562" s="110"/>
      <c r="I3562" s="110"/>
    </row>
    <row r="3563" spans="8:9" x14ac:dyDescent="0.25">
      <c r="H3563" s="110"/>
      <c r="I3563" s="110"/>
    </row>
    <row r="3564" spans="8:9" x14ac:dyDescent="0.25">
      <c r="H3564" s="110"/>
      <c r="I3564" s="110"/>
    </row>
    <row r="3565" spans="8:9" x14ac:dyDescent="0.25">
      <c r="H3565" s="110"/>
      <c r="I3565" s="110"/>
    </row>
    <row r="3566" spans="8:9" x14ac:dyDescent="0.25">
      <c r="H3566" s="110"/>
      <c r="I3566" s="110"/>
    </row>
    <row r="3567" spans="8:9" x14ac:dyDescent="0.25">
      <c r="H3567" s="110"/>
      <c r="I3567" s="110"/>
    </row>
    <row r="3568" spans="8:9" x14ac:dyDescent="0.25">
      <c r="H3568" s="110"/>
      <c r="I3568" s="110"/>
    </row>
    <row r="3569" spans="8:9" x14ac:dyDescent="0.25">
      <c r="H3569" s="110"/>
      <c r="I3569" s="110"/>
    </row>
    <row r="3570" spans="8:9" x14ac:dyDescent="0.25">
      <c r="H3570" s="110"/>
      <c r="I3570" s="110"/>
    </row>
    <row r="3571" spans="8:9" x14ac:dyDescent="0.25">
      <c r="H3571" s="110"/>
      <c r="I3571" s="110"/>
    </row>
    <row r="3572" spans="8:9" x14ac:dyDescent="0.25">
      <c r="H3572" s="110"/>
      <c r="I3572" s="110"/>
    </row>
    <row r="3573" spans="8:9" x14ac:dyDescent="0.25">
      <c r="H3573" s="110"/>
      <c r="I3573" s="110"/>
    </row>
    <row r="3574" spans="8:9" x14ac:dyDescent="0.25">
      <c r="H3574" s="110"/>
      <c r="I3574" s="110"/>
    </row>
    <row r="3575" spans="8:9" x14ac:dyDescent="0.25">
      <c r="H3575" s="110"/>
      <c r="I3575" s="110"/>
    </row>
    <row r="3576" spans="8:9" x14ac:dyDescent="0.25">
      <c r="H3576" s="110"/>
      <c r="I3576" s="110"/>
    </row>
    <row r="3577" spans="8:9" x14ac:dyDescent="0.25">
      <c r="H3577" s="110"/>
      <c r="I3577" s="110"/>
    </row>
    <row r="3578" spans="8:9" x14ac:dyDescent="0.25">
      <c r="H3578" s="110"/>
      <c r="I3578" s="110"/>
    </row>
    <row r="3579" spans="8:9" x14ac:dyDescent="0.25">
      <c r="H3579" s="110"/>
      <c r="I3579" s="110"/>
    </row>
    <row r="3580" spans="8:9" x14ac:dyDescent="0.25">
      <c r="H3580" s="110"/>
      <c r="I3580" s="110"/>
    </row>
    <row r="3581" spans="8:9" x14ac:dyDescent="0.25">
      <c r="H3581" s="110"/>
      <c r="I3581" s="110"/>
    </row>
    <row r="3582" spans="8:9" x14ac:dyDescent="0.25">
      <c r="H3582" s="110"/>
      <c r="I3582" s="110"/>
    </row>
    <row r="3583" spans="8:9" x14ac:dyDescent="0.25">
      <c r="H3583" s="110"/>
      <c r="I3583" s="110"/>
    </row>
    <row r="3584" spans="8:9" x14ac:dyDescent="0.25">
      <c r="H3584" s="110"/>
      <c r="I3584" s="110"/>
    </row>
    <row r="3585" spans="8:9" x14ac:dyDescent="0.25">
      <c r="H3585" s="110"/>
      <c r="I3585" s="110"/>
    </row>
    <row r="3586" spans="8:9" x14ac:dyDescent="0.25">
      <c r="H3586" s="110"/>
      <c r="I3586" s="110"/>
    </row>
    <row r="3587" spans="8:9" x14ac:dyDescent="0.25">
      <c r="H3587" s="110"/>
      <c r="I3587" s="110"/>
    </row>
    <row r="3588" spans="8:9" x14ac:dyDescent="0.25">
      <c r="H3588" s="110"/>
      <c r="I3588" s="110"/>
    </row>
    <row r="3589" spans="8:9" x14ac:dyDescent="0.25">
      <c r="H3589" s="110"/>
      <c r="I3589" s="110"/>
    </row>
    <row r="3590" spans="8:9" x14ac:dyDescent="0.25">
      <c r="H3590" s="110"/>
      <c r="I3590" s="110"/>
    </row>
    <row r="3591" spans="8:9" x14ac:dyDescent="0.25">
      <c r="H3591" s="110"/>
      <c r="I3591" s="110"/>
    </row>
    <row r="3592" spans="8:9" x14ac:dyDescent="0.25">
      <c r="H3592" s="110"/>
      <c r="I3592" s="110"/>
    </row>
    <row r="3593" spans="8:9" x14ac:dyDescent="0.25">
      <c r="H3593" s="110"/>
      <c r="I3593" s="110"/>
    </row>
    <row r="3594" spans="8:9" x14ac:dyDescent="0.25">
      <c r="H3594" s="110"/>
      <c r="I3594" s="110"/>
    </row>
    <row r="3595" spans="8:9" x14ac:dyDescent="0.25">
      <c r="H3595" s="110"/>
      <c r="I3595" s="110"/>
    </row>
    <row r="3596" spans="8:9" x14ac:dyDescent="0.25">
      <c r="H3596" s="110"/>
      <c r="I3596" s="110"/>
    </row>
    <row r="3597" spans="8:9" x14ac:dyDescent="0.25">
      <c r="H3597" s="110"/>
      <c r="I3597" s="110"/>
    </row>
    <row r="3598" spans="8:9" x14ac:dyDescent="0.25">
      <c r="H3598" s="110"/>
      <c r="I3598" s="110"/>
    </row>
    <row r="3599" spans="8:9" x14ac:dyDescent="0.25">
      <c r="H3599" s="110"/>
      <c r="I3599" s="110"/>
    </row>
    <row r="3600" spans="8:9" x14ac:dyDescent="0.25">
      <c r="H3600" s="110"/>
      <c r="I3600" s="110"/>
    </row>
    <row r="3601" spans="8:9" x14ac:dyDescent="0.25">
      <c r="H3601" s="110"/>
      <c r="I3601" s="110"/>
    </row>
    <row r="3602" spans="8:9" x14ac:dyDescent="0.25">
      <c r="H3602" s="110"/>
      <c r="I3602" s="110"/>
    </row>
    <row r="3603" spans="8:9" x14ac:dyDescent="0.25">
      <c r="H3603" s="110"/>
      <c r="I3603" s="110"/>
    </row>
    <row r="3604" spans="8:9" x14ac:dyDescent="0.25">
      <c r="H3604" s="110"/>
      <c r="I3604" s="110"/>
    </row>
    <row r="3605" spans="8:9" x14ac:dyDescent="0.25">
      <c r="H3605" s="110"/>
      <c r="I3605" s="110"/>
    </row>
    <row r="3606" spans="8:9" x14ac:dyDescent="0.25">
      <c r="H3606" s="110"/>
      <c r="I3606" s="110"/>
    </row>
    <row r="3607" spans="8:9" x14ac:dyDescent="0.25">
      <c r="H3607" s="110"/>
      <c r="I3607" s="110"/>
    </row>
    <row r="3608" spans="8:9" x14ac:dyDescent="0.25">
      <c r="H3608" s="110"/>
      <c r="I3608" s="110"/>
    </row>
    <row r="3609" spans="8:9" x14ac:dyDescent="0.25">
      <c r="H3609" s="110"/>
      <c r="I3609" s="110"/>
    </row>
    <row r="3610" spans="8:9" x14ac:dyDescent="0.25">
      <c r="H3610" s="110"/>
      <c r="I3610" s="110"/>
    </row>
    <row r="3611" spans="8:9" x14ac:dyDescent="0.25">
      <c r="H3611" s="110"/>
      <c r="I3611" s="110"/>
    </row>
    <row r="3612" spans="8:9" x14ac:dyDescent="0.25">
      <c r="H3612" s="110"/>
      <c r="I3612" s="110"/>
    </row>
    <row r="3613" spans="8:9" x14ac:dyDescent="0.25">
      <c r="H3613" s="110"/>
      <c r="I3613" s="110"/>
    </row>
    <row r="3614" spans="8:9" x14ac:dyDescent="0.25">
      <c r="H3614" s="110"/>
      <c r="I3614" s="110"/>
    </row>
    <row r="3615" spans="8:9" x14ac:dyDescent="0.25">
      <c r="H3615" s="110"/>
      <c r="I3615" s="110"/>
    </row>
    <row r="3616" spans="8:9" x14ac:dyDescent="0.25">
      <c r="H3616" s="110"/>
      <c r="I3616" s="110"/>
    </row>
    <row r="3617" spans="8:9" x14ac:dyDescent="0.25">
      <c r="H3617" s="110"/>
      <c r="I3617" s="110"/>
    </row>
    <row r="3618" spans="8:9" x14ac:dyDescent="0.25">
      <c r="H3618" s="110"/>
      <c r="I3618" s="110"/>
    </row>
    <row r="3619" spans="8:9" x14ac:dyDescent="0.25">
      <c r="H3619" s="110"/>
      <c r="I3619" s="110"/>
    </row>
    <row r="3620" spans="8:9" x14ac:dyDescent="0.25">
      <c r="H3620" s="110"/>
      <c r="I3620" s="110"/>
    </row>
    <row r="3621" spans="8:9" x14ac:dyDescent="0.25">
      <c r="H3621" s="110"/>
      <c r="I3621" s="110"/>
    </row>
    <row r="3622" spans="8:9" x14ac:dyDescent="0.25">
      <c r="H3622" s="110"/>
      <c r="I3622" s="110"/>
    </row>
    <row r="3623" spans="8:9" x14ac:dyDescent="0.25">
      <c r="H3623" s="110"/>
      <c r="I3623" s="110"/>
    </row>
    <row r="3624" spans="8:9" x14ac:dyDescent="0.25">
      <c r="H3624" s="110"/>
      <c r="I3624" s="110"/>
    </row>
    <row r="3625" spans="8:9" x14ac:dyDescent="0.25">
      <c r="H3625" s="110"/>
      <c r="I3625" s="110"/>
    </row>
    <row r="3626" spans="8:9" x14ac:dyDescent="0.25">
      <c r="H3626" s="110"/>
      <c r="I3626" s="110"/>
    </row>
    <row r="3627" spans="8:9" x14ac:dyDescent="0.25">
      <c r="H3627" s="110"/>
      <c r="I3627" s="110"/>
    </row>
    <row r="3628" spans="8:9" x14ac:dyDescent="0.25">
      <c r="H3628" s="110"/>
      <c r="I3628" s="110"/>
    </row>
    <row r="3629" spans="8:9" x14ac:dyDescent="0.25">
      <c r="H3629" s="110"/>
      <c r="I3629" s="110"/>
    </row>
    <row r="3630" spans="8:9" x14ac:dyDescent="0.25">
      <c r="H3630" s="110"/>
      <c r="I3630" s="110"/>
    </row>
    <row r="3631" spans="8:9" x14ac:dyDescent="0.25">
      <c r="H3631" s="110"/>
      <c r="I3631" s="110"/>
    </row>
    <row r="3632" spans="8:9" x14ac:dyDescent="0.25">
      <c r="H3632" s="110"/>
      <c r="I3632" s="110"/>
    </row>
    <row r="3633" spans="8:9" x14ac:dyDescent="0.25">
      <c r="H3633" s="110"/>
      <c r="I3633" s="110"/>
    </row>
    <row r="3634" spans="8:9" x14ac:dyDescent="0.25">
      <c r="H3634" s="110"/>
      <c r="I3634" s="110"/>
    </row>
    <row r="3635" spans="8:9" x14ac:dyDescent="0.25">
      <c r="H3635" s="110"/>
      <c r="I3635" s="110"/>
    </row>
    <row r="3636" spans="8:9" x14ac:dyDescent="0.25">
      <c r="H3636" s="110"/>
      <c r="I3636" s="110"/>
    </row>
    <row r="3637" spans="8:9" x14ac:dyDescent="0.25">
      <c r="H3637" s="110"/>
      <c r="I3637" s="110"/>
    </row>
    <row r="3638" spans="8:9" x14ac:dyDescent="0.25">
      <c r="H3638" s="110"/>
      <c r="I3638" s="110"/>
    </row>
    <row r="3639" spans="8:9" x14ac:dyDescent="0.25">
      <c r="H3639" s="110"/>
      <c r="I3639" s="110"/>
    </row>
    <row r="3640" spans="8:9" x14ac:dyDescent="0.25">
      <c r="H3640" s="110"/>
      <c r="I3640" s="110"/>
    </row>
    <row r="3641" spans="8:9" x14ac:dyDescent="0.25">
      <c r="H3641" s="110"/>
      <c r="I3641" s="110"/>
    </row>
    <row r="3642" spans="8:9" x14ac:dyDescent="0.25">
      <c r="H3642" s="110"/>
      <c r="I3642" s="110"/>
    </row>
    <row r="3643" spans="8:9" x14ac:dyDescent="0.25">
      <c r="H3643" s="110"/>
      <c r="I3643" s="110"/>
    </row>
    <row r="3644" spans="8:9" x14ac:dyDescent="0.25">
      <c r="H3644" s="110"/>
      <c r="I3644" s="110"/>
    </row>
    <row r="3645" spans="8:9" x14ac:dyDescent="0.25">
      <c r="H3645" s="110"/>
      <c r="I3645" s="110"/>
    </row>
    <row r="3646" spans="8:9" x14ac:dyDescent="0.25">
      <c r="H3646" s="110"/>
      <c r="I3646" s="110"/>
    </row>
    <row r="3647" spans="8:9" x14ac:dyDescent="0.25">
      <c r="H3647" s="110"/>
      <c r="I3647" s="110"/>
    </row>
    <row r="3648" spans="8:9" x14ac:dyDescent="0.25">
      <c r="H3648" s="110"/>
      <c r="I3648" s="110"/>
    </row>
    <row r="3649" spans="8:9" x14ac:dyDescent="0.25">
      <c r="H3649" s="110"/>
      <c r="I3649" s="110"/>
    </row>
    <row r="3650" spans="8:9" x14ac:dyDescent="0.25">
      <c r="H3650" s="110"/>
      <c r="I3650" s="110"/>
    </row>
    <row r="3651" spans="8:9" x14ac:dyDescent="0.25">
      <c r="H3651" s="110"/>
      <c r="I3651" s="110"/>
    </row>
    <row r="3652" spans="8:9" x14ac:dyDescent="0.25">
      <c r="H3652" s="110"/>
      <c r="I3652" s="110"/>
    </row>
    <row r="3653" spans="8:9" x14ac:dyDescent="0.25">
      <c r="H3653" s="110"/>
      <c r="I3653" s="110"/>
    </row>
    <row r="3654" spans="8:9" x14ac:dyDescent="0.25">
      <c r="H3654" s="110"/>
      <c r="I3654" s="110"/>
    </row>
    <row r="3655" spans="8:9" x14ac:dyDescent="0.25">
      <c r="H3655" s="110"/>
      <c r="I3655" s="110"/>
    </row>
    <row r="3656" spans="8:9" x14ac:dyDescent="0.25">
      <c r="H3656" s="110"/>
      <c r="I3656" s="110"/>
    </row>
    <row r="3657" spans="8:9" x14ac:dyDescent="0.25">
      <c r="H3657" s="110"/>
      <c r="I3657" s="110"/>
    </row>
    <row r="3658" spans="8:9" x14ac:dyDescent="0.25">
      <c r="H3658" s="110"/>
      <c r="I3658" s="110"/>
    </row>
    <row r="3659" spans="8:9" x14ac:dyDescent="0.25">
      <c r="H3659" s="110"/>
      <c r="I3659" s="110"/>
    </row>
    <row r="3660" spans="8:9" x14ac:dyDescent="0.25">
      <c r="H3660" s="110"/>
      <c r="I3660" s="110"/>
    </row>
    <row r="3661" spans="8:9" x14ac:dyDescent="0.25">
      <c r="H3661" s="110"/>
      <c r="I3661" s="110"/>
    </row>
    <row r="3662" spans="8:9" x14ac:dyDescent="0.25">
      <c r="H3662" s="110"/>
      <c r="I3662" s="110"/>
    </row>
    <row r="3663" spans="8:9" x14ac:dyDescent="0.25">
      <c r="H3663" s="110"/>
      <c r="I3663" s="110"/>
    </row>
    <row r="3664" spans="8:9" x14ac:dyDescent="0.25">
      <c r="H3664" s="110"/>
      <c r="I3664" s="110"/>
    </row>
    <row r="3665" spans="8:9" x14ac:dyDescent="0.25">
      <c r="H3665" s="110"/>
      <c r="I3665" s="110"/>
    </row>
    <row r="3666" spans="8:9" x14ac:dyDescent="0.25">
      <c r="H3666" s="110"/>
      <c r="I3666" s="110"/>
    </row>
    <row r="3667" spans="8:9" x14ac:dyDescent="0.25">
      <c r="H3667" s="110"/>
      <c r="I3667" s="110"/>
    </row>
    <row r="3668" spans="8:9" x14ac:dyDescent="0.25">
      <c r="H3668" s="110"/>
      <c r="I3668" s="110"/>
    </row>
    <row r="3669" spans="8:9" x14ac:dyDescent="0.25">
      <c r="H3669" s="110"/>
      <c r="I3669" s="110"/>
    </row>
    <row r="3670" spans="8:9" x14ac:dyDescent="0.25">
      <c r="H3670" s="110"/>
      <c r="I3670" s="110"/>
    </row>
    <row r="3671" spans="8:9" x14ac:dyDescent="0.25">
      <c r="H3671" s="110"/>
      <c r="I3671" s="110"/>
    </row>
    <row r="3672" spans="8:9" x14ac:dyDescent="0.25">
      <c r="H3672" s="110"/>
      <c r="I3672" s="110"/>
    </row>
    <row r="3673" spans="8:9" x14ac:dyDescent="0.25">
      <c r="H3673" s="110"/>
      <c r="I3673" s="110"/>
    </row>
    <row r="3674" spans="8:9" x14ac:dyDescent="0.25">
      <c r="H3674" s="110"/>
      <c r="I3674" s="110"/>
    </row>
    <row r="3675" spans="8:9" x14ac:dyDescent="0.25">
      <c r="H3675" s="110"/>
      <c r="I3675" s="110"/>
    </row>
    <row r="3676" spans="8:9" x14ac:dyDescent="0.25">
      <c r="H3676" s="110"/>
      <c r="I3676" s="110"/>
    </row>
    <row r="3677" spans="8:9" x14ac:dyDescent="0.25">
      <c r="H3677" s="110"/>
      <c r="I3677" s="110"/>
    </row>
    <row r="3678" spans="8:9" x14ac:dyDescent="0.25">
      <c r="H3678" s="110"/>
      <c r="I3678" s="110"/>
    </row>
    <row r="3679" spans="8:9" x14ac:dyDescent="0.25">
      <c r="H3679" s="110"/>
      <c r="I3679" s="110"/>
    </row>
    <row r="3680" spans="8:9" x14ac:dyDescent="0.25">
      <c r="H3680" s="110"/>
      <c r="I3680" s="110"/>
    </row>
    <row r="3681" spans="8:9" x14ac:dyDescent="0.25">
      <c r="H3681" s="110"/>
      <c r="I3681" s="110"/>
    </row>
    <row r="3682" spans="8:9" x14ac:dyDescent="0.25">
      <c r="H3682" s="110"/>
      <c r="I3682" s="110"/>
    </row>
    <row r="3683" spans="8:9" x14ac:dyDescent="0.25">
      <c r="H3683" s="110"/>
      <c r="I3683" s="110"/>
    </row>
    <row r="3684" spans="8:9" x14ac:dyDescent="0.25">
      <c r="H3684" s="110"/>
      <c r="I3684" s="110"/>
    </row>
    <row r="3685" spans="8:9" x14ac:dyDescent="0.25">
      <c r="H3685" s="110"/>
      <c r="I3685" s="110"/>
    </row>
    <row r="3686" spans="8:9" x14ac:dyDescent="0.25">
      <c r="H3686" s="110"/>
      <c r="I3686" s="110"/>
    </row>
    <row r="3687" spans="8:9" x14ac:dyDescent="0.25">
      <c r="H3687" s="110"/>
      <c r="I3687" s="110"/>
    </row>
    <row r="3688" spans="8:9" x14ac:dyDescent="0.25">
      <c r="H3688" s="110"/>
      <c r="I3688" s="110"/>
    </row>
    <row r="3689" spans="8:9" x14ac:dyDescent="0.25">
      <c r="H3689" s="110"/>
      <c r="I3689" s="110"/>
    </row>
    <row r="3690" spans="8:9" x14ac:dyDescent="0.25">
      <c r="H3690" s="110"/>
      <c r="I3690" s="110"/>
    </row>
    <row r="3691" spans="8:9" x14ac:dyDescent="0.25">
      <c r="H3691" s="110"/>
      <c r="I3691" s="110"/>
    </row>
    <row r="3692" spans="8:9" x14ac:dyDescent="0.25">
      <c r="H3692" s="110"/>
      <c r="I3692" s="110"/>
    </row>
    <row r="3693" spans="8:9" x14ac:dyDescent="0.25">
      <c r="H3693" s="110"/>
      <c r="I3693" s="110"/>
    </row>
    <row r="3694" spans="8:9" x14ac:dyDescent="0.25">
      <c r="H3694" s="110"/>
      <c r="I3694" s="110"/>
    </row>
    <row r="3695" spans="8:9" x14ac:dyDescent="0.25">
      <c r="H3695" s="110"/>
      <c r="I3695" s="110"/>
    </row>
    <row r="3696" spans="8:9" x14ac:dyDescent="0.25">
      <c r="H3696" s="110"/>
      <c r="I3696" s="110"/>
    </row>
    <row r="3697" spans="8:9" x14ac:dyDescent="0.25">
      <c r="H3697" s="110"/>
      <c r="I3697" s="110"/>
    </row>
    <row r="3698" spans="8:9" x14ac:dyDescent="0.25">
      <c r="H3698" s="110"/>
      <c r="I3698" s="110"/>
    </row>
    <row r="3699" spans="8:9" x14ac:dyDescent="0.25">
      <c r="H3699" s="110"/>
      <c r="I3699" s="110"/>
    </row>
    <row r="3700" spans="8:9" x14ac:dyDescent="0.25">
      <c r="H3700" s="110"/>
      <c r="I3700" s="110"/>
    </row>
    <row r="3701" spans="8:9" x14ac:dyDescent="0.25">
      <c r="H3701" s="110"/>
      <c r="I3701" s="110"/>
    </row>
    <row r="3702" spans="8:9" x14ac:dyDescent="0.25">
      <c r="H3702" s="110"/>
      <c r="I3702" s="110"/>
    </row>
    <row r="3703" spans="8:9" x14ac:dyDescent="0.25">
      <c r="H3703" s="110"/>
      <c r="I3703" s="110"/>
    </row>
    <row r="3704" spans="8:9" x14ac:dyDescent="0.25">
      <c r="H3704" s="110"/>
      <c r="I3704" s="110"/>
    </row>
    <row r="3705" spans="8:9" x14ac:dyDescent="0.25">
      <c r="H3705" s="110"/>
      <c r="I3705" s="110"/>
    </row>
    <row r="3706" spans="8:9" x14ac:dyDescent="0.25">
      <c r="H3706" s="110"/>
      <c r="I3706" s="110"/>
    </row>
    <row r="3707" spans="8:9" x14ac:dyDescent="0.25">
      <c r="H3707" s="110"/>
      <c r="I3707" s="110"/>
    </row>
    <row r="3708" spans="8:9" x14ac:dyDescent="0.25">
      <c r="H3708" s="110"/>
      <c r="I3708" s="110"/>
    </row>
    <row r="3709" spans="8:9" x14ac:dyDescent="0.25">
      <c r="H3709" s="110"/>
      <c r="I3709" s="110"/>
    </row>
    <row r="3710" spans="8:9" x14ac:dyDescent="0.25">
      <c r="H3710" s="110"/>
      <c r="I3710" s="110"/>
    </row>
    <row r="3711" spans="8:9" x14ac:dyDescent="0.25">
      <c r="H3711" s="110"/>
      <c r="I3711" s="110"/>
    </row>
    <row r="3712" spans="8:9" x14ac:dyDescent="0.25">
      <c r="H3712" s="110"/>
      <c r="I3712" s="110"/>
    </row>
    <row r="3713" spans="8:9" x14ac:dyDescent="0.25">
      <c r="H3713" s="110"/>
      <c r="I3713" s="110"/>
    </row>
    <row r="3714" spans="8:9" x14ac:dyDescent="0.25">
      <c r="H3714" s="110"/>
      <c r="I3714" s="110"/>
    </row>
    <row r="3715" spans="8:9" x14ac:dyDescent="0.25">
      <c r="H3715" s="110"/>
      <c r="I3715" s="110"/>
    </row>
    <row r="3716" spans="8:9" x14ac:dyDescent="0.25">
      <c r="H3716" s="110"/>
      <c r="I3716" s="110"/>
    </row>
    <row r="3717" spans="8:9" x14ac:dyDescent="0.25">
      <c r="H3717" s="110"/>
      <c r="I3717" s="110"/>
    </row>
    <row r="3718" spans="8:9" x14ac:dyDescent="0.25">
      <c r="H3718" s="110"/>
      <c r="I3718" s="110"/>
    </row>
    <row r="3719" spans="8:9" x14ac:dyDescent="0.25">
      <c r="H3719" s="110"/>
      <c r="I3719" s="110"/>
    </row>
    <row r="3720" spans="8:9" x14ac:dyDescent="0.25">
      <c r="H3720" s="110"/>
      <c r="I3720" s="110"/>
    </row>
    <row r="3721" spans="8:9" x14ac:dyDescent="0.25">
      <c r="H3721" s="110"/>
      <c r="I3721" s="110"/>
    </row>
    <row r="3722" spans="8:9" x14ac:dyDescent="0.25">
      <c r="H3722" s="110"/>
      <c r="I3722" s="110"/>
    </row>
    <row r="3723" spans="8:9" x14ac:dyDescent="0.25">
      <c r="H3723" s="110"/>
      <c r="I3723" s="110"/>
    </row>
    <row r="3724" spans="8:9" x14ac:dyDescent="0.25">
      <c r="H3724" s="110"/>
      <c r="I3724" s="110"/>
    </row>
    <row r="3725" spans="8:9" x14ac:dyDescent="0.25">
      <c r="H3725" s="110"/>
      <c r="I3725" s="110"/>
    </row>
    <row r="3726" spans="8:9" x14ac:dyDescent="0.25">
      <c r="H3726" s="110"/>
      <c r="I3726" s="110"/>
    </row>
    <row r="3727" spans="8:9" x14ac:dyDescent="0.25">
      <c r="H3727" s="110"/>
      <c r="I3727" s="110"/>
    </row>
    <row r="3728" spans="8:9" x14ac:dyDescent="0.25">
      <c r="H3728" s="110"/>
      <c r="I3728" s="110"/>
    </row>
    <row r="3729" spans="8:9" x14ac:dyDescent="0.25">
      <c r="H3729" s="110"/>
      <c r="I3729" s="110"/>
    </row>
    <row r="3730" spans="8:9" x14ac:dyDescent="0.25">
      <c r="H3730" s="110"/>
      <c r="I3730" s="110"/>
    </row>
    <row r="3731" spans="8:9" x14ac:dyDescent="0.25">
      <c r="H3731" s="110"/>
      <c r="I3731" s="110"/>
    </row>
    <row r="3732" spans="8:9" x14ac:dyDescent="0.25">
      <c r="H3732" s="110"/>
      <c r="I3732" s="110"/>
    </row>
    <row r="3733" spans="8:9" x14ac:dyDescent="0.25">
      <c r="H3733" s="110"/>
      <c r="I3733" s="110"/>
    </row>
    <row r="3734" spans="8:9" x14ac:dyDescent="0.25">
      <c r="H3734" s="110"/>
      <c r="I3734" s="110"/>
    </row>
    <row r="3735" spans="8:9" x14ac:dyDescent="0.25">
      <c r="H3735" s="110"/>
      <c r="I3735" s="110"/>
    </row>
    <row r="3736" spans="8:9" x14ac:dyDescent="0.25">
      <c r="H3736" s="110"/>
      <c r="I3736" s="110"/>
    </row>
    <row r="3737" spans="8:9" x14ac:dyDescent="0.25">
      <c r="H3737" s="110"/>
      <c r="I3737" s="110"/>
    </row>
    <row r="3738" spans="8:9" x14ac:dyDescent="0.25">
      <c r="H3738" s="110"/>
      <c r="I3738" s="110"/>
    </row>
    <row r="3739" spans="8:9" x14ac:dyDescent="0.25">
      <c r="H3739" s="110"/>
      <c r="I3739" s="110"/>
    </row>
    <row r="3740" spans="8:9" x14ac:dyDescent="0.25">
      <c r="H3740" s="110"/>
      <c r="I3740" s="110"/>
    </row>
    <row r="3741" spans="8:9" x14ac:dyDescent="0.25">
      <c r="H3741" s="110"/>
      <c r="I3741" s="110"/>
    </row>
    <row r="3742" spans="8:9" x14ac:dyDescent="0.25">
      <c r="H3742" s="110"/>
      <c r="I3742" s="110"/>
    </row>
    <row r="3743" spans="8:9" x14ac:dyDescent="0.25">
      <c r="H3743" s="110"/>
      <c r="I3743" s="110"/>
    </row>
    <row r="3744" spans="8:9" x14ac:dyDescent="0.25">
      <c r="H3744" s="110"/>
      <c r="I3744" s="110"/>
    </row>
    <row r="3745" spans="8:9" x14ac:dyDescent="0.25">
      <c r="H3745" s="110"/>
      <c r="I3745" s="110"/>
    </row>
    <row r="3746" spans="8:9" x14ac:dyDescent="0.25">
      <c r="H3746" s="110"/>
      <c r="I3746" s="110"/>
    </row>
    <row r="3747" spans="8:9" x14ac:dyDescent="0.25">
      <c r="H3747" s="110"/>
      <c r="I3747" s="110"/>
    </row>
    <row r="3748" spans="8:9" x14ac:dyDescent="0.25">
      <c r="H3748" s="110"/>
      <c r="I3748" s="110"/>
    </row>
    <row r="3749" spans="8:9" x14ac:dyDescent="0.25">
      <c r="H3749" s="110"/>
      <c r="I3749" s="110"/>
    </row>
    <row r="3750" spans="8:9" x14ac:dyDescent="0.25">
      <c r="H3750" s="110"/>
      <c r="I3750" s="110"/>
    </row>
    <row r="3751" spans="8:9" x14ac:dyDescent="0.25">
      <c r="H3751" s="110"/>
      <c r="I3751" s="110"/>
    </row>
    <row r="3752" spans="8:9" x14ac:dyDescent="0.25">
      <c r="H3752" s="110"/>
      <c r="I3752" s="110"/>
    </row>
    <row r="3753" spans="8:9" x14ac:dyDescent="0.25">
      <c r="H3753" s="110"/>
      <c r="I3753" s="110"/>
    </row>
    <row r="3754" spans="8:9" x14ac:dyDescent="0.25">
      <c r="H3754" s="110"/>
      <c r="I3754" s="110"/>
    </row>
    <row r="3755" spans="8:9" x14ac:dyDescent="0.25">
      <c r="H3755" s="110"/>
      <c r="I3755" s="110"/>
    </row>
    <row r="3756" spans="8:9" x14ac:dyDescent="0.25">
      <c r="H3756" s="110"/>
      <c r="I3756" s="110"/>
    </row>
    <row r="3757" spans="8:9" x14ac:dyDescent="0.25">
      <c r="H3757" s="110"/>
      <c r="I3757" s="110"/>
    </row>
    <row r="3758" spans="8:9" x14ac:dyDescent="0.25">
      <c r="H3758" s="110"/>
      <c r="I3758" s="110"/>
    </row>
    <row r="3759" spans="8:9" x14ac:dyDescent="0.25">
      <c r="H3759" s="110"/>
      <c r="I3759" s="110"/>
    </row>
    <row r="3760" spans="8:9" x14ac:dyDescent="0.25">
      <c r="H3760" s="110"/>
      <c r="I3760" s="110"/>
    </row>
    <row r="3761" spans="8:9" x14ac:dyDescent="0.25">
      <c r="H3761" s="110"/>
      <c r="I3761" s="110"/>
    </row>
    <row r="3762" spans="8:9" x14ac:dyDescent="0.25">
      <c r="H3762" s="110"/>
      <c r="I3762" s="110"/>
    </row>
    <row r="3763" spans="8:9" x14ac:dyDescent="0.25">
      <c r="H3763" s="110"/>
      <c r="I3763" s="110"/>
    </row>
    <row r="3764" spans="8:9" x14ac:dyDescent="0.25">
      <c r="H3764" s="110"/>
      <c r="I3764" s="110"/>
    </row>
    <row r="3765" spans="8:9" x14ac:dyDescent="0.25">
      <c r="H3765" s="110"/>
      <c r="I3765" s="110"/>
    </row>
    <row r="3766" spans="8:9" x14ac:dyDescent="0.25">
      <c r="H3766" s="110"/>
      <c r="I3766" s="110"/>
    </row>
    <row r="3767" spans="8:9" x14ac:dyDescent="0.25">
      <c r="H3767" s="110"/>
      <c r="I3767" s="110"/>
    </row>
    <row r="3768" spans="8:9" x14ac:dyDescent="0.25">
      <c r="H3768" s="110"/>
      <c r="I3768" s="110"/>
    </row>
    <row r="3769" spans="8:9" x14ac:dyDescent="0.25">
      <c r="H3769" s="110"/>
      <c r="I3769" s="110"/>
    </row>
    <row r="3770" spans="8:9" x14ac:dyDescent="0.25">
      <c r="H3770" s="110"/>
      <c r="I3770" s="110"/>
    </row>
    <row r="3771" spans="8:9" x14ac:dyDescent="0.25">
      <c r="H3771" s="110"/>
      <c r="I3771" s="110"/>
    </row>
    <row r="3772" spans="8:9" x14ac:dyDescent="0.25">
      <c r="H3772" s="110"/>
      <c r="I3772" s="110"/>
    </row>
    <row r="3773" spans="8:9" x14ac:dyDescent="0.25">
      <c r="H3773" s="110"/>
      <c r="I3773" s="110"/>
    </row>
    <row r="3774" spans="8:9" x14ac:dyDescent="0.25">
      <c r="H3774" s="110"/>
      <c r="I3774" s="110"/>
    </row>
    <row r="3775" spans="8:9" x14ac:dyDescent="0.25">
      <c r="H3775" s="110"/>
      <c r="I3775" s="110"/>
    </row>
    <row r="3776" spans="8:9" x14ac:dyDescent="0.25">
      <c r="H3776" s="110"/>
      <c r="I3776" s="110"/>
    </row>
    <row r="3777" spans="8:9" x14ac:dyDescent="0.25">
      <c r="H3777" s="110"/>
      <c r="I3777" s="110"/>
    </row>
    <row r="3778" spans="8:9" x14ac:dyDescent="0.25">
      <c r="H3778" s="110"/>
      <c r="I3778" s="110"/>
    </row>
    <row r="3779" spans="8:9" x14ac:dyDescent="0.25">
      <c r="H3779" s="110"/>
      <c r="I3779" s="110"/>
    </row>
    <row r="3780" spans="8:9" x14ac:dyDescent="0.25">
      <c r="H3780" s="110"/>
      <c r="I3780" s="110"/>
    </row>
    <row r="3781" spans="8:9" x14ac:dyDescent="0.25">
      <c r="H3781" s="110"/>
      <c r="I3781" s="110"/>
    </row>
    <row r="3782" spans="8:9" x14ac:dyDescent="0.25">
      <c r="H3782" s="110"/>
      <c r="I3782" s="110"/>
    </row>
    <row r="3783" spans="8:9" x14ac:dyDescent="0.25">
      <c r="H3783" s="110"/>
      <c r="I3783" s="110"/>
    </row>
    <row r="3784" spans="8:9" x14ac:dyDescent="0.25">
      <c r="H3784" s="110"/>
      <c r="I3784" s="110"/>
    </row>
    <row r="3785" spans="8:9" x14ac:dyDescent="0.25">
      <c r="H3785" s="110"/>
      <c r="I3785" s="110"/>
    </row>
    <row r="3786" spans="8:9" x14ac:dyDescent="0.25">
      <c r="H3786" s="110"/>
      <c r="I3786" s="110"/>
    </row>
    <row r="3787" spans="8:9" x14ac:dyDescent="0.25">
      <c r="H3787" s="110"/>
      <c r="I3787" s="110"/>
    </row>
    <row r="3788" spans="8:9" x14ac:dyDescent="0.25">
      <c r="H3788" s="110"/>
      <c r="I3788" s="110"/>
    </row>
    <row r="3789" spans="8:9" x14ac:dyDescent="0.25">
      <c r="H3789" s="110"/>
      <c r="I3789" s="110"/>
    </row>
    <row r="3790" spans="8:9" x14ac:dyDescent="0.25">
      <c r="H3790" s="110"/>
      <c r="I3790" s="110"/>
    </row>
    <row r="3791" spans="8:9" x14ac:dyDescent="0.25">
      <c r="H3791" s="110"/>
      <c r="I3791" s="110"/>
    </row>
    <row r="3792" spans="8:9" x14ac:dyDescent="0.25">
      <c r="H3792" s="110"/>
      <c r="I3792" s="110"/>
    </row>
    <row r="3793" spans="8:9" x14ac:dyDescent="0.25">
      <c r="H3793" s="110"/>
      <c r="I3793" s="110"/>
    </row>
    <row r="3794" spans="8:9" x14ac:dyDescent="0.25">
      <c r="H3794" s="110"/>
      <c r="I3794" s="110"/>
    </row>
    <row r="3795" spans="8:9" x14ac:dyDescent="0.25">
      <c r="H3795" s="110"/>
      <c r="I3795" s="110"/>
    </row>
    <row r="3796" spans="8:9" x14ac:dyDescent="0.25">
      <c r="H3796" s="110"/>
      <c r="I3796" s="110"/>
    </row>
    <row r="3797" spans="8:9" x14ac:dyDescent="0.25">
      <c r="H3797" s="110"/>
      <c r="I3797" s="110"/>
    </row>
    <row r="3798" spans="8:9" x14ac:dyDescent="0.25">
      <c r="H3798" s="110"/>
      <c r="I3798" s="110"/>
    </row>
    <row r="3799" spans="8:9" x14ac:dyDescent="0.25">
      <c r="H3799" s="110"/>
      <c r="I3799" s="110"/>
    </row>
    <row r="3800" spans="8:9" x14ac:dyDescent="0.25">
      <c r="H3800" s="110"/>
      <c r="I3800" s="110"/>
    </row>
    <row r="3801" spans="8:9" x14ac:dyDescent="0.25">
      <c r="H3801" s="110"/>
      <c r="I3801" s="110"/>
    </row>
    <row r="3802" spans="8:9" x14ac:dyDescent="0.25">
      <c r="H3802" s="110"/>
      <c r="I3802" s="110"/>
    </row>
    <row r="3803" spans="8:9" x14ac:dyDescent="0.25">
      <c r="H3803" s="110"/>
      <c r="I3803" s="110"/>
    </row>
    <row r="3804" spans="8:9" x14ac:dyDescent="0.25">
      <c r="H3804" s="110"/>
      <c r="I3804" s="110"/>
    </row>
    <row r="3805" spans="8:9" x14ac:dyDescent="0.25">
      <c r="H3805" s="110"/>
      <c r="I3805" s="110"/>
    </row>
    <row r="3806" spans="8:9" x14ac:dyDescent="0.25">
      <c r="H3806" s="110"/>
      <c r="I3806" s="110"/>
    </row>
    <row r="3807" spans="8:9" x14ac:dyDescent="0.25">
      <c r="H3807" s="110"/>
      <c r="I3807" s="110"/>
    </row>
    <row r="3808" spans="8:9" x14ac:dyDescent="0.25">
      <c r="H3808" s="110"/>
      <c r="I3808" s="110"/>
    </row>
    <row r="3809" spans="8:9" x14ac:dyDescent="0.25">
      <c r="H3809" s="110"/>
      <c r="I3809" s="110"/>
    </row>
    <row r="3810" spans="8:9" x14ac:dyDescent="0.25">
      <c r="H3810" s="110"/>
      <c r="I3810" s="110"/>
    </row>
    <row r="3811" spans="8:9" x14ac:dyDescent="0.25">
      <c r="H3811" s="110"/>
      <c r="I3811" s="110"/>
    </row>
    <row r="3812" spans="8:9" x14ac:dyDescent="0.25">
      <c r="H3812" s="110"/>
      <c r="I3812" s="110"/>
    </row>
    <row r="3813" spans="8:9" x14ac:dyDescent="0.25">
      <c r="H3813" s="110"/>
      <c r="I3813" s="110"/>
    </row>
    <row r="3814" spans="8:9" x14ac:dyDescent="0.25">
      <c r="H3814" s="110"/>
      <c r="I3814" s="110"/>
    </row>
    <row r="3815" spans="8:9" x14ac:dyDescent="0.25">
      <c r="H3815" s="110"/>
      <c r="I3815" s="110"/>
    </row>
    <row r="3816" spans="8:9" x14ac:dyDescent="0.25">
      <c r="H3816" s="110"/>
      <c r="I3816" s="110"/>
    </row>
    <row r="3817" spans="8:9" x14ac:dyDescent="0.25">
      <c r="H3817" s="110"/>
      <c r="I3817" s="110"/>
    </row>
    <row r="3818" spans="8:9" x14ac:dyDescent="0.25">
      <c r="H3818" s="110"/>
      <c r="I3818" s="110"/>
    </row>
    <row r="3819" spans="8:9" x14ac:dyDescent="0.25">
      <c r="H3819" s="110"/>
      <c r="I3819" s="110"/>
    </row>
    <row r="3820" spans="8:9" x14ac:dyDescent="0.25">
      <c r="H3820" s="110"/>
      <c r="I3820" s="110"/>
    </row>
    <row r="3821" spans="8:9" x14ac:dyDescent="0.25">
      <c r="H3821" s="110"/>
      <c r="I3821" s="110"/>
    </row>
    <row r="3822" spans="8:9" x14ac:dyDescent="0.25">
      <c r="H3822" s="110"/>
      <c r="I3822" s="110"/>
    </row>
    <row r="3823" spans="8:9" x14ac:dyDescent="0.25">
      <c r="H3823" s="110"/>
      <c r="I3823" s="110"/>
    </row>
    <row r="3824" spans="8:9" x14ac:dyDescent="0.25">
      <c r="H3824" s="110"/>
      <c r="I3824" s="110"/>
    </row>
    <row r="3825" spans="8:9" x14ac:dyDescent="0.25">
      <c r="H3825" s="110"/>
      <c r="I3825" s="110"/>
    </row>
    <row r="3826" spans="8:9" x14ac:dyDescent="0.25">
      <c r="H3826" s="110"/>
      <c r="I3826" s="110"/>
    </row>
    <row r="3827" spans="8:9" x14ac:dyDescent="0.25">
      <c r="H3827" s="110"/>
      <c r="I3827" s="110"/>
    </row>
    <row r="3828" spans="8:9" x14ac:dyDescent="0.25">
      <c r="H3828" s="110"/>
      <c r="I3828" s="110"/>
    </row>
    <row r="3829" spans="8:9" x14ac:dyDescent="0.25">
      <c r="H3829" s="110"/>
      <c r="I3829" s="110"/>
    </row>
    <row r="3830" spans="8:9" x14ac:dyDescent="0.25">
      <c r="H3830" s="110"/>
      <c r="I3830" s="110"/>
    </row>
    <row r="3831" spans="8:9" x14ac:dyDescent="0.25">
      <c r="H3831" s="110"/>
      <c r="I3831" s="110"/>
    </row>
    <row r="3832" spans="8:9" x14ac:dyDescent="0.25">
      <c r="H3832" s="110"/>
      <c r="I3832" s="110"/>
    </row>
    <row r="3833" spans="8:9" x14ac:dyDescent="0.25">
      <c r="H3833" s="110"/>
      <c r="I3833" s="110"/>
    </row>
    <row r="3834" spans="8:9" x14ac:dyDescent="0.25">
      <c r="H3834" s="110"/>
      <c r="I3834" s="110"/>
    </row>
    <row r="3835" spans="8:9" x14ac:dyDescent="0.25">
      <c r="H3835" s="110"/>
      <c r="I3835" s="110"/>
    </row>
    <row r="3836" spans="8:9" x14ac:dyDescent="0.25">
      <c r="H3836" s="110"/>
      <c r="I3836" s="110"/>
    </row>
    <row r="3837" spans="8:9" x14ac:dyDescent="0.25">
      <c r="H3837" s="110"/>
      <c r="I3837" s="110"/>
    </row>
    <row r="3838" spans="8:9" x14ac:dyDescent="0.25">
      <c r="H3838" s="110"/>
      <c r="I3838" s="110"/>
    </row>
    <row r="3839" spans="8:9" x14ac:dyDescent="0.25">
      <c r="H3839" s="110"/>
      <c r="I3839" s="110"/>
    </row>
    <row r="3840" spans="8:9" x14ac:dyDescent="0.25">
      <c r="H3840" s="110"/>
      <c r="I3840" s="110"/>
    </row>
    <row r="3841" spans="8:9" x14ac:dyDescent="0.25">
      <c r="H3841" s="110"/>
      <c r="I3841" s="110"/>
    </row>
    <row r="3842" spans="8:9" x14ac:dyDescent="0.25">
      <c r="H3842" s="110"/>
      <c r="I3842" s="110"/>
    </row>
    <row r="3843" spans="8:9" x14ac:dyDescent="0.25">
      <c r="H3843" s="110"/>
      <c r="I3843" s="110"/>
    </row>
    <row r="3844" spans="8:9" x14ac:dyDescent="0.25">
      <c r="H3844" s="110"/>
      <c r="I3844" s="110"/>
    </row>
    <row r="3845" spans="8:9" x14ac:dyDescent="0.25">
      <c r="H3845" s="110"/>
      <c r="I3845" s="110"/>
    </row>
    <row r="3846" spans="8:9" x14ac:dyDescent="0.25">
      <c r="H3846" s="110"/>
      <c r="I3846" s="110"/>
    </row>
    <row r="3847" spans="8:9" x14ac:dyDescent="0.25">
      <c r="H3847" s="110"/>
      <c r="I3847" s="110"/>
    </row>
    <row r="3848" spans="8:9" x14ac:dyDescent="0.25">
      <c r="H3848" s="110"/>
      <c r="I3848" s="110"/>
    </row>
    <row r="3849" spans="8:9" x14ac:dyDescent="0.25">
      <c r="H3849" s="110"/>
      <c r="I3849" s="110"/>
    </row>
    <row r="3850" spans="8:9" x14ac:dyDescent="0.25">
      <c r="H3850" s="110"/>
      <c r="I3850" s="110"/>
    </row>
    <row r="3851" spans="8:9" x14ac:dyDescent="0.25">
      <c r="H3851" s="110"/>
      <c r="I3851" s="110"/>
    </row>
    <row r="3852" spans="8:9" x14ac:dyDescent="0.25">
      <c r="H3852" s="110"/>
      <c r="I3852" s="110"/>
    </row>
    <row r="3853" spans="8:9" x14ac:dyDescent="0.25">
      <c r="H3853" s="110"/>
      <c r="I3853" s="110"/>
    </row>
    <row r="3854" spans="8:9" x14ac:dyDescent="0.25">
      <c r="H3854" s="110"/>
      <c r="I3854" s="110"/>
    </row>
    <row r="3855" spans="8:9" x14ac:dyDescent="0.25">
      <c r="H3855" s="110"/>
      <c r="I3855" s="110"/>
    </row>
    <row r="3856" spans="8:9" x14ac:dyDescent="0.25">
      <c r="H3856" s="110"/>
      <c r="I3856" s="110"/>
    </row>
    <row r="3857" spans="8:9" x14ac:dyDescent="0.25">
      <c r="H3857" s="110"/>
      <c r="I3857" s="110"/>
    </row>
    <row r="3858" spans="8:9" x14ac:dyDescent="0.25">
      <c r="H3858" s="110"/>
      <c r="I3858" s="110"/>
    </row>
    <row r="3859" spans="8:9" x14ac:dyDescent="0.25">
      <c r="H3859" s="110"/>
      <c r="I3859" s="110"/>
    </row>
    <row r="3860" spans="8:9" x14ac:dyDescent="0.25">
      <c r="H3860" s="110"/>
      <c r="I3860" s="110"/>
    </row>
    <row r="3861" spans="8:9" x14ac:dyDescent="0.25">
      <c r="H3861" s="110"/>
      <c r="I3861" s="110"/>
    </row>
    <row r="3862" spans="8:9" x14ac:dyDescent="0.25">
      <c r="H3862" s="110"/>
      <c r="I3862" s="110"/>
    </row>
    <row r="3863" spans="8:9" x14ac:dyDescent="0.25">
      <c r="H3863" s="110"/>
      <c r="I3863" s="110"/>
    </row>
    <row r="3864" spans="8:9" x14ac:dyDescent="0.25">
      <c r="H3864" s="110"/>
      <c r="I3864" s="110"/>
    </row>
    <row r="3865" spans="8:9" x14ac:dyDescent="0.25">
      <c r="H3865" s="110"/>
      <c r="I3865" s="110"/>
    </row>
    <row r="3866" spans="8:9" x14ac:dyDescent="0.25">
      <c r="H3866" s="110"/>
      <c r="I3866" s="110"/>
    </row>
    <row r="3867" spans="8:9" x14ac:dyDescent="0.25">
      <c r="H3867" s="110"/>
      <c r="I3867" s="110"/>
    </row>
    <row r="3868" spans="8:9" x14ac:dyDescent="0.25">
      <c r="H3868" s="110"/>
      <c r="I3868" s="110"/>
    </row>
    <row r="3869" spans="8:9" x14ac:dyDescent="0.25">
      <c r="H3869" s="110"/>
      <c r="I3869" s="110"/>
    </row>
    <row r="3870" spans="8:9" x14ac:dyDescent="0.25">
      <c r="H3870" s="110"/>
      <c r="I3870" s="110"/>
    </row>
    <row r="3871" spans="8:9" x14ac:dyDescent="0.25">
      <c r="H3871" s="110"/>
      <c r="I3871" s="110"/>
    </row>
    <row r="3872" spans="8:9" x14ac:dyDescent="0.25">
      <c r="H3872" s="110"/>
      <c r="I3872" s="110"/>
    </row>
    <row r="3873" spans="8:9" x14ac:dyDescent="0.25">
      <c r="H3873" s="110"/>
      <c r="I3873" s="110"/>
    </row>
    <row r="3874" spans="8:9" x14ac:dyDescent="0.25">
      <c r="H3874" s="110"/>
      <c r="I3874" s="110"/>
    </row>
    <row r="3875" spans="8:9" x14ac:dyDescent="0.25">
      <c r="H3875" s="110"/>
      <c r="I3875" s="110"/>
    </row>
    <row r="3876" spans="8:9" x14ac:dyDescent="0.25">
      <c r="H3876" s="110"/>
      <c r="I3876" s="110"/>
    </row>
    <row r="3877" spans="8:9" x14ac:dyDescent="0.25">
      <c r="H3877" s="110"/>
      <c r="I3877" s="110"/>
    </row>
    <row r="3878" spans="8:9" x14ac:dyDescent="0.25">
      <c r="H3878" s="110"/>
      <c r="I3878" s="110"/>
    </row>
    <row r="3879" spans="8:9" x14ac:dyDescent="0.25">
      <c r="H3879" s="110"/>
      <c r="I3879" s="110"/>
    </row>
    <row r="3880" spans="8:9" x14ac:dyDescent="0.25">
      <c r="H3880" s="110"/>
      <c r="I3880" s="110"/>
    </row>
    <row r="3881" spans="8:9" x14ac:dyDescent="0.25">
      <c r="H3881" s="110"/>
      <c r="I3881" s="110"/>
    </row>
    <row r="3882" spans="8:9" x14ac:dyDescent="0.25">
      <c r="H3882" s="110"/>
      <c r="I3882" s="110"/>
    </row>
    <row r="3883" spans="8:9" x14ac:dyDescent="0.25">
      <c r="H3883" s="110"/>
      <c r="I3883" s="110"/>
    </row>
    <row r="3884" spans="8:9" x14ac:dyDescent="0.25">
      <c r="H3884" s="110"/>
      <c r="I3884" s="110"/>
    </row>
    <row r="3885" spans="8:9" x14ac:dyDescent="0.25">
      <c r="H3885" s="110"/>
      <c r="I3885" s="110"/>
    </row>
    <row r="3886" spans="8:9" x14ac:dyDescent="0.25">
      <c r="H3886" s="110"/>
      <c r="I3886" s="110"/>
    </row>
    <row r="3887" spans="8:9" x14ac:dyDescent="0.25">
      <c r="H3887" s="110"/>
      <c r="I3887" s="110"/>
    </row>
    <row r="3888" spans="8:9" x14ac:dyDescent="0.25">
      <c r="H3888" s="110"/>
      <c r="I3888" s="110"/>
    </row>
    <row r="3889" spans="8:9" x14ac:dyDescent="0.25">
      <c r="H3889" s="110"/>
      <c r="I3889" s="110"/>
    </row>
    <row r="3890" spans="8:9" x14ac:dyDescent="0.25">
      <c r="H3890" s="110"/>
      <c r="I3890" s="110"/>
    </row>
    <row r="3891" spans="8:9" x14ac:dyDescent="0.25">
      <c r="H3891" s="110"/>
      <c r="I3891" s="110"/>
    </row>
    <row r="3892" spans="8:9" x14ac:dyDescent="0.25">
      <c r="H3892" s="110"/>
      <c r="I3892" s="110"/>
    </row>
    <row r="3893" spans="8:9" x14ac:dyDescent="0.25">
      <c r="H3893" s="110"/>
      <c r="I3893" s="110"/>
    </row>
    <row r="3894" spans="8:9" x14ac:dyDescent="0.25">
      <c r="H3894" s="110"/>
      <c r="I3894" s="110"/>
    </row>
    <row r="3895" spans="8:9" x14ac:dyDescent="0.25">
      <c r="H3895" s="110"/>
      <c r="I3895" s="110"/>
    </row>
    <row r="3896" spans="8:9" x14ac:dyDescent="0.25">
      <c r="H3896" s="110"/>
      <c r="I3896" s="110"/>
    </row>
    <row r="3897" spans="8:9" x14ac:dyDescent="0.25">
      <c r="H3897" s="110"/>
      <c r="I3897" s="110"/>
    </row>
    <row r="3898" spans="8:9" x14ac:dyDescent="0.25">
      <c r="H3898" s="110"/>
      <c r="I3898" s="110"/>
    </row>
    <row r="3899" spans="8:9" x14ac:dyDescent="0.25">
      <c r="H3899" s="110"/>
      <c r="I3899" s="110"/>
    </row>
    <row r="3900" spans="8:9" x14ac:dyDescent="0.25">
      <c r="H3900" s="110"/>
      <c r="I3900" s="110"/>
    </row>
    <row r="3901" spans="8:9" x14ac:dyDescent="0.25">
      <c r="H3901" s="110"/>
      <c r="I3901" s="110"/>
    </row>
    <row r="3902" spans="8:9" x14ac:dyDescent="0.25">
      <c r="H3902" s="110"/>
      <c r="I3902" s="110"/>
    </row>
    <row r="3903" spans="8:9" x14ac:dyDescent="0.25">
      <c r="H3903" s="110"/>
      <c r="I3903" s="110"/>
    </row>
    <row r="3904" spans="8:9" x14ac:dyDescent="0.25">
      <c r="H3904" s="110"/>
      <c r="I3904" s="110"/>
    </row>
    <row r="3905" spans="8:9" x14ac:dyDescent="0.25">
      <c r="H3905" s="110"/>
      <c r="I3905" s="110"/>
    </row>
    <row r="3906" spans="8:9" x14ac:dyDescent="0.25">
      <c r="H3906" s="110"/>
      <c r="I3906" s="110"/>
    </row>
    <row r="3907" spans="8:9" x14ac:dyDescent="0.25">
      <c r="H3907" s="110"/>
      <c r="I3907" s="110"/>
    </row>
    <row r="3908" spans="8:9" x14ac:dyDescent="0.25">
      <c r="H3908" s="110"/>
      <c r="I3908" s="110"/>
    </row>
    <row r="3909" spans="8:9" x14ac:dyDescent="0.25">
      <c r="H3909" s="110"/>
      <c r="I3909" s="110"/>
    </row>
    <row r="3910" spans="8:9" x14ac:dyDescent="0.25">
      <c r="H3910" s="110"/>
      <c r="I3910" s="110"/>
    </row>
    <row r="3911" spans="8:9" x14ac:dyDescent="0.25">
      <c r="H3911" s="110"/>
      <c r="I3911" s="110"/>
    </row>
    <row r="3912" spans="8:9" x14ac:dyDescent="0.25">
      <c r="H3912" s="110"/>
      <c r="I3912" s="110"/>
    </row>
    <row r="3913" spans="8:9" x14ac:dyDescent="0.25">
      <c r="H3913" s="110"/>
      <c r="I3913" s="110"/>
    </row>
    <row r="3914" spans="8:9" x14ac:dyDescent="0.25">
      <c r="H3914" s="110"/>
      <c r="I3914" s="110"/>
    </row>
    <row r="3915" spans="8:9" x14ac:dyDescent="0.25">
      <c r="H3915" s="110"/>
      <c r="I3915" s="110"/>
    </row>
    <row r="3916" spans="8:9" x14ac:dyDescent="0.25">
      <c r="H3916" s="110"/>
      <c r="I3916" s="110"/>
    </row>
    <row r="3917" spans="8:9" x14ac:dyDescent="0.25">
      <c r="H3917" s="110"/>
      <c r="I3917" s="110"/>
    </row>
    <row r="3918" spans="8:9" x14ac:dyDescent="0.25">
      <c r="H3918" s="110"/>
      <c r="I3918" s="110"/>
    </row>
    <row r="3919" spans="8:9" x14ac:dyDescent="0.25">
      <c r="H3919" s="110"/>
      <c r="I3919" s="110"/>
    </row>
    <row r="3920" spans="8:9" x14ac:dyDescent="0.25">
      <c r="H3920" s="110"/>
      <c r="I3920" s="110"/>
    </row>
    <row r="3921" spans="8:9" x14ac:dyDescent="0.25">
      <c r="H3921" s="110"/>
      <c r="I3921" s="110"/>
    </row>
    <row r="3922" spans="8:9" x14ac:dyDescent="0.25">
      <c r="H3922" s="110"/>
      <c r="I3922" s="110"/>
    </row>
    <row r="3923" spans="8:9" x14ac:dyDescent="0.25">
      <c r="H3923" s="110"/>
      <c r="I3923" s="110"/>
    </row>
    <row r="3924" spans="8:9" x14ac:dyDescent="0.25">
      <c r="H3924" s="110"/>
      <c r="I3924" s="110"/>
    </row>
    <row r="3925" spans="8:9" x14ac:dyDescent="0.25">
      <c r="H3925" s="110"/>
      <c r="I3925" s="110"/>
    </row>
    <row r="3926" spans="8:9" x14ac:dyDescent="0.25">
      <c r="H3926" s="110"/>
      <c r="I3926" s="110"/>
    </row>
    <row r="3927" spans="8:9" x14ac:dyDescent="0.25">
      <c r="H3927" s="110"/>
      <c r="I3927" s="110"/>
    </row>
    <row r="3928" spans="8:9" x14ac:dyDescent="0.25">
      <c r="H3928" s="110"/>
      <c r="I3928" s="110"/>
    </row>
    <row r="3929" spans="8:9" x14ac:dyDescent="0.25">
      <c r="H3929" s="110"/>
      <c r="I3929" s="110"/>
    </row>
    <row r="3930" spans="8:9" x14ac:dyDescent="0.25">
      <c r="H3930" s="110"/>
      <c r="I3930" s="110"/>
    </row>
    <row r="3931" spans="8:9" x14ac:dyDescent="0.25">
      <c r="H3931" s="110"/>
      <c r="I3931" s="110"/>
    </row>
    <row r="3932" spans="8:9" x14ac:dyDescent="0.25">
      <c r="H3932" s="110"/>
      <c r="I3932" s="110"/>
    </row>
    <row r="3933" spans="8:9" x14ac:dyDescent="0.25">
      <c r="H3933" s="110"/>
      <c r="I3933" s="110"/>
    </row>
    <row r="3934" spans="8:9" x14ac:dyDescent="0.25">
      <c r="H3934" s="110"/>
      <c r="I3934" s="110"/>
    </row>
    <row r="3935" spans="8:9" x14ac:dyDescent="0.25">
      <c r="H3935" s="110"/>
      <c r="I3935" s="110"/>
    </row>
    <row r="3936" spans="8:9" x14ac:dyDescent="0.25">
      <c r="H3936" s="110"/>
      <c r="I3936" s="110"/>
    </row>
    <row r="3937" spans="8:9" x14ac:dyDescent="0.25">
      <c r="H3937" s="110"/>
      <c r="I3937" s="110"/>
    </row>
    <row r="3938" spans="8:9" x14ac:dyDescent="0.25">
      <c r="H3938" s="110"/>
      <c r="I3938" s="110"/>
    </row>
    <row r="3939" spans="8:9" x14ac:dyDescent="0.25">
      <c r="H3939" s="110"/>
      <c r="I3939" s="110"/>
    </row>
    <row r="3940" spans="8:9" x14ac:dyDescent="0.25">
      <c r="H3940" s="110"/>
      <c r="I3940" s="110"/>
    </row>
    <row r="3941" spans="8:9" x14ac:dyDescent="0.25">
      <c r="H3941" s="110"/>
      <c r="I3941" s="110"/>
    </row>
    <row r="3942" spans="8:9" x14ac:dyDescent="0.25">
      <c r="H3942" s="110"/>
      <c r="I3942" s="110"/>
    </row>
    <row r="3943" spans="8:9" x14ac:dyDescent="0.25">
      <c r="H3943" s="110"/>
      <c r="I3943" s="110"/>
    </row>
    <row r="3944" spans="8:9" x14ac:dyDescent="0.25">
      <c r="H3944" s="110"/>
      <c r="I3944" s="110"/>
    </row>
    <row r="3945" spans="8:9" x14ac:dyDescent="0.25">
      <c r="H3945" s="110"/>
      <c r="I3945" s="110"/>
    </row>
    <row r="3946" spans="8:9" x14ac:dyDescent="0.25">
      <c r="H3946" s="110"/>
      <c r="I3946" s="110"/>
    </row>
    <row r="3947" spans="8:9" x14ac:dyDescent="0.25">
      <c r="H3947" s="110"/>
      <c r="I3947" s="110"/>
    </row>
    <row r="3948" spans="8:9" x14ac:dyDescent="0.25">
      <c r="H3948" s="110"/>
      <c r="I3948" s="110"/>
    </row>
    <row r="3949" spans="8:9" x14ac:dyDescent="0.25">
      <c r="H3949" s="110"/>
      <c r="I3949" s="110"/>
    </row>
    <row r="3950" spans="8:9" x14ac:dyDescent="0.25">
      <c r="H3950" s="110"/>
      <c r="I3950" s="110"/>
    </row>
    <row r="3951" spans="8:9" x14ac:dyDescent="0.25">
      <c r="H3951" s="110"/>
      <c r="I3951" s="110"/>
    </row>
    <row r="3952" spans="8:9" x14ac:dyDescent="0.25">
      <c r="H3952" s="110"/>
      <c r="I3952" s="110"/>
    </row>
    <row r="3953" spans="8:9" x14ac:dyDescent="0.25">
      <c r="H3953" s="110"/>
      <c r="I3953" s="110"/>
    </row>
    <row r="3954" spans="8:9" x14ac:dyDescent="0.25">
      <c r="H3954" s="110"/>
      <c r="I3954" s="110"/>
    </row>
    <row r="3955" spans="8:9" x14ac:dyDescent="0.25">
      <c r="H3955" s="110"/>
      <c r="I3955" s="110"/>
    </row>
    <row r="3956" spans="8:9" x14ac:dyDescent="0.25">
      <c r="H3956" s="110"/>
      <c r="I3956" s="110"/>
    </row>
    <row r="3957" spans="8:9" x14ac:dyDescent="0.25">
      <c r="H3957" s="110"/>
      <c r="I3957" s="110"/>
    </row>
    <row r="3958" spans="8:9" x14ac:dyDescent="0.25">
      <c r="H3958" s="110"/>
      <c r="I3958" s="110"/>
    </row>
    <row r="3959" spans="8:9" x14ac:dyDescent="0.25">
      <c r="H3959" s="110"/>
      <c r="I3959" s="110"/>
    </row>
    <row r="3960" spans="8:9" x14ac:dyDescent="0.25">
      <c r="H3960" s="110"/>
      <c r="I3960" s="110"/>
    </row>
    <row r="3961" spans="8:9" x14ac:dyDescent="0.25">
      <c r="H3961" s="110"/>
      <c r="I3961" s="110"/>
    </row>
    <row r="3962" spans="8:9" x14ac:dyDescent="0.25">
      <c r="H3962" s="110"/>
      <c r="I3962" s="110"/>
    </row>
    <row r="3963" spans="8:9" x14ac:dyDescent="0.25">
      <c r="H3963" s="110"/>
      <c r="I3963" s="110"/>
    </row>
    <row r="3964" spans="8:9" x14ac:dyDescent="0.25">
      <c r="H3964" s="110"/>
      <c r="I3964" s="110"/>
    </row>
    <row r="3965" spans="8:9" x14ac:dyDescent="0.25">
      <c r="H3965" s="110"/>
      <c r="I3965" s="110"/>
    </row>
    <row r="3966" spans="8:9" x14ac:dyDescent="0.25">
      <c r="H3966" s="110"/>
      <c r="I3966" s="110"/>
    </row>
    <row r="3967" spans="8:9" x14ac:dyDescent="0.25">
      <c r="H3967" s="110"/>
      <c r="I3967" s="110"/>
    </row>
    <row r="3968" spans="8:9" x14ac:dyDescent="0.25">
      <c r="H3968" s="110"/>
      <c r="I3968" s="110"/>
    </row>
    <row r="3969" spans="8:9" x14ac:dyDescent="0.25">
      <c r="H3969" s="110"/>
      <c r="I3969" s="110"/>
    </row>
    <row r="3970" spans="8:9" x14ac:dyDescent="0.25">
      <c r="H3970" s="110"/>
      <c r="I3970" s="110"/>
    </row>
    <row r="3971" spans="8:9" x14ac:dyDescent="0.25">
      <c r="H3971" s="110"/>
      <c r="I3971" s="110"/>
    </row>
    <row r="3972" spans="8:9" x14ac:dyDescent="0.25">
      <c r="H3972" s="110"/>
      <c r="I3972" s="110"/>
    </row>
    <row r="3973" spans="8:9" x14ac:dyDescent="0.25">
      <c r="H3973" s="110"/>
      <c r="I3973" s="110"/>
    </row>
    <row r="3974" spans="8:9" x14ac:dyDescent="0.25">
      <c r="H3974" s="110"/>
      <c r="I3974" s="110"/>
    </row>
    <row r="3975" spans="8:9" x14ac:dyDescent="0.25">
      <c r="H3975" s="110"/>
      <c r="I3975" s="110"/>
    </row>
    <row r="3976" spans="8:9" x14ac:dyDescent="0.25">
      <c r="H3976" s="110"/>
      <c r="I3976" s="110"/>
    </row>
    <row r="3977" spans="8:9" x14ac:dyDescent="0.25">
      <c r="H3977" s="110"/>
      <c r="I3977" s="110"/>
    </row>
    <row r="3978" spans="8:9" x14ac:dyDescent="0.25">
      <c r="H3978" s="110"/>
      <c r="I3978" s="110"/>
    </row>
    <row r="3979" spans="8:9" x14ac:dyDescent="0.25">
      <c r="H3979" s="110"/>
      <c r="I3979" s="110"/>
    </row>
    <row r="3980" spans="8:9" x14ac:dyDescent="0.25">
      <c r="H3980" s="110"/>
      <c r="I3980" s="110"/>
    </row>
    <row r="3981" spans="8:9" x14ac:dyDescent="0.25">
      <c r="H3981" s="110"/>
      <c r="I3981" s="110"/>
    </row>
    <row r="3982" spans="8:9" x14ac:dyDescent="0.25">
      <c r="H3982" s="110"/>
      <c r="I3982" s="110"/>
    </row>
    <row r="3983" spans="8:9" x14ac:dyDescent="0.25">
      <c r="H3983" s="110"/>
      <c r="I3983" s="110"/>
    </row>
    <row r="3984" spans="8:9" x14ac:dyDescent="0.25">
      <c r="H3984" s="110"/>
      <c r="I3984" s="110"/>
    </row>
    <row r="3985" spans="8:9" x14ac:dyDescent="0.25">
      <c r="H3985" s="110"/>
      <c r="I3985" s="110"/>
    </row>
    <row r="3986" spans="8:9" x14ac:dyDescent="0.25">
      <c r="H3986" s="110"/>
      <c r="I3986" s="110"/>
    </row>
    <row r="3987" spans="8:9" x14ac:dyDescent="0.25">
      <c r="H3987" s="110"/>
      <c r="I3987" s="110"/>
    </row>
    <row r="3988" spans="8:9" x14ac:dyDescent="0.25">
      <c r="H3988" s="110"/>
      <c r="I3988" s="110"/>
    </row>
    <row r="3989" spans="8:9" x14ac:dyDescent="0.25">
      <c r="H3989" s="110"/>
      <c r="I3989" s="110"/>
    </row>
    <row r="3990" spans="8:9" x14ac:dyDescent="0.25">
      <c r="H3990" s="110"/>
      <c r="I3990" s="110"/>
    </row>
    <row r="3991" spans="8:9" x14ac:dyDescent="0.25">
      <c r="H3991" s="110"/>
      <c r="I3991" s="110"/>
    </row>
    <row r="3992" spans="8:9" x14ac:dyDescent="0.25">
      <c r="H3992" s="110"/>
      <c r="I3992" s="110"/>
    </row>
    <row r="3993" spans="8:9" x14ac:dyDescent="0.25">
      <c r="H3993" s="110"/>
      <c r="I3993" s="110"/>
    </row>
    <row r="3994" spans="8:9" x14ac:dyDescent="0.25">
      <c r="H3994" s="110"/>
      <c r="I3994" s="110"/>
    </row>
    <row r="3995" spans="8:9" x14ac:dyDescent="0.25">
      <c r="H3995" s="110"/>
      <c r="I3995" s="110"/>
    </row>
    <row r="3996" spans="8:9" x14ac:dyDescent="0.25">
      <c r="H3996" s="110"/>
      <c r="I3996" s="110"/>
    </row>
    <row r="3997" spans="8:9" x14ac:dyDescent="0.25">
      <c r="H3997" s="110"/>
      <c r="I3997" s="110"/>
    </row>
    <row r="3998" spans="8:9" x14ac:dyDescent="0.25">
      <c r="H3998" s="110"/>
      <c r="I3998" s="110"/>
    </row>
    <row r="3999" spans="8:9" x14ac:dyDescent="0.25">
      <c r="H3999" s="110"/>
      <c r="I3999" s="110"/>
    </row>
    <row r="4000" spans="8:9" x14ac:dyDescent="0.25">
      <c r="H4000" s="110"/>
      <c r="I4000" s="110"/>
    </row>
    <row r="4001" spans="8:9" x14ac:dyDescent="0.25">
      <c r="H4001" s="110"/>
      <c r="I4001" s="110"/>
    </row>
    <row r="4002" spans="8:9" x14ac:dyDescent="0.25">
      <c r="H4002" s="110"/>
      <c r="I4002" s="110"/>
    </row>
    <row r="4003" spans="8:9" x14ac:dyDescent="0.25">
      <c r="H4003" s="110"/>
      <c r="I4003" s="110"/>
    </row>
    <row r="4004" spans="8:9" x14ac:dyDescent="0.25">
      <c r="H4004" s="110"/>
      <c r="I4004" s="110"/>
    </row>
    <row r="4005" spans="8:9" x14ac:dyDescent="0.25">
      <c r="H4005" s="110"/>
      <c r="I4005" s="110"/>
    </row>
    <row r="4006" spans="8:9" x14ac:dyDescent="0.25">
      <c r="H4006" s="110"/>
      <c r="I4006" s="110"/>
    </row>
    <row r="4007" spans="8:9" x14ac:dyDescent="0.25">
      <c r="H4007" s="110"/>
      <c r="I4007" s="110"/>
    </row>
    <row r="4008" spans="8:9" x14ac:dyDescent="0.25">
      <c r="H4008" s="110"/>
      <c r="I4008" s="110"/>
    </row>
    <row r="4009" spans="8:9" x14ac:dyDescent="0.25">
      <c r="H4009" s="110"/>
      <c r="I4009" s="110"/>
    </row>
    <row r="4010" spans="8:9" x14ac:dyDescent="0.25">
      <c r="H4010" s="110"/>
      <c r="I4010" s="110"/>
    </row>
    <row r="4011" spans="8:9" x14ac:dyDescent="0.25">
      <c r="H4011" s="110"/>
      <c r="I4011" s="110"/>
    </row>
    <row r="4012" spans="8:9" x14ac:dyDescent="0.25">
      <c r="H4012" s="110"/>
      <c r="I4012" s="110"/>
    </row>
    <row r="4013" spans="8:9" x14ac:dyDescent="0.25">
      <c r="H4013" s="110"/>
      <c r="I4013" s="110"/>
    </row>
    <row r="4014" spans="8:9" x14ac:dyDescent="0.25">
      <c r="H4014" s="110"/>
      <c r="I4014" s="110"/>
    </row>
    <row r="4015" spans="8:9" x14ac:dyDescent="0.25">
      <c r="H4015" s="110"/>
      <c r="I4015" s="110"/>
    </row>
    <row r="4016" spans="8:9" x14ac:dyDescent="0.25">
      <c r="H4016" s="110"/>
      <c r="I4016" s="110"/>
    </row>
    <row r="4017" spans="8:9" x14ac:dyDescent="0.25">
      <c r="H4017" s="110"/>
      <c r="I4017" s="110"/>
    </row>
    <row r="4018" spans="8:9" x14ac:dyDescent="0.25">
      <c r="H4018" s="110"/>
      <c r="I4018" s="110"/>
    </row>
    <row r="4019" spans="8:9" x14ac:dyDescent="0.25">
      <c r="H4019" s="110"/>
      <c r="I4019" s="110"/>
    </row>
    <row r="4020" spans="8:9" x14ac:dyDescent="0.25">
      <c r="H4020" s="110"/>
      <c r="I4020" s="110"/>
    </row>
    <row r="4021" spans="8:9" x14ac:dyDescent="0.25">
      <c r="H4021" s="110"/>
      <c r="I4021" s="110"/>
    </row>
    <row r="4022" spans="8:9" x14ac:dyDescent="0.25">
      <c r="H4022" s="110"/>
      <c r="I4022" s="110"/>
    </row>
    <row r="4023" spans="8:9" x14ac:dyDescent="0.25">
      <c r="H4023" s="110"/>
      <c r="I4023" s="110"/>
    </row>
    <row r="4024" spans="8:9" x14ac:dyDescent="0.25">
      <c r="H4024" s="110"/>
      <c r="I4024" s="110"/>
    </row>
    <row r="4025" spans="8:9" x14ac:dyDescent="0.25">
      <c r="H4025" s="110"/>
      <c r="I4025" s="110"/>
    </row>
    <row r="4026" spans="8:9" x14ac:dyDescent="0.25">
      <c r="H4026" s="110"/>
      <c r="I4026" s="110"/>
    </row>
    <row r="4027" spans="8:9" x14ac:dyDescent="0.25">
      <c r="H4027" s="110"/>
      <c r="I4027" s="110"/>
    </row>
    <row r="4028" spans="8:9" x14ac:dyDescent="0.25">
      <c r="H4028" s="110"/>
      <c r="I4028" s="110"/>
    </row>
    <row r="4029" spans="8:9" x14ac:dyDescent="0.25">
      <c r="H4029" s="110"/>
      <c r="I4029" s="110"/>
    </row>
    <row r="4030" spans="8:9" x14ac:dyDescent="0.25">
      <c r="H4030" s="110"/>
      <c r="I4030" s="110"/>
    </row>
    <row r="4031" spans="8:9" x14ac:dyDescent="0.25">
      <c r="H4031" s="110"/>
      <c r="I4031" s="110"/>
    </row>
    <row r="4032" spans="8:9" x14ac:dyDescent="0.25">
      <c r="H4032" s="110"/>
      <c r="I4032" s="110"/>
    </row>
    <row r="4033" spans="8:9" x14ac:dyDescent="0.25">
      <c r="H4033" s="110"/>
      <c r="I4033" s="110"/>
    </row>
    <row r="4034" spans="8:9" x14ac:dyDescent="0.25">
      <c r="H4034" s="110"/>
      <c r="I4034" s="110"/>
    </row>
    <row r="4035" spans="8:9" x14ac:dyDescent="0.25">
      <c r="H4035" s="110"/>
      <c r="I4035" s="110"/>
    </row>
    <row r="4036" spans="8:9" x14ac:dyDescent="0.25">
      <c r="H4036" s="110"/>
      <c r="I4036" s="110"/>
    </row>
    <row r="4037" spans="8:9" x14ac:dyDescent="0.25">
      <c r="H4037" s="110"/>
      <c r="I4037" s="110"/>
    </row>
    <row r="4038" spans="8:9" x14ac:dyDescent="0.25">
      <c r="H4038" s="110"/>
      <c r="I4038" s="110"/>
    </row>
    <row r="4039" spans="8:9" x14ac:dyDescent="0.25">
      <c r="H4039" s="110"/>
      <c r="I4039" s="110"/>
    </row>
    <row r="4040" spans="8:9" x14ac:dyDescent="0.25">
      <c r="H4040" s="110"/>
      <c r="I4040" s="110"/>
    </row>
    <row r="4041" spans="8:9" x14ac:dyDescent="0.25">
      <c r="H4041" s="110"/>
      <c r="I4041" s="110"/>
    </row>
    <row r="4042" spans="8:9" x14ac:dyDescent="0.25">
      <c r="H4042" s="110"/>
      <c r="I4042" s="110"/>
    </row>
    <row r="4043" spans="8:9" x14ac:dyDescent="0.25">
      <c r="H4043" s="110"/>
      <c r="I4043" s="110"/>
    </row>
    <row r="4044" spans="8:9" x14ac:dyDescent="0.25">
      <c r="H4044" s="110"/>
      <c r="I4044" s="110"/>
    </row>
    <row r="4045" spans="8:9" x14ac:dyDescent="0.25">
      <c r="H4045" s="110"/>
      <c r="I4045" s="110"/>
    </row>
    <row r="4046" spans="8:9" x14ac:dyDescent="0.25">
      <c r="H4046" s="110"/>
      <c r="I4046" s="110"/>
    </row>
    <row r="4047" spans="8:9" x14ac:dyDescent="0.25">
      <c r="H4047" s="110"/>
      <c r="I4047" s="110"/>
    </row>
    <row r="4048" spans="8:9" x14ac:dyDescent="0.25">
      <c r="H4048" s="110"/>
      <c r="I4048" s="110"/>
    </row>
    <row r="4049" spans="8:9" x14ac:dyDescent="0.25">
      <c r="H4049" s="110"/>
      <c r="I4049" s="110"/>
    </row>
    <row r="4050" spans="8:9" x14ac:dyDescent="0.25">
      <c r="H4050" s="110"/>
      <c r="I4050" s="110"/>
    </row>
    <row r="4051" spans="8:9" x14ac:dyDescent="0.25">
      <c r="H4051" s="110"/>
      <c r="I4051" s="110"/>
    </row>
    <row r="4052" spans="8:9" x14ac:dyDescent="0.25">
      <c r="H4052" s="110"/>
      <c r="I4052" s="110"/>
    </row>
    <row r="4053" spans="8:9" x14ac:dyDescent="0.25">
      <c r="H4053" s="110"/>
      <c r="I4053" s="110"/>
    </row>
    <row r="4054" spans="8:9" x14ac:dyDescent="0.25">
      <c r="H4054" s="110"/>
      <c r="I4054" s="110"/>
    </row>
    <row r="4055" spans="8:9" x14ac:dyDescent="0.25">
      <c r="H4055" s="110"/>
      <c r="I4055" s="110"/>
    </row>
    <row r="4056" spans="8:9" x14ac:dyDescent="0.25">
      <c r="H4056" s="110"/>
      <c r="I4056" s="110"/>
    </row>
    <row r="4057" spans="8:9" x14ac:dyDescent="0.25">
      <c r="H4057" s="110"/>
      <c r="I4057" s="110"/>
    </row>
    <row r="4058" spans="8:9" x14ac:dyDescent="0.25">
      <c r="H4058" s="110"/>
      <c r="I4058" s="110"/>
    </row>
    <row r="4059" spans="8:9" x14ac:dyDescent="0.25">
      <c r="H4059" s="110"/>
      <c r="I4059" s="110"/>
    </row>
    <row r="4060" spans="8:9" x14ac:dyDescent="0.25">
      <c r="H4060" s="110"/>
      <c r="I4060" s="110"/>
    </row>
    <row r="4061" spans="8:9" x14ac:dyDescent="0.25">
      <c r="H4061" s="110"/>
      <c r="I4061" s="110"/>
    </row>
    <row r="4062" spans="8:9" x14ac:dyDescent="0.25">
      <c r="H4062" s="110"/>
      <c r="I4062" s="110"/>
    </row>
    <row r="4063" spans="8:9" x14ac:dyDescent="0.25">
      <c r="H4063" s="110"/>
      <c r="I4063" s="110"/>
    </row>
    <row r="4064" spans="8:9" x14ac:dyDescent="0.25">
      <c r="H4064" s="110"/>
      <c r="I4064" s="110"/>
    </row>
    <row r="4065" spans="8:9" x14ac:dyDescent="0.25">
      <c r="H4065" s="110"/>
      <c r="I4065" s="110"/>
    </row>
    <row r="4066" spans="8:9" x14ac:dyDescent="0.25">
      <c r="H4066" s="110"/>
      <c r="I4066" s="110"/>
    </row>
    <row r="4067" spans="8:9" x14ac:dyDescent="0.25">
      <c r="H4067" s="110"/>
      <c r="I4067" s="110"/>
    </row>
    <row r="4068" spans="8:9" x14ac:dyDescent="0.25">
      <c r="H4068" s="110"/>
      <c r="I4068" s="110"/>
    </row>
    <row r="4069" spans="8:9" x14ac:dyDescent="0.25">
      <c r="H4069" s="110"/>
      <c r="I4069" s="110"/>
    </row>
    <row r="4070" spans="8:9" x14ac:dyDescent="0.25">
      <c r="H4070" s="110"/>
      <c r="I4070" s="110"/>
    </row>
    <row r="4071" spans="8:9" x14ac:dyDescent="0.25">
      <c r="H4071" s="110"/>
      <c r="I4071" s="110"/>
    </row>
    <row r="4072" spans="8:9" x14ac:dyDescent="0.25">
      <c r="H4072" s="110"/>
      <c r="I4072" s="110"/>
    </row>
    <row r="4073" spans="8:9" x14ac:dyDescent="0.25">
      <c r="H4073" s="110"/>
      <c r="I4073" s="110"/>
    </row>
    <row r="4074" spans="8:9" x14ac:dyDescent="0.25">
      <c r="H4074" s="110"/>
      <c r="I4074" s="110"/>
    </row>
    <row r="4075" spans="8:9" x14ac:dyDescent="0.25">
      <c r="H4075" s="110"/>
      <c r="I4075" s="110"/>
    </row>
    <row r="4076" spans="8:9" x14ac:dyDescent="0.25">
      <c r="H4076" s="110"/>
      <c r="I4076" s="110"/>
    </row>
    <row r="4077" spans="8:9" x14ac:dyDescent="0.25">
      <c r="H4077" s="110"/>
      <c r="I4077" s="110"/>
    </row>
    <row r="4078" spans="8:9" x14ac:dyDescent="0.25">
      <c r="H4078" s="110"/>
      <c r="I4078" s="110"/>
    </row>
    <row r="4079" spans="8:9" x14ac:dyDescent="0.25">
      <c r="H4079" s="110"/>
      <c r="I4079" s="110"/>
    </row>
    <row r="4080" spans="8:9" x14ac:dyDescent="0.25">
      <c r="H4080" s="110"/>
      <c r="I4080" s="110"/>
    </row>
    <row r="4081" spans="8:9" x14ac:dyDescent="0.25">
      <c r="H4081" s="110"/>
      <c r="I4081" s="110"/>
    </row>
    <row r="4082" spans="8:9" x14ac:dyDescent="0.25">
      <c r="H4082" s="110"/>
      <c r="I4082" s="110"/>
    </row>
    <row r="4083" spans="8:9" x14ac:dyDescent="0.25">
      <c r="H4083" s="110"/>
      <c r="I4083" s="110"/>
    </row>
    <row r="4084" spans="8:9" x14ac:dyDescent="0.25">
      <c r="H4084" s="110"/>
      <c r="I4084" s="110"/>
    </row>
    <row r="4085" spans="8:9" x14ac:dyDescent="0.25">
      <c r="H4085" s="110"/>
      <c r="I4085" s="110"/>
    </row>
    <row r="4086" spans="8:9" x14ac:dyDescent="0.25">
      <c r="H4086" s="110"/>
      <c r="I4086" s="110"/>
    </row>
    <row r="4087" spans="8:9" x14ac:dyDescent="0.25">
      <c r="H4087" s="110"/>
      <c r="I4087" s="110"/>
    </row>
    <row r="4088" spans="8:9" x14ac:dyDescent="0.25">
      <c r="H4088" s="110"/>
      <c r="I4088" s="110"/>
    </row>
    <row r="4089" spans="8:9" x14ac:dyDescent="0.25">
      <c r="H4089" s="110"/>
      <c r="I4089" s="110"/>
    </row>
    <row r="4090" spans="8:9" x14ac:dyDescent="0.25">
      <c r="H4090" s="110"/>
      <c r="I4090" s="110"/>
    </row>
    <row r="4091" spans="8:9" x14ac:dyDescent="0.25">
      <c r="H4091" s="110"/>
      <c r="I4091" s="110"/>
    </row>
    <row r="4092" spans="8:9" x14ac:dyDescent="0.25">
      <c r="H4092" s="110"/>
      <c r="I4092" s="110"/>
    </row>
    <row r="4093" spans="8:9" x14ac:dyDescent="0.25">
      <c r="H4093" s="110"/>
      <c r="I4093" s="110"/>
    </row>
    <row r="4094" spans="8:9" x14ac:dyDescent="0.25">
      <c r="H4094" s="110"/>
      <c r="I4094" s="110"/>
    </row>
    <row r="4095" spans="8:9" x14ac:dyDescent="0.25">
      <c r="H4095" s="110"/>
      <c r="I4095" s="110"/>
    </row>
    <row r="4096" spans="8:9" x14ac:dyDescent="0.25">
      <c r="H4096" s="110"/>
      <c r="I4096" s="110"/>
    </row>
    <row r="4097" spans="8:9" x14ac:dyDescent="0.25">
      <c r="H4097" s="110"/>
      <c r="I4097" s="110"/>
    </row>
    <row r="4098" spans="8:9" x14ac:dyDescent="0.25">
      <c r="H4098" s="110"/>
      <c r="I4098" s="110"/>
    </row>
    <row r="4099" spans="8:9" x14ac:dyDescent="0.25">
      <c r="H4099" s="110"/>
      <c r="I4099" s="110"/>
    </row>
    <row r="4100" spans="8:9" x14ac:dyDescent="0.25">
      <c r="H4100" s="110"/>
      <c r="I4100" s="110"/>
    </row>
    <row r="4101" spans="8:9" x14ac:dyDescent="0.25">
      <c r="H4101" s="110"/>
      <c r="I4101" s="110"/>
    </row>
    <row r="4102" spans="8:9" x14ac:dyDescent="0.25">
      <c r="H4102" s="110"/>
      <c r="I4102" s="110"/>
    </row>
    <row r="4103" spans="8:9" x14ac:dyDescent="0.25">
      <c r="H4103" s="110"/>
      <c r="I4103" s="110"/>
    </row>
    <row r="4104" spans="8:9" x14ac:dyDescent="0.25">
      <c r="H4104" s="110"/>
      <c r="I4104" s="110"/>
    </row>
    <row r="4105" spans="8:9" x14ac:dyDescent="0.25">
      <c r="H4105" s="110"/>
      <c r="I4105" s="110"/>
    </row>
    <row r="4106" spans="8:9" x14ac:dyDescent="0.25">
      <c r="H4106" s="110"/>
      <c r="I4106" s="110"/>
    </row>
    <row r="4107" spans="8:9" x14ac:dyDescent="0.25">
      <c r="H4107" s="110"/>
      <c r="I4107" s="110"/>
    </row>
    <row r="4108" spans="8:9" x14ac:dyDescent="0.25">
      <c r="H4108" s="110"/>
      <c r="I4108" s="110"/>
    </row>
    <row r="4109" spans="8:9" x14ac:dyDescent="0.25">
      <c r="H4109" s="110"/>
      <c r="I4109" s="110"/>
    </row>
    <row r="4110" spans="8:9" x14ac:dyDescent="0.25">
      <c r="H4110" s="110"/>
      <c r="I4110" s="110"/>
    </row>
    <row r="4111" spans="8:9" x14ac:dyDescent="0.25">
      <c r="H4111" s="110"/>
      <c r="I4111" s="110"/>
    </row>
    <row r="4112" spans="8:9" x14ac:dyDescent="0.25">
      <c r="H4112" s="110"/>
      <c r="I4112" s="110"/>
    </row>
    <row r="4113" spans="8:9" x14ac:dyDescent="0.25">
      <c r="H4113" s="110"/>
      <c r="I4113" s="110"/>
    </row>
    <row r="4114" spans="8:9" x14ac:dyDescent="0.25">
      <c r="H4114" s="110"/>
      <c r="I4114" s="110"/>
    </row>
    <row r="4115" spans="8:9" x14ac:dyDescent="0.25">
      <c r="H4115" s="110"/>
      <c r="I4115" s="110"/>
    </row>
    <row r="4116" spans="8:9" x14ac:dyDescent="0.25">
      <c r="H4116" s="110"/>
      <c r="I4116" s="110"/>
    </row>
    <row r="4117" spans="8:9" x14ac:dyDescent="0.25">
      <c r="H4117" s="110"/>
      <c r="I4117" s="110"/>
    </row>
    <row r="4118" spans="8:9" x14ac:dyDescent="0.25">
      <c r="H4118" s="110"/>
      <c r="I4118" s="110"/>
    </row>
    <row r="4119" spans="8:9" x14ac:dyDescent="0.25">
      <c r="H4119" s="110"/>
      <c r="I4119" s="110"/>
    </row>
    <row r="4120" spans="8:9" x14ac:dyDescent="0.25">
      <c r="H4120" s="110"/>
      <c r="I4120" s="110"/>
    </row>
    <row r="4121" spans="8:9" x14ac:dyDescent="0.25">
      <c r="H4121" s="110"/>
      <c r="I4121" s="110"/>
    </row>
    <row r="4122" spans="8:9" x14ac:dyDescent="0.25">
      <c r="H4122" s="110"/>
      <c r="I4122" s="110"/>
    </row>
    <row r="4123" spans="8:9" x14ac:dyDescent="0.25">
      <c r="H4123" s="110"/>
      <c r="I4123" s="110"/>
    </row>
    <row r="4124" spans="8:9" x14ac:dyDescent="0.25">
      <c r="H4124" s="110"/>
      <c r="I4124" s="110"/>
    </row>
    <row r="4125" spans="8:9" x14ac:dyDescent="0.25">
      <c r="H4125" s="110"/>
      <c r="I4125" s="110"/>
    </row>
    <row r="4126" spans="8:9" x14ac:dyDescent="0.25">
      <c r="H4126" s="110"/>
      <c r="I4126" s="110"/>
    </row>
    <row r="4127" spans="8:9" x14ac:dyDescent="0.25">
      <c r="H4127" s="110"/>
      <c r="I4127" s="110"/>
    </row>
    <row r="4128" spans="8:9" x14ac:dyDescent="0.25">
      <c r="H4128" s="110"/>
      <c r="I4128" s="110"/>
    </row>
    <row r="4129" spans="8:9" x14ac:dyDescent="0.25">
      <c r="H4129" s="110"/>
      <c r="I4129" s="110"/>
    </row>
    <row r="4130" spans="8:9" x14ac:dyDescent="0.25">
      <c r="H4130" s="110"/>
      <c r="I4130" s="110"/>
    </row>
    <row r="4131" spans="8:9" x14ac:dyDescent="0.25">
      <c r="H4131" s="110"/>
      <c r="I4131" s="110"/>
    </row>
    <row r="4132" spans="8:9" x14ac:dyDescent="0.25">
      <c r="H4132" s="110"/>
      <c r="I4132" s="110"/>
    </row>
    <row r="4133" spans="8:9" x14ac:dyDescent="0.25">
      <c r="H4133" s="110"/>
      <c r="I4133" s="110"/>
    </row>
    <row r="4134" spans="8:9" x14ac:dyDescent="0.25">
      <c r="H4134" s="110"/>
      <c r="I4134" s="110"/>
    </row>
    <row r="4135" spans="8:9" x14ac:dyDescent="0.25">
      <c r="H4135" s="110"/>
      <c r="I4135" s="110"/>
    </row>
    <row r="4136" spans="8:9" x14ac:dyDescent="0.25">
      <c r="H4136" s="110"/>
      <c r="I4136" s="110"/>
    </row>
    <row r="4137" spans="8:9" x14ac:dyDescent="0.25">
      <c r="H4137" s="110"/>
      <c r="I4137" s="110"/>
    </row>
    <row r="4138" spans="8:9" x14ac:dyDescent="0.25">
      <c r="H4138" s="110"/>
      <c r="I4138" s="110"/>
    </row>
    <row r="4139" spans="8:9" x14ac:dyDescent="0.25">
      <c r="H4139" s="110"/>
      <c r="I4139" s="110"/>
    </row>
    <row r="4140" spans="8:9" x14ac:dyDescent="0.25">
      <c r="H4140" s="110"/>
      <c r="I4140" s="110"/>
    </row>
    <row r="4141" spans="8:9" x14ac:dyDescent="0.25">
      <c r="H4141" s="110"/>
      <c r="I4141" s="110"/>
    </row>
    <row r="4142" spans="8:9" x14ac:dyDescent="0.25">
      <c r="H4142" s="110"/>
      <c r="I4142" s="110"/>
    </row>
    <row r="4143" spans="8:9" x14ac:dyDescent="0.25">
      <c r="H4143" s="110"/>
      <c r="I4143" s="110"/>
    </row>
    <row r="4144" spans="8:9" x14ac:dyDescent="0.25">
      <c r="H4144" s="110"/>
      <c r="I4144" s="110"/>
    </row>
    <row r="4145" spans="8:9" x14ac:dyDescent="0.25">
      <c r="H4145" s="110"/>
      <c r="I4145" s="110"/>
    </row>
    <row r="4146" spans="8:9" x14ac:dyDescent="0.25">
      <c r="H4146" s="110"/>
      <c r="I4146" s="110"/>
    </row>
    <row r="4147" spans="8:9" x14ac:dyDescent="0.25">
      <c r="H4147" s="110"/>
      <c r="I4147" s="110"/>
    </row>
    <row r="4148" spans="8:9" x14ac:dyDescent="0.25">
      <c r="H4148" s="110"/>
      <c r="I4148" s="110"/>
    </row>
    <row r="4149" spans="8:9" x14ac:dyDescent="0.25">
      <c r="H4149" s="110"/>
      <c r="I4149" s="110"/>
    </row>
    <row r="4150" spans="8:9" x14ac:dyDescent="0.25">
      <c r="H4150" s="110"/>
      <c r="I4150" s="110"/>
    </row>
    <row r="4151" spans="8:9" x14ac:dyDescent="0.25">
      <c r="H4151" s="110"/>
      <c r="I4151" s="110"/>
    </row>
    <row r="4152" spans="8:9" x14ac:dyDescent="0.25">
      <c r="H4152" s="110"/>
      <c r="I4152" s="110"/>
    </row>
    <row r="4153" spans="8:9" x14ac:dyDescent="0.25">
      <c r="H4153" s="110"/>
      <c r="I4153" s="110"/>
    </row>
    <row r="4154" spans="8:9" x14ac:dyDescent="0.25">
      <c r="H4154" s="110"/>
      <c r="I4154" s="110"/>
    </row>
    <row r="4155" spans="8:9" x14ac:dyDescent="0.25">
      <c r="H4155" s="110"/>
      <c r="I4155" s="110"/>
    </row>
    <row r="4156" spans="8:9" x14ac:dyDescent="0.25">
      <c r="H4156" s="110"/>
      <c r="I4156" s="110"/>
    </row>
    <row r="4157" spans="8:9" x14ac:dyDescent="0.25">
      <c r="H4157" s="110"/>
      <c r="I4157" s="110"/>
    </row>
    <row r="4158" spans="8:9" x14ac:dyDescent="0.25">
      <c r="H4158" s="110"/>
      <c r="I4158" s="110"/>
    </row>
    <row r="4159" spans="8:9" x14ac:dyDescent="0.25">
      <c r="H4159" s="110"/>
      <c r="I4159" s="110"/>
    </row>
    <row r="4160" spans="8:9" x14ac:dyDescent="0.25">
      <c r="H4160" s="110"/>
      <c r="I4160" s="110"/>
    </row>
    <row r="4161" spans="8:9" x14ac:dyDescent="0.25">
      <c r="H4161" s="110"/>
      <c r="I4161" s="110"/>
    </row>
    <row r="4162" spans="8:9" x14ac:dyDescent="0.25">
      <c r="H4162" s="110"/>
      <c r="I4162" s="110"/>
    </row>
    <row r="4163" spans="8:9" x14ac:dyDescent="0.25">
      <c r="H4163" s="110"/>
      <c r="I4163" s="110"/>
    </row>
    <row r="4164" spans="8:9" x14ac:dyDescent="0.25">
      <c r="H4164" s="110"/>
      <c r="I4164" s="110"/>
    </row>
    <row r="4165" spans="8:9" x14ac:dyDescent="0.25">
      <c r="H4165" s="110"/>
      <c r="I4165" s="110"/>
    </row>
    <row r="4166" spans="8:9" x14ac:dyDescent="0.25">
      <c r="H4166" s="110"/>
      <c r="I4166" s="110"/>
    </row>
    <row r="4167" spans="8:9" x14ac:dyDescent="0.25">
      <c r="H4167" s="110"/>
      <c r="I4167" s="110"/>
    </row>
    <row r="4168" spans="8:9" x14ac:dyDescent="0.25">
      <c r="H4168" s="110"/>
      <c r="I4168" s="110"/>
    </row>
    <row r="4169" spans="8:9" x14ac:dyDescent="0.25">
      <c r="H4169" s="110"/>
      <c r="I4169" s="110"/>
    </row>
    <row r="4170" spans="8:9" x14ac:dyDescent="0.25">
      <c r="H4170" s="110"/>
      <c r="I4170" s="110"/>
    </row>
    <row r="4171" spans="8:9" x14ac:dyDescent="0.25">
      <c r="H4171" s="110"/>
      <c r="I4171" s="110"/>
    </row>
    <row r="4172" spans="8:9" x14ac:dyDescent="0.25">
      <c r="H4172" s="110"/>
      <c r="I4172" s="110"/>
    </row>
    <row r="4173" spans="8:9" x14ac:dyDescent="0.25">
      <c r="H4173" s="110"/>
      <c r="I4173" s="110"/>
    </row>
    <row r="4174" spans="8:9" x14ac:dyDescent="0.25">
      <c r="H4174" s="110"/>
      <c r="I4174" s="110"/>
    </row>
    <row r="4175" spans="8:9" x14ac:dyDescent="0.25">
      <c r="H4175" s="110"/>
      <c r="I4175" s="110"/>
    </row>
    <row r="4176" spans="8:9" x14ac:dyDescent="0.25">
      <c r="H4176" s="110"/>
      <c r="I4176" s="110"/>
    </row>
    <row r="4177" spans="8:9" x14ac:dyDescent="0.25">
      <c r="H4177" s="110"/>
      <c r="I4177" s="110"/>
    </row>
    <row r="4178" spans="8:9" x14ac:dyDescent="0.25">
      <c r="H4178" s="110"/>
      <c r="I4178" s="110"/>
    </row>
    <row r="4179" spans="8:9" x14ac:dyDescent="0.25">
      <c r="H4179" s="110"/>
      <c r="I4179" s="110"/>
    </row>
    <row r="4180" spans="8:9" x14ac:dyDescent="0.25">
      <c r="H4180" s="110"/>
      <c r="I4180" s="110"/>
    </row>
    <row r="4181" spans="8:9" x14ac:dyDescent="0.25">
      <c r="H4181" s="110"/>
      <c r="I4181" s="110"/>
    </row>
    <row r="4182" spans="8:9" x14ac:dyDescent="0.25">
      <c r="H4182" s="110"/>
      <c r="I4182" s="110"/>
    </row>
    <row r="4183" spans="8:9" x14ac:dyDescent="0.25">
      <c r="H4183" s="110"/>
      <c r="I4183" s="110"/>
    </row>
    <row r="4184" spans="8:9" x14ac:dyDescent="0.25">
      <c r="H4184" s="110"/>
      <c r="I4184" s="110"/>
    </row>
    <row r="4185" spans="8:9" x14ac:dyDescent="0.25">
      <c r="H4185" s="110"/>
      <c r="I4185" s="110"/>
    </row>
    <row r="4186" spans="8:9" x14ac:dyDescent="0.25">
      <c r="H4186" s="110"/>
      <c r="I4186" s="110"/>
    </row>
    <row r="4187" spans="8:9" x14ac:dyDescent="0.25">
      <c r="H4187" s="110"/>
      <c r="I4187" s="110"/>
    </row>
    <row r="4188" spans="8:9" x14ac:dyDescent="0.25">
      <c r="H4188" s="110"/>
      <c r="I4188" s="110"/>
    </row>
    <row r="4189" spans="8:9" x14ac:dyDescent="0.25">
      <c r="H4189" s="110"/>
      <c r="I4189" s="110"/>
    </row>
    <row r="4190" spans="8:9" x14ac:dyDescent="0.25">
      <c r="H4190" s="110"/>
      <c r="I4190" s="110"/>
    </row>
    <row r="4191" spans="8:9" x14ac:dyDescent="0.25">
      <c r="H4191" s="110"/>
      <c r="I4191" s="110"/>
    </row>
    <row r="4192" spans="8:9" x14ac:dyDescent="0.25">
      <c r="H4192" s="110"/>
      <c r="I4192" s="110"/>
    </row>
    <row r="4193" spans="8:9" x14ac:dyDescent="0.25">
      <c r="H4193" s="110"/>
      <c r="I4193" s="110"/>
    </row>
    <row r="4194" spans="8:9" x14ac:dyDescent="0.25">
      <c r="H4194" s="110"/>
      <c r="I4194" s="110"/>
    </row>
    <row r="4195" spans="8:9" x14ac:dyDescent="0.25">
      <c r="H4195" s="110"/>
      <c r="I4195" s="110"/>
    </row>
    <row r="4196" spans="8:9" x14ac:dyDescent="0.25">
      <c r="H4196" s="110"/>
      <c r="I4196" s="110"/>
    </row>
    <row r="4197" spans="8:9" x14ac:dyDescent="0.25">
      <c r="H4197" s="110"/>
      <c r="I4197" s="110"/>
    </row>
    <row r="4198" spans="8:9" x14ac:dyDescent="0.25">
      <c r="H4198" s="110"/>
      <c r="I4198" s="110"/>
    </row>
    <row r="4199" spans="8:9" x14ac:dyDescent="0.25">
      <c r="H4199" s="110"/>
      <c r="I4199" s="110"/>
    </row>
    <row r="4200" spans="8:9" x14ac:dyDescent="0.25">
      <c r="H4200" s="110"/>
      <c r="I4200" s="110"/>
    </row>
    <row r="4201" spans="8:9" x14ac:dyDescent="0.25">
      <c r="H4201" s="110"/>
      <c r="I4201" s="110"/>
    </row>
    <row r="4202" spans="8:9" x14ac:dyDescent="0.25">
      <c r="H4202" s="110"/>
      <c r="I4202" s="110"/>
    </row>
    <row r="4203" spans="8:9" x14ac:dyDescent="0.25">
      <c r="H4203" s="110"/>
      <c r="I4203" s="110"/>
    </row>
    <row r="4204" spans="8:9" x14ac:dyDescent="0.25">
      <c r="H4204" s="110"/>
      <c r="I4204" s="110"/>
    </row>
    <row r="4205" spans="8:9" x14ac:dyDescent="0.25">
      <c r="H4205" s="110"/>
      <c r="I4205" s="110"/>
    </row>
    <row r="4206" spans="8:9" x14ac:dyDescent="0.25">
      <c r="H4206" s="110"/>
      <c r="I4206" s="110"/>
    </row>
    <row r="4207" spans="8:9" x14ac:dyDescent="0.25">
      <c r="H4207" s="110"/>
      <c r="I4207" s="110"/>
    </row>
    <row r="4208" spans="8:9" x14ac:dyDescent="0.25">
      <c r="H4208" s="110"/>
      <c r="I4208" s="110"/>
    </row>
    <row r="4209" spans="8:9" x14ac:dyDescent="0.25">
      <c r="H4209" s="110"/>
      <c r="I4209" s="110"/>
    </row>
    <row r="4210" spans="8:9" x14ac:dyDescent="0.25">
      <c r="H4210" s="110"/>
      <c r="I4210" s="110"/>
    </row>
    <row r="4211" spans="8:9" x14ac:dyDescent="0.25">
      <c r="H4211" s="110"/>
      <c r="I4211" s="110"/>
    </row>
    <row r="4212" spans="8:9" x14ac:dyDescent="0.25">
      <c r="H4212" s="110"/>
      <c r="I4212" s="110"/>
    </row>
    <row r="4213" spans="8:9" x14ac:dyDescent="0.25">
      <c r="H4213" s="110"/>
      <c r="I4213" s="110"/>
    </row>
    <row r="4214" spans="8:9" x14ac:dyDescent="0.25">
      <c r="H4214" s="110"/>
      <c r="I4214" s="110"/>
    </row>
    <row r="4215" spans="8:9" x14ac:dyDescent="0.25">
      <c r="H4215" s="110"/>
      <c r="I4215" s="110"/>
    </row>
    <row r="4216" spans="8:9" x14ac:dyDescent="0.25">
      <c r="H4216" s="110"/>
      <c r="I4216" s="110"/>
    </row>
    <row r="4217" spans="8:9" x14ac:dyDescent="0.25">
      <c r="H4217" s="110"/>
      <c r="I4217" s="110"/>
    </row>
    <row r="4218" spans="8:9" x14ac:dyDescent="0.25">
      <c r="H4218" s="110"/>
      <c r="I4218" s="110"/>
    </row>
    <row r="4219" spans="8:9" x14ac:dyDescent="0.25">
      <c r="H4219" s="110"/>
      <c r="I4219" s="110"/>
    </row>
    <row r="4220" spans="8:9" x14ac:dyDescent="0.25">
      <c r="H4220" s="110"/>
      <c r="I4220" s="110"/>
    </row>
    <row r="4221" spans="8:9" x14ac:dyDescent="0.25">
      <c r="H4221" s="110"/>
      <c r="I4221" s="110"/>
    </row>
    <row r="4222" spans="8:9" x14ac:dyDescent="0.25">
      <c r="H4222" s="110"/>
      <c r="I4222" s="110"/>
    </row>
    <row r="4223" spans="8:9" x14ac:dyDescent="0.25">
      <c r="H4223" s="110"/>
      <c r="I4223" s="110"/>
    </row>
    <row r="4224" spans="8:9" x14ac:dyDescent="0.25">
      <c r="H4224" s="110"/>
      <c r="I4224" s="110"/>
    </row>
    <row r="4225" spans="8:9" x14ac:dyDescent="0.25">
      <c r="H4225" s="110"/>
      <c r="I4225" s="110"/>
    </row>
    <row r="4226" spans="8:9" x14ac:dyDescent="0.25">
      <c r="H4226" s="110"/>
      <c r="I4226" s="110"/>
    </row>
    <row r="4227" spans="8:9" x14ac:dyDescent="0.25">
      <c r="H4227" s="110"/>
      <c r="I4227" s="110"/>
    </row>
    <row r="4228" spans="8:9" x14ac:dyDescent="0.25">
      <c r="H4228" s="110"/>
      <c r="I4228" s="110"/>
    </row>
    <row r="4229" spans="8:9" x14ac:dyDescent="0.25">
      <c r="H4229" s="110"/>
      <c r="I4229" s="110"/>
    </row>
    <row r="4230" spans="8:9" x14ac:dyDescent="0.25">
      <c r="H4230" s="110"/>
      <c r="I4230" s="110"/>
    </row>
    <row r="4231" spans="8:9" x14ac:dyDescent="0.25">
      <c r="H4231" s="110"/>
      <c r="I4231" s="110"/>
    </row>
    <row r="4232" spans="8:9" x14ac:dyDescent="0.25">
      <c r="H4232" s="110"/>
      <c r="I4232" s="110"/>
    </row>
    <row r="4233" spans="8:9" x14ac:dyDescent="0.25">
      <c r="H4233" s="110"/>
      <c r="I4233" s="110"/>
    </row>
    <row r="4234" spans="8:9" x14ac:dyDescent="0.25">
      <c r="H4234" s="110"/>
      <c r="I4234" s="110"/>
    </row>
    <row r="4235" spans="8:9" x14ac:dyDescent="0.25">
      <c r="H4235" s="110"/>
      <c r="I4235" s="110"/>
    </row>
    <row r="4236" spans="8:9" x14ac:dyDescent="0.25">
      <c r="H4236" s="110"/>
      <c r="I4236" s="110"/>
    </row>
    <row r="4237" spans="8:9" x14ac:dyDescent="0.25">
      <c r="H4237" s="110"/>
      <c r="I4237" s="110"/>
    </row>
    <row r="4238" spans="8:9" x14ac:dyDescent="0.25">
      <c r="H4238" s="110"/>
      <c r="I4238" s="110"/>
    </row>
    <row r="4239" spans="8:9" x14ac:dyDescent="0.25">
      <c r="H4239" s="110"/>
      <c r="I4239" s="110"/>
    </row>
    <row r="4240" spans="8:9" x14ac:dyDescent="0.25">
      <c r="H4240" s="110"/>
      <c r="I4240" s="110"/>
    </row>
    <row r="4241" spans="8:9" x14ac:dyDescent="0.25">
      <c r="H4241" s="110"/>
      <c r="I4241" s="110"/>
    </row>
    <row r="4242" spans="8:9" x14ac:dyDescent="0.25">
      <c r="H4242" s="110"/>
      <c r="I4242" s="110"/>
    </row>
    <row r="4243" spans="8:9" x14ac:dyDescent="0.25">
      <c r="H4243" s="110"/>
      <c r="I4243" s="110"/>
    </row>
    <row r="4244" spans="8:9" x14ac:dyDescent="0.25">
      <c r="H4244" s="110"/>
      <c r="I4244" s="110"/>
    </row>
    <row r="4245" spans="8:9" x14ac:dyDescent="0.25">
      <c r="H4245" s="110"/>
      <c r="I4245" s="110"/>
    </row>
    <row r="4246" spans="8:9" x14ac:dyDescent="0.25">
      <c r="H4246" s="110"/>
      <c r="I4246" s="110"/>
    </row>
    <row r="4247" spans="8:9" x14ac:dyDescent="0.25">
      <c r="H4247" s="110"/>
      <c r="I4247" s="110"/>
    </row>
    <row r="4248" spans="8:9" x14ac:dyDescent="0.25">
      <c r="H4248" s="110"/>
      <c r="I4248" s="110"/>
    </row>
    <row r="4249" spans="8:9" x14ac:dyDescent="0.25">
      <c r="H4249" s="110"/>
      <c r="I4249" s="110"/>
    </row>
    <row r="4250" spans="8:9" x14ac:dyDescent="0.25">
      <c r="H4250" s="110"/>
      <c r="I4250" s="110"/>
    </row>
    <row r="4251" spans="8:9" x14ac:dyDescent="0.25">
      <c r="H4251" s="110"/>
      <c r="I4251" s="110"/>
    </row>
    <row r="4252" spans="8:9" x14ac:dyDescent="0.25">
      <c r="H4252" s="110"/>
      <c r="I4252" s="110"/>
    </row>
    <row r="4253" spans="8:9" x14ac:dyDescent="0.25">
      <c r="H4253" s="110"/>
      <c r="I4253" s="110"/>
    </row>
    <row r="4254" spans="8:9" x14ac:dyDescent="0.25">
      <c r="H4254" s="110"/>
      <c r="I4254" s="110"/>
    </row>
    <row r="4255" spans="8:9" x14ac:dyDescent="0.25">
      <c r="H4255" s="110"/>
      <c r="I4255" s="110"/>
    </row>
    <row r="4256" spans="8:9" x14ac:dyDescent="0.25">
      <c r="H4256" s="110"/>
      <c r="I4256" s="110"/>
    </row>
    <row r="4257" spans="8:9" x14ac:dyDescent="0.25">
      <c r="H4257" s="110"/>
      <c r="I4257" s="110"/>
    </row>
    <row r="4258" spans="8:9" x14ac:dyDescent="0.25">
      <c r="H4258" s="110"/>
      <c r="I4258" s="110"/>
    </row>
    <row r="4259" spans="8:9" x14ac:dyDescent="0.25">
      <c r="H4259" s="110"/>
      <c r="I4259" s="110"/>
    </row>
    <row r="4260" spans="8:9" x14ac:dyDescent="0.25">
      <c r="H4260" s="110"/>
      <c r="I4260" s="110"/>
    </row>
    <row r="4261" spans="8:9" x14ac:dyDescent="0.25">
      <c r="H4261" s="110"/>
      <c r="I4261" s="110"/>
    </row>
    <row r="4262" spans="8:9" x14ac:dyDescent="0.25">
      <c r="H4262" s="110"/>
      <c r="I4262" s="110"/>
    </row>
    <row r="4263" spans="8:9" x14ac:dyDescent="0.25">
      <c r="H4263" s="110"/>
      <c r="I4263" s="110"/>
    </row>
    <row r="4264" spans="8:9" x14ac:dyDescent="0.25">
      <c r="H4264" s="110"/>
      <c r="I4264" s="110"/>
    </row>
    <row r="4265" spans="8:9" x14ac:dyDescent="0.25">
      <c r="H4265" s="110"/>
      <c r="I4265" s="110"/>
    </row>
    <row r="4266" spans="8:9" x14ac:dyDescent="0.25">
      <c r="H4266" s="110"/>
      <c r="I4266" s="110"/>
    </row>
    <row r="4267" spans="8:9" x14ac:dyDescent="0.25">
      <c r="H4267" s="110"/>
      <c r="I4267" s="110"/>
    </row>
    <row r="4268" spans="8:9" x14ac:dyDescent="0.25">
      <c r="H4268" s="110"/>
      <c r="I4268" s="110"/>
    </row>
    <row r="4269" spans="8:9" x14ac:dyDescent="0.25">
      <c r="H4269" s="110"/>
      <c r="I4269" s="110"/>
    </row>
    <row r="4270" spans="8:9" x14ac:dyDescent="0.25">
      <c r="H4270" s="110"/>
      <c r="I4270" s="110"/>
    </row>
    <row r="4271" spans="8:9" x14ac:dyDescent="0.25">
      <c r="H4271" s="110"/>
      <c r="I4271" s="110"/>
    </row>
    <row r="4272" spans="8:9" x14ac:dyDescent="0.25">
      <c r="H4272" s="110"/>
      <c r="I4272" s="110"/>
    </row>
    <row r="4273" spans="8:9" x14ac:dyDescent="0.25">
      <c r="H4273" s="110"/>
      <c r="I4273" s="110"/>
    </row>
    <row r="4274" spans="8:9" x14ac:dyDescent="0.25">
      <c r="H4274" s="110"/>
      <c r="I4274" s="110"/>
    </row>
    <row r="4275" spans="8:9" x14ac:dyDescent="0.25">
      <c r="H4275" s="110"/>
      <c r="I4275" s="110"/>
    </row>
    <row r="4276" spans="8:9" x14ac:dyDescent="0.25">
      <c r="H4276" s="110"/>
      <c r="I4276" s="110"/>
    </row>
    <row r="4277" spans="8:9" x14ac:dyDescent="0.25">
      <c r="H4277" s="110"/>
      <c r="I4277" s="110"/>
    </row>
    <row r="4278" spans="8:9" x14ac:dyDescent="0.25">
      <c r="H4278" s="110"/>
      <c r="I4278" s="110"/>
    </row>
    <row r="4279" spans="8:9" x14ac:dyDescent="0.25">
      <c r="H4279" s="110"/>
      <c r="I4279" s="110"/>
    </row>
    <row r="4280" spans="8:9" x14ac:dyDescent="0.25">
      <c r="H4280" s="110"/>
      <c r="I4280" s="110"/>
    </row>
    <row r="4281" spans="8:9" x14ac:dyDescent="0.25">
      <c r="H4281" s="110"/>
      <c r="I4281" s="110"/>
    </row>
    <row r="4282" spans="8:9" x14ac:dyDescent="0.25">
      <c r="H4282" s="110"/>
      <c r="I4282" s="110"/>
    </row>
    <row r="4283" spans="8:9" x14ac:dyDescent="0.25">
      <c r="H4283" s="110"/>
      <c r="I4283" s="110"/>
    </row>
    <row r="4284" spans="8:9" x14ac:dyDescent="0.25">
      <c r="H4284" s="110"/>
      <c r="I4284" s="110"/>
    </row>
    <row r="4285" spans="8:9" x14ac:dyDescent="0.25">
      <c r="H4285" s="110"/>
      <c r="I4285" s="110"/>
    </row>
    <row r="4286" spans="8:9" x14ac:dyDescent="0.25">
      <c r="H4286" s="110"/>
      <c r="I4286" s="110"/>
    </row>
    <row r="4287" spans="8:9" x14ac:dyDescent="0.25">
      <c r="H4287" s="110"/>
      <c r="I4287" s="110"/>
    </row>
    <row r="4288" spans="8:9" x14ac:dyDescent="0.25">
      <c r="H4288" s="110"/>
      <c r="I4288" s="110"/>
    </row>
    <row r="4289" spans="8:9" x14ac:dyDescent="0.25">
      <c r="H4289" s="110"/>
      <c r="I4289" s="110"/>
    </row>
    <row r="4290" spans="8:9" x14ac:dyDescent="0.25">
      <c r="H4290" s="110"/>
      <c r="I4290" s="110"/>
    </row>
    <row r="4291" spans="8:9" x14ac:dyDescent="0.25">
      <c r="H4291" s="110"/>
      <c r="I4291" s="110"/>
    </row>
    <row r="4292" spans="8:9" x14ac:dyDescent="0.25">
      <c r="H4292" s="110"/>
      <c r="I4292" s="110"/>
    </row>
    <row r="4293" spans="8:9" x14ac:dyDescent="0.25">
      <c r="H4293" s="110"/>
      <c r="I4293" s="110"/>
    </row>
    <row r="4294" spans="8:9" x14ac:dyDescent="0.25">
      <c r="H4294" s="110"/>
      <c r="I4294" s="110"/>
    </row>
    <row r="4295" spans="8:9" x14ac:dyDescent="0.25">
      <c r="H4295" s="110"/>
      <c r="I4295" s="110"/>
    </row>
    <row r="4296" spans="8:9" x14ac:dyDescent="0.25">
      <c r="H4296" s="110"/>
      <c r="I4296" s="110"/>
    </row>
    <row r="4297" spans="8:9" x14ac:dyDescent="0.25">
      <c r="H4297" s="110"/>
      <c r="I4297" s="110"/>
    </row>
    <row r="4298" spans="8:9" x14ac:dyDescent="0.25">
      <c r="H4298" s="110"/>
      <c r="I4298" s="110"/>
    </row>
    <row r="4299" spans="8:9" x14ac:dyDescent="0.25">
      <c r="H4299" s="110"/>
      <c r="I4299" s="110"/>
    </row>
    <row r="4300" spans="8:9" x14ac:dyDescent="0.25">
      <c r="H4300" s="110"/>
      <c r="I4300" s="110"/>
    </row>
    <row r="4301" spans="8:9" x14ac:dyDescent="0.25">
      <c r="H4301" s="110"/>
      <c r="I4301" s="110"/>
    </row>
    <row r="4302" spans="8:9" x14ac:dyDescent="0.25">
      <c r="H4302" s="110"/>
      <c r="I4302" s="110"/>
    </row>
    <row r="4303" spans="8:9" x14ac:dyDescent="0.25">
      <c r="H4303" s="110"/>
      <c r="I4303" s="110"/>
    </row>
    <row r="4304" spans="8:9" x14ac:dyDescent="0.25">
      <c r="H4304" s="110"/>
      <c r="I4304" s="110"/>
    </row>
    <row r="4305" spans="8:9" x14ac:dyDescent="0.25">
      <c r="H4305" s="110"/>
      <c r="I4305" s="110"/>
    </row>
    <row r="4306" spans="8:9" x14ac:dyDescent="0.25">
      <c r="H4306" s="110"/>
      <c r="I4306" s="110"/>
    </row>
    <row r="4307" spans="8:9" x14ac:dyDescent="0.25">
      <c r="H4307" s="110"/>
      <c r="I4307" s="110"/>
    </row>
    <row r="4308" spans="8:9" x14ac:dyDescent="0.25">
      <c r="H4308" s="110"/>
      <c r="I4308" s="110"/>
    </row>
    <row r="4309" spans="8:9" x14ac:dyDescent="0.25">
      <c r="H4309" s="110"/>
      <c r="I4309" s="110"/>
    </row>
    <row r="4310" spans="8:9" x14ac:dyDescent="0.25">
      <c r="H4310" s="110"/>
      <c r="I4310" s="110"/>
    </row>
    <row r="4311" spans="8:9" x14ac:dyDescent="0.25">
      <c r="H4311" s="110"/>
      <c r="I4311" s="110"/>
    </row>
    <row r="4312" spans="8:9" x14ac:dyDescent="0.25">
      <c r="H4312" s="110"/>
      <c r="I4312" s="110"/>
    </row>
    <row r="4313" spans="8:9" x14ac:dyDescent="0.25">
      <c r="H4313" s="110"/>
      <c r="I4313" s="110"/>
    </row>
    <row r="4314" spans="8:9" x14ac:dyDescent="0.25">
      <c r="H4314" s="110"/>
      <c r="I4314" s="110"/>
    </row>
    <row r="4315" spans="8:9" x14ac:dyDescent="0.25">
      <c r="H4315" s="110"/>
      <c r="I4315" s="110"/>
    </row>
    <row r="4316" spans="8:9" x14ac:dyDescent="0.25">
      <c r="H4316" s="110"/>
      <c r="I4316" s="110"/>
    </row>
    <row r="4317" spans="8:9" x14ac:dyDescent="0.25">
      <c r="H4317" s="110"/>
      <c r="I4317" s="110"/>
    </row>
    <row r="4318" spans="8:9" x14ac:dyDescent="0.25">
      <c r="H4318" s="110"/>
      <c r="I4318" s="110"/>
    </row>
    <row r="4319" spans="8:9" x14ac:dyDescent="0.25">
      <c r="H4319" s="110"/>
      <c r="I4319" s="110"/>
    </row>
    <row r="4320" spans="8:9" x14ac:dyDescent="0.25">
      <c r="H4320" s="110"/>
      <c r="I4320" s="110"/>
    </row>
    <row r="4321" spans="8:9" x14ac:dyDescent="0.25">
      <c r="H4321" s="110"/>
      <c r="I4321" s="110"/>
    </row>
    <row r="4322" spans="8:9" x14ac:dyDescent="0.25">
      <c r="H4322" s="110"/>
      <c r="I4322" s="110"/>
    </row>
    <row r="4323" spans="8:9" x14ac:dyDescent="0.25">
      <c r="H4323" s="110"/>
      <c r="I4323" s="110"/>
    </row>
    <row r="4324" spans="8:9" x14ac:dyDescent="0.25">
      <c r="H4324" s="110"/>
      <c r="I4324" s="110"/>
    </row>
    <row r="4325" spans="8:9" x14ac:dyDescent="0.25">
      <c r="H4325" s="110"/>
      <c r="I4325" s="110"/>
    </row>
    <row r="4326" spans="8:9" x14ac:dyDescent="0.25">
      <c r="H4326" s="110"/>
      <c r="I4326" s="110"/>
    </row>
    <row r="4327" spans="8:9" x14ac:dyDescent="0.25">
      <c r="H4327" s="110"/>
      <c r="I4327" s="110"/>
    </row>
    <row r="4328" spans="8:9" x14ac:dyDescent="0.25">
      <c r="H4328" s="110"/>
      <c r="I4328" s="110"/>
    </row>
    <row r="4329" spans="8:9" x14ac:dyDescent="0.25">
      <c r="H4329" s="110"/>
      <c r="I4329" s="110"/>
    </row>
    <row r="4330" spans="8:9" x14ac:dyDescent="0.25">
      <c r="H4330" s="110"/>
      <c r="I4330" s="110"/>
    </row>
    <row r="4331" spans="8:9" x14ac:dyDescent="0.25">
      <c r="H4331" s="110"/>
      <c r="I4331" s="110"/>
    </row>
    <row r="4332" spans="8:9" x14ac:dyDescent="0.25">
      <c r="H4332" s="110"/>
      <c r="I4332" s="110"/>
    </row>
    <row r="4333" spans="8:9" x14ac:dyDescent="0.25">
      <c r="H4333" s="110"/>
      <c r="I4333" s="110"/>
    </row>
    <row r="4334" spans="8:9" x14ac:dyDescent="0.25">
      <c r="H4334" s="110"/>
      <c r="I4334" s="110"/>
    </row>
    <row r="4335" spans="8:9" x14ac:dyDescent="0.25">
      <c r="H4335" s="110"/>
      <c r="I4335" s="110"/>
    </row>
    <row r="4336" spans="8:9" x14ac:dyDescent="0.25">
      <c r="H4336" s="110"/>
      <c r="I4336" s="110"/>
    </row>
    <row r="4337" spans="8:9" x14ac:dyDescent="0.25">
      <c r="H4337" s="110"/>
      <c r="I4337" s="110"/>
    </row>
    <row r="4338" spans="8:9" x14ac:dyDescent="0.25">
      <c r="H4338" s="110"/>
      <c r="I4338" s="110"/>
    </row>
    <row r="4339" spans="8:9" x14ac:dyDescent="0.25">
      <c r="H4339" s="110"/>
      <c r="I4339" s="110"/>
    </row>
    <row r="4340" spans="8:9" x14ac:dyDescent="0.25">
      <c r="H4340" s="110"/>
      <c r="I4340" s="110"/>
    </row>
    <row r="4341" spans="8:9" x14ac:dyDescent="0.25">
      <c r="H4341" s="110"/>
      <c r="I4341" s="110"/>
    </row>
    <row r="4342" spans="8:9" x14ac:dyDescent="0.25">
      <c r="H4342" s="110"/>
      <c r="I4342" s="110"/>
    </row>
    <row r="4343" spans="8:9" x14ac:dyDescent="0.25">
      <c r="H4343" s="110"/>
      <c r="I4343" s="110"/>
    </row>
    <row r="4344" spans="8:9" x14ac:dyDescent="0.25">
      <c r="H4344" s="110"/>
      <c r="I4344" s="110"/>
    </row>
    <row r="4345" spans="8:9" x14ac:dyDescent="0.25">
      <c r="H4345" s="110"/>
      <c r="I4345" s="110"/>
    </row>
    <row r="4346" spans="8:9" x14ac:dyDescent="0.25">
      <c r="H4346" s="110"/>
      <c r="I4346" s="110"/>
    </row>
    <row r="4347" spans="8:9" x14ac:dyDescent="0.25">
      <c r="H4347" s="110"/>
      <c r="I4347" s="110"/>
    </row>
    <row r="4348" spans="8:9" x14ac:dyDescent="0.25">
      <c r="H4348" s="110"/>
      <c r="I4348" s="110"/>
    </row>
    <row r="4349" spans="8:9" x14ac:dyDescent="0.25">
      <c r="H4349" s="110"/>
      <c r="I4349" s="110"/>
    </row>
    <row r="4350" spans="8:9" x14ac:dyDescent="0.25">
      <c r="H4350" s="110"/>
      <c r="I4350" s="110"/>
    </row>
    <row r="4351" spans="8:9" x14ac:dyDescent="0.25">
      <c r="H4351" s="110"/>
      <c r="I4351" s="110"/>
    </row>
    <row r="4352" spans="8:9" x14ac:dyDescent="0.25">
      <c r="H4352" s="110"/>
      <c r="I4352" s="110"/>
    </row>
    <row r="4353" spans="8:9" x14ac:dyDescent="0.25">
      <c r="H4353" s="110"/>
      <c r="I4353" s="110"/>
    </row>
    <row r="4354" spans="8:9" x14ac:dyDescent="0.25">
      <c r="H4354" s="110"/>
      <c r="I4354" s="110"/>
    </row>
    <row r="4355" spans="8:9" x14ac:dyDescent="0.25">
      <c r="H4355" s="110"/>
      <c r="I4355" s="110"/>
    </row>
    <row r="4356" spans="8:9" x14ac:dyDescent="0.25">
      <c r="H4356" s="110"/>
      <c r="I4356" s="110"/>
    </row>
    <row r="4357" spans="8:9" x14ac:dyDescent="0.25">
      <c r="H4357" s="110"/>
      <c r="I4357" s="110"/>
    </row>
    <row r="4358" spans="8:9" x14ac:dyDescent="0.25">
      <c r="H4358" s="110"/>
      <c r="I4358" s="110"/>
    </row>
    <row r="4359" spans="8:9" x14ac:dyDescent="0.25">
      <c r="H4359" s="110"/>
      <c r="I4359" s="110"/>
    </row>
    <row r="4360" spans="8:9" x14ac:dyDescent="0.25">
      <c r="H4360" s="110"/>
      <c r="I4360" s="110"/>
    </row>
    <row r="4361" spans="8:9" x14ac:dyDescent="0.25">
      <c r="H4361" s="110"/>
      <c r="I4361" s="110"/>
    </row>
    <row r="4362" spans="8:9" x14ac:dyDescent="0.25">
      <c r="H4362" s="110"/>
      <c r="I4362" s="110"/>
    </row>
    <row r="4363" spans="8:9" x14ac:dyDescent="0.25">
      <c r="H4363" s="110"/>
      <c r="I4363" s="110"/>
    </row>
    <row r="4364" spans="8:9" x14ac:dyDescent="0.25">
      <c r="H4364" s="110"/>
      <c r="I4364" s="110"/>
    </row>
    <row r="4365" spans="8:9" x14ac:dyDescent="0.25">
      <c r="H4365" s="110"/>
      <c r="I4365" s="110"/>
    </row>
    <row r="4366" spans="8:9" x14ac:dyDescent="0.25">
      <c r="H4366" s="110"/>
      <c r="I4366" s="110"/>
    </row>
    <row r="4367" spans="8:9" x14ac:dyDescent="0.25">
      <c r="H4367" s="110"/>
      <c r="I4367" s="110"/>
    </row>
    <row r="4368" spans="8:9" x14ac:dyDescent="0.25">
      <c r="H4368" s="110"/>
      <c r="I4368" s="110"/>
    </row>
    <row r="4369" spans="8:9" x14ac:dyDescent="0.25">
      <c r="H4369" s="110"/>
      <c r="I4369" s="110"/>
    </row>
    <row r="4370" spans="8:9" x14ac:dyDescent="0.25">
      <c r="H4370" s="110"/>
      <c r="I4370" s="110"/>
    </row>
    <row r="4371" spans="8:9" x14ac:dyDescent="0.25">
      <c r="H4371" s="110"/>
      <c r="I4371" s="110"/>
    </row>
    <row r="4372" spans="8:9" x14ac:dyDescent="0.25">
      <c r="H4372" s="110"/>
      <c r="I4372" s="110"/>
    </row>
    <row r="4373" spans="8:9" x14ac:dyDescent="0.25">
      <c r="H4373" s="110"/>
      <c r="I4373" s="110"/>
    </row>
    <row r="4374" spans="8:9" x14ac:dyDescent="0.25">
      <c r="H4374" s="110"/>
      <c r="I4374" s="110"/>
    </row>
    <row r="4375" spans="8:9" x14ac:dyDescent="0.25">
      <c r="H4375" s="110"/>
      <c r="I4375" s="110"/>
    </row>
    <row r="4376" spans="8:9" x14ac:dyDescent="0.25">
      <c r="H4376" s="110"/>
      <c r="I4376" s="110"/>
    </row>
    <row r="4377" spans="8:9" x14ac:dyDescent="0.25">
      <c r="H4377" s="110"/>
      <c r="I4377" s="110"/>
    </row>
    <row r="4378" spans="8:9" x14ac:dyDescent="0.25">
      <c r="H4378" s="110"/>
      <c r="I4378" s="110"/>
    </row>
    <row r="4379" spans="8:9" x14ac:dyDescent="0.25">
      <c r="H4379" s="110"/>
      <c r="I4379" s="110"/>
    </row>
    <row r="4380" spans="8:9" x14ac:dyDescent="0.25">
      <c r="H4380" s="110"/>
      <c r="I4380" s="110"/>
    </row>
    <row r="4381" spans="8:9" x14ac:dyDescent="0.25">
      <c r="H4381" s="110"/>
      <c r="I4381" s="110"/>
    </row>
    <row r="4382" spans="8:9" x14ac:dyDescent="0.25">
      <c r="H4382" s="110"/>
      <c r="I4382" s="110"/>
    </row>
    <row r="4383" spans="8:9" x14ac:dyDescent="0.25">
      <c r="H4383" s="110"/>
      <c r="I4383" s="110"/>
    </row>
    <row r="4384" spans="8:9" x14ac:dyDescent="0.25">
      <c r="H4384" s="110"/>
      <c r="I4384" s="110"/>
    </row>
    <row r="4385" spans="8:9" x14ac:dyDescent="0.25">
      <c r="H4385" s="110"/>
      <c r="I4385" s="110"/>
    </row>
    <row r="4386" spans="8:9" x14ac:dyDescent="0.25">
      <c r="H4386" s="110"/>
      <c r="I4386" s="110"/>
    </row>
    <row r="4387" spans="8:9" x14ac:dyDescent="0.25">
      <c r="H4387" s="110"/>
      <c r="I4387" s="110"/>
    </row>
    <row r="4388" spans="8:9" x14ac:dyDescent="0.25">
      <c r="H4388" s="110"/>
      <c r="I4388" s="110"/>
    </row>
    <row r="4389" spans="8:9" x14ac:dyDescent="0.25">
      <c r="H4389" s="110"/>
      <c r="I4389" s="110"/>
    </row>
    <row r="4390" spans="8:9" x14ac:dyDescent="0.25">
      <c r="H4390" s="110"/>
      <c r="I4390" s="110"/>
    </row>
    <row r="4391" spans="8:9" x14ac:dyDescent="0.25">
      <c r="H4391" s="110"/>
      <c r="I4391" s="110"/>
    </row>
    <row r="4392" spans="8:9" x14ac:dyDescent="0.25">
      <c r="H4392" s="110"/>
      <c r="I4392" s="110"/>
    </row>
    <row r="4393" spans="8:9" x14ac:dyDescent="0.25">
      <c r="H4393" s="110"/>
      <c r="I4393" s="110"/>
    </row>
    <row r="4394" spans="8:9" x14ac:dyDescent="0.25">
      <c r="H4394" s="110"/>
      <c r="I4394" s="110"/>
    </row>
    <row r="4395" spans="8:9" x14ac:dyDescent="0.25">
      <c r="H4395" s="110"/>
      <c r="I4395" s="110"/>
    </row>
    <row r="4396" spans="8:9" x14ac:dyDescent="0.25">
      <c r="H4396" s="110"/>
      <c r="I4396" s="110"/>
    </row>
    <row r="4397" spans="8:9" x14ac:dyDescent="0.25">
      <c r="H4397" s="110"/>
      <c r="I4397" s="110"/>
    </row>
    <row r="4398" spans="8:9" x14ac:dyDescent="0.25">
      <c r="H4398" s="110"/>
      <c r="I4398" s="110"/>
    </row>
    <row r="4399" spans="8:9" x14ac:dyDescent="0.25">
      <c r="H4399" s="110"/>
      <c r="I4399" s="110"/>
    </row>
    <row r="4400" spans="8:9" x14ac:dyDescent="0.25">
      <c r="H4400" s="110"/>
      <c r="I4400" s="110"/>
    </row>
    <row r="4401" spans="8:9" x14ac:dyDescent="0.25">
      <c r="H4401" s="110"/>
      <c r="I4401" s="110"/>
    </row>
    <row r="4402" spans="8:9" x14ac:dyDescent="0.25">
      <c r="H4402" s="110"/>
      <c r="I4402" s="110"/>
    </row>
    <row r="4403" spans="8:9" x14ac:dyDescent="0.25">
      <c r="H4403" s="110"/>
      <c r="I4403" s="110"/>
    </row>
    <row r="4404" spans="8:9" x14ac:dyDescent="0.25">
      <c r="H4404" s="110"/>
      <c r="I4404" s="110"/>
    </row>
    <row r="4405" spans="8:9" x14ac:dyDescent="0.25">
      <c r="H4405" s="110"/>
      <c r="I4405" s="110"/>
    </row>
    <row r="4406" spans="8:9" x14ac:dyDescent="0.25">
      <c r="H4406" s="110"/>
      <c r="I4406" s="110"/>
    </row>
    <row r="4407" spans="8:9" x14ac:dyDescent="0.25">
      <c r="H4407" s="110"/>
      <c r="I4407" s="110"/>
    </row>
    <row r="4408" spans="8:9" x14ac:dyDescent="0.25">
      <c r="H4408" s="110"/>
      <c r="I4408" s="110"/>
    </row>
    <row r="4409" spans="8:9" x14ac:dyDescent="0.25">
      <c r="H4409" s="110"/>
      <c r="I4409" s="110"/>
    </row>
    <row r="4410" spans="8:9" x14ac:dyDescent="0.25">
      <c r="H4410" s="110"/>
      <c r="I4410" s="110"/>
    </row>
    <row r="4411" spans="8:9" x14ac:dyDescent="0.25">
      <c r="H4411" s="110"/>
      <c r="I4411" s="110"/>
    </row>
    <row r="4412" spans="8:9" x14ac:dyDescent="0.25">
      <c r="H4412" s="110"/>
      <c r="I4412" s="110"/>
    </row>
    <row r="4413" spans="8:9" x14ac:dyDescent="0.25">
      <c r="H4413" s="110"/>
      <c r="I4413" s="110"/>
    </row>
    <row r="4414" spans="8:9" x14ac:dyDescent="0.25">
      <c r="H4414" s="110"/>
      <c r="I4414" s="110"/>
    </row>
    <row r="4415" spans="8:9" x14ac:dyDescent="0.25">
      <c r="H4415" s="110"/>
      <c r="I4415" s="110"/>
    </row>
    <row r="4416" spans="8:9" x14ac:dyDescent="0.25">
      <c r="H4416" s="110"/>
      <c r="I4416" s="110"/>
    </row>
    <row r="4417" spans="8:9" x14ac:dyDescent="0.25">
      <c r="H4417" s="110"/>
      <c r="I4417" s="110"/>
    </row>
    <row r="4418" spans="8:9" x14ac:dyDescent="0.25">
      <c r="H4418" s="110"/>
      <c r="I4418" s="110"/>
    </row>
    <row r="4419" spans="8:9" x14ac:dyDescent="0.25">
      <c r="H4419" s="110"/>
      <c r="I4419" s="110"/>
    </row>
    <row r="4420" spans="8:9" x14ac:dyDescent="0.25">
      <c r="H4420" s="110"/>
      <c r="I4420" s="110"/>
    </row>
    <row r="4421" spans="8:9" x14ac:dyDescent="0.25">
      <c r="H4421" s="110"/>
      <c r="I4421" s="110"/>
    </row>
    <row r="4422" spans="8:9" x14ac:dyDescent="0.25">
      <c r="H4422" s="110"/>
      <c r="I4422" s="110"/>
    </row>
    <row r="4423" spans="8:9" x14ac:dyDescent="0.25">
      <c r="H4423" s="110"/>
      <c r="I4423" s="110"/>
    </row>
    <row r="4424" spans="8:9" x14ac:dyDescent="0.25">
      <c r="H4424" s="110"/>
      <c r="I4424" s="110"/>
    </row>
    <row r="4425" spans="8:9" x14ac:dyDescent="0.25">
      <c r="H4425" s="110"/>
      <c r="I4425" s="110"/>
    </row>
    <row r="4426" spans="8:9" x14ac:dyDescent="0.25">
      <c r="H4426" s="110"/>
      <c r="I4426" s="110"/>
    </row>
    <row r="4427" spans="8:9" x14ac:dyDescent="0.25">
      <c r="H4427" s="110"/>
      <c r="I4427" s="110"/>
    </row>
    <row r="4428" spans="8:9" x14ac:dyDescent="0.25">
      <c r="H4428" s="110"/>
      <c r="I4428" s="110"/>
    </row>
    <row r="4429" spans="8:9" x14ac:dyDescent="0.25">
      <c r="H4429" s="110"/>
      <c r="I4429" s="110"/>
    </row>
    <row r="4430" spans="8:9" x14ac:dyDescent="0.25">
      <c r="H4430" s="110"/>
      <c r="I4430" s="110"/>
    </row>
    <row r="4431" spans="8:9" x14ac:dyDescent="0.25">
      <c r="H4431" s="110"/>
      <c r="I4431" s="110"/>
    </row>
    <row r="4432" spans="8:9" x14ac:dyDescent="0.25">
      <c r="H4432" s="110"/>
      <c r="I4432" s="110"/>
    </row>
    <row r="4433" spans="8:9" x14ac:dyDescent="0.25">
      <c r="H4433" s="110"/>
      <c r="I4433" s="110"/>
    </row>
    <row r="4434" spans="8:9" x14ac:dyDescent="0.25">
      <c r="H4434" s="110"/>
      <c r="I4434" s="110"/>
    </row>
    <row r="4435" spans="8:9" x14ac:dyDescent="0.25">
      <c r="H4435" s="110"/>
      <c r="I4435" s="110"/>
    </row>
    <row r="4436" spans="8:9" x14ac:dyDescent="0.25">
      <c r="H4436" s="110"/>
      <c r="I4436" s="110"/>
    </row>
    <row r="4437" spans="8:9" x14ac:dyDescent="0.25">
      <c r="H4437" s="110"/>
      <c r="I4437" s="110"/>
    </row>
    <row r="4438" spans="8:9" x14ac:dyDescent="0.25">
      <c r="H4438" s="110"/>
      <c r="I4438" s="110"/>
    </row>
    <row r="4439" spans="8:9" x14ac:dyDescent="0.25">
      <c r="H4439" s="110"/>
      <c r="I4439" s="110"/>
    </row>
    <row r="4440" spans="8:9" x14ac:dyDescent="0.25">
      <c r="H4440" s="110"/>
      <c r="I4440" s="110"/>
    </row>
    <row r="4441" spans="8:9" x14ac:dyDescent="0.25">
      <c r="H4441" s="110"/>
      <c r="I4441" s="110"/>
    </row>
    <row r="4442" spans="8:9" x14ac:dyDescent="0.25">
      <c r="H4442" s="110"/>
      <c r="I4442" s="110"/>
    </row>
    <row r="4443" spans="8:9" x14ac:dyDescent="0.25">
      <c r="H4443" s="110"/>
      <c r="I4443" s="110"/>
    </row>
    <row r="4444" spans="8:9" x14ac:dyDescent="0.25">
      <c r="H4444" s="110"/>
      <c r="I4444" s="110"/>
    </row>
    <row r="4445" spans="8:9" x14ac:dyDescent="0.25">
      <c r="H4445" s="110"/>
      <c r="I4445" s="110"/>
    </row>
    <row r="4446" spans="8:9" x14ac:dyDescent="0.25">
      <c r="H4446" s="110"/>
      <c r="I4446" s="110"/>
    </row>
    <row r="4447" spans="8:9" x14ac:dyDescent="0.25">
      <c r="H4447" s="110"/>
      <c r="I4447" s="110"/>
    </row>
    <row r="4448" spans="8:9" x14ac:dyDescent="0.25">
      <c r="H4448" s="110"/>
      <c r="I4448" s="110"/>
    </row>
    <row r="4449" spans="8:9" x14ac:dyDescent="0.25">
      <c r="H4449" s="110"/>
      <c r="I4449" s="110"/>
    </row>
    <row r="4450" spans="8:9" x14ac:dyDescent="0.25">
      <c r="H4450" s="110"/>
      <c r="I4450" s="110"/>
    </row>
    <row r="4451" spans="8:9" x14ac:dyDescent="0.25">
      <c r="H4451" s="110"/>
      <c r="I4451" s="110"/>
    </row>
    <row r="4452" spans="8:9" x14ac:dyDescent="0.25">
      <c r="H4452" s="110"/>
      <c r="I4452" s="110"/>
    </row>
    <row r="4453" spans="8:9" x14ac:dyDescent="0.25">
      <c r="H4453" s="110"/>
      <c r="I4453" s="110"/>
    </row>
    <row r="4454" spans="8:9" x14ac:dyDescent="0.25">
      <c r="H4454" s="110"/>
      <c r="I4454" s="110"/>
    </row>
    <row r="4455" spans="8:9" x14ac:dyDescent="0.25">
      <c r="H4455" s="110"/>
      <c r="I4455" s="110"/>
    </row>
    <row r="4456" spans="8:9" x14ac:dyDescent="0.25">
      <c r="H4456" s="110"/>
      <c r="I4456" s="110"/>
    </row>
    <row r="4457" spans="8:9" x14ac:dyDescent="0.25">
      <c r="H4457" s="110"/>
      <c r="I4457" s="110"/>
    </row>
    <row r="4458" spans="8:9" x14ac:dyDescent="0.25">
      <c r="H4458" s="110"/>
      <c r="I4458" s="110"/>
    </row>
    <row r="4459" spans="8:9" x14ac:dyDescent="0.25">
      <c r="H4459" s="110"/>
      <c r="I4459" s="110"/>
    </row>
    <row r="4460" spans="8:9" x14ac:dyDescent="0.25">
      <c r="H4460" s="110"/>
      <c r="I4460" s="110"/>
    </row>
    <row r="4461" spans="8:9" x14ac:dyDescent="0.25">
      <c r="H4461" s="110"/>
      <c r="I4461" s="110"/>
    </row>
    <row r="4462" spans="8:9" x14ac:dyDescent="0.25">
      <c r="H4462" s="110"/>
      <c r="I4462" s="110"/>
    </row>
    <row r="4463" spans="8:9" x14ac:dyDescent="0.25">
      <c r="H4463" s="110"/>
      <c r="I4463" s="110"/>
    </row>
    <row r="4464" spans="8:9" x14ac:dyDescent="0.25">
      <c r="H4464" s="110"/>
      <c r="I4464" s="110"/>
    </row>
    <row r="4465" spans="8:9" x14ac:dyDescent="0.25">
      <c r="H4465" s="110"/>
      <c r="I4465" s="110"/>
    </row>
    <row r="4466" spans="8:9" x14ac:dyDescent="0.25">
      <c r="H4466" s="110"/>
      <c r="I4466" s="110"/>
    </row>
    <row r="4467" spans="8:9" x14ac:dyDescent="0.25">
      <c r="H4467" s="110"/>
      <c r="I4467" s="110"/>
    </row>
    <row r="4468" spans="8:9" x14ac:dyDescent="0.25">
      <c r="H4468" s="110"/>
      <c r="I4468" s="110"/>
    </row>
    <row r="4469" spans="8:9" x14ac:dyDescent="0.25">
      <c r="H4469" s="110"/>
      <c r="I4469" s="110"/>
    </row>
    <row r="4470" spans="8:9" x14ac:dyDescent="0.25">
      <c r="H4470" s="110"/>
      <c r="I4470" s="110"/>
    </row>
    <row r="4471" spans="8:9" x14ac:dyDescent="0.25">
      <c r="H4471" s="110"/>
      <c r="I4471" s="110"/>
    </row>
    <row r="4472" spans="8:9" x14ac:dyDescent="0.25">
      <c r="H4472" s="110"/>
      <c r="I4472" s="110"/>
    </row>
    <row r="4473" spans="8:9" x14ac:dyDescent="0.25">
      <c r="H4473" s="110"/>
      <c r="I4473" s="110"/>
    </row>
    <row r="4474" spans="8:9" x14ac:dyDescent="0.25">
      <c r="H4474" s="110"/>
      <c r="I4474" s="110"/>
    </row>
    <row r="4475" spans="8:9" x14ac:dyDescent="0.25">
      <c r="H4475" s="110"/>
      <c r="I4475" s="110"/>
    </row>
    <row r="4476" spans="8:9" x14ac:dyDescent="0.25">
      <c r="H4476" s="110"/>
      <c r="I4476" s="110"/>
    </row>
    <row r="4477" spans="8:9" x14ac:dyDescent="0.25">
      <c r="H4477" s="110"/>
      <c r="I4477" s="110"/>
    </row>
    <row r="4478" spans="8:9" x14ac:dyDescent="0.25">
      <c r="H4478" s="110"/>
      <c r="I4478" s="110"/>
    </row>
    <row r="4479" spans="8:9" x14ac:dyDescent="0.25">
      <c r="H4479" s="110"/>
      <c r="I4479" s="110"/>
    </row>
    <row r="4480" spans="8:9" x14ac:dyDescent="0.25">
      <c r="H4480" s="110"/>
      <c r="I4480" s="110"/>
    </row>
    <row r="4481" spans="8:9" x14ac:dyDescent="0.25">
      <c r="H4481" s="110"/>
      <c r="I4481" s="110"/>
    </row>
    <row r="4482" spans="8:9" x14ac:dyDescent="0.25">
      <c r="H4482" s="110"/>
      <c r="I4482" s="110"/>
    </row>
    <row r="4483" spans="8:9" x14ac:dyDescent="0.25">
      <c r="H4483" s="110"/>
      <c r="I4483" s="110"/>
    </row>
    <row r="4484" spans="8:9" x14ac:dyDescent="0.25">
      <c r="H4484" s="110"/>
      <c r="I4484" s="110"/>
    </row>
    <row r="4485" spans="8:9" x14ac:dyDescent="0.25">
      <c r="H4485" s="110"/>
      <c r="I4485" s="110"/>
    </row>
    <row r="4486" spans="8:9" x14ac:dyDescent="0.25">
      <c r="H4486" s="110"/>
      <c r="I4486" s="110"/>
    </row>
    <row r="4487" spans="8:9" x14ac:dyDescent="0.25">
      <c r="H4487" s="110"/>
      <c r="I4487" s="110"/>
    </row>
    <row r="4488" spans="8:9" x14ac:dyDescent="0.25">
      <c r="H4488" s="110"/>
      <c r="I4488" s="110"/>
    </row>
    <row r="4489" spans="8:9" x14ac:dyDescent="0.25">
      <c r="H4489" s="110"/>
      <c r="I4489" s="110"/>
    </row>
    <row r="4490" spans="8:9" x14ac:dyDescent="0.25">
      <c r="H4490" s="110"/>
      <c r="I4490" s="110"/>
    </row>
    <row r="4491" spans="8:9" x14ac:dyDescent="0.25">
      <c r="H4491" s="110"/>
      <c r="I4491" s="110"/>
    </row>
    <row r="4492" spans="8:9" x14ac:dyDescent="0.25">
      <c r="H4492" s="110"/>
      <c r="I4492" s="110"/>
    </row>
    <row r="4493" spans="8:9" x14ac:dyDescent="0.25">
      <c r="H4493" s="110"/>
      <c r="I4493" s="110"/>
    </row>
    <row r="4494" spans="8:9" x14ac:dyDescent="0.25">
      <c r="H4494" s="110"/>
      <c r="I4494" s="110"/>
    </row>
    <row r="4495" spans="8:9" x14ac:dyDescent="0.25">
      <c r="H4495" s="110"/>
      <c r="I4495" s="110"/>
    </row>
    <row r="4496" spans="8:9" x14ac:dyDescent="0.25">
      <c r="H4496" s="110"/>
      <c r="I4496" s="110"/>
    </row>
    <row r="4497" spans="8:9" x14ac:dyDescent="0.25">
      <c r="H4497" s="110"/>
      <c r="I4497" s="110"/>
    </row>
    <row r="4498" spans="8:9" x14ac:dyDescent="0.25">
      <c r="H4498" s="110"/>
      <c r="I4498" s="110"/>
    </row>
    <row r="4499" spans="8:9" x14ac:dyDescent="0.25">
      <c r="H4499" s="110"/>
      <c r="I4499" s="110"/>
    </row>
    <row r="4500" spans="8:9" x14ac:dyDescent="0.25">
      <c r="H4500" s="110"/>
      <c r="I4500" s="110"/>
    </row>
    <row r="4501" spans="8:9" x14ac:dyDescent="0.25">
      <c r="H4501" s="110"/>
      <c r="I4501" s="110"/>
    </row>
    <row r="4502" spans="8:9" x14ac:dyDescent="0.25">
      <c r="H4502" s="110"/>
      <c r="I4502" s="110"/>
    </row>
    <row r="4503" spans="8:9" x14ac:dyDescent="0.25">
      <c r="H4503" s="110"/>
      <c r="I4503" s="110"/>
    </row>
    <row r="4504" spans="8:9" x14ac:dyDescent="0.25">
      <c r="H4504" s="110"/>
      <c r="I4504" s="110"/>
    </row>
    <row r="4505" spans="8:9" x14ac:dyDescent="0.25">
      <c r="H4505" s="110"/>
      <c r="I4505" s="110"/>
    </row>
    <row r="4506" spans="8:9" x14ac:dyDescent="0.25">
      <c r="H4506" s="110"/>
      <c r="I4506" s="110"/>
    </row>
    <row r="4507" spans="8:9" x14ac:dyDescent="0.25">
      <c r="H4507" s="110"/>
      <c r="I4507" s="110"/>
    </row>
    <row r="4508" spans="8:9" x14ac:dyDescent="0.25">
      <c r="H4508" s="110"/>
      <c r="I4508" s="110"/>
    </row>
    <row r="4509" spans="8:9" x14ac:dyDescent="0.25">
      <c r="H4509" s="110"/>
      <c r="I4509" s="110"/>
    </row>
    <row r="4510" spans="8:9" x14ac:dyDescent="0.25">
      <c r="H4510" s="110"/>
      <c r="I4510" s="110"/>
    </row>
    <row r="4511" spans="8:9" x14ac:dyDescent="0.25">
      <c r="H4511" s="110"/>
      <c r="I4511" s="110"/>
    </row>
    <row r="4512" spans="8:9" x14ac:dyDescent="0.25">
      <c r="H4512" s="110"/>
      <c r="I4512" s="110"/>
    </row>
    <row r="4513" spans="8:9" x14ac:dyDescent="0.25">
      <c r="H4513" s="110"/>
      <c r="I4513" s="110"/>
    </row>
    <row r="4514" spans="8:9" x14ac:dyDescent="0.25">
      <c r="H4514" s="110"/>
      <c r="I4514" s="110"/>
    </row>
    <row r="4515" spans="8:9" x14ac:dyDescent="0.25">
      <c r="H4515" s="110"/>
      <c r="I4515" s="110"/>
    </row>
    <row r="4516" spans="8:9" x14ac:dyDescent="0.25">
      <c r="H4516" s="110"/>
      <c r="I4516" s="110"/>
    </row>
    <row r="4517" spans="8:9" x14ac:dyDescent="0.25">
      <c r="H4517" s="110"/>
      <c r="I4517" s="110"/>
    </row>
    <row r="4518" spans="8:9" x14ac:dyDescent="0.25">
      <c r="H4518" s="110"/>
      <c r="I4518" s="110"/>
    </row>
    <row r="4519" spans="8:9" x14ac:dyDescent="0.25">
      <c r="H4519" s="110"/>
      <c r="I4519" s="110"/>
    </row>
    <row r="4520" spans="8:9" x14ac:dyDescent="0.25">
      <c r="H4520" s="110"/>
      <c r="I4520" s="110"/>
    </row>
    <row r="4521" spans="8:9" x14ac:dyDescent="0.25">
      <c r="H4521" s="110"/>
      <c r="I4521" s="110"/>
    </row>
    <row r="4522" spans="8:9" x14ac:dyDescent="0.25">
      <c r="H4522" s="110"/>
      <c r="I4522" s="110"/>
    </row>
    <row r="4523" spans="8:9" x14ac:dyDescent="0.25">
      <c r="H4523" s="110"/>
      <c r="I4523" s="110"/>
    </row>
    <row r="4524" spans="8:9" x14ac:dyDescent="0.25">
      <c r="H4524" s="110"/>
      <c r="I4524" s="110"/>
    </row>
    <row r="4525" spans="8:9" x14ac:dyDescent="0.25">
      <c r="H4525" s="110"/>
      <c r="I4525" s="110"/>
    </row>
    <row r="4526" spans="8:9" x14ac:dyDescent="0.25">
      <c r="H4526" s="110"/>
      <c r="I4526" s="110"/>
    </row>
    <row r="4527" spans="8:9" x14ac:dyDescent="0.25">
      <c r="H4527" s="110"/>
      <c r="I4527" s="110"/>
    </row>
    <row r="4528" spans="8:9" x14ac:dyDescent="0.25">
      <c r="H4528" s="110"/>
      <c r="I4528" s="110"/>
    </row>
    <row r="4529" spans="8:9" x14ac:dyDescent="0.25">
      <c r="H4529" s="110"/>
      <c r="I4529" s="110"/>
    </row>
    <row r="4530" spans="8:9" x14ac:dyDescent="0.25">
      <c r="H4530" s="110"/>
      <c r="I4530" s="110"/>
    </row>
    <row r="4531" spans="8:9" x14ac:dyDescent="0.25">
      <c r="H4531" s="110"/>
      <c r="I4531" s="110"/>
    </row>
    <row r="4532" spans="8:9" x14ac:dyDescent="0.25">
      <c r="H4532" s="110"/>
      <c r="I4532" s="110"/>
    </row>
    <row r="4533" spans="8:9" x14ac:dyDescent="0.25">
      <c r="H4533" s="110"/>
      <c r="I4533" s="110"/>
    </row>
    <row r="4534" spans="8:9" x14ac:dyDescent="0.25">
      <c r="H4534" s="110"/>
      <c r="I4534" s="110"/>
    </row>
    <row r="4535" spans="8:9" x14ac:dyDescent="0.25">
      <c r="H4535" s="110"/>
      <c r="I4535" s="110"/>
    </row>
    <row r="4536" spans="8:9" x14ac:dyDescent="0.25">
      <c r="H4536" s="110"/>
      <c r="I4536" s="110"/>
    </row>
    <row r="4537" spans="8:9" x14ac:dyDescent="0.25">
      <c r="H4537" s="110"/>
      <c r="I4537" s="110"/>
    </row>
    <row r="4538" spans="8:9" x14ac:dyDescent="0.25">
      <c r="H4538" s="110"/>
      <c r="I4538" s="110"/>
    </row>
    <row r="4539" spans="8:9" x14ac:dyDescent="0.25">
      <c r="H4539" s="110"/>
      <c r="I4539" s="110"/>
    </row>
    <row r="4540" spans="8:9" x14ac:dyDescent="0.25">
      <c r="H4540" s="110"/>
      <c r="I4540" s="110"/>
    </row>
    <row r="4541" spans="8:9" x14ac:dyDescent="0.25">
      <c r="H4541" s="110"/>
      <c r="I4541" s="110"/>
    </row>
    <row r="4542" spans="8:9" x14ac:dyDescent="0.25">
      <c r="H4542" s="110"/>
      <c r="I4542" s="110"/>
    </row>
    <row r="4543" spans="8:9" x14ac:dyDescent="0.25">
      <c r="H4543" s="110"/>
      <c r="I4543" s="110"/>
    </row>
    <row r="4544" spans="8:9" x14ac:dyDescent="0.25">
      <c r="H4544" s="110"/>
      <c r="I4544" s="110"/>
    </row>
    <row r="4545" spans="8:9" x14ac:dyDescent="0.25">
      <c r="H4545" s="110"/>
      <c r="I4545" s="110"/>
    </row>
    <row r="4546" spans="8:9" x14ac:dyDescent="0.25">
      <c r="H4546" s="110"/>
      <c r="I4546" s="110"/>
    </row>
    <row r="4547" spans="8:9" x14ac:dyDescent="0.25">
      <c r="H4547" s="110"/>
      <c r="I4547" s="110"/>
    </row>
    <row r="4548" spans="8:9" x14ac:dyDescent="0.25">
      <c r="H4548" s="110"/>
      <c r="I4548" s="110"/>
    </row>
    <row r="4549" spans="8:9" x14ac:dyDescent="0.25">
      <c r="H4549" s="110"/>
      <c r="I4549" s="110"/>
    </row>
    <row r="4550" spans="8:9" x14ac:dyDescent="0.25">
      <c r="H4550" s="110"/>
      <c r="I4550" s="110"/>
    </row>
    <row r="4551" spans="8:9" x14ac:dyDescent="0.25">
      <c r="H4551" s="110"/>
      <c r="I4551" s="110"/>
    </row>
    <row r="4552" spans="8:9" x14ac:dyDescent="0.25">
      <c r="H4552" s="110"/>
      <c r="I4552" s="110"/>
    </row>
    <row r="4553" spans="8:9" x14ac:dyDescent="0.25">
      <c r="H4553" s="110"/>
      <c r="I4553" s="110"/>
    </row>
    <row r="4554" spans="8:9" x14ac:dyDescent="0.25">
      <c r="H4554" s="110"/>
      <c r="I4554" s="110"/>
    </row>
    <row r="4555" spans="8:9" x14ac:dyDescent="0.25">
      <c r="H4555" s="110"/>
      <c r="I4555" s="110"/>
    </row>
    <row r="4556" spans="8:9" x14ac:dyDescent="0.25">
      <c r="H4556" s="110"/>
      <c r="I4556" s="110"/>
    </row>
    <row r="4557" spans="8:9" x14ac:dyDescent="0.25">
      <c r="H4557" s="110"/>
      <c r="I4557" s="110"/>
    </row>
    <row r="4558" spans="8:9" x14ac:dyDescent="0.25">
      <c r="H4558" s="110"/>
      <c r="I4558" s="110"/>
    </row>
    <row r="4559" spans="8:9" x14ac:dyDescent="0.25">
      <c r="H4559" s="110"/>
      <c r="I4559" s="110"/>
    </row>
    <row r="4560" spans="8:9" x14ac:dyDescent="0.25">
      <c r="H4560" s="110"/>
      <c r="I4560" s="110"/>
    </row>
    <row r="4561" spans="8:9" x14ac:dyDescent="0.25">
      <c r="H4561" s="110"/>
      <c r="I4561" s="110"/>
    </row>
    <row r="4562" spans="8:9" x14ac:dyDescent="0.25">
      <c r="H4562" s="110"/>
      <c r="I4562" s="110"/>
    </row>
    <row r="4563" spans="8:9" x14ac:dyDescent="0.25">
      <c r="H4563" s="110"/>
      <c r="I4563" s="110"/>
    </row>
    <row r="4564" spans="8:9" x14ac:dyDescent="0.25">
      <c r="H4564" s="110"/>
      <c r="I4564" s="110"/>
    </row>
    <row r="4565" spans="8:9" x14ac:dyDescent="0.25">
      <c r="H4565" s="110"/>
      <c r="I4565" s="110"/>
    </row>
    <row r="4566" spans="8:9" x14ac:dyDescent="0.25">
      <c r="H4566" s="110"/>
      <c r="I4566" s="110"/>
    </row>
    <row r="4567" spans="8:9" x14ac:dyDescent="0.25">
      <c r="H4567" s="110"/>
      <c r="I4567" s="110"/>
    </row>
    <row r="4568" spans="8:9" x14ac:dyDescent="0.25">
      <c r="H4568" s="110"/>
      <c r="I4568" s="110"/>
    </row>
    <row r="4569" spans="8:9" x14ac:dyDescent="0.25">
      <c r="H4569" s="110"/>
      <c r="I4569" s="110"/>
    </row>
    <row r="4570" spans="8:9" x14ac:dyDescent="0.25">
      <c r="H4570" s="110"/>
      <c r="I4570" s="110"/>
    </row>
    <row r="4571" spans="8:9" x14ac:dyDescent="0.25">
      <c r="H4571" s="110"/>
      <c r="I4571" s="110"/>
    </row>
    <row r="4572" spans="8:9" x14ac:dyDescent="0.25">
      <c r="H4572" s="110"/>
      <c r="I4572" s="110"/>
    </row>
    <row r="4573" spans="8:9" x14ac:dyDescent="0.25">
      <c r="H4573" s="110"/>
      <c r="I4573" s="110"/>
    </row>
    <row r="4574" spans="8:9" x14ac:dyDescent="0.25">
      <c r="H4574" s="110"/>
      <c r="I4574" s="110"/>
    </row>
    <row r="4575" spans="8:9" x14ac:dyDescent="0.25">
      <c r="H4575" s="110"/>
      <c r="I4575" s="110"/>
    </row>
    <row r="4576" spans="8:9" x14ac:dyDescent="0.25">
      <c r="H4576" s="110"/>
      <c r="I4576" s="110"/>
    </row>
    <row r="4577" spans="8:9" x14ac:dyDescent="0.25">
      <c r="H4577" s="110"/>
      <c r="I4577" s="110"/>
    </row>
    <row r="4578" spans="8:9" x14ac:dyDescent="0.25">
      <c r="H4578" s="110"/>
      <c r="I4578" s="110"/>
    </row>
    <row r="4579" spans="8:9" x14ac:dyDescent="0.25">
      <c r="H4579" s="110"/>
      <c r="I4579" s="110"/>
    </row>
    <row r="4580" spans="8:9" x14ac:dyDescent="0.25">
      <c r="H4580" s="110"/>
      <c r="I4580" s="110"/>
    </row>
    <row r="4581" spans="8:9" x14ac:dyDescent="0.25">
      <c r="H4581" s="110"/>
      <c r="I4581" s="110"/>
    </row>
    <row r="4582" spans="8:9" x14ac:dyDescent="0.25">
      <c r="H4582" s="110"/>
      <c r="I4582" s="110"/>
    </row>
    <row r="4583" spans="8:9" x14ac:dyDescent="0.25">
      <c r="H4583" s="110"/>
      <c r="I4583" s="110"/>
    </row>
    <row r="4584" spans="8:9" x14ac:dyDescent="0.25">
      <c r="H4584" s="110"/>
      <c r="I4584" s="110"/>
    </row>
    <row r="4585" spans="8:9" x14ac:dyDescent="0.25">
      <c r="H4585" s="110"/>
      <c r="I4585" s="110"/>
    </row>
    <row r="4586" spans="8:9" x14ac:dyDescent="0.25">
      <c r="H4586" s="110"/>
      <c r="I4586" s="110"/>
    </row>
    <row r="4587" spans="8:9" x14ac:dyDescent="0.25">
      <c r="H4587" s="110"/>
      <c r="I4587" s="110"/>
    </row>
    <row r="4588" spans="8:9" x14ac:dyDescent="0.25">
      <c r="H4588" s="110"/>
      <c r="I4588" s="110"/>
    </row>
    <row r="4589" spans="8:9" x14ac:dyDescent="0.25">
      <c r="H4589" s="110"/>
      <c r="I4589" s="110"/>
    </row>
    <row r="4590" spans="8:9" x14ac:dyDescent="0.25">
      <c r="H4590" s="110"/>
      <c r="I4590" s="110"/>
    </row>
    <row r="4591" spans="8:9" x14ac:dyDescent="0.25">
      <c r="H4591" s="110"/>
      <c r="I4591" s="110"/>
    </row>
    <row r="4592" spans="8:9" x14ac:dyDescent="0.25">
      <c r="H4592" s="110"/>
      <c r="I4592" s="110"/>
    </row>
    <row r="4593" spans="8:9" x14ac:dyDescent="0.25">
      <c r="H4593" s="110"/>
      <c r="I4593" s="110"/>
    </row>
    <row r="4594" spans="8:9" x14ac:dyDescent="0.25">
      <c r="H4594" s="110"/>
      <c r="I4594" s="110"/>
    </row>
    <row r="4595" spans="8:9" x14ac:dyDescent="0.25">
      <c r="H4595" s="110"/>
      <c r="I4595" s="110"/>
    </row>
    <row r="4596" spans="8:9" x14ac:dyDescent="0.25">
      <c r="H4596" s="110"/>
      <c r="I4596" s="110"/>
    </row>
    <row r="4597" spans="8:9" x14ac:dyDescent="0.25">
      <c r="H4597" s="110"/>
      <c r="I4597" s="110"/>
    </row>
    <row r="4598" spans="8:9" x14ac:dyDescent="0.25">
      <c r="H4598" s="110"/>
      <c r="I4598" s="110"/>
    </row>
    <row r="4599" spans="8:9" x14ac:dyDescent="0.25">
      <c r="H4599" s="110"/>
      <c r="I4599" s="110"/>
    </row>
    <row r="4600" spans="8:9" x14ac:dyDescent="0.25">
      <c r="H4600" s="110"/>
      <c r="I4600" s="110"/>
    </row>
    <row r="4601" spans="8:9" x14ac:dyDescent="0.25">
      <c r="H4601" s="110"/>
      <c r="I4601" s="110"/>
    </row>
    <row r="4602" spans="8:9" x14ac:dyDescent="0.25">
      <c r="H4602" s="110"/>
      <c r="I4602" s="110"/>
    </row>
    <row r="4603" spans="8:9" x14ac:dyDescent="0.25">
      <c r="H4603" s="110"/>
      <c r="I4603" s="110"/>
    </row>
    <row r="4604" spans="8:9" x14ac:dyDescent="0.25">
      <c r="H4604" s="110"/>
      <c r="I4604" s="110"/>
    </row>
    <row r="4605" spans="8:9" x14ac:dyDescent="0.25">
      <c r="H4605" s="110"/>
      <c r="I4605" s="110"/>
    </row>
    <row r="4606" spans="8:9" x14ac:dyDescent="0.25">
      <c r="H4606" s="110"/>
      <c r="I4606" s="110"/>
    </row>
    <row r="4607" spans="8:9" x14ac:dyDescent="0.25">
      <c r="H4607" s="110"/>
      <c r="I4607" s="110"/>
    </row>
    <row r="4608" spans="8:9" x14ac:dyDescent="0.25">
      <c r="H4608" s="110"/>
      <c r="I4608" s="110"/>
    </row>
    <row r="4609" spans="8:9" x14ac:dyDescent="0.25">
      <c r="H4609" s="110"/>
      <c r="I4609" s="110"/>
    </row>
    <row r="4610" spans="8:9" x14ac:dyDescent="0.25">
      <c r="H4610" s="110"/>
      <c r="I4610" s="110"/>
    </row>
    <row r="4611" spans="8:9" x14ac:dyDescent="0.25">
      <c r="H4611" s="110"/>
      <c r="I4611" s="110"/>
    </row>
    <row r="4612" spans="8:9" x14ac:dyDescent="0.25">
      <c r="H4612" s="110"/>
      <c r="I4612" s="110"/>
    </row>
    <row r="4613" spans="8:9" x14ac:dyDescent="0.25">
      <c r="H4613" s="110"/>
      <c r="I4613" s="110"/>
    </row>
    <row r="4614" spans="8:9" x14ac:dyDescent="0.25">
      <c r="H4614" s="110"/>
      <c r="I4614" s="110"/>
    </row>
    <row r="4615" spans="8:9" x14ac:dyDescent="0.25">
      <c r="H4615" s="110"/>
      <c r="I4615" s="110"/>
    </row>
    <row r="4616" spans="8:9" x14ac:dyDescent="0.25">
      <c r="H4616" s="110"/>
      <c r="I4616" s="110"/>
    </row>
    <row r="4617" spans="8:9" x14ac:dyDescent="0.25">
      <c r="H4617" s="110"/>
      <c r="I4617" s="110"/>
    </row>
    <row r="4618" spans="8:9" x14ac:dyDescent="0.25">
      <c r="H4618" s="110"/>
      <c r="I4618" s="110"/>
    </row>
    <row r="4619" spans="8:9" x14ac:dyDescent="0.25">
      <c r="H4619" s="110"/>
      <c r="I4619" s="110"/>
    </row>
    <row r="4620" spans="8:9" x14ac:dyDescent="0.25">
      <c r="H4620" s="110"/>
      <c r="I4620" s="110"/>
    </row>
    <row r="4621" spans="8:9" x14ac:dyDescent="0.25">
      <c r="H4621" s="110"/>
      <c r="I4621" s="110"/>
    </row>
    <row r="4622" spans="8:9" x14ac:dyDescent="0.25">
      <c r="H4622" s="110"/>
      <c r="I4622" s="110"/>
    </row>
    <row r="4623" spans="8:9" x14ac:dyDescent="0.25">
      <c r="H4623" s="110"/>
      <c r="I4623" s="110"/>
    </row>
    <row r="4624" spans="8:9" x14ac:dyDescent="0.25">
      <c r="H4624" s="110"/>
      <c r="I4624" s="110"/>
    </row>
    <row r="4625" spans="8:9" x14ac:dyDescent="0.25">
      <c r="H4625" s="110"/>
      <c r="I4625" s="110"/>
    </row>
    <row r="4626" spans="8:9" x14ac:dyDescent="0.25">
      <c r="H4626" s="110"/>
      <c r="I4626" s="110"/>
    </row>
    <row r="4627" spans="8:9" x14ac:dyDescent="0.25">
      <c r="H4627" s="110"/>
      <c r="I4627" s="110"/>
    </row>
    <row r="4628" spans="8:9" x14ac:dyDescent="0.25">
      <c r="H4628" s="110"/>
      <c r="I4628" s="110"/>
    </row>
    <row r="4629" spans="8:9" x14ac:dyDescent="0.25">
      <c r="H4629" s="110"/>
      <c r="I4629" s="110"/>
    </row>
    <row r="4630" spans="8:9" x14ac:dyDescent="0.25">
      <c r="H4630" s="110"/>
      <c r="I4630" s="110"/>
    </row>
    <row r="4631" spans="8:9" x14ac:dyDescent="0.25">
      <c r="H4631" s="110"/>
      <c r="I4631" s="110"/>
    </row>
    <row r="4632" spans="8:9" x14ac:dyDescent="0.25">
      <c r="H4632" s="110"/>
      <c r="I4632" s="110"/>
    </row>
    <row r="4633" spans="8:9" x14ac:dyDescent="0.25">
      <c r="H4633" s="110"/>
      <c r="I4633" s="110"/>
    </row>
    <row r="4634" spans="8:9" x14ac:dyDescent="0.25">
      <c r="H4634" s="110"/>
      <c r="I4634" s="110"/>
    </row>
    <row r="4635" spans="8:9" x14ac:dyDescent="0.25">
      <c r="H4635" s="110"/>
      <c r="I4635" s="110"/>
    </row>
    <row r="4636" spans="8:9" x14ac:dyDescent="0.25">
      <c r="H4636" s="110"/>
      <c r="I4636" s="110"/>
    </row>
    <row r="4637" spans="8:9" x14ac:dyDescent="0.25">
      <c r="H4637" s="110"/>
      <c r="I4637" s="110"/>
    </row>
    <row r="4638" spans="8:9" x14ac:dyDescent="0.25">
      <c r="H4638" s="110"/>
      <c r="I4638" s="110"/>
    </row>
    <row r="4639" spans="8:9" x14ac:dyDescent="0.25">
      <c r="H4639" s="110"/>
      <c r="I4639" s="110"/>
    </row>
    <row r="4640" spans="8:9" x14ac:dyDescent="0.25">
      <c r="H4640" s="110"/>
      <c r="I4640" s="110"/>
    </row>
    <row r="4641" spans="8:9" x14ac:dyDescent="0.25">
      <c r="H4641" s="110"/>
      <c r="I4641" s="110"/>
    </row>
    <row r="4642" spans="8:9" x14ac:dyDescent="0.25">
      <c r="H4642" s="110"/>
      <c r="I4642" s="110"/>
    </row>
    <row r="4643" spans="8:9" x14ac:dyDescent="0.25">
      <c r="H4643" s="110"/>
      <c r="I4643" s="110"/>
    </row>
    <row r="4644" spans="8:9" x14ac:dyDescent="0.25">
      <c r="H4644" s="110"/>
      <c r="I4644" s="110"/>
    </row>
    <row r="4645" spans="8:9" x14ac:dyDescent="0.25">
      <c r="H4645" s="110"/>
      <c r="I4645" s="110"/>
    </row>
    <row r="4646" spans="8:9" x14ac:dyDescent="0.25">
      <c r="H4646" s="110"/>
      <c r="I4646" s="110"/>
    </row>
    <row r="4647" spans="8:9" x14ac:dyDescent="0.25">
      <c r="H4647" s="110"/>
      <c r="I4647" s="110"/>
    </row>
    <row r="4648" spans="8:9" x14ac:dyDescent="0.25">
      <c r="H4648" s="110"/>
      <c r="I4648" s="110"/>
    </row>
    <row r="4649" spans="8:9" x14ac:dyDescent="0.25">
      <c r="H4649" s="110"/>
      <c r="I4649" s="110"/>
    </row>
    <row r="4650" spans="8:9" x14ac:dyDescent="0.25">
      <c r="H4650" s="110"/>
      <c r="I4650" s="110"/>
    </row>
    <row r="4651" spans="8:9" x14ac:dyDescent="0.25">
      <c r="H4651" s="110"/>
      <c r="I4651" s="110"/>
    </row>
    <row r="4652" spans="8:9" x14ac:dyDescent="0.25">
      <c r="H4652" s="110"/>
      <c r="I4652" s="110"/>
    </row>
    <row r="4653" spans="8:9" x14ac:dyDescent="0.25">
      <c r="H4653" s="110"/>
      <c r="I4653" s="110"/>
    </row>
    <row r="4654" spans="8:9" x14ac:dyDescent="0.25">
      <c r="H4654" s="110"/>
      <c r="I4654" s="110"/>
    </row>
    <row r="4655" spans="8:9" x14ac:dyDescent="0.25">
      <c r="H4655" s="110"/>
      <c r="I4655" s="110"/>
    </row>
    <row r="4656" spans="8:9" x14ac:dyDescent="0.25">
      <c r="H4656" s="110"/>
      <c r="I4656" s="110"/>
    </row>
    <row r="4657" spans="8:9" x14ac:dyDescent="0.25">
      <c r="H4657" s="110"/>
      <c r="I4657" s="110"/>
    </row>
    <row r="4658" spans="8:9" x14ac:dyDescent="0.25">
      <c r="H4658" s="110"/>
      <c r="I4658" s="110"/>
    </row>
    <row r="4659" spans="8:9" x14ac:dyDescent="0.25">
      <c r="H4659" s="110"/>
      <c r="I4659" s="110"/>
    </row>
    <row r="4660" spans="8:9" x14ac:dyDescent="0.25">
      <c r="H4660" s="110"/>
      <c r="I4660" s="110"/>
    </row>
    <row r="4661" spans="8:9" x14ac:dyDescent="0.25">
      <c r="H4661" s="110"/>
      <c r="I4661" s="110"/>
    </row>
    <row r="4662" spans="8:9" x14ac:dyDescent="0.25">
      <c r="H4662" s="110"/>
      <c r="I4662" s="110"/>
    </row>
    <row r="4663" spans="8:9" x14ac:dyDescent="0.25">
      <c r="H4663" s="110"/>
      <c r="I4663" s="110"/>
    </row>
    <row r="4664" spans="8:9" x14ac:dyDescent="0.25">
      <c r="H4664" s="110"/>
      <c r="I4664" s="110"/>
    </row>
    <row r="4665" spans="8:9" x14ac:dyDescent="0.25">
      <c r="H4665" s="110"/>
      <c r="I4665" s="110"/>
    </row>
    <row r="4666" spans="8:9" x14ac:dyDescent="0.25">
      <c r="H4666" s="110"/>
      <c r="I4666" s="110"/>
    </row>
    <row r="4667" spans="8:9" x14ac:dyDescent="0.25">
      <c r="H4667" s="110"/>
      <c r="I4667" s="110"/>
    </row>
    <row r="4668" spans="8:9" x14ac:dyDescent="0.25">
      <c r="H4668" s="110"/>
      <c r="I4668" s="110"/>
    </row>
    <row r="4669" spans="8:9" x14ac:dyDescent="0.25">
      <c r="H4669" s="110"/>
      <c r="I4669" s="110"/>
    </row>
    <row r="4670" spans="8:9" x14ac:dyDescent="0.25">
      <c r="H4670" s="110"/>
      <c r="I4670" s="110"/>
    </row>
    <row r="4671" spans="8:9" x14ac:dyDescent="0.25">
      <c r="H4671" s="110"/>
      <c r="I4671" s="110"/>
    </row>
    <row r="4672" spans="8:9" x14ac:dyDescent="0.25">
      <c r="H4672" s="110"/>
      <c r="I4672" s="110"/>
    </row>
    <row r="4673" spans="8:9" x14ac:dyDescent="0.25">
      <c r="H4673" s="110"/>
      <c r="I4673" s="110"/>
    </row>
    <row r="4674" spans="8:9" x14ac:dyDescent="0.25">
      <c r="H4674" s="110"/>
      <c r="I4674" s="110"/>
    </row>
    <row r="4675" spans="8:9" x14ac:dyDescent="0.25">
      <c r="H4675" s="110"/>
      <c r="I4675" s="110"/>
    </row>
    <row r="4676" spans="8:9" x14ac:dyDescent="0.25">
      <c r="H4676" s="110"/>
      <c r="I4676" s="110"/>
    </row>
    <row r="4677" spans="8:9" x14ac:dyDescent="0.25">
      <c r="H4677" s="110"/>
      <c r="I4677" s="110"/>
    </row>
    <row r="4678" spans="8:9" x14ac:dyDescent="0.25">
      <c r="H4678" s="110"/>
      <c r="I4678" s="110"/>
    </row>
    <row r="4679" spans="8:9" x14ac:dyDescent="0.25">
      <c r="H4679" s="110"/>
      <c r="I4679" s="110"/>
    </row>
    <row r="4680" spans="8:9" x14ac:dyDescent="0.25">
      <c r="H4680" s="110"/>
      <c r="I4680" s="110"/>
    </row>
    <row r="4681" spans="8:9" x14ac:dyDescent="0.25">
      <c r="H4681" s="110"/>
      <c r="I4681" s="110"/>
    </row>
    <row r="4682" spans="8:9" x14ac:dyDescent="0.25">
      <c r="H4682" s="110"/>
      <c r="I4682" s="110"/>
    </row>
    <row r="4683" spans="8:9" x14ac:dyDescent="0.25">
      <c r="H4683" s="110"/>
      <c r="I4683" s="110"/>
    </row>
    <row r="4684" spans="8:9" x14ac:dyDescent="0.25">
      <c r="H4684" s="110"/>
      <c r="I4684" s="110"/>
    </row>
    <row r="4685" spans="8:9" x14ac:dyDescent="0.25">
      <c r="H4685" s="110"/>
      <c r="I4685" s="110"/>
    </row>
    <row r="4686" spans="8:9" x14ac:dyDescent="0.25">
      <c r="H4686" s="110"/>
      <c r="I4686" s="110"/>
    </row>
    <row r="4687" spans="8:9" x14ac:dyDescent="0.25">
      <c r="H4687" s="110"/>
      <c r="I4687" s="110"/>
    </row>
    <row r="4688" spans="8:9" x14ac:dyDescent="0.25">
      <c r="H4688" s="110"/>
      <c r="I4688" s="110"/>
    </row>
    <row r="4689" spans="8:9" x14ac:dyDescent="0.25">
      <c r="H4689" s="110"/>
      <c r="I4689" s="110"/>
    </row>
    <row r="4690" spans="8:9" x14ac:dyDescent="0.25">
      <c r="H4690" s="110"/>
      <c r="I4690" s="110"/>
    </row>
    <row r="4691" spans="8:9" x14ac:dyDescent="0.25">
      <c r="H4691" s="110"/>
      <c r="I4691" s="110"/>
    </row>
    <row r="4692" spans="8:9" x14ac:dyDescent="0.25">
      <c r="H4692" s="110"/>
      <c r="I4692" s="110"/>
    </row>
    <row r="4693" spans="8:9" x14ac:dyDescent="0.25">
      <c r="H4693" s="110"/>
      <c r="I4693" s="110"/>
    </row>
    <row r="4694" spans="8:9" x14ac:dyDescent="0.25">
      <c r="H4694" s="110"/>
      <c r="I4694" s="110"/>
    </row>
    <row r="4695" spans="8:9" x14ac:dyDescent="0.25">
      <c r="H4695" s="110"/>
      <c r="I4695" s="110"/>
    </row>
    <row r="4696" spans="8:9" x14ac:dyDescent="0.25">
      <c r="H4696" s="110"/>
      <c r="I4696" s="110"/>
    </row>
    <row r="4697" spans="8:9" x14ac:dyDescent="0.25">
      <c r="H4697" s="110"/>
      <c r="I4697" s="110"/>
    </row>
    <row r="4698" spans="8:9" x14ac:dyDescent="0.25">
      <c r="H4698" s="110"/>
      <c r="I4698" s="110"/>
    </row>
    <row r="4699" spans="8:9" x14ac:dyDescent="0.25">
      <c r="H4699" s="110"/>
      <c r="I4699" s="110"/>
    </row>
    <row r="4700" spans="8:9" x14ac:dyDescent="0.25">
      <c r="H4700" s="110"/>
      <c r="I4700" s="110"/>
    </row>
    <row r="4701" spans="8:9" x14ac:dyDescent="0.25">
      <c r="H4701" s="110"/>
      <c r="I4701" s="110"/>
    </row>
    <row r="4702" spans="8:9" x14ac:dyDescent="0.25">
      <c r="H4702" s="110"/>
      <c r="I4702" s="110"/>
    </row>
    <row r="4703" spans="8:9" x14ac:dyDescent="0.25">
      <c r="H4703" s="110"/>
      <c r="I4703" s="110"/>
    </row>
    <row r="4704" spans="8:9" x14ac:dyDescent="0.25">
      <c r="H4704" s="110"/>
      <c r="I4704" s="110"/>
    </row>
    <row r="4705" spans="8:9" x14ac:dyDescent="0.25">
      <c r="H4705" s="110"/>
      <c r="I4705" s="110"/>
    </row>
    <row r="4706" spans="8:9" x14ac:dyDescent="0.25">
      <c r="H4706" s="110"/>
      <c r="I4706" s="110"/>
    </row>
    <row r="4707" spans="8:9" x14ac:dyDescent="0.25">
      <c r="H4707" s="110"/>
      <c r="I4707" s="110"/>
    </row>
    <row r="4708" spans="8:9" x14ac:dyDescent="0.25">
      <c r="H4708" s="110"/>
      <c r="I4708" s="110"/>
    </row>
    <row r="4709" spans="8:9" x14ac:dyDescent="0.25">
      <c r="H4709" s="110"/>
      <c r="I4709" s="110"/>
    </row>
    <row r="4710" spans="8:9" x14ac:dyDescent="0.25">
      <c r="H4710" s="110"/>
      <c r="I4710" s="110"/>
    </row>
    <row r="4711" spans="8:9" x14ac:dyDescent="0.25">
      <c r="H4711" s="110"/>
      <c r="I4711" s="110"/>
    </row>
    <row r="4712" spans="8:9" x14ac:dyDescent="0.25">
      <c r="H4712" s="110"/>
      <c r="I4712" s="110"/>
    </row>
    <row r="4713" spans="8:9" x14ac:dyDescent="0.25">
      <c r="H4713" s="110"/>
      <c r="I4713" s="110"/>
    </row>
    <row r="4714" spans="8:9" x14ac:dyDescent="0.25">
      <c r="H4714" s="110"/>
      <c r="I4714" s="110"/>
    </row>
    <row r="4715" spans="8:9" x14ac:dyDescent="0.25">
      <c r="H4715" s="110"/>
      <c r="I4715" s="110"/>
    </row>
    <row r="4716" spans="8:9" x14ac:dyDescent="0.25">
      <c r="H4716" s="110"/>
      <c r="I4716" s="110"/>
    </row>
    <row r="4717" spans="8:9" x14ac:dyDescent="0.25">
      <c r="H4717" s="110"/>
      <c r="I4717" s="110"/>
    </row>
    <row r="4718" spans="8:9" x14ac:dyDescent="0.25">
      <c r="H4718" s="110"/>
      <c r="I4718" s="110"/>
    </row>
    <row r="4719" spans="8:9" x14ac:dyDescent="0.25">
      <c r="H4719" s="110"/>
      <c r="I4719" s="110"/>
    </row>
    <row r="4720" spans="8:9" x14ac:dyDescent="0.25">
      <c r="H4720" s="110"/>
      <c r="I4720" s="110"/>
    </row>
    <row r="4721" spans="8:9" x14ac:dyDescent="0.25">
      <c r="H4721" s="110"/>
      <c r="I4721" s="110"/>
    </row>
    <row r="4722" spans="8:9" x14ac:dyDescent="0.25">
      <c r="H4722" s="110"/>
      <c r="I4722" s="110"/>
    </row>
    <row r="4723" spans="8:9" x14ac:dyDescent="0.25">
      <c r="H4723" s="110"/>
      <c r="I4723" s="110"/>
    </row>
    <row r="4724" spans="8:9" x14ac:dyDescent="0.25">
      <c r="H4724" s="110"/>
      <c r="I4724" s="110"/>
    </row>
    <row r="4725" spans="8:9" x14ac:dyDescent="0.25">
      <c r="H4725" s="110"/>
      <c r="I4725" s="110"/>
    </row>
    <row r="4726" spans="8:9" x14ac:dyDescent="0.25">
      <c r="H4726" s="110"/>
      <c r="I4726" s="110"/>
    </row>
    <row r="4727" spans="8:9" x14ac:dyDescent="0.25">
      <c r="H4727" s="110"/>
      <c r="I4727" s="110"/>
    </row>
    <row r="4728" spans="8:9" x14ac:dyDescent="0.25">
      <c r="H4728" s="110"/>
      <c r="I4728" s="110"/>
    </row>
    <row r="4729" spans="8:9" x14ac:dyDescent="0.25">
      <c r="H4729" s="110"/>
      <c r="I4729" s="110"/>
    </row>
    <row r="4730" spans="8:9" x14ac:dyDescent="0.25">
      <c r="H4730" s="110"/>
      <c r="I4730" s="110"/>
    </row>
    <row r="4731" spans="8:9" x14ac:dyDescent="0.25">
      <c r="H4731" s="110"/>
      <c r="I4731" s="110"/>
    </row>
    <row r="4732" spans="8:9" x14ac:dyDescent="0.25">
      <c r="H4732" s="110"/>
      <c r="I4732" s="110"/>
    </row>
    <row r="4733" spans="8:9" x14ac:dyDescent="0.25">
      <c r="H4733" s="110"/>
      <c r="I4733" s="110"/>
    </row>
    <row r="4734" spans="8:9" x14ac:dyDescent="0.25">
      <c r="H4734" s="110"/>
      <c r="I4734" s="110"/>
    </row>
    <row r="4735" spans="8:9" x14ac:dyDescent="0.25">
      <c r="H4735" s="110"/>
      <c r="I4735" s="110"/>
    </row>
    <row r="4736" spans="8:9" x14ac:dyDescent="0.25">
      <c r="H4736" s="110"/>
      <c r="I4736" s="110"/>
    </row>
    <row r="4737" spans="8:9" x14ac:dyDescent="0.25">
      <c r="H4737" s="110"/>
      <c r="I4737" s="110"/>
    </row>
    <row r="4738" spans="8:9" x14ac:dyDescent="0.25">
      <c r="H4738" s="110"/>
      <c r="I4738" s="110"/>
    </row>
    <row r="4739" spans="8:9" x14ac:dyDescent="0.25">
      <c r="H4739" s="110"/>
      <c r="I4739" s="110"/>
    </row>
    <row r="4740" spans="8:9" x14ac:dyDescent="0.25">
      <c r="H4740" s="110"/>
      <c r="I4740" s="110"/>
    </row>
    <row r="4741" spans="8:9" x14ac:dyDescent="0.25">
      <c r="H4741" s="110"/>
      <c r="I4741" s="110"/>
    </row>
    <row r="4742" spans="8:9" x14ac:dyDescent="0.25">
      <c r="H4742" s="110"/>
      <c r="I4742" s="110"/>
    </row>
    <row r="4743" spans="8:9" x14ac:dyDescent="0.25">
      <c r="H4743" s="110"/>
      <c r="I4743" s="110"/>
    </row>
    <row r="4744" spans="8:9" x14ac:dyDescent="0.25">
      <c r="H4744" s="110"/>
      <c r="I4744" s="110"/>
    </row>
    <row r="4745" spans="8:9" x14ac:dyDescent="0.25">
      <c r="H4745" s="110"/>
      <c r="I4745" s="110"/>
    </row>
    <row r="4746" spans="8:9" x14ac:dyDescent="0.25">
      <c r="H4746" s="110"/>
      <c r="I4746" s="110"/>
    </row>
    <row r="4747" spans="8:9" x14ac:dyDescent="0.25">
      <c r="H4747" s="110"/>
      <c r="I4747" s="110"/>
    </row>
    <row r="4748" spans="8:9" x14ac:dyDescent="0.25">
      <c r="H4748" s="110"/>
      <c r="I4748" s="110"/>
    </row>
    <row r="4749" spans="8:9" x14ac:dyDescent="0.25">
      <c r="H4749" s="110"/>
      <c r="I4749" s="110"/>
    </row>
    <row r="4750" spans="8:9" x14ac:dyDescent="0.25">
      <c r="H4750" s="110"/>
      <c r="I4750" s="110"/>
    </row>
    <row r="4751" spans="8:9" x14ac:dyDescent="0.25">
      <c r="H4751" s="110"/>
      <c r="I4751" s="110"/>
    </row>
    <row r="4752" spans="8:9" x14ac:dyDescent="0.25">
      <c r="H4752" s="110"/>
      <c r="I4752" s="110"/>
    </row>
    <row r="4753" spans="8:9" x14ac:dyDescent="0.25">
      <c r="H4753" s="110"/>
      <c r="I4753" s="110"/>
    </row>
    <row r="4754" spans="8:9" x14ac:dyDescent="0.25">
      <c r="H4754" s="110"/>
      <c r="I4754" s="110"/>
    </row>
    <row r="4755" spans="8:9" x14ac:dyDescent="0.25">
      <c r="H4755" s="110"/>
      <c r="I4755" s="110"/>
    </row>
    <row r="4756" spans="8:9" x14ac:dyDescent="0.25">
      <c r="H4756" s="110"/>
      <c r="I4756" s="110"/>
    </row>
    <row r="4757" spans="8:9" x14ac:dyDescent="0.25">
      <c r="H4757" s="110"/>
      <c r="I4757" s="110"/>
    </row>
    <row r="4758" spans="8:9" x14ac:dyDescent="0.25">
      <c r="H4758" s="110"/>
      <c r="I4758" s="110"/>
    </row>
    <row r="4759" spans="8:9" x14ac:dyDescent="0.25">
      <c r="H4759" s="110"/>
      <c r="I4759" s="110"/>
    </row>
    <row r="4760" spans="8:9" x14ac:dyDescent="0.25">
      <c r="H4760" s="110"/>
      <c r="I4760" s="110"/>
    </row>
    <row r="4761" spans="8:9" x14ac:dyDescent="0.25">
      <c r="H4761" s="110"/>
      <c r="I4761" s="110"/>
    </row>
    <row r="4762" spans="8:9" x14ac:dyDescent="0.25">
      <c r="H4762" s="110"/>
      <c r="I4762" s="110"/>
    </row>
    <row r="4763" spans="8:9" x14ac:dyDescent="0.25">
      <c r="H4763" s="110"/>
      <c r="I4763" s="110"/>
    </row>
    <row r="4764" spans="8:9" x14ac:dyDescent="0.25">
      <c r="H4764" s="110"/>
      <c r="I4764" s="110"/>
    </row>
    <row r="4765" spans="8:9" x14ac:dyDescent="0.25">
      <c r="H4765" s="110"/>
      <c r="I4765" s="110"/>
    </row>
    <row r="4766" spans="8:9" x14ac:dyDescent="0.25">
      <c r="H4766" s="110"/>
      <c r="I4766" s="110"/>
    </row>
    <row r="4767" spans="8:9" x14ac:dyDescent="0.25">
      <c r="H4767" s="110"/>
      <c r="I4767" s="110"/>
    </row>
    <row r="4768" spans="8:9" x14ac:dyDescent="0.25">
      <c r="H4768" s="110"/>
      <c r="I4768" s="110"/>
    </row>
    <row r="4769" spans="8:9" x14ac:dyDescent="0.25">
      <c r="H4769" s="110"/>
      <c r="I4769" s="110"/>
    </row>
    <row r="4770" spans="8:9" x14ac:dyDescent="0.25">
      <c r="H4770" s="110"/>
      <c r="I4770" s="110"/>
    </row>
    <row r="4771" spans="8:9" x14ac:dyDescent="0.25">
      <c r="H4771" s="110"/>
      <c r="I4771" s="110"/>
    </row>
    <row r="4772" spans="8:9" x14ac:dyDescent="0.25">
      <c r="H4772" s="110"/>
      <c r="I4772" s="110"/>
    </row>
    <row r="4773" spans="8:9" x14ac:dyDescent="0.25">
      <c r="H4773" s="110"/>
      <c r="I4773" s="110"/>
    </row>
    <row r="4774" spans="8:9" x14ac:dyDescent="0.25">
      <c r="H4774" s="110"/>
      <c r="I4774" s="110"/>
    </row>
    <row r="4775" spans="8:9" x14ac:dyDescent="0.25">
      <c r="H4775" s="110"/>
      <c r="I4775" s="110"/>
    </row>
    <row r="4776" spans="8:9" x14ac:dyDescent="0.25">
      <c r="H4776" s="110"/>
      <c r="I4776" s="110"/>
    </row>
    <row r="4777" spans="8:9" x14ac:dyDescent="0.25">
      <c r="H4777" s="110"/>
      <c r="I4777" s="110"/>
    </row>
    <row r="4778" spans="8:9" x14ac:dyDescent="0.25">
      <c r="H4778" s="110"/>
      <c r="I4778" s="110"/>
    </row>
    <row r="4779" spans="8:9" x14ac:dyDescent="0.25">
      <c r="H4779" s="110"/>
      <c r="I4779" s="110"/>
    </row>
    <row r="4780" spans="8:9" x14ac:dyDescent="0.25">
      <c r="H4780" s="110"/>
      <c r="I4780" s="110"/>
    </row>
    <row r="4781" spans="8:9" x14ac:dyDescent="0.25">
      <c r="H4781" s="110"/>
      <c r="I4781" s="110"/>
    </row>
    <row r="4782" spans="8:9" x14ac:dyDescent="0.25">
      <c r="H4782" s="110"/>
      <c r="I4782" s="110"/>
    </row>
    <row r="4783" spans="8:9" x14ac:dyDescent="0.25">
      <c r="H4783" s="110"/>
      <c r="I4783" s="110"/>
    </row>
    <row r="4784" spans="8:9" x14ac:dyDescent="0.25">
      <c r="H4784" s="110"/>
      <c r="I4784" s="110"/>
    </row>
    <row r="4785" spans="8:9" x14ac:dyDescent="0.25">
      <c r="H4785" s="110"/>
      <c r="I4785" s="110"/>
    </row>
    <row r="4786" spans="8:9" x14ac:dyDescent="0.25">
      <c r="H4786" s="110"/>
      <c r="I4786" s="110"/>
    </row>
    <row r="4787" spans="8:9" x14ac:dyDescent="0.25">
      <c r="H4787" s="110"/>
      <c r="I4787" s="110"/>
    </row>
    <row r="4788" spans="8:9" x14ac:dyDescent="0.25">
      <c r="H4788" s="110"/>
      <c r="I4788" s="110"/>
    </row>
    <row r="4789" spans="8:9" x14ac:dyDescent="0.25">
      <c r="H4789" s="110"/>
      <c r="I4789" s="110"/>
    </row>
    <row r="4790" spans="8:9" x14ac:dyDescent="0.25">
      <c r="H4790" s="110"/>
      <c r="I4790" s="110"/>
    </row>
    <row r="4791" spans="8:9" x14ac:dyDescent="0.25">
      <c r="H4791" s="110"/>
      <c r="I4791" s="110"/>
    </row>
    <row r="4792" spans="8:9" x14ac:dyDescent="0.25">
      <c r="H4792" s="110"/>
      <c r="I4792" s="110"/>
    </row>
    <row r="4793" spans="8:9" x14ac:dyDescent="0.25">
      <c r="H4793" s="110"/>
      <c r="I4793" s="110"/>
    </row>
    <row r="4794" spans="8:9" x14ac:dyDescent="0.25">
      <c r="H4794" s="110"/>
      <c r="I4794" s="110"/>
    </row>
    <row r="4795" spans="8:9" x14ac:dyDescent="0.25">
      <c r="H4795" s="110"/>
      <c r="I4795" s="110"/>
    </row>
    <row r="4796" spans="8:9" x14ac:dyDescent="0.25">
      <c r="H4796" s="110"/>
      <c r="I4796" s="110"/>
    </row>
    <row r="4797" spans="8:9" x14ac:dyDescent="0.25">
      <c r="H4797" s="110"/>
      <c r="I4797" s="110"/>
    </row>
    <row r="4798" spans="8:9" x14ac:dyDescent="0.25">
      <c r="H4798" s="110"/>
      <c r="I4798" s="110"/>
    </row>
    <row r="4799" spans="8:9" x14ac:dyDescent="0.25">
      <c r="H4799" s="110"/>
      <c r="I4799" s="110"/>
    </row>
    <row r="4800" spans="8:9" x14ac:dyDescent="0.25">
      <c r="H4800" s="110"/>
      <c r="I4800" s="110"/>
    </row>
    <row r="4801" spans="8:9" x14ac:dyDescent="0.25">
      <c r="H4801" s="110"/>
      <c r="I4801" s="110"/>
    </row>
    <row r="4802" spans="8:9" x14ac:dyDescent="0.25">
      <c r="H4802" s="110"/>
      <c r="I4802" s="110"/>
    </row>
    <row r="4803" spans="8:9" x14ac:dyDescent="0.25">
      <c r="H4803" s="110"/>
      <c r="I4803" s="110"/>
    </row>
    <row r="4804" spans="8:9" x14ac:dyDescent="0.25">
      <c r="H4804" s="110"/>
      <c r="I4804" s="110"/>
    </row>
    <row r="4805" spans="8:9" x14ac:dyDescent="0.25">
      <c r="H4805" s="110"/>
      <c r="I4805" s="110"/>
    </row>
    <row r="4806" spans="8:9" x14ac:dyDescent="0.25">
      <c r="H4806" s="110"/>
      <c r="I4806" s="110"/>
    </row>
    <row r="4807" spans="8:9" x14ac:dyDescent="0.25">
      <c r="H4807" s="110"/>
      <c r="I4807" s="110"/>
    </row>
    <row r="4808" spans="8:9" x14ac:dyDescent="0.25">
      <c r="H4808" s="110"/>
      <c r="I4808" s="110"/>
    </row>
    <row r="4809" spans="8:9" x14ac:dyDescent="0.25">
      <c r="H4809" s="110"/>
      <c r="I4809" s="110"/>
    </row>
    <row r="4810" spans="8:9" x14ac:dyDescent="0.25">
      <c r="H4810" s="110"/>
      <c r="I4810" s="110"/>
    </row>
    <row r="4811" spans="8:9" x14ac:dyDescent="0.25">
      <c r="H4811" s="110"/>
      <c r="I4811" s="110"/>
    </row>
    <row r="4812" spans="8:9" x14ac:dyDescent="0.25">
      <c r="H4812" s="110"/>
      <c r="I4812" s="110"/>
    </row>
    <row r="4813" spans="8:9" x14ac:dyDescent="0.25">
      <c r="H4813" s="110"/>
      <c r="I4813" s="110"/>
    </row>
    <row r="4814" spans="8:9" x14ac:dyDescent="0.25">
      <c r="H4814" s="110"/>
      <c r="I4814" s="110"/>
    </row>
    <row r="4815" spans="8:9" x14ac:dyDescent="0.25">
      <c r="H4815" s="110"/>
      <c r="I4815" s="110"/>
    </row>
    <row r="4816" spans="8:9" x14ac:dyDescent="0.25">
      <c r="H4816" s="110"/>
      <c r="I4816" s="110"/>
    </row>
    <row r="4817" spans="8:9" x14ac:dyDescent="0.25">
      <c r="H4817" s="110"/>
      <c r="I4817" s="110"/>
    </row>
    <row r="4818" spans="8:9" x14ac:dyDescent="0.25">
      <c r="H4818" s="110"/>
      <c r="I4818" s="110"/>
    </row>
    <row r="4819" spans="8:9" x14ac:dyDescent="0.25">
      <c r="H4819" s="110"/>
      <c r="I4819" s="110"/>
    </row>
    <row r="4820" spans="8:9" x14ac:dyDescent="0.25">
      <c r="H4820" s="110"/>
      <c r="I4820" s="110"/>
    </row>
    <row r="4821" spans="8:9" x14ac:dyDescent="0.25">
      <c r="H4821" s="110"/>
      <c r="I4821" s="110"/>
    </row>
    <row r="4822" spans="8:9" x14ac:dyDescent="0.25">
      <c r="H4822" s="110"/>
      <c r="I4822" s="110"/>
    </row>
    <row r="4823" spans="8:9" x14ac:dyDescent="0.25">
      <c r="H4823" s="110"/>
      <c r="I4823" s="110"/>
    </row>
    <row r="4824" spans="8:9" x14ac:dyDescent="0.25">
      <c r="H4824" s="110"/>
      <c r="I4824" s="110"/>
    </row>
    <row r="4825" spans="8:9" x14ac:dyDescent="0.25">
      <c r="H4825" s="110"/>
      <c r="I4825" s="110"/>
    </row>
    <row r="4826" spans="8:9" x14ac:dyDescent="0.25">
      <c r="H4826" s="110"/>
      <c r="I4826" s="110"/>
    </row>
    <row r="4827" spans="8:9" x14ac:dyDescent="0.25">
      <c r="H4827" s="110"/>
      <c r="I4827" s="110"/>
    </row>
    <row r="4828" spans="8:9" x14ac:dyDescent="0.25">
      <c r="H4828" s="110"/>
      <c r="I4828" s="110"/>
    </row>
    <row r="4829" spans="8:9" x14ac:dyDescent="0.25">
      <c r="H4829" s="110"/>
      <c r="I4829" s="110"/>
    </row>
    <row r="4830" spans="8:9" x14ac:dyDescent="0.25">
      <c r="H4830" s="110"/>
      <c r="I4830" s="110"/>
    </row>
    <row r="4831" spans="8:9" x14ac:dyDescent="0.25">
      <c r="H4831" s="110"/>
      <c r="I4831" s="110"/>
    </row>
    <row r="4832" spans="8:9" x14ac:dyDescent="0.25">
      <c r="H4832" s="110"/>
      <c r="I4832" s="110"/>
    </row>
    <row r="4833" spans="8:9" x14ac:dyDescent="0.25">
      <c r="H4833" s="110"/>
      <c r="I4833" s="110"/>
    </row>
    <row r="4834" spans="8:9" x14ac:dyDescent="0.25">
      <c r="H4834" s="110"/>
      <c r="I4834" s="110"/>
    </row>
    <row r="4835" spans="8:9" x14ac:dyDescent="0.25">
      <c r="H4835" s="110"/>
      <c r="I4835" s="110"/>
    </row>
    <row r="4836" spans="8:9" x14ac:dyDescent="0.25">
      <c r="H4836" s="110"/>
      <c r="I4836" s="110"/>
    </row>
    <row r="4837" spans="8:9" x14ac:dyDescent="0.25">
      <c r="H4837" s="110"/>
      <c r="I4837" s="110"/>
    </row>
    <row r="4838" spans="8:9" x14ac:dyDescent="0.25">
      <c r="H4838" s="110"/>
      <c r="I4838" s="110"/>
    </row>
    <row r="4839" spans="8:9" x14ac:dyDescent="0.25">
      <c r="H4839" s="110"/>
      <c r="I4839" s="110"/>
    </row>
    <row r="4840" spans="8:9" x14ac:dyDescent="0.25">
      <c r="H4840" s="110"/>
      <c r="I4840" s="110"/>
    </row>
    <row r="4841" spans="8:9" x14ac:dyDescent="0.25">
      <c r="H4841" s="110"/>
      <c r="I4841" s="110"/>
    </row>
    <row r="4842" spans="8:9" x14ac:dyDescent="0.25">
      <c r="H4842" s="110"/>
      <c r="I4842" s="110"/>
    </row>
    <row r="4843" spans="8:9" x14ac:dyDescent="0.25">
      <c r="H4843" s="110"/>
      <c r="I4843" s="110"/>
    </row>
    <row r="4844" spans="8:9" x14ac:dyDescent="0.25">
      <c r="H4844" s="110"/>
      <c r="I4844" s="110"/>
    </row>
    <row r="4845" spans="8:9" x14ac:dyDescent="0.25">
      <c r="H4845" s="110"/>
      <c r="I4845" s="110"/>
    </row>
    <row r="4846" spans="8:9" x14ac:dyDescent="0.25">
      <c r="H4846" s="110"/>
      <c r="I4846" s="110"/>
    </row>
    <row r="4847" spans="8:9" x14ac:dyDescent="0.25">
      <c r="H4847" s="110"/>
      <c r="I4847" s="110"/>
    </row>
    <row r="4848" spans="8:9" x14ac:dyDescent="0.25">
      <c r="H4848" s="110"/>
      <c r="I4848" s="110"/>
    </row>
    <row r="4849" spans="8:9" x14ac:dyDescent="0.25">
      <c r="H4849" s="110"/>
      <c r="I4849" s="110"/>
    </row>
    <row r="4850" spans="8:9" x14ac:dyDescent="0.25">
      <c r="H4850" s="110"/>
      <c r="I4850" s="110"/>
    </row>
    <row r="4851" spans="8:9" x14ac:dyDescent="0.25">
      <c r="H4851" s="110"/>
      <c r="I4851" s="110"/>
    </row>
    <row r="4852" spans="8:9" x14ac:dyDescent="0.25">
      <c r="H4852" s="110"/>
      <c r="I4852" s="110"/>
    </row>
    <row r="4853" spans="8:9" x14ac:dyDescent="0.25">
      <c r="H4853" s="110"/>
      <c r="I4853" s="110"/>
    </row>
    <row r="4854" spans="8:9" x14ac:dyDescent="0.25">
      <c r="H4854" s="110"/>
      <c r="I4854" s="110"/>
    </row>
    <row r="4855" spans="8:9" x14ac:dyDescent="0.25">
      <c r="H4855" s="110"/>
      <c r="I4855" s="110"/>
    </row>
    <row r="4856" spans="8:9" x14ac:dyDescent="0.25">
      <c r="H4856" s="110"/>
      <c r="I4856" s="110"/>
    </row>
    <row r="4857" spans="8:9" x14ac:dyDescent="0.25">
      <c r="H4857" s="110"/>
      <c r="I4857" s="110"/>
    </row>
    <row r="4858" spans="8:9" x14ac:dyDescent="0.25">
      <c r="H4858" s="110"/>
      <c r="I4858" s="110"/>
    </row>
    <row r="4859" spans="8:9" x14ac:dyDescent="0.25">
      <c r="H4859" s="110"/>
      <c r="I4859" s="110"/>
    </row>
    <row r="4860" spans="8:9" x14ac:dyDescent="0.25">
      <c r="H4860" s="110"/>
      <c r="I4860" s="110"/>
    </row>
    <row r="4861" spans="8:9" x14ac:dyDescent="0.25">
      <c r="H4861" s="110"/>
      <c r="I4861" s="110"/>
    </row>
    <row r="4862" spans="8:9" x14ac:dyDescent="0.25">
      <c r="H4862" s="110"/>
      <c r="I4862" s="110"/>
    </row>
    <row r="4863" spans="8:9" x14ac:dyDescent="0.25">
      <c r="H4863" s="110"/>
      <c r="I4863" s="110"/>
    </row>
    <row r="4864" spans="8:9" x14ac:dyDescent="0.25">
      <c r="H4864" s="110"/>
      <c r="I4864" s="110"/>
    </row>
    <row r="4865" spans="8:9" x14ac:dyDescent="0.25">
      <c r="H4865" s="110"/>
      <c r="I4865" s="110"/>
    </row>
    <row r="4866" spans="8:9" x14ac:dyDescent="0.25">
      <c r="H4866" s="110"/>
      <c r="I4866" s="110"/>
    </row>
    <row r="4867" spans="8:9" x14ac:dyDescent="0.25">
      <c r="H4867" s="110"/>
      <c r="I4867" s="110"/>
    </row>
    <row r="4868" spans="8:9" x14ac:dyDescent="0.25">
      <c r="H4868" s="110"/>
      <c r="I4868" s="110"/>
    </row>
    <row r="4869" spans="8:9" x14ac:dyDescent="0.25">
      <c r="H4869" s="110"/>
      <c r="I4869" s="110"/>
    </row>
    <row r="4870" spans="8:9" x14ac:dyDescent="0.25">
      <c r="H4870" s="110"/>
      <c r="I4870" s="110"/>
    </row>
    <row r="4871" spans="8:9" x14ac:dyDescent="0.25">
      <c r="H4871" s="110"/>
      <c r="I4871" s="110"/>
    </row>
    <row r="4872" spans="8:9" x14ac:dyDescent="0.25">
      <c r="H4872" s="110"/>
      <c r="I4872" s="110"/>
    </row>
    <row r="4873" spans="8:9" x14ac:dyDescent="0.25">
      <c r="H4873" s="110"/>
      <c r="I4873" s="110"/>
    </row>
    <row r="4874" spans="8:9" x14ac:dyDescent="0.25">
      <c r="H4874" s="110"/>
      <c r="I4874" s="110"/>
    </row>
    <row r="4875" spans="8:9" x14ac:dyDescent="0.25">
      <c r="H4875" s="110"/>
      <c r="I4875" s="110"/>
    </row>
    <row r="4876" spans="8:9" x14ac:dyDescent="0.25">
      <c r="H4876" s="110"/>
      <c r="I4876" s="110"/>
    </row>
    <row r="4877" spans="8:9" x14ac:dyDescent="0.25">
      <c r="H4877" s="110"/>
      <c r="I4877" s="110"/>
    </row>
    <row r="4878" spans="8:9" x14ac:dyDescent="0.25">
      <c r="H4878" s="110"/>
      <c r="I4878" s="110"/>
    </row>
    <row r="4879" spans="8:9" x14ac:dyDescent="0.25">
      <c r="H4879" s="110"/>
      <c r="I4879" s="110"/>
    </row>
    <row r="4880" spans="8:9" x14ac:dyDescent="0.25">
      <c r="H4880" s="110"/>
      <c r="I4880" s="110"/>
    </row>
    <row r="4881" spans="8:9" x14ac:dyDescent="0.25">
      <c r="H4881" s="110"/>
      <c r="I4881" s="110"/>
    </row>
    <row r="4882" spans="8:9" x14ac:dyDescent="0.25">
      <c r="H4882" s="110"/>
      <c r="I4882" s="110"/>
    </row>
    <row r="4883" spans="8:9" x14ac:dyDescent="0.25">
      <c r="H4883" s="110"/>
      <c r="I4883" s="110"/>
    </row>
    <row r="4884" spans="8:9" x14ac:dyDescent="0.25">
      <c r="H4884" s="110"/>
      <c r="I4884" s="110"/>
    </row>
    <row r="4885" spans="8:9" x14ac:dyDescent="0.25">
      <c r="H4885" s="110"/>
      <c r="I4885" s="110"/>
    </row>
    <row r="4886" spans="8:9" x14ac:dyDescent="0.25">
      <c r="H4886" s="110"/>
      <c r="I4886" s="110"/>
    </row>
    <row r="4887" spans="8:9" x14ac:dyDescent="0.25">
      <c r="H4887" s="110"/>
      <c r="I4887" s="110"/>
    </row>
    <row r="4888" spans="8:9" x14ac:dyDescent="0.25">
      <c r="H4888" s="110"/>
      <c r="I4888" s="110"/>
    </row>
    <row r="4889" spans="8:9" x14ac:dyDescent="0.25">
      <c r="H4889" s="110"/>
      <c r="I4889" s="110"/>
    </row>
    <row r="4890" spans="8:9" x14ac:dyDescent="0.25">
      <c r="H4890" s="110"/>
      <c r="I4890" s="110"/>
    </row>
    <row r="4891" spans="8:9" x14ac:dyDescent="0.25">
      <c r="H4891" s="110"/>
      <c r="I4891" s="110"/>
    </row>
    <row r="4892" spans="8:9" x14ac:dyDescent="0.25">
      <c r="H4892" s="110"/>
      <c r="I4892" s="110"/>
    </row>
    <row r="4893" spans="8:9" x14ac:dyDescent="0.25">
      <c r="H4893" s="110"/>
      <c r="I4893" s="110"/>
    </row>
    <row r="4894" spans="8:9" x14ac:dyDescent="0.25">
      <c r="H4894" s="110"/>
      <c r="I4894" s="110"/>
    </row>
    <row r="4895" spans="8:9" x14ac:dyDescent="0.25">
      <c r="H4895" s="110"/>
      <c r="I4895" s="110"/>
    </row>
    <row r="4896" spans="8:9" x14ac:dyDescent="0.25">
      <c r="H4896" s="110"/>
      <c r="I4896" s="110"/>
    </row>
    <row r="4897" spans="8:9" x14ac:dyDescent="0.25">
      <c r="H4897" s="110"/>
      <c r="I4897" s="110"/>
    </row>
    <row r="4898" spans="8:9" x14ac:dyDescent="0.25">
      <c r="H4898" s="110"/>
      <c r="I4898" s="110"/>
    </row>
    <row r="4899" spans="8:9" x14ac:dyDescent="0.25">
      <c r="H4899" s="110"/>
      <c r="I4899" s="110"/>
    </row>
    <row r="4900" spans="8:9" x14ac:dyDescent="0.25">
      <c r="H4900" s="110"/>
      <c r="I4900" s="110"/>
    </row>
    <row r="4901" spans="8:9" x14ac:dyDescent="0.25">
      <c r="H4901" s="110"/>
      <c r="I4901" s="110"/>
    </row>
    <row r="4902" spans="8:9" x14ac:dyDescent="0.25">
      <c r="H4902" s="110"/>
      <c r="I4902" s="110"/>
    </row>
    <row r="4903" spans="8:9" x14ac:dyDescent="0.25">
      <c r="H4903" s="110"/>
      <c r="I4903" s="110"/>
    </row>
    <row r="4904" spans="8:9" x14ac:dyDescent="0.25">
      <c r="H4904" s="110"/>
      <c r="I4904" s="110"/>
    </row>
    <row r="4905" spans="8:9" x14ac:dyDescent="0.25">
      <c r="H4905" s="110"/>
      <c r="I4905" s="110"/>
    </row>
    <row r="4906" spans="8:9" x14ac:dyDescent="0.25">
      <c r="H4906" s="110"/>
      <c r="I4906" s="110"/>
    </row>
    <row r="4907" spans="8:9" x14ac:dyDescent="0.25">
      <c r="H4907" s="110"/>
      <c r="I4907" s="110"/>
    </row>
    <row r="4908" spans="8:9" x14ac:dyDescent="0.25">
      <c r="H4908" s="110"/>
      <c r="I4908" s="110"/>
    </row>
    <row r="4909" spans="8:9" x14ac:dyDescent="0.25">
      <c r="H4909" s="110"/>
      <c r="I4909" s="110"/>
    </row>
    <row r="4910" spans="8:9" x14ac:dyDescent="0.25">
      <c r="H4910" s="110"/>
      <c r="I4910" s="110"/>
    </row>
    <row r="4911" spans="8:9" x14ac:dyDescent="0.25">
      <c r="H4911" s="110"/>
      <c r="I4911" s="110"/>
    </row>
    <row r="4912" spans="8:9" x14ac:dyDescent="0.25">
      <c r="H4912" s="110"/>
      <c r="I4912" s="110"/>
    </row>
    <row r="4913" spans="8:9" x14ac:dyDescent="0.25">
      <c r="H4913" s="110"/>
      <c r="I4913" s="110"/>
    </row>
    <row r="4914" spans="8:9" x14ac:dyDescent="0.25">
      <c r="H4914" s="110"/>
      <c r="I4914" s="110"/>
    </row>
    <row r="4915" spans="8:9" x14ac:dyDescent="0.25">
      <c r="H4915" s="110"/>
      <c r="I4915" s="110"/>
    </row>
    <row r="4916" spans="8:9" x14ac:dyDescent="0.25">
      <c r="H4916" s="110"/>
      <c r="I4916" s="110"/>
    </row>
    <row r="4917" spans="8:9" x14ac:dyDescent="0.25">
      <c r="H4917" s="110"/>
      <c r="I4917" s="110"/>
    </row>
    <row r="4918" spans="8:9" x14ac:dyDescent="0.25">
      <c r="H4918" s="110"/>
      <c r="I4918" s="110"/>
    </row>
    <row r="4919" spans="8:9" x14ac:dyDescent="0.25">
      <c r="H4919" s="110"/>
      <c r="I4919" s="110"/>
    </row>
    <row r="4920" spans="8:9" x14ac:dyDescent="0.25">
      <c r="H4920" s="110"/>
      <c r="I4920" s="110"/>
    </row>
    <row r="4921" spans="8:9" x14ac:dyDescent="0.25">
      <c r="H4921" s="110"/>
      <c r="I4921" s="110"/>
    </row>
    <row r="4922" spans="8:9" x14ac:dyDescent="0.25">
      <c r="H4922" s="110"/>
      <c r="I4922" s="110"/>
    </row>
    <row r="4923" spans="8:9" x14ac:dyDescent="0.25">
      <c r="H4923" s="110"/>
      <c r="I4923" s="110"/>
    </row>
    <row r="4924" spans="8:9" x14ac:dyDescent="0.25">
      <c r="H4924" s="110"/>
      <c r="I4924" s="110"/>
    </row>
    <row r="4925" spans="8:9" x14ac:dyDescent="0.25">
      <c r="H4925" s="110"/>
      <c r="I4925" s="110"/>
    </row>
    <row r="4926" spans="8:9" x14ac:dyDescent="0.25">
      <c r="H4926" s="110"/>
      <c r="I4926" s="110"/>
    </row>
    <row r="4927" spans="8:9" x14ac:dyDescent="0.25">
      <c r="H4927" s="110"/>
      <c r="I4927" s="110"/>
    </row>
    <row r="4928" spans="8:9" x14ac:dyDescent="0.25">
      <c r="H4928" s="110"/>
      <c r="I4928" s="110"/>
    </row>
    <row r="4929" spans="8:9" x14ac:dyDescent="0.25">
      <c r="H4929" s="110"/>
      <c r="I4929" s="110"/>
    </row>
    <row r="4930" spans="8:9" x14ac:dyDescent="0.25">
      <c r="H4930" s="110"/>
      <c r="I4930" s="110"/>
    </row>
    <row r="4931" spans="8:9" x14ac:dyDescent="0.25">
      <c r="H4931" s="110"/>
      <c r="I4931" s="110"/>
    </row>
    <row r="4932" spans="8:9" x14ac:dyDescent="0.25">
      <c r="H4932" s="110"/>
      <c r="I4932" s="110"/>
    </row>
    <row r="4933" spans="8:9" x14ac:dyDescent="0.25">
      <c r="H4933" s="110"/>
      <c r="I4933" s="110"/>
    </row>
    <row r="4934" spans="8:9" x14ac:dyDescent="0.25">
      <c r="H4934" s="110"/>
      <c r="I4934" s="110"/>
    </row>
    <row r="4935" spans="8:9" x14ac:dyDescent="0.25">
      <c r="H4935" s="110"/>
      <c r="I4935" s="110"/>
    </row>
    <row r="4936" spans="8:9" x14ac:dyDescent="0.25">
      <c r="H4936" s="110"/>
      <c r="I4936" s="110"/>
    </row>
    <row r="4937" spans="8:9" x14ac:dyDescent="0.25">
      <c r="H4937" s="110"/>
      <c r="I4937" s="110"/>
    </row>
    <row r="4938" spans="8:9" x14ac:dyDescent="0.25">
      <c r="H4938" s="110"/>
      <c r="I4938" s="110"/>
    </row>
    <row r="4939" spans="8:9" x14ac:dyDescent="0.25">
      <c r="H4939" s="110"/>
      <c r="I4939" s="110"/>
    </row>
    <row r="4940" spans="8:9" x14ac:dyDescent="0.25">
      <c r="H4940" s="110"/>
      <c r="I4940" s="110"/>
    </row>
    <row r="4941" spans="8:9" x14ac:dyDescent="0.25">
      <c r="H4941" s="110"/>
      <c r="I4941" s="110"/>
    </row>
    <row r="4942" spans="8:9" x14ac:dyDescent="0.25">
      <c r="H4942" s="110"/>
      <c r="I4942" s="110"/>
    </row>
    <row r="4943" spans="8:9" x14ac:dyDescent="0.25">
      <c r="H4943" s="110"/>
      <c r="I4943" s="110"/>
    </row>
    <row r="4944" spans="8:9" x14ac:dyDescent="0.25">
      <c r="H4944" s="110"/>
      <c r="I4944" s="110"/>
    </row>
    <row r="4945" spans="8:9" x14ac:dyDescent="0.25">
      <c r="H4945" s="110"/>
      <c r="I4945" s="110"/>
    </row>
    <row r="4946" spans="8:9" x14ac:dyDescent="0.25">
      <c r="H4946" s="110"/>
      <c r="I4946" s="110"/>
    </row>
    <row r="4947" spans="8:9" x14ac:dyDescent="0.25">
      <c r="H4947" s="110"/>
      <c r="I4947" s="110"/>
    </row>
    <row r="4948" spans="8:9" x14ac:dyDescent="0.25">
      <c r="H4948" s="110"/>
      <c r="I4948" s="110"/>
    </row>
    <row r="4949" spans="8:9" x14ac:dyDescent="0.25">
      <c r="H4949" s="110"/>
      <c r="I4949" s="110"/>
    </row>
    <row r="4950" spans="8:9" x14ac:dyDescent="0.25">
      <c r="H4950" s="110"/>
      <c r="I4950" s="110"/>
    </row>
    <row r="4951" spans="8:9" x14ac:dyDescent="0.25">
      <c r="H4951" s="110"/>
      <c r="I4951" s="110"/>
    </row>
    <row r="4952" spans="8:9" x14ac:dyDescent="0.25">
      <c r="H4952" s="110"/>
      <c r="I4952" s="110"/>
    </row>
    <row r="4953" spans="8:9" x14ac:dyDescent="0.25">
      <c r="H4953" s="110"/>
      <c r="I4953" s="110"/>
    </row>
    <row r="4954" spans="8:9" x14ac:dyDescent="0.25">
      <c r="H4954" s="110"/>
      <c r="I4954" s="110"/>
    </row>
    <row r="4955" spans="8:9" x14ac:dyDescent="0.25">
      <c r="H4955" s="110"/>
      <c r="I4955" s="110"/>
    </row>
    <row r="4956" spans="8:9" x14ac:dyDescent="0.25">
      <c r="H4956" s="110"/>
      <c r="I4956" s="110"/>
    </row>
    <row r="4957" spans="8:9" x14ac:dyDescent="0.25">
      <c r="H4957" s="110"/>
      <c r="I4957" s="110"/>
    </row>
    <row r="4958" spans="8:9" x14ac:dyDescent="0.25">
      <c r="H4958" s="110"/>
      <c r="I4958" s="110"/>
    </row>
    <row r="4959" spans="8:9" x14ac:dyDescent="0.25">
      <c r="H4959" s="110"/>
      <c r="I4959" s="110"/>
    </row>
    <row r="4960" spans="8:9" x14ac:dyDescent="0.25">
      <c r="H4960" s="110"/>
      <c r="I4960" s="110"/>
    </row>
    <row r="4961" spans="8:9" x14ac:dyDescent="0.25">
      <c r="H4961" s="110"/>
      <c r="I4961" s="110"/>
    </row>
    <row r="4962" spans="8:9" x14ac:dyDescent="0.25">
      <c r="H4962" s="110"/>
      <c r="I4962" s="110"/>
    </row>
    <row r="4963" spans="8:9" x14ac:dyDescent="0.25">
      <c r="H4963" s="110"/>
      <c r="I4963" s="110"/>
    </row>
    <row r="4964" spans="8:9" x14ac:dyDescent="0.25">
      <c r="H4964" s="110"/>
      <c r="I4964" s="110"/>
    </row>
    <row r="4965" spans="8:9" x14ac:dyDescent="0.25">
      <c r="H4965" s="110"/>
      <c r="I4965" s="110"/>
    </row>
    <row r="4966" spans="8:9" x14ac:dyDescent="0.25">
      <c r="H4966" s="110"/>
      <c r="I4966" s="110"/>
    </row>
    <row r="4967" spans="8:9" x14ac:dyDescent="0.25">
      <c r="H4967" s="110"/>
      <c r="I4967" s="110"/>
    </row>
    <row r="4968" spans="8:9" x14ac:dyDescent="0.25">
      <c r="H4968" s="110"/>
      <c r="I4968" s="110"/>
    </row>
    <row r="4969" spans="8:9" x14ac:dyDescent="0.25">
      <c r="H4969" s="110"/>
      <c r="I4969" s="110"/>
    </row>
    <row r="4970" spans="8:9" x14ac:dyDescent="0.25">
      <c r="H4970" s="110"/>
      <c r="I4970" s="110"/>
    </row>
    <row r="4971" spans="8:9" x14ac:dyDescent="0.25">
      <c r="H4971" s="110"/>
      <c r="I4971" s="110"/>
    </row>
    <row r="4972" spans="8:9" x14ac:dyDescent="0.25">
      <c r="H4972" s="110"/>
      <c r="I4972" s="110"/>
    </row>
    <row r="4973" spans="8:9" x14ac:dyDescent="0.25">
      <c r="H4973" s="110"/>
      <c r="I4973" s="110"/>
    </row>
    <row r="4974" spans="8:9" x14ac:dyDescent="0.25">
      <c r="H4974" s="110"/>
      <c r="I4974" s="110"/>
    </row>
    <row r="4975" spans="8:9" x14ac:dyDescent="0.25">
      <c r="H4975" s="110"/>
      <c r="I4975" s="110"/>
    </row>
    <row r="4976" spans="8:9" x14ac:dyDescent="0.25">
      <c r="H4976" s="110"/>
      <c r="I4976" s="110"/>
    </row>
    <row r="4977" spans="8:9" x14ac:dyDescent="0.25">
      <c r="H4977" s="110"/>
      <c r="I4977" s="110"/>
    </row>
    <row r="4978" spans="8:9" x14ac:dyDescent="0.25">
      <c r="H4978" s="110"/>
      <c r="I4978" s="110"/>
    </row>
    <row r="4979" spans="8:9" x14ac:dyDescent="0.25">
      <c r="H4979" s="110"/>
      <c r="I4979" s="110"/>
    </row>
    <row r="4980" spans="8:9" x14ac:dyDescent="0.25">
      <c r="H4980" s="110"/>
      <c r="I4980" s="110"/>
    </row>
    <row r="4981" spans="8:9" x14ac:dyDescent="0.25">
      <c r="H4981" s="110"/>
      <c r="I4981" s="110"/>
    </row>
    <row r="4982" spans="8:9" x14ac:dyDescent="0.25">
      <c r="H4982" s="110"/>
      <c r="I4982" s="110"/>
    </row>
    <row r="4983" spans="8:9" x14ac:dyDescent="0.25">
      <c r="H4983" s="110"/>
      <c r="I4983" s="110"/>
    </row>
    <row r="4984" spans="8:9" x14ac:dyDescent="0.25">
      <c r="H4984" s="110"/>
      <c r="I4984" s="110"/>
    </row>
    <row r="4985" spans="8:9" x14ac:dyDescent="0.25">
      <c r="H4985" s="110"/>
      <c r="I4985" s="110"/>
    </row>
    <row r="4986" spans="8:9" x14ac:dyDescent="0.25">
      <c r="H4986" s="110"/>
      <c r="I4986" s="110"/>
    </row>
    <row r="4987" spans="8:9" x14ac:dyDescent="0.25">
      <c r="H4987" s="110"/>
      <c r="I4987" s="110"/>
    </row>
    <row r="4988" spans="8:9" x14ac:dyDescent="0.25">
      <c r="H4988" s="110"/>
      <c r="I4988" s="110"/>
    </row>
    <row r="4989" spans="8:9" x14ac:dyDescent="0.25">
      <c r="H4989" s="110"/>
      <c r="I4989" s="110"/>
    </row>
    <row r="4990" spans="8:9" x14ac:dyDescent="0.25">
      <c r="H4990" s="110"/>
      <c r="I4990" s="110"/>
    </row>
    <row r="4991" spans="8:9" x14ac:dyDescent="0.25">
      <c r="H4991" s="110"/>
      <c r="I4991" s="110"/>
    </row>
    <row r="4992" spans="8:9" x14ac:dyDescent="0.25">
      <c r="H4992" s="110"/>
      <c r="I4992" s="110"/>
    </row>
    <row r="4993" spans="8:9" x14ac:dyDescent="0.25">
      <c r="H4993" s="110"/>
      <c r="I4993" s="110"/>
    </row>
    <row r="4994" spans="8:9" x14ac:dyDescent="0.25">
      <c r="H4994" s="110"/>
      <c r="I4994" s="110"/>
    </row>
    <row r="4995" spans="8:9" x14ac:dyDescent="0.25">
      <c r="H4995" s="110"/>
      <c r="I4995" s="110"/>
    </row>
    <row r="4996" spans="8:9" x14ac:dyDescent="0.25">
      <c r="H4996" s="110"/>
      <c r="I4996" s="110"/>
    </row>
    <row r="4997" spans="8:9" x14ac:dyDescent="0.25">
      <c r="H4997" s="110"/>
      <c r="I4997" s="110"/>
    </row>
    <row r="4998" spans="8:9" x14ac:dyDescent="0.25">
      <c r="H4998" s="110"/>
      <c r="I4998" s="110"/>
    </row>
    <row r="4999" spans="8:9" x14ac:dyDescent="0.25">
      <c r="H4999" s="110"/>
      <c r="I4999" s="110"/>
    </row>
    <row r="5000" spans="8:9" x14ac:dyDescent="0.25">
      <c r="H5000" s="110"/>
      <c r="I5000" s="110"/>
    </row>
    <row r="5001" spans="8:9" x14ac:dyDescent="0.25">
      <c r="H5001" s="110"/>
      <c r="I5001" s="110"/>
    </row>
    <row r="5002" spans="8:9" x14ac:dyDescent="0.25">
      <c r="H5002" s="110"/>
      <c r="I5002" s="110"/>
    </row>
    <row r="5003" spans="8:9" x14ac:dyDescent="0.25">
      <c r="H5003" s="110"/>
      <c r="I5003" s="110"/>
    </row>
    <row r="5004" spans="8:9" x14ac:dyDescent="0.25">
      <c r="H5004" s="110"/>
      <c r="I5004" s="110"/>
    </row>
    <row r="5005" spans="8:9" x14ac:dyDescent="0.25">
      <c r="H5005" s="110"/>
      <c r="I5005" s="110"/>
    </row>
    <row r="5006" spans="8:9" x14ac:dyDescent="0.25">
      <c r="H5006" s="110"/>
      <c r="I5006" s="110"/>
    </row>
    <row r="5007" spans="8:9" x14ac:dyDescent="0.25">
      <c r="H5007" s="110"/>
      <c r="I5007" s="110"/>
    </row>
    <row r="5008" spans="8:9" x14ac:dyDescent="0.25">
      <c r="H5008" s="110"/>
      <c r="I5008" s="110"/>
    </row>
    <row r="5009" spans="8:9" x14ac:dyDescent="0.25">
      <c r="H5009" s="110"/>
      <c r="I5009" s="110"/>
    </row>
    <row r="5010" spans="8:9" x14ac:dyDescent="0.25">
      <c r="H5010" s="110"/>
      <c r="I5010" s="110"/>
    </row>
    <row r="5011" spans="8:9" x14ac:dyDescent="0.25">
      <c r="H5011" s="110"/>
      <c r="I5011" s="110"/>
    </row>
    <row r="5012" spans="8:9" x14ac:dyDescent="0.25">
      <c r="H5012" s="110"/>
      <c r="I5012" s="110"/>
    </row>
    <row r="5013" spans="8:9" x14ac:dyDescent="0.25">
      <c r="H5013" s="110"/>
      <c r="I5013" s="110"/>
    </row>
    <row r="5014" spans="8:9" x14ac:dyDescent="0.25">
      <c r="H5014" s="110"/>
      <c r="I5014" s="110"/>
    </row>
    <row r="5015" spans="8:9" x14ac:dyDescent="0.25">
      <c r="H5015" s="110"/>
      <c r="I5015" s="110"/>
    </row>
    <row r="5016" spans="8:9" x14ac:dyDescent="0.25">
      <c r="H5016" s="110"/>
      <c r="I5016" s="110"/>
    </row>
    <row r="5017" spans="8:9" x14ac:dyDescent="0.25">
      <c r="H5017" s="110"/>
      <c r="I5017" s="110"/>
    </row>
    <row r="5018" spans="8:9" x14ac:dyDescent="0.25">
      <c r="H5018" s="110"/>
      <c r="I5018" s="110"/>
    </row>
    <row r="5019" spans="8:9" x14ac:dyDescent="0.25">
      <c r="H5019" s="110"/>
      <c r="I5019" s="110"/>
    </row>
    <row r="5020" spans="8:9" x14ac:dyDescent="0.25">
      <c r="H5020" s="110"/>
      <c r="I5020" s="110"/>
    </row>
    <row r="5021" spans="8:9" x14ac:dyDescent="0.25">
      <c r="H5021" s="110"/>
      <c r="I5021" s="110"/>
    </row>
    <row r="5022" spans="8:9" x14ac:dyDescent="0.25">
      <c r="H5022" s="110"/>
      <c r="I5022" s="110"/>
    </row>
    <row r="5023" spans="8:9" x14ac:dyDescent="0.25">
      <c r="H5023" s="110"/>
      <c r="I5023" s="110"/>
    </row>
    <row r="5024" spans="8:9" x14ac:dyDescent="0.25">
      <c r="H5024" s="110"/>
      <c r="I5024" s="110"/>
    </row>
    <row r="5025" spans="8:9" x14ac:dyDescent="0.25">
      <c r="H5025" s="110"/>
      <c r="I5025" s="110"/>
    </row>
    <row r="5026" spans="8:9" x14ac:dyDescent="0.25">
      <c r="H5026" s="110"/>
      <c r="I5026" s="110"/>
    </row>
    <row r="5027" spans="8:9" x14ac:dyDescent="0.25">
      <c r="H5027" s="110"/>
      <c r="I5027" s="110"/>
    </row>
    <row r="5028" spans="8:9" x14ac:dyDescent="0.25">
      <c r="H5028" s="110"/>
      <c r="I5028" s="110"/>
    </row>
    <row r="5029" spans="8:9" x14ac:dyDescent="0.25">
      <c r="H5029" s="110"/>
      <c r="I5029" s="110"/>
    </row>
    <row r="5030" spans="8:9" x14ac:dyDescent="0.25">
      <c r="H5030" s="110"/>
      <c r="I5030" s="110"/>
    </row>
    <row r="5031" spans="8:9" x14ac:dyDescent="0.25">
      <c r="H5031" s="110"/>
      <c r="I5031" s="110"/>
    </row>
    <row r="5032" spans="8:9" x14ac:dyDescent="0.25">
      <c r="H5032" s="110"/>
      <c r="I5032" s="110"/>
    </row>
    <row r="5033" spans="8:9" x14ac:dyDescent="0.25">
      <c r="H5033" s="110"/>
      <c r="I5033" s="110"/>
    </row>
    <row r="5034" spans="8:9" x14ac:dyDescent="0.25">
      <c r="H5034" s="110"/>
      <c r="I5034" s="110"/>
    </row>
    <row r="5035" spans="8:9" x14ac:dyDescent="0.25">
      <c r="H5035" s="110"/>
      <c r="I5035" s="110"/>
    </row>
    <row r="5036" spans="8:9" x14ac:dyDescent="0.25">
      <c r="H5036" s="110"/>
      <c r="I5036" s="110"/>
    </row>
    <row r="5037" spans="8:9" x14ac:dyDescent="0.25">
      <c r="H5037" s="110"/>
      <c r="I5037" s="110"/>
    </row>
    <row r="5038" spans="8:9" x14ac:dyDescent="0.25">
      <c r="H5038" s="110"/>
      <c r="I5038" s="110"/>
    </row>
    <row r="5039" spans="8:9" x14ac:dyDescent="0.25">
      <c r="H5039" s="110"/>
      <c r="I5039" s="110"/>
    </row>
    <row r="5040" spans="8:9" x14ac:dyDescent="0.25">
      <c r="H5040" s="110"/>
      <c r="I5040" s="110"/>
    </row>
    <row r="5041" spans="8:9" x14ac:dyDescent="0.25">
      <c r="H5041" s="110"/>
      <c r="I5041" s="110"/>
    </row>
    <row r="5042" spans="8:9" x14ac:dyDescent="0.25">
      <c r="H5042" s="110"/>
      <c r="I5042" s="110"/>
    </row>
    <row r="5043" spans="8:9" x14ac:dyDescent="0.25">
      <c r="H5043" s="110"/>
      <c r="I5043" s="110"/>
    </row>
    <row r="5044" spans="8:9" x14ac:dyDescent="0.25">
      <c r="H5044" s="110"/>
      <c r="I5044" s="110"/>
    </row>
    <row r="5045" spans="8:9" x14ac:dyDescent="0.25">
      <c r="H5045" s="110"/>
      <c r="I5045" s="110"/>
    </row>
    <row r="5046" spans="8:9" x14ac:dyDescent="0.25">
      <c r="H5046" s="110"/>
      <c r="I5046" s="110"/>
    </row>
    <row r="5047" spans="8:9" x14ac:dyDescent="0.25">
      <c r="H5047" s="110"/>
      <c r="I5047" s="110"/>
    </row>
    <row r="5048" spans="8:9" x14ac:dyDescent="0.25">
      <c r="H5048" s="110"/>
      <c r="I5048" s="110"/>
    </row>
    <row r="5049" spans="8:9" x14ac:dyDescent="0.25">
      <c r="H5049" s="110"/>
      <c r="I5049" s="110"/>
    </row>
    <row r="5050" spans="8:9" x14ac:dyDescent="0.25">
      <c r="H5050" s="110"/>
      <c r="I5050" s="110"/>
    </row>
    <row r="5051" spans="8:9" x14ac:dyDescent="0.25">
      <c r="H5051" s="110"/>
      <c r="I5051" s="110"/>
    </row>
    <row r="5052" spans="8:9" x14ac:dyDescent="0.25">
      <c r="H5052" s="110"/>
      <c r="I5052" s="110"/>
    </row>
    <row r="5053" spans="8:9" x14ac:dyDescent="0.25">
      <c r="H5053" s="110"/>
      <c r="I5053" s="110"/>
    </row>
    <row r="5054" spans="8:9" x14ac:dyDescent="0.25">
      <c r="H5054" s="110"/>
      <c r="I5054" s="110"/>
    </row>
    <row r="5055" spans="8:9" x14ac:dyDescent="0.25">
      <c r="H5055" s="110"/>
      <c r="I5055" s="110"/>
    </row>
    <row r="5056" spans="8:9" x14ac:dyDescent="0.25">
      <c r="H5056" s="110"/>
      <c r="I5056" s="110"/>
    </row>
    <row r="5057" spans="8:9" x14ac:dyDescent="0.25">
      <c r="H5057" s="110"/>
      <c r="I5057" s="110"/>
    </row>
    <row r="5058" spans="8:9" x14ac:dyDescent="0.25">
      <c r="H5058" s="110"/>
      <c r="I5058" s="110"/>
    </row>
    <row r="5059" spans="8:9" x14ac:dyDescent="0.25">
      <c r="H5059" s="110"/>
      <c r="I5059" s="110"/>
    </row>
    <row r="5060" spans="8:9" x14ac:dyDescent="0.25">
      <c r="H5060" s="110"/>
      <c r="I5060" s="110"/>
    </row>
    <row r="5061" spans="8:9" x14ac:dyDescent="0.25">
      <c r="H5061" s="110"/>
      <c r="I5061" s="110"/>
    </row>
    <row r="5062" spans="8:9" x14ac:dyDescent="0.25">
      <c r="H5062" s="110"/>
      <c r="I5062" s="110"/>
    </row>
    <row r="5063" spans="8:9" x14ac:dyDescent="0.25">
      <c r="H5063" s="110"/>
      <c r="I5063" s="110"/>
    </row>
    <row r="5064" spans="8:9" x14ac:dyDescent="0.25">
      <c r="H5064" s="110"/>
      <c r="I5064" s="110"/>
    </row>
    <row r="5065" spans="8:9" x14ac:dyDescent="0.25">
      <c r="H5065" s="110"/>
      <c r="I5065" s="110"/>
    </row>
    <row r="5066" spans="8:9" x14ac:dyDescent="0.25">
      <c r="H5066" s="110"/>
      <c r="I5066" s="110"/>
    </row>
    <row r="5067" spans="8:9" x14ac:dyDescent="0.25">
      <c r="H5067" s="110"/>
      <c r="I5067" s="110"/>
    </row>
    <row r="5068" spans="8:9" x14ac:dyDescent="0.25">
      <c r="H5068" s="110"/>
      <c r="I5068" s="110"/>
    </row>
    <row r="5069" spans="8:9" x14ac:dyDescent="0.25">
      <c r="H5069" s="110"/>
      <c r="I5069" s="110"/>
    </row>
    <row r="5070" spans="8:9" x14ac:dyDescent="0.25">
      <c r="H5070" s="110"/>
      <c r="I5070" s="110"/>
    </row>
    <row r="5071" spans="8:9" x14ac:dyDescent="0.25">
      <c r="H5071" s="110"/>
      <c r="I5071" s="110"/>
    </row>
    <row r="5072" spans="8:9" x14ac:dyDescent="0.25">
      <c r="H5072" s="110"/>
      <c r="I5072" s="110"/>
    </row>
    <row r="5073" spans="8:9" x14ac:dyDescent="0.25">
      <c r="H5073" s="110"/>
      <c r="I5073" s="110"/>
    </row>
    <row r="5074" spans="8:9" x14ac:dyDescent="0.25">
      <c r="H5074" s="110"/>
      <c r="I5074" s="110"/>
    </row>
    <row r="5075" spans="8:9" x14ac:dyDescent="0.25">
      <c r="H5075" s="110"/>
      <c r="I5075" s="110"/>
    </row>
    <row r="5076" spans="8:9" x14ac:dyDescent="0.25">
      <c r="H5076" s="110"/>
      <c r="I5076" s="110"/>
    </row>
    <row r="5077" spans="8:9" x14ac:dyDescent="0.25">
      <c r="H5077" s="110"/>
      <c r="I5077" s="110"/>
    </row>
    <row r="5078" spans="8:9" x14ac:dyDescent="0.25">
      <c r="H5078" s="110"/>
      <c r="I5078" s="110"/>
    </row>
    <row r="5079" spans="8:9" x14ac:dyDescent="0.25">
      <c r="H5079" s="110"/>
      <c r="I5079" s="110"/>
    </row>
    <row r="5080" spans="8:9" x14ac:dyDescent="0.25">
      <c r="H5080" s="110"/>
      <c r="I5080" s="110"/>
    </row>
    <row r="5081" spans="8:9" x14ac:dyDescent="0.25">
      <c r="H5081" s="110"/>
      <c r="I5081" s="110"/>
    </row>
    <row r="5082" spans="8:9" x14ac:dyDescent="0.25">
      <c r="H5082" s="110"/>
      <c r="I5082" s="110"/>
    </row>
    <row r="5083" spans="8:9" x14ac:dyDescent="0.25">
      <c r="H5083" s="110"/>
      <c r="I5083" s="110"/>
    </row>
    <row r="5084" spans="8:9" x14ac:dyDescent="0.25">
      <c r="H5084" s="110"/>
      <c r="I5084" s="110"/>
    </row>
    <row r="5085" spans="8:9" x14ac:dyDescent="0.25">
      <c r="H5085" s="110"/>
      <c r="I5085" s="110"/>
    </row>
    <row r="5086" spans="8:9" x14ac:dyDescent="0.25">
      <c r="H5086" s="110"/>
      <c r="I5086" s="110"/>
    </row>
    <row r="5087" spans="8:9" x14ac:dyDescent="0.25">
      <c r="H5087" s="110"/>
      <c r="I5087" s="110"/>
    </row>
    <row r="5088" spans="8:9" x14ac:dyDescent="0.25">
      <c r="H5088" s="110"/>
      <c r="I5088" s="110"/>
    </row>
    <row r="5089" spans="8:9" x14ac:dyDescent="0.25">
      <c r="H5089" s="110"/>
      <c r="I5089" s="110"/>
    </row>
    <row r="5090" spans="8:9" x14ac:dyDescent="0.25">
      <c r="H5090" s="110"/>
      <c r="I5090" s="110"/>
    </row>
    <row r="5091" spans="8:9" x14ac:dyDescent="0.25">
      <c r="H5091" s="110"/>
      <c r="I5091" s="110"/>
    </row>
    <row r="5092" spans="8:9" x14ac:dyDescent="0.25">
      <c r="H5092" s="110"/>
      <c r="I5092" s="110"/>
    </row>
    <row r="5093" spans="8:9" x14ac:dyDescent="0.25">
      <c r="H5093" s="110"/>
      <c r="I5093" s="110"/>
    </row>
    <row r="5094" spans="8:9" x14ac:dyDescent="0.25">
      <c r="H5094" s="110"/>
      <c r="I5094" s="110"/>
    </row>
    <row r="5095" spans="8:9" x14ac:dyDescent="0.25">
      <c r="H5095" s="110"/>
      <c r="I5095" s="110"/>
    </row>
    <row r="5096" spans="8:9" x14ac:dyDescent="0.25">
      <c r="H5096" s="110"/>
      <c r="I5096" s="110"/>
    </row>
    <row r="5097" spans="8:9" x14ac:dyDescent="0.25">
      <c r="H5097" s="110"/>
      <c r="I5097" s="110"/>
    </row>
    <row r="5098" spans="8:9" x14ac:dyDescent="0.25">
      <c r="H5098" s="110"/>
      <c r="I5098" s="110"/>
    </row>
    <row r="5099" spans="8:9" x14ac:dyDescent="0.25">
      <c r="H5099" s="110"/>
      <c r="I5099" s="110"/>
    </row>
    <row r="5100" spans="8:9" x14ac:dyDescent="0.25">
      <c r="H5100" s="110"/>
      <c r="I5100" s="110"/>
    </row>
    <row r="5101" spans="8:9" x14ac:dyDescent="0.25">
      <c r="H5101" s="110"/>
      <c r="I5101" s="110"/>
    </row>
    <row r="5102" spans="8:9" x14ac:dyDescent="0.25">
      <c r="H5102" s="110"/>
      <c r="I5102" s="110"/>
    </row>
    <row r="5103" spans="8:9" x14ac:dyDescent="0.25">
      <c r="H5103" s="110"/>
      <c r="I5103" s="110"/>
    </row>
    <row r="5104" spans="8:9" x14ac:dyDescent="0.25">
      <c r="H5104" s="110"/>
      <c r="I5104" s="110"/>
    </row>
    <row r="5105" spans="8:9" x14ac:dyDescent="0.25">
      <c r="H5105" s="110"/>
      <c r="I5105" s="110"/>
    </row>
    <row r="5106" spans="8:9" x14ac:dyDescent="0.25">
      <c r="H5106" s="110"/>
      <c r="I5106" s="110"/>
    </row>
    <row r="5107" spans="8:9" x14ac:dyDescent="0.25">
      <c r="H5107" s="110"/>
      <c r="I5107" s="110"/>
    </row>
    <row r="5108" spans="8:9" x14ac:dyDescent="0.25">
      <c r="H5108" s="110"/>
      <c r="I5108" s="110"/>
    </row>
    <row r="5109" spans="8:9" x14ac:dyDescent="0.25">
      <c r="H5109" s="110"/>
      <c r="I5109" s="110"/>
    </row>
    <row r="5110" spans="8:9" x14ac:dyDescent="0.25">
      <c r="H5110" s="110"/>
      <c r="I5110" s="110"/>
    </row>
    <row r="5111" spans="8:9" x14ac:dyDescent="0.25">
      <c r="H5111" s="110"/>
      <c r="I5111" s="110"/>
    </row>
    <row r="5112" spans="8:9" x14ac:dyDescent="0.25">
      <c r="H5112" s="110"/>
      <c r="I5112" s="110"/>
    </row>
    <row r="5113" spans="8:9" x14ac:dyDescent="0.25">
      <c r="H5113" s="110"/>
      <c r="I5113" s="110"/>
    </row>
    <row r="5114" spans="8:9" x14ac:dyDescent="0.25">
      <c r="H5114" s="110"/>
      <c r="I5114" s="110"/>
    </row>
    <row r="5115" spans="8:9" x14ac:dyDescent="0.25">
      <c r="H5115" s="110"/>
      <c r="I5115" s="110"/>
    </row>
    <row r="5116" spans="8:9" x14ac:dyDescent="0.25">
      <c r="H5116" s="110"/>
      <c r="I5116" s="110"/>
    </row>
    <row r="5117" spans="8:9" x14ac:dyDescent="0.25">
      <c r="H5117" s="110"/>
      <c r="I5117" s="110"/>
    </row>
    <row r="5118" spans="8:9" x14ac:dyDescent="0.25">
      <c r="H5118" s="110"/>
      <c r="I5118" s="110"/>
    </row>
    <row r="5119" spans="8:9" x14ac:dyDescent="0.25">
      <c r="H5119" s="110"/>
      <c r="I5119" s="110"/>
    </row>
    <row r="5120" spans="8:9" x14ac:dyDescent="0.25">
      <c r="H5120" s="110"/>
      <c r="I5120" s="110"/>
    </row>
    <row r="5121" spans="8:9" x14ac:dyDescent="0.25">
      <c r="H5121" s="110"/>
      <c r="I5121" s="110"/>
    </row>
    <row r="5122" spans="8:9" x14ac:dyDescent="0.25">
      <c r="H5122" s="110"/>
      <c r="I5122" s="110"/>
    </row>
    <row r="5123" spans="8:9" x14ac:dyDescent="0.25">
      <c r="H5123" s="110"/>
      <c r="I5123" s="110"/>
    </row>
    <row r="5124" spans="8:9" x14ac:dyDescent="0.25">
      <c r="H5124" s="110"/>
      <c r="I5124" s="110"/>
    </row>
    <row r="5125" spans="8:9" x14ac:dyDescent="0.25">
      <c r="H5125" s="110"/>
      <c r="I5125" s="110"/>
    </row>
    <row r="5126" spans="8:9" x14ac:dyDescent="0.25">
      <c r="H5126" s="110"/>
      <c r="I5126" s="110"/>
    </row>
    <row r="5127" spans="8:9" x14ac:dyDescent="0.25">
      <c r="H5127" s="110"/>
      <c r="I5127" s="110"/>
    </row>
    <row r="5128" spans="8:9" x14ac:dyDescent="0.25">
      <c r="H5128" s="110"/>
      <c r="I5128" s="110"/>
    </row>
    <row r="5129" spans="8:9" x14ac:dyDescent="0.25">
      <c r="H5129" s="110"/>
      <c r="I5129" s="110"/>
    </row>
    <row r="5130" spans="8:9" x14ac:dyDescent="0.25">
      <c r="H5130" s="110"/>
      <c r="I5130" s="110"/>
    </row>
    <row r="5131" spans="8:9" x14ac:dyDescent="0.25">
      <c r="H5131" s="110"/>
      <c r="I5131" s="110"/>
    </row>
    <row r="5132" spans="8:9" x14ac:dyDescent="0.25">
      <c r="H5132" s="110"/>
      <c r="I5132" s="110"/>
    </row>
    <row r="5133" spans="8:9" x14ac:dyDescent="0.25">
      <c r="H5133" s="110"/>
      <c r="I5133" s="110"/>
    </row>
    <row r="5134" spans="8:9" x14ac:dyDescent="0.25">
      <c r="H5134" s="110"/>
      <c r="I5134" s="110"/>
    </row>
    <row r="5135" spans="8:9" x14ac:dyDescent="0.25">
      <c r="H5135" s="110"/>
      <c r="I5135" s="110"/>
    </row>
    <row r="5136" spans="8:9" x14ac:dyDescent="0.25">
      <c r="H5136" s="110"/>
      <c r="I5136" s="110"/>
    </row>
    <row r="5137" spans="8:9" x14ac:dyDescent="0.25">
      <c r="H5137" s="110"/>
      <c r="I5137" s="110"/>
    </row>
    <row r="5138" spans="8:9" x14ac:dyDescent="0.25">
      <c r="H5138" s="110"/>
      <c r="I5138" s="110"/>
    </row>
    <row r="5139" spans="8:9" x14ac:dyDescent="0.25">
      <c r="H5139" s="110"/>
      <c r="I5139" s="110"/>
    </row>
    <row r="5140" spans="8:9" x14ac:dyDescent="0.25">
      <c r="H5140" s="110"/>
      <c r="I5140" s="110"/>
    </row>
    <row r="5141" spans="8:9" x14ac:dyDescent="0.25">
      <c r="H5141" s="110"/>
      <c r="I5141" s="110"/>
    </row>
    <row r="5142" spans="8:9" x14ac:dyDescent="0.25">
      <c r="H5142" s="110"/>
      <c r="I5142" s="110"/>
    </row>
    <row r="5143" spans="8:9" x14ac:dyDescent="0.25">
      <c r="H5143" s="110"/>
      <c r="I5143" s="110"/>
    </row>
    <row r="5144" spans="8:9" x14ac:dyDescent="0.25">
      <c r="H5144" s="110"/>
      <c r="I5144" s="110"/>
    </row>
    <row r="5145" spans="8:9" x14ac:dyDescent="0.25">
      <c r="H5145" s="110"/>
      <c r="I5145" s="110"/>
    </row>
    <row r="5146" spans="8:9" x14ac:dyDescent="0.25">
      <c r="H5146" s="110"/>
      <c r="I5146" s="110"/>
    </row>
    <row r="5147" spans="8:9" x14ac:dyDescent="0.25">
      <c r="H5147" s="110"/>
      <c r="I5147" s="110"/>
    </row>
    <row r="5148" spans="8:9" x14ac:dyDescent="0.25">
      <c r="H5148" s="110"/>
      <c r="I5148" s="110"/>
    </row>
    <row r="5149" spans="8:9" x14ac:dyDescent="0.25">
      <c r="H5149" s="110"/>
      <c r="I5149" s="110"/>
    </row>
    <row r="5150" spans="8:9" x14ac:dyDescent="0.25">
      <c r="H5150" s="110"/>
      <c r="I5150" s="110"/>
    </row>
    <row r="5151" spans="8:9" x14ac:dyDescent="0.25">
      <c r="H5151" s="110"/>
      <c r="I5151" s="110"/>
    </row>
    <row r="5152" spans="8:9" x14ac:dyDescent="0.25">
      <c r="H5152" s="110"/>
      <c r="I5152" s="110"/>
    </row>
    <row r="5153" spans="8:9" x14ac:dyDescent="0.25">
      <c r="H5153" s="110"/>
      <c r="I5153" s="110"/>
    </row>
    <row r="5154" spans="8:9" x14ac:dyDescent="0.25">
      <c r="H5154" s="110"/>
      <c r="I5154" s="110"/>
    </row>
    <row r="5155" spans="8:9" x14ac:dyDescent="0.25">
      <c r="H5155" s="110"/>
      <c r="I5155" s="110"/>
    </row>
    <row r="5156" spans="8:9" x14ac:dyDescent="0.25">
      <c r="H5156" s="110"/>
      <c r="I5156" s="110"/>
    </row>
    <row r="5157" spans="8:9" x14ac:dyDescent="0.25">
      <c r="H5157" s="110"/>
      <c r="I5157" s="110"/>
    </row>
    <row r="5158" spans="8:9" x14ac:dyDescent="0.25">
      <c r="H5158" s="110"/>
      <c r="I5158" s="110"/>
    </row>
    <row r="5159" spans="8:9" x14ac:dyDescent="0.25">
      <c r="H5159" s="110"/>
      <c r="I5159" s="110"/>
    </row>
    <row r="5160" spans="8:9" x14ac:dyDescent="0.25">
      <c r="H5160" s="110"/>
      <c r="I5160" s="110"/>
    </row>
    <row r="5161" spans="8:9" x14ac:dyDescent="0.25">
      <c r="H5161" s="110"/>
      <c r="I5161" s="110"/>
    </row>
    <row r="5162" spans="8:9" x14ac:dyDescent="0.25">
      <c r="H5162" s="110"/>
      <c r="I5162" s="110"/>
    </row>
    <row r="5163" spans="8:9" x14ac:dyDescent="0.25">
      <c r="H5163" s="110"/>
      <c r="I5163" s="110"/>
    </row>
    <row r="5164" spans="8:9" x14ac:dyDescent="0.25">
      <c r="H5164" s="110"/>
      <c r="I5164" s="110"/>
    </row>
    <row r="5165" spans="8:9" x14ac:dyDescent="0.25">
      <c r="H5165" s="110"/>
      <c r="I5165" s="110"/>
    </row>
    <row r="5166" spans="8:9" x14ac:dyDescent="0.25">
      <c r="H5166" s="110"/>
      <c r="I5166" s="110"/>
    </row>
    <row r="5167" spans="8:9" x14ac:dyDescent="0.25">
      <c r="H5167" s="110"/>
      <c r="I5167" s="110"/>
    </row>
    <row r="5168" spans="8:9" x14ac:dyDescent="0.25">
      <c r="H5168" s="110"/>
      <c r="I5168" s="110"/>
    </row>
    <row r="5169" spans="8:9" x14ac:dyDescent="0.25">
      <c r="H5169" s="110"/>
      <c r="I5169" s="110"/>
    </row>
    <row r="5170" spans="8:9" x14ac:dyDescent="0.25">
      <c r="H5170" s="110"/>
      <c r="I5170" s="110"/>
    </row>
    <row r="5171" spans="8:9" x14ac:dyDescent="0.25">
      <c r="H5171" s="110"/>
      <c r="I5171" s="110"/>
    </row>
    <row r="5172" spans="8:9" x14ac:dyDescent="0.25">
      <c r="H5172" s="110"/>
      <c r="I5172" s="110"/>
    </row>
    <row r="5173" spans="8:9" x14ac:dyDescent="0.25">
      <c r="H5173" s="110"/>
      <c r="I5173" s="110"/>
    </row>
    <row r="5174" spans="8:9" x14ac:dyDescent="0.25">
      <c r="H5174" s="110"/>
      <c r="I5174" s="110"/>
    </row>
    <row r="5175" spans="8:9" x14ac:dyDescent="0.25">
      <c r="H5175" s="110"/>
      <c r="I5175" s="110"/>
    </row>
    <row r="5176" spans="8:9" x14ac:dyDescent="0.25">
      <c r="H5176" s="110"/>
      <c r="I5176" s="110"/>
    </row>
    <row r="5177" spans="8:9" x14ac:dyDescent="0.25">
      <c r="H5177" s="110"/>
      <c r="I5177" s="110"/>
    </row>
    <row r="5178" spans="8:9" x14ac:dyDescent="0.25">
      <c r="H5178" s="110"/>
      <c r="I5178" s="110"/>
    </row>
    <row r="5179" spans="8:9" x14ac:dyDescent="0.25">
      <c r="H5179" s="110"/>
      <c r="I5179" s="110"/>
    </row>
    <row r="5180" spans="8:9" x14ac:dyDescent="0.25">
      <c r="H5180" s="110"/>
      <c r="I5180" s="110"/>
    </row>
    <row r="5181" spans="8:9" x14ac:dyDescent="0.25">
      <c r="H5181" s="110"/>
      <c r="I5181" s="110"/>
    </row>
    <row r="5182" spans="8:9" x14ac:dyDescent="0.25">
      <c r="H5182" s="110"/>
      <c r="I5182" s="110"/>
    </row>
    <row r="5183" spans="8:9" x14ac:dyDescent="0.25">
      <c r="H5183" s="110"/>
      <c r="I5183" s="110"/>
    </row>
    <row r="5184" spans="8:9" x14ac:dyDescent="0.25">
      <c r="H5184" s="110"/>
      <c r="I5184" s="110"/>
    </row>
    <row r="5185" spans="8:9" x14ac:dyDescent="0.25">
      <c r="H5185" s="110"/>
      <c r="I5185" s="110"/>
    </row>
    <row r="5186" spans="8:9" x14ac:dyDescent="0.25">
      <c r="H5186" s="110"/>
      <c r="I5186" s="110"/>
    </row>
    <row r="5187" spans="8:9" x14ac:dyDescent="0.25">
      <c r="H5187" s="110"/>
      <c r="I5187" s="110"/>
    </row>
    <row r="5188" spans="8:9" x14ac:dyDescent="0.25">
      <c r="H5188" s="110"/>
      <c r="I5188" s="110"/>
    </row>
    <row r="5189" spans="8:9" x14ac:dyDescent="0.25">
      <c r="H5189" s="110"/>
      <c r="I5189" s="110"/>
    </row>
    <row r="5190" spans="8:9" x14ac:dyDescent="0.25">
      <c r="H5190" s="110"/>
      <c r="I5190" s="110"/>
    </row>
    <row r="5191" spans="8:9" x14ac:dyDescent="0.25">
      <c r="H5191" s="110"/>
      <c r="I5191" s="110"/>
    </row>
    <row r="5192" spans="8:9" x14ac:dyDescent="0.25">
      <c r="H5192" s="110"/>
      <c r="I5192" s="110"/>
    </row>
    <row r="5193" spans="8:9" x14ac:dyDescent="0.25">
      <c r="H5193" s="110"/>
      <c r="I5193" s="110"/>
    </row>
    <row r="5194" spans="8:9" x14ac:dyDescent="0.25">
      <c r="H5194" s="110"/>
      <c r="I5194" s="110"/>
    </row>
    <row r="5195" spans="8:9" x14ac:dyDescent="0.25">
      <c r="H5195" s="110"/>
      <c r="I5195" s="110"/>
    </row>
    <row r="5196" spans="8:9" x14ac:dyDescent="0.25">
      <c r="H5196" s="110"/>
      <c r="I5196" s="110"/>
    </row>
    <row r="5197" spans="8:9" x14ac:dyDescent="0.25">
      <c r="H5197" s="110"/>
      <c r="I5197" s="110"/>
    </row>
    <row r="5198" spans="8:9" x14ac:dyDescent="0.25">
      <c r="H5198" s="110"/>
      <c r="I5198" s="110"/>
    </row>
    <row r="5199" spans="8:9" x14ac:dyDescent="0.25">
      <c r="H5199" s="110"/>
      <c r="I5199" s="110"/>
    </row>
    <row r="5200" spans="8:9" x14ac:dyDescent="0.25">
      <c r="H5200" s="110"/>
      <c r="I5200" s="110"/>
    </row>
    <row r="5201" spans="8:9" x14ac:dyDescent="0.25">
      <c r="H5201" s="110"/>
      <c r="I5201" s="110"/>
    </row>
    <row r="5202" spans="8:9" x14ac:dyDescent="0.25">
      <c r="H5202" s="110"/>
      <c r="I5202" s="110"/>
    </row>
    <row r="5203" spans="8:9" x14ac:dyDescent="0.25">
      <c r="H5203" s="110"/>
      <c r="I5203" s="110"/>
    </row>
    <row r="5204" spans="8:9" x14ac:dyDescent="0.25">
      <c r="H5204" s="110"/>
      <c r="I5204" s="110"/>
    </row>
    <row r="5205" spans="8:9" x14ac:dyDescent="0.25">
      <c r="H5205" s="110"/>
      <c r="I5205" s="110"/>
    </row>
    <row r="5206" spans="8:9" x14ac:dyDescent="0.25">
      <c r="H5206" s="110"/>
      <c r="I5206" s="110"/>
    </row>
    <row r="5207" spans="8:9" x14ac:dyDescent="0.25">
      <c r="H5207" s="110"/>
      <c r="I5207" s="110"/>
    </row>
    <row r="5208" spans="8:9" x14ac:dyDescent="0.25">
      <c r="H5208" s="110"/>
      <c r="I5208" s="110"/>
    </row>
    <row r="5209" spans="8:9" x14ac:dyDescent="0.25">
      <c r="H5209" s="110"/>
      <c r="I5209" s="110"/>
    </row>
    <row r="5210" spans="8:9" x14ac:dyDescent="0.25">
      <c r="H5210" s="110"/>
      <c r="I5210" s="110"/>
    </row>
    <row r="5211" spans="8:9" x14ac:dyDescent="0.25">
      <c r="H5211" s="110"/>
      <c r="I5211" s="110"/>
    </row>
    <row r="5212" spans="8:9" x14ac:dyDescent="0.25">
      <c r="H5212" s="110"/>
      <c r="I5212" s="110"/>
    </row>
    <row r="5213" spans="8:9" x14ac:dyDescent="0.25">
      <c r="H5213" s="110"/>
      <c r="I5213" s="110"/>
    </row>
    <row r="5214" spans="8:9" x14ac:dyDescent="0.25">
      <c r="H5214" s="110"/>
      <c r="I5214" s="110"/>
    </row>
    <row r="5215" spans="8:9" x14ac:dyDescent="0.25">
      <c r="H5215" s="110"/>
      <c r="I5215" s="110"/>
    </row>
    <row r="5216" spans="8:9" x14ac:dyDescent="0.25">
      <c r="H5216" s="110"/>
      <c r="I5216" s="110"/>
    </row>
    <row r="5217" spans="8:9" x14ac:dyDescent="0.25">
      <c r="H5217" s="110"/>
      <c r="I5217" s="110"/>
    </row>
    <row r="5218" spans="8:9" x14ac:dyDescent="0.25">
      <c r="H5218" s="110"/>
      <c r="I5218" s="110"/>
    </row>
    <row r="5219" spans="8:9" x14ac:dyDescent="0.25">
      <c r="H5219" s="110"/>
      <c r="I5219" s="110"/>
    </row>
    <row r="5220" spans="8:9" x14ac:dyDescent="0.25">
      <c r="H5220" s="110"/>
      <c r="I5220" s="110"/>
    </row>
    <row r="5221" spans="8:9" x14ac:dyDescent="0.25">
      <c r="H5221" s="110"/>
      <c r="I5221" s="110"/>
    </row>
    <row r="5222" spans="8:9" x14ac:dyDescent="0.25">
      <c r="H5222" s="110"/>
      <c r="I5222" s="110"/>
    </row>
    <row r="5223" spans="8:9" x14ac:dyDescent="0.25">
      <c r="H5223" s="110"/>
      <c r="I5223" s="110"/>
    </row>
    <row r="5224" spans="8:9" x14ac:dyDescent="0.25">
      <c r="H5224" s="110"/>
      <c r="I5224" s="110"/>
    </row>
    <row r="5225" spans="8:9" x14ac:dyDescent="0.25">
      <c r="H5225" s="110"/>
      <c r="I5225" s="110"/>
    </row>
    <row r="5226" spans="8:9" x14ac:dyDescent="0.25">
      <c r="H5226" s="110"/>
      <c r="I5226" s="110"/>
    </row>
    <row r="5227" spans="8:9" x14ac:dyDescent="0.25">
      <c r="H5227" s="110"/>
      <c r="I5227" s="110"/>
    </row>
    <row r="5228" spans="8:9" x14ac:dyDescent="0.25">
      <c r="H5228" s="110"/>
      <c r="I5228" s="110"/>
    </row>
    <row r="5229" spans="8:9" x14ac:dyDescent="0.25">
      <c r="H5229" s="110"/>
      <c r="I5229" s="110"/>
    </row>
    <row r="5230" spans="8:9" x14ac:dyDescent="0.25">
      <c r="H5230" s="110"/>
      <c r="I5230" s="110"/>
    </row>
    <row r="5231" spans="8:9" x14ac:dyDescent="0.25">
      <c r="H5231" s="110"/>
      <c r="I5231" s="110"/>
    </row>
    <row r="5232" spans="8:9" x14ac:dyDescent="0.25">
      <c r="H5232" s="110"/>
      <c r="I5232" s="110"/>
    </row>
    <row r="5233" spans="8:9" x14ac:dyDescent="0.25">
      <c r="H5233" s="110"/>
      <c r="I5233" s="110"/>
    </row>
    <row r="5234" spans="8:9" x14ac:dyDescent="0.25">
      <c r="H5234" s="110"/>
      <c r="I5234" s="110"/>
    </row>
    <row r="5235" spans="8:9" x14ac:dyDescent="0.25">
      <c r="H5235" s="110"/>
      <c r="I5235" s="110"/>
    </row>
    <row r="5236" spans="8:9" x14ac:dyDescent="0.25">
      <c r="H5236" s="110"/>
      <c r="I5236" s="110"/>
    </row>
    <row r="5237" spans="8:9" x14ac:dyDescent="0.25">
      <c r="H5237" s="110"/>
      <c r="I5237" s="110"/>
    </row>
    <row r="5238" spans="8:9" x14ac:dyDescent="0.25">
      <c r="H5238" s="110"/>
      <c r="I5238" s="110"/>
    </row>
    <row r="5239" spans="8:9" x14ac:dyDescent="0.25">
      <c r="H5239" s="110"/>
      <c r="I5239" s="110"/>
    </row>
    <row r="5240" spans="8:9" x14ac:dyDescent="0.25">
      <c r="H5240" s="110"/>
      <c r="I5240" s="110"/>
    </row>
    <row r="5241" spans="8:9" x14ac:dyDescent="0.25">
      <c r="H5241" s="110"/>
      <c r="I5241" s="110"/>
    </row>
    <row r="5242" spans="8:9" x14ac:dyDescent="0.25">
      <c r="H5242" s="110"/>
      <c r="I5242" s="110"/>
    </row>
    <row r="5243" spans="8:9" x14ac:dyDescent="0.25">
      <c r="H5243" s="110"/>
      <c r="I5243" s="110"/>
    </row>
    <row r="5244" spans="8:9" x14ac:dyDescent="0.25">
      <c r="H5244" s="110"/>
      <c r="I5244" s="110"/>
    </row>
    <row r="5245" spans="8:9" x14ac:dyDescent="0.25">
      <c r="H5245" s="110"/>
      <c r="I5245" s="110"/>
    </row>
    <row r="5246" spans="8:9" x14ac:dyDescent="0.25">
      <c r="H5246" s="110"/>
      <c r="I5246" s="110"/>
    </row>
    <row r="5247" spans="8:9" x14ac:dyDescent="0.25">
      <c r="H5247" s="110"/>
      <c r="I5247" s="110"/>
    </row>
    <row r="5248" spans="8:9" x14ac:dyDescent="0.25">
      <c r="H5248" s="110"/>
      <c r="I5248" s="110"/>
    </row>
    <row r="5249" spans="8:9" x14ac:dyDescent="0.25">
      <c r="H5249" s="110"/>
      <c r="I5249" s="110"/>
    </row>
    <row r="5250" spans="8:9" x14ac:dyDescent="0.25">
      <c r="H5250" s="110"/>
      <c r="I5250" s="110"/>
    </row>
    <row r="5251" spans="8:9" x14ac:dyDescent="0.25">
      <c r="H5251" s="110"/>
      <c r="I5251" s="110"/>
    </row>
    <row r="5252" spans="8:9" x14ac:dyDescent="0.25">
      <c r="H5252" s="110"/>
      <c r="I5252" s="110"/>
    </row>
    <row r="5253" spans="8:9" x14ac:dyDescent="0.25">
      <c r="H5253" s="110"/>
      <c r="I5253" s="110"/>
    </row>
    <row r="5254" spans="8:9" x14ac:dyDescent="0.25">
      <c r="H5254" s="110"/>
      <c r="I5254" s="110"/>
    </row>
    <row r="5255" spans="8:9" x14ac:dyDescent="0.25">
      <c r="H5255" s="110"/>
      <c r="I5255" s="110"/>
    </row>
    <row r="5256" spans="8:9" x14ac:dyDescent="0.25">
      <c r="H5256" s="110"/>
      <c r="I5256" s="110"/>
    </row>
    <row r="5257" spans="8:9" x14ac:dyDescent="0.25">
      <c r="H5257" s="110"/>
      <c r="I5257" s="110"/>
    </row>
    <row r="5258" spans="8:9" x14ac:dyDescent="0.25">
      <c r="H5258" s="110"/>
      <c r="I5258" s="110"/>
    </row>
    <row r="5259" spans="8:9" x14ac:dyDescent="0.25">
      <c r="H5259" s="110"/>
      <c r="I5259" s="110"/>
    </row>
    <row r="5260" spans="8:9" x14ac:dyDescent="0.25">
      <c r="H5260" s="110"/>
      <c r="I5260" s="110"/>
    </row>
    <row r="5261" spans="8:9" x14ac:dyDescent="0.25">
      <c r="H5261" s="110"/>
      <c r="I5261" s="110"/>
    </row>
    <row r="5262" spans="8:9" x14ac:dyDescent="0.25">
      <c r="H5262" s="110"/>
      <c r="I5262" s="110"/>
    </row>
    <row r="5263" spans="8:9" x14ac:dyDescent="0.25">
      <c r="H5263" s="110"/>
      <c r="I5263" s="110"/>
    </row>
    <row r="5264" spans="8:9" x14ac:dyDescent="0.25">
      <c r="H5264" s="110"/>
      <c r="I5264" s="110"/>
    </row>
    <row r="5265" spans="8:9" x14ac:dyDescent="0.25">
      <c r="H5265" s="110"/>
      <c r="I5265" s="110"/>
    </row>
    <row r="5266" spans="8:9" x14ac:dyDescent="0.25">
      <c r="H5266" s="110"/>
      <c r="I5266" s="110"/>
    </row>
    <row r="5267" spans="8:9" x14ac:dyDescent="0.25">
      <c r="H5267" s="110"/>
      <c r="I5267" s="110"/>
    </row>
    <row r="5268" spans="8:9" x14ac:dyDescent="0.25">
      <c r="H5268" s="110"/>
      <c r="I5268" s="110"/>
    </row>
    <row r="5269" spans="8:9" x14ac:dyDescent="0.25">
      <c r="H5269" s="110"/>
      <c r="I5269" s="110"/>
    </row>
    <row r="5270" spans="8:9" x14ac:dyDescent="0.25">
      <c r="H5270" s="110"/>
      <c r="I5270" s="110"/>
    </row>
    <row r="5271" spans="8:9" x14ac:dyDescent="0.25">
      <c r="H5271" s="110"/>
      <c r="I5271" s="110"/>
    </row>
    <row r="5272" spans="8:9" x14ac:dyDescent="0.25">
      <c r="H5272" s="110"/>
      <c r="I5272" s="110"/>
    </row>
    <row r="5273" spans="8:9" x14ac:dyDescent="0.25">
      <c r="H5273" s="110"/>
      <c r="I5273" s="110"/>
    </row>
    <row r="5274" spans="8:9" x14ac:dyDescent="0.25">
      <c r="H5274" s="110"/>
      <c r="I5274" s="110"/>
    </row>
    <row r="5275" spans="8:9" x14ac:dyDescent="0.25">
      <c r="H5275" s="110"/>
      <c r="I5275" s="110"/>
    </row>
    <row r="5276" spans="8:9" x14ac:dyDescent="0.25">
      <c r="H5276" s="110"/>
      <c r="I5276" s="110"/>
    </row>
    <row r="5277" spans="8:9" x14ac:dyDescent="0.25">
      <c r="H5277" s="110"/>
      <c r="I5277" s="110"/>
    </row>
    <row r="5278" spans="8:9" x14ac:dyDescent="0.25">
      <c r="H5278" s="110"/>
      <c r="I5278" s="110"/>
    </row>
    <row r="5279" spans="8:9" x14ac:dyDescent="0.25">
      <c r="H5279" s="110"/>
      <c r="I5279" s="110"/>
    </row>
    <row r="5280" spans="8:9" x14ac:dyDescent="0.25">
      <c r="H5280" s="110"/>
      <c r="I5280" s="110"/>
    </row>
    <row r="5281" spans="8:9" x14ac:dyDescent="0.25">
      <c r="H5281" s="110"/>
      <c r="I5281" s="110"/>
    </row>
    <row r="5282" spans="8:9" x14ac:dyDescent="0.25">
      <c r="H5282" s="110"/>
      <c r="I5282" s="110"/>
    </row>
    <row r="5283" spans="8:9" x14ac:dyDescent="0.25">
      <c r="H5283" s="110"/>
      <c r="I5283" s="110"/>
    </row>
    <row r="5284" spans="8:9" x14ac:dyDescent="0.25">
      <c r="H5284" s="110"/>
      <c r="I5284" s="110"/>
    </row>
    <row r="5285" spans="8:9" x14ac:dyDescent="0.25">
      <c r="H5285" s="110"/>
      <c r="I5285" s="110"/>
    </row>
    <row r="5286" spans="8:9" x14ac:dyDescent="0.25">
      <c r="H5286" s="110"/>
      <c r="I5286" s="110"/>
    </row>
    <row r="5287" spans="8:9" x14ac:dyDescent="0.25">
      <c r="H5287" s="110"/>
      <c r="I5287" s="110"/>
    </row>
    <row r="5288" spans="8:9" x14ac:dyDescent="0.25">
      <c r="H5288" s="110"/>
      <c r="I5288" s="110"/>
    </row>
    <row r="5289" spans="8:9" x14ac:dyDescent="0.25">
      <c r="H5289" s="110"/>
      <c r="I5289" s="110"/>
    </row>
    <row r="5290" spans="8:9" x14ac:dyDescent="0.25">
      <c r="H5290" s="110"/>
      <c r="I5290" s="110"/>
    </row>
    <row r="5291" spans="8:9" x14ac:dyDescent="0.25">
      <c r="H5291" s="110"/>
      <c r="I5291" s="110"/>
    </row>
    <row r="5292" spans="8:9" x14ac:dyDescent="0.25">
      <c r="H5292" s="110"/>
      <c r="I5292" s="110"/>
    </row>
    <row r="5293" spans="8:9" x14ac:dyDescent="0.25">
      <c r="H5293" s="110"/>
      <c r="I5293" s="110"/>
    </row>
    <row r="5294" spans="8:9" x14ac:dyDescent="0.25">
      <c r="H5294" s="110"/>
      <c r="I5294" s="110"/>
    </row>
    <row r="5295" spans="8:9" x14ac:dyDescent="0.25">
      <c r="H5295" s="110"/>
      <c r="I5295" s="110"/>
    </row>
    <row r="5296" spans="8:9" x14ac:dyDescent="0.25">
      <c r="H5296" s="110"/>
      <c r="I5296" s="110"/>
    </row>
    <row r="5297" spans="8:9" x14ac:dyDescent="0.25">
      <c r="H5297" s="110"/>
      <c r="I5297" s="110"/>
    </row>
    <row r="5298" spans="8:9" x14ac:dyDescent="0.25">
      <c r="H5298" s="110"/>
      <c r="I5298" s="110"/>
    </row>
    <row r="5299" spans="8:9" x14ac:dyDescent="0.25">
      <c r="H5299" s="110"/>
      <c r="I5299" s="110"/>
    </row>
    <row r="5300" spans="8:9" x14ac:dyDescent="0.25">
      <c r="H5300" s="110"/>
      <c r="I5300" s="110"/>
    </row>
    <row r="5301" spans="8:9" x14ac:dyDescent="0.25">
      <c r="H5301" s="110"/>
      <c r="I5301" s="110"/>
    </row>
    <row r="5302" spans="8:9" x14ac:dyDescent="0.25">
      <c r="H5302" s="110"/>
      <c r="I5302" s="110"/>
    </row>
    <row r="5303" spans="8:9" x14ac:dyDescent="0.25">
      <c r="H5303" s="110"/>
      <c r="I5303" s="110"/>
    </row>
    <row r="5304" spans="8:9" x14ac:dyDescent="0.25">
      <c r="H5304" s="110"/>
      <c r="I5304" s="110"/>
    </row>
    <row r="5305" spans="8:9" x14ac:dyDescent="0.25">
      <c r="H5305" s="110"/>
      <c r="I5305" s="110"/>
    </row>
    <row r="5306" spans="8:9" x14ac:dyDescent="0.25">
      <c r="H5306" s="110"/>
      <c r="I5306" s="110"/>
    </row>
    <row r="5307" spans="8:9" x14ac:dyDescent="0.25">
      <c r="H5307" s="110"/>
      <c r="I5307" s="110"/>
    </row>
    <row r="5308" spans="8:9" x14ac:dyDescent="0.25">
      <c r="H5308" s="110"/>
      <c r="I5308" s="110"/>
    </row>
    <row r="5309" spans="8:9" x14ac:dyDescent="0.25">
      <c r="H5309" s="110"/>
      <c r="I5309" s="110"/>
    </row>
    <row r="5310" spans="8:9" x14ac:dyDescent="0.25">
      <c r="H5310" s="110"/>
      <c r="I5310" s="110"/>
    </row>
    <row r="5311" spans="8:9" x14ac:dyDescent="0.25">
      <c r="H5311" s="110"/>
      <c r="I5311" s="110"/>
    </row>
    <row r="5312" spans="8:9" x14ac:dyDescent="0.25">
      <c r="H5312" s="110"/>
      <c r="I5312" s="110"/>
    </row>
    <row r="5313" spans="8:9" x14ac:dyDescent="0.25">
      <c r="H5313" s="110"/>
      <c r="I5313" s="110"/>
    </row>
    <row r="5314" spans="8:9" x14ac:dyDescent="0.25">
      <c r="H5314" s="110"/>
      <c r="I5314" s="110"/>
    </row>
    <row r="5315" spans="8:9" x14ac:dyDescent="0.25">
      <c r="H5315" s="110"/>
      <c r="I5315" s="110"/>
    </row>
    <row r="5316" spans="8:9" x14ac:dyDescent="0.25">
      <c r="H5316" s="110"/>
      <c r="I5316" s="110"/>
    </row>
    <row r="5317" spans="8:9" x14ac:dyDescent="0.25">
      <c r="H5317" s="110"/>
      <c r="I5317" s="110"/>
    </row>
    <row r="5318" spans="8:9" x14ac:dyDescent="0.25">
      <c r="H5318" s="110"/>
      <c r="I5318" s="110"/>
    </row>
    <row r="5319" spans="8:9" x14ac:dyDescent="0.25">
      <c r="H5319" s="110"/>
      <c r="I5319" s="110"/>
    </row>
    <row r="5320" spans="8:9" x14ac:dyDescent="0.25">
      <c r="H5320" s="110"/>
      <c r="I5320" s="110"/>
    </row>
    <row r="5321" spans="8:9" x14ac:dyDescent="0.25">
      <c r="H5321" s="110"/>
      <c r="I5321" s="110"/>
    </row>
    <row r="5322" spans="8:9" x14ac:dyDescent="0.25">
      <c r="H5322" s="110"/>
      <c r="I5322" s="110"/>
    </row>
    <row r="5323" spans="8:9" x14ac:dyDescent="0.25">
      <c r="H5323" s="110"/>
      <c r="I5323" s="110"/>
    </row>
    <row r="5324" spans="8:9" x14ac:dyDescent="0.25">
      <c r="H5324" s="110"/>
      <c r="I5324" s="110"/>
    </row>
    <row r="5325" spans="8:9" x14ac:dyDescent="0.25">
      <c r="H5325" s="110"/>
      <c r="I5325" s="110"/>
    </row>
    <row r="5326" spans="8:9" x14ac:dyDescent="0.25">
      <c r="H5326" s="110"/>
      <c r="I5326" s="110"/>
    </row>
    <row r="5327" spans="8:9" x14ac:dyDescent="0.25">
      <c r="H5327" s="110"/>
      <c r="I5327" s="110"/>
    </row>
    <row r="5328" spans="8:9" x14ac:dyDescent="0.25">
      <c r="H5328" s="110"/>
      <c r="I5328" s="110"/>
    </row>
    <row r="5329" spans="8:9" x14ac:dyDescent="0.25">
      <c r="H5329" s="110"/>
      <c r="I5329" s="110"/>
    </row>
    <row r="5330" spans="8:9" x14ac:dyDescent="0.25">
      <c r="H5330" s="110"/>
      <c r="I5330" s="110"/>
    </row>
    <row r="5331" spans="8:9" x14ac:dyDescent="0.25">
      <c r="H5331" s="110"/>
      <c r="I5331" s="110"/>
    </row>
    <row r="5332" spans="8:9" x14ac:dyDescent="0.25">
      <c r="H5332" s="110"/>
      <c r="I5332" s="110"/>
    </row>
    <row r="5333" spans="8:9" x14ac:dyDescent="0.25">
      <c r="H5333" s="110"/>
      <c r="I5333" s="110"/>
    </row>
    <row r="5334" spans="8:9" x14ac:dyDescent="0.25">
      <c r="H5334" s="110"/>
      <c r="I5334" s="110"/>
    </row>
    <row r="5335" spans="8:9" x14ac:dyDescent="0.25">
      <c r="H5335" s="110"/>
      <c r="I5335" s="110"/>
    </row>
    <row r="5336" spans="8:9" x14ac:dyDescent="0.25">
      <c r="H5336" s="110"/>
      <c r="I5336" s="110"/>
    </row>
    <row r="5337" spans="8:9" x14ac:dyDescent="0.25">
      <c r="H5337" s="110"/>
      <c r="I5337" s="110"/>
    </row>
    <row r="5338" spans="8:9" x14ac:dyDescent="0.25">
      <c r="H5338" s="110"/>
      <c r="I5338" s="110"/>
    </row>
    <row r="5339" spans="8:9" x14ac:dyDescent="0.25">
      <c r="H5339" s="110"/>
      <c r="I5339" s="110"/>
    </row>
    <row r="5340" spans="8:9" x14ac:dyDescent="0.25">
      <c r="H5340" s="110"/>
      <c r="I5340" s="110"/>
    </row>
    <row r="5341" spans="8:9" x14ac:dyDescent="0.25">
      <c r="H5341" s="110"/>
      <c r="I5341" s="110"/>
    </row>
    <row r="5342" spans="8:9" x14ac:dyDescent="0.25">
      <c r="H5342" s="110"/>
      <c r="I5342" s="110"/>
    </row>
    <row r="5343" spans="8:9" x14ac:dyDescent="0.25">
      <c r="H5343" s="110"/>
      <c r="I5343" s="110"/>
    </row>
    <row r="5344" spans="8:9" x14ac:dyDescent="0.25">
      <c r="H5344" s="110"/>
      <c r="I5344" s="110"/>
    </row>
    <row r="5345" spans="8:9" x14ac:dyDescent="0.25">
      <c r="H5345" s="110"/>
      <c r="I5345" s="110"/>
    </row>
    <row r="5346" spans="8:9" x14ac:dyDescent="0.25">
      <c r="H5346" s="110"/>
      <c r="I5346" s="110"/>
    </row>
    <row r="5347" spans="8:9" x14ac:dyDescent="0.25">
      <c r="H5347" s="110"/>
      <c r="I5347" s="110"/>
    </row>
    <row r="5348" spans="8:9" x14ac:dyDescent="0.25">
      <c r="H5348" s="110"/>
      <c r="I5348" s="110"/>
    </row>
    <row r="5349" spans="8:9" x14ac:dyDescent="0.25">
      <c r="H5349" s="110"/>
      <c r="I5349" s="110"/>
    </row>
    <row r="5350" spans="8:9" x14ac:dyDescent="0.25">
      <c r="H5350" s="110"/>
      <c r="I5350" s="110"/>
    </row>
    <row r="5351" spans="8:9" x14ac:dyDescent="0.25">
      <c r="H5351" s="110"/>
      <c r="I5351" s="110"/>
    </row>
    <row r="5352" spans="8:9" x14ac:dyDescent="0.25">
      <c r="H5352" s="110"/>
      <c r="I5352" s="110"/>
    </row>
    <row r="5353" spans="8:9" x14ac:dyDescent="0.25">
      <c r="H5353" s="110"/>
      <c r="I5353" s="110"/>
    </row>
    <row r="5354" spans="8:9" x14ac:dyDescent="0.25">
      <c r="H5354" s="110"/>
      <c r="I5354" s="110"/>
    </row>
    <row r="5355" spans="8:9" x14ac:dyDescent="0.25">
      <c r="H5355" s="110"/>
      <c r="I5355" s="110"/>
    </row>
    <row r="5356" spans="8:9" x14ac:dyDescent="0.25">
      <c r="H5356" s="110"/>
      <c r="I5356" s="110"/>
    </row>
    <row r="5357" spans="8:9" x14ac:dyDescent="0.25">
      <c r="H5357" s="110"/>
      <c r="I5357" s="110"/>
    </row>
    <row r="5358" spans="8:9" x14ac:dyDescent="0.25">
      <c r="H5358" s="110"/>
      <c r="I5358" s="110"/>
    </row>
    <row r="5359" spans="8:9" x14ac:dyDescent="0.25">
      <c r="H5359" s="110"/>
      <c r="I5359" s="110"/>
    </row>
    <row r="5360" spans="8:9" x14ac:dyDescent="0.25">
      <c r="H5360" s="110"/>
      <c r="I5360" s="110"/>
    </row>
    <row r="5361" spans="8:9" x14ac:dyDescent="0.25">
      <c r="H5361" s="110"/>
      <c r="I5361" s="110"/>
    </row>
    <row r="5362" spans="8:9" x14ac:dyDescent="0.25">
      <c r="H5362" s="110"/>
      <c r="I5362" s="110"/>
    </row>
    <row r="5363" spans="8:9" x14ac:dyDescent="0.25">
      <c r="H5363" s="110"/>
      <c r="I5363" s="110"/>
    </row>
    <row r="5364" spans="8:9" x14ac:dyDescent="0.25">
      <c r="H5364" s="110"/>
      <c r="I5364" s="110"/>
    </row>
    <row r="5365" spans="8:9" x14ac:dyDescent="0.25">
      <c r="H5365" s="110"/>
      <c r="I5365" s="110"/>
    </row>
    <row r="5366" spans="8:9" x14ac:dyDescent="0.25">
      <c r="H5366" s="110"/>
      <c r="I5366" s="110"/>
    </row>
    <row r="5367" spans="8:9" x14ac:dyDescent="0.25">
      <c r="H5367" s="110"/>
      <c r="I5367" s="110"/>
    </row>
    <row r="5368" spans="8:9" x14ac:dyDescent="0.25">
      <c r="H5368" s="110"/>
      <c r="I5368" s="110"/>
    </row>
    <row r="5369" spans="8:9" x14ac:dyDescent="0.25">
      <c r="H5369" s="110"/>
      <c r="I5369" s="110"/>
    </row>
    <row r="5370" spans="8:9" x14ac:dyDescent="0.25">
      <c r="H5370" s="110"/>
      <c r="I5370" s="110"/>
    </row>
    <row r="5371" spans="8:9" x14ac:dyDescent="0.25">
      <c r="H5371" s="110"/>
      <c r="I5371" s="110"/>
    </row>
    <row r="5372" spans="8:9" x14ac:dyDescent="0.25">
      <c r="H5372" s="110"/>
      <c r="I5372" s="110"/>
    </row>
    <row r="5373" spans="8:9" x14ac:dyDescent="0.25">
      <c r="H5373" s="110"/>
      <c r="I5373" s="110"/>
    </row>
    <row r="5374" spans="8:9" x14ac:dyDescent="0.25">
      <c r="H5374" s="110"/>
      <c r="I5374" s="110"/>
    </row>
    <row r="5375" spans="8:9" x14ac:dyDescent="0.25">
      <c r="H5375" s="110"/>
      <c r="I5375" s="110"/>
    </row>
    <row r="5376" spans="8:9" x14ac:dyDescent="0.25">
      <c r="H5376" s="110"/>
      <c r="I5376" s="110"/>
    </row>
    <row r="5377" spans="8:9" x14ac:dyDescent="0.25">
      <c r="H5377" s="110"/>
      <c r="I5377" s="110"/>
    </row>
    <row r="5378" spans="8:9" x14ac:dyDescent="0.25">
      <c r="H5378" s="110"/>
      <c r="I5378" s="110"/>
    </row>
    <row r="5379" spans="8:9" x14ac:dyDescent="0.25">
      <c r="H5379" s="110"/>
      <c r="I5379" s="110"/>
    </row>
    <row r="5380" spans="8:9" x14ac:dyDescent="0.25">
      <c r="H5380" s="110"/>
      <c r="I5380" s="110"/>
    </row>
    <row r="5381" spans="8:9" x14ac:dyDescent="0.25">
      <c r="H5381" s="110"/>
      <c r="I5381" s="110"/>
    </row>
    <row r="5382" spans="8:9" x14ac:dyDescent="0.25">
      <c r="H5382" s="110"/>
      <c r="I5382" s="110"/>
    </row>
    <row r="5383" spans="8:9" x14ac:dyDescent="0.25">
      <c r="H5383" s="110"/>
      <c r="I5383" s="110"/>
    </row>
    <row r="5384" spans="8:9" x14ac:dyDescent="0.25">
      <c r="H5384" s="110"/>
      <c r="I5384" s="110"/>
    </row>
    <row r="5385" spans="8:9" x14ac:dyDescent="0.25">
      <c r="H5385" s="110"/>
      <c r="I5385" s="110"/>
    </row>
    <row r="5386" spans="8:9" x14ac:dyDescent="0.25">
      <c r="H5386" s="110"/>
      <c r="I5386" s="110"/>
    </row>
    <row r="5387" spans="8:9" x14ac:dyDescent="0.25">
      <c r="H5387" s="110"/>
      <c r="I5387" s="110"/>
    </row>
    <row r="5388" spans="8:9" x14ac:dyDescent="0.25">
      <c r="H5388" s="110"/>
      <c r="I5388" s="110"/>
    </row>
    <row r="5389" spans="8:9" x14ac:dyDescent="0.25">
      <c r="H5389" s="110"/>
      <c r="I5389" s="110"/>
    </row>
    <row r="5390" spans="8:9" x14ac:dyDescent="0.25">
      <c r="H5390" s="110"/>
      <c r="I5390" s="110"/>
    </row>
    <row r="5391" spans="8:9" x14ac:dyDescent="0.25">
      <c r="H5391" s="110"/>
      <c r="I5391" s="110"/>
    </row>
    <row r="5392" spans="8:9" x14ac:dyDescent="0.25">
      <c r="H5392" s="110"/>
      <c r="I5392" s="110"/>
    </row>
    <row r="5393" spans="8:9" x14ac:dyDescent="0.25">
      <c r="H5393" s="110"/>
      <c r="I5393" s="110"/>
    </row>
    <row r="5394" spans="8:9" x14ac:dyDescent="0.25">
      <c r="H5394" s="110"/>
      <c r="I5394" s="110"/>
    </row>
    <row r="5395" spans="8:9" x14ac:dyDescent="0.25">
      <c r="H5395" s="110"/>
      <c r="I5395" s="110"/>
    </row>
    <row r="5396" spans="8:9" x14ac:dyDescent="0.25">
      <c r="H5396" s="110"/>
      <c r="I5396" s="110"/>
    </row>
    <row r="5397" spans="8:9" x14ac:dyDescent="0.25">
      <c r="H5397" s="110"/>
      <c r="I5397" s="110"/>
    </row>
    <row r="5398" spans="8:9" x14ac:dyDescent="0.25">
      <c r="H5398" s="110"/>
      <c r="I5398" s="110"/>
    </row>
    <row r="5399" spans="8:9" x14ac:dyDescent="0.25">
      <c r="H5399" s="110"/>
      <c r="I5399" s="110"/>
    </row>
    <row r="5400" spans="8:9" x14ac:dyDescent="0.25">
      <c r="H5400" s="110"/>
      <c r="I5400" s="110"/>
    </row>
    <row r="5401" spans="8:9" x14ac:dyDescent="0.25">
      <c r="H5401" s="110"/>
      <c r="I5401" s="110"/>
    </row>
    <row r="5402" spans="8:9" x14ac:dyDescent="0.25">
      <c r="H5402" s="110"/>
      <c r="I5402" s="110"/>
    </row>
    <row r="5403" spans="8:9" x14ac:dyDescent="0.25">
      <c r="H5403" s="110"/>
      <c r="I5403" s="110"/>
    </row>
    <row r="5404" spans="8:9" x14ac:dyDescent="0.25">
      <c r="H5404" s="110"/>
      <c r="I5404" s="110"/>
    </row>
    <row r="5405" spans="8:9" x14ac:dyDescent="0.25">
      <c r="H5405" s="110"/>
      <c r="I5405" s="110"/>
    </row>
    <row r="5406" spans="8:9" x14ac:dyDescent="0.25">
      <c r="H5406" s="110"/>
      <c r="I5406" s="110"/>
    </row>
    <row r="5407" spans="8:9" x14ac:dyDescent="0.25">
      <c r="H5407" s="110"/>
      <c r="I5407" s="110"/>
    </row>
    <row r="5408" spans="8:9" x14ac:dyDescent="0.25">
      <c r="H5408" s="110"/>
      <c r="I5408" s="110"/>
    </row>
    <row r="5409" spans="8:9" x14ac:dyDescent="0.25">
      <c r="H5409" s="110"/>
      <c r="I5409" s="110"/>
    </row>
    <row r="5410" spans="8:9" x14ac:dyDescent="0.25">
      <c r="H5410" s="110"/>
      <c r="I5410" s="110"/>
    </row>
    <row r="5411" spans="8:9" x14ac:dyDescent="0.25">
      <c r="H5411" s="110"/>
      <c r="I5411" s="110"/>
    </row>
    <row r="5412" spans="8:9" x14ac:dyDescent="0.25">
      <c r="H5412" s="110"/>
      <c r="I5412" s="110"/>
    </row>
    <row r="5413" spans="8:9" x14ac:dyDescent="0.25">
      <c r="H5413" s="110"/>
      <c r="I5413" s="110"/>
    </row>
    <row r="5414" spans="8:9" x14ac:dyDescent="0.25">
      <c r="H5414" s="110"/>
      <c r="I5414" s="110"/>
    </row>
    <row r="5415" spans="8:9" x14ac:dyDescent="0.25">
      <c r="H5415" s="110"/>
      <c r="I5415" s="110"/>
    </row>
    <row r="5416" spans="8:9" x14ac:dyDescent="0.25">
      <c r="H5416" s="110"/>
      <c r="I5416" s="110"/>
    </row>
    <row r="5417" spans="8:9" x14ac:dyDescent="0.25">
      <c r="H5417" s="110"/>
      <c r="I5417" s="110"/>
    </row>
    <row r="5418" spans="8:9" x14ac:dyDescent="0.25">
      <c r="H5418" s="110"/>
      <c r="I5418" s="110"/>
    </row>
    <row r="5419" spans="8:9" x14ac:dyDescent="0.25">
      <c r="H5419" s="110"/>
      <c r="I5419" s="110"/>
    </row>
    <row r="5420" spans="8:9" x14ac:dyDescent="0.25">
      <c r="H5420" s="110"/>
      <c r="I5420" s="110"/>
    </row>
    <row r="5421" spans="8:9" x14ac:dyDescent="0.25">
      <c r="H5421" s="110"/>
      <c r="I5421" s="110"/>
    </row>
    <row r="5422" spans="8:9" x14ac:dyDescent="0.25">
      <c r="H5422" s="110"/>
      <c r="I5422" s="110"/>
    </row>
    <row r="5423" spans="8:9" x14ac:dyDescent="0.25">
      <c r="H5423" s="110"/>
      <c r="I5423" s="110"/>
    </row>
    <row r="5424" spans="8:9" x14ac:dyDescent="0.25">
      <c r="H5424" s="110"/>
      <c r="I5424" s="110"/>
    </row>
    <row r="5425" spans="8:9" x14ac:dyDescent="0.25">
      <c r="H5425" s="110"/>
      <c r="I5425" s="110"/>
    </row>
    <row r="5426" spans="8:9" x14ac:dyDescent="0.25">
      <c r="H5426" s="110"/>
      <c r="I5426" s="110"/>
    </row>
    <row r="5427" spans="8:9" x14ac:dyDescent="0.25">
      <c r="H5427" s="110"/>
      <c r="I5427" s="110"/>
    </row>
    <row r="5428" spans="8:9" x14ac:dyDescent="0.25">
      <c r="H5428" s="110"/>
      <c r="I5428" s="110"/>
    </row>
    <row r="5429" spans="8:9" x14ac:dyDescent="0.25">
      <c r="H5429" s="110"/>
      <c r="I5429" s="110"/>
    </row>
    <row r="5430" spans="8:9" x14ac:dyDescent="0.25">
      <c r="H5430" s="110"/>
      <c r="I5430" s="110"/>
    </row>
    <row r="5431" spans="8:9" x14ac:dyDescent="0.25">
      <c r="H5431" s="110"/>
      <c r="I5431" s="110"/>
    </row>
    <row r="5432" spans="8:9" x14ac:dyDescent="0.25">
      <c r="H5432" s="110"/>
      <c r="I5432" s="110"/>
    </row>
    <row r="5433" spans="8:9" x14ac:dyDescent="0.25">
      <c r="H5433" s="110"/>
      <c r="I5433" s="110"/>
    </row>
    <row r="5434" spans="8:9" x14ac:dyDescent="0.25">
      <c r="H5434" s="110"/>
      <c r="I5434" s="110"/>
    </row>
    <row r="5435" spans="8:9" x14ac:dyDescent="0.25">
      <c r="H5435" s="110"/>
      <c r="I5435" s="110"/>
    </row>
    <row r="5436" spans="8:9" x14ac:dyDescent="0.25">
      <c r="H5436" s="110"/>
      <c r="I5436" s="110"/>
    </row>
    <row r="5437" spans="8:9" x14ac:dyDescent="0.25">
      <c r="H5437" s="110"/>
      <c r="I5437" s="110"/>
    </row>
    <row r="5438" spans="8:9" x14ac:dyDescent="0.25">
      <c r="H5438" s="110"/>
      <c r="I5438" s="110"/>
    </row>
    <row r="5439" spans="8:9" x14ac:dyDescent="0.25">
      <c r="H5439" s="110"/>
      <c r="I5439" s="110"/>
    </row>
    <row r="5440" spans="8:9" x14ac:dyDescent="0.25">
      <c r="H5440" s="110"/>
      <c r="I5440" s="110"/>
    </row>
    <row r="5441" spans="8:9" x14ac:dyDescent="0.25">
      <c r="H5441" s="110"/>
      <c r="I5441" s="110"/>
    </row>
    <row r="5442" spans="8:9" x14ac:dyDescent="0.25">
      <c r="H5442" s="110"/>
      <c r="I5442" s="110"/>
    </row>
    <row r="5443" spans="8:9" x14ac:dyDescent="0.25">
      <c r="H5443" s="110"/>
      <c r="I5443" s="110"/>
    </row>
    <row r="5444" spans="8:9" x14ac:dyDescent="0.25">
      <c r="H5444" s="110"/>
      <c r="I5444" s="110"/>
    </row>
    <row r="5445" spans="8:9" x14ac:dyDescent="0.25">
      <c r="H5445" s="110"/>
      <c r="I5445" s="110"/>
    </row>
    <row r="5446" spans="8:9" x14ac:dyDescent="0.25">
      <c r="H5446" s="110"/>
      <c r="I5446" s="110"/>
    </row>
    <row r="5447" spans="8:9" x14ac:dyDescent="0.25">
      <c r="H5447" s="110"/>
      <c r="I5447" s="110"/>
    </row>
    <row r="5448" spans="8:9" x14ac:dyDescent="0.25">
      <c r="H5448" s="110"/>
      <c r="I5448" s="110"/>
    </row>
    <row r="5449" spans="8:9" x14ac:dyDescent="0.25">
      <c r="H5449" s="110"/>
      <c r="I5449" s="110"/>
    </row>
    <row r="5450" spans="8:9" x14ac:dyDescent="0.25">
      <c r="H5450" s="110"/>
      <c r="I5450" s="110"/>
    </row>
    <row r="5451" spans="8:9" x14ac:dyDescent="0.25">
      <c r="H5451" s="110"/>
      <c r="I5451" s="110"/>
    </row>
    <row r="5452" spans="8:9" x14ac:dyDescent="0.25">
      <c r="H5452" s="110"/>
      <c r="I5452" s="110"/>
    </row>
    <row r="5453" spans="8:9" x14ac:dyDescent="0.25">
      <c r="H5453" s="110"/>
      <c r="I5453" s="110"/>
    </row>
    <row r="5454" spans="8:9" x14ac:dyDescent="0.25">
      <c r="H5454" s="110"/>
      <c r="I5454" s="110"/>
    </row>
    <row r="5455" spans="8:9" x14ac:dyDescent="0.25">
      <c r="H5455" s="110"/>
      <c r="I5455" s="110"/>
    </row>
    <row r="5456" spans="8:9" x14ac:dyDescent="0.25">
      <c r="H5456" s="110"/>
      <c r="I5456" s="110"/>
    </row>
    <row r="5457" spans="8:9" x14ac:dyDescent="0.25">
      <c r="H5457" s="110"/>
      <c r="I5457" s="110"/>
    </row>
    <row r="5458" spans="8:9" x14ac:dyDescent="0.25">
      <c r="H5458" s="110"/>
      <c r="I5458" s="110"/>
    </row>
    <row r="5459" spans="8:9" x14ac:dyDescent="0.25">
      <c r="H5459" s="110"/>
      <c r="I5459" s="110"/>
    </row>
    <row r="5460" spans="8:9" x14ac:dyDescent="0.25">
      <c r="H5460" s="110"/>
      <c r="I5460" s="110"/>
    </row>
    <row r="5461" spans="8:9" x14ac:dyDescent="0.25">
      <c r="H5461" s="110"/>
      <c r="I5461" s="110"/>
    </row>
    <row r="5462" spans="8:9" x14ac:dyDescent="0.25">
      <c r="H5462" s="110"/>
      <c r="I5462" s="110"/>
    </row>
    <row r="5463" spans="8:9" x14ac:dyDescent="0.25">
      <c r="H5463" s="110"/>
      <c r="I5463" s="110"/>
    </row>
    <row r="5464" spans="8:9" x14ac:dyDescent="0.25">
      <c r="H5464" s="110"/>
      <c r="I5464" s="110"/>
    </row>
    <row r="5465" spans="8:9" x14ac:dyDescent="0.25">
      <c r="H5465" s="110"/>
      <c r="I5465" s="110"/>
    </row>
    <row r="5466" spans="8:9" x14ac:dyDescent="0.25">
      <c r="H5466" s="110"/>
      <c r="I5466" s="110"/>
    </row>
    <row r="5467" spans="8:9" x14ac:dyDescent="0.25">
      <c r="H5467" s="110"/>
      <c r="I5467" s="110"/>
    </row>
    <row r="5468" spans="8:9" x14ac:dyDescent="0.25">
      <c r="H5468" s="110"/>
      <c r="I5468" s="110"/>
    </row>
    <row r="5469" spans="8:9" x14ac:dyDescent="0.25">
      <c r="H5469" s="110"/>
      <c r="I5469" s="110"/>
    </row>
    <row r="5470" spans="8:9" x14ac:dyDescent="0.25">
      <c r="H5470" s="110"/>
      <c r="I5470" s="110"/>
    </row>
    <row r="5471" spans="8:9" x14ac:dyDescent="0.25">
      <c r="H5471" s="110"/>
      <c r="I5471" s="110"/>
    </row>
    <row r="5472" spans="8:9" x14ac:dyDescent="0.25">
      <c r="H5472" s="110"/>
      <c r="I5472" s="110"/>
    </row>
    <row r="5473" spans="8:9" x14ac:dyDescent="0.25">
      <c r="H5473" s="110"/>
      <c r="I5473" s="110"/>
    </row>
    <row r="5474" spans="8:9" x14ac:dyDescent="0.25">
      <c r="H5474" s="110"/>
      <c r="I5474" s="110"/>
    </row>
    <row r="5475" spans="8:9" x14ac:dyDescent="0.25">
      <c r="H5475" s="110"/>
      <c r="I5475" s="110"/>
    </row>
    <row r="5476" spans="8:9" x14ac:dyDescent="0.25">
      <c r="H5476" s="110"/>
      <c r="I5476" s="110"/>
    </row>
    <row r="5477" spans="8:9" x14ac:dyDescent="0.25">
      <c r="H5477" s="110"/>
      <c r="I5477" s="110"/>
    </row>
    <row r="5478" spans="8:9" x14ac:dyDescent="0.25">
      <c r="H5478" s="110"/>
      <c r="I5478" s="110"/>
    </row>
    <row r="5479" spans="8:9" x14ac:dyDescent="0.25">
      <c r="H5479" s="110"/>
      <c r="I5479" s="110"/>
    </row>
    <row r="5480" spans="8:9" x14ac:dyDescent="0.25">
      <c r="H5480" s="110"/>
      <c r="I5480" s="110"/>
    </row>
    <row r="5481" spans="8:9" x14ac:dyDescent="0.25">
      <c r="H5481" s="110"/>
      <c r="I5481" s="110"/>
    </row>
    <row r="5482" spans="8:9" x14ac:dyDescent="0.25">
      <c r="H5482" s="110"/>
      <c r="I5482" s="110"/>
    </row>
    <row r="5483" spans="8:9" x14ac:dyDescent="0.25">
      <c r="H5483" s="110"/>
      <c r="I5483" s="110"/>
    </row>
    <row r="5484" spans="8:9" x14ac:dyDescent="0.25">
      <c r="H5484" s="110"/>
      <c r="I5484" s="110"/>
    </row>
    <row r="5485" spans="8:9" x14ac:dyDescent="0.25">
      <c r="H5485" s="110"/>
      <c r="I5485" s="110"/>
    </row>
    <row r="5486" spans="8:9" x14ac:dyDescent="0.25">
      <c r="H5486" s="110"/>
      <c r="I5486" s="110"/>
    </row>
    <row r="5487" spans="8:9" x14ac:dyDescent="0.25">
      <c r="H5487" s="110"/>
      <c r="I5487" s="110"/>
    </row>
    <row r="5488" spans="8:9" x14ac:dyDescent="0.25">
      <c r="H5488" s="110"/>
      <c r="I5488" s="110"/>
    </row>
    <row r="5489" spans="8:9" x14ac:dyDescent="0.25">
      <c r="H5489" s="110"/>
      <c r="I5489" s="110"/>
    </row>
    <row r="5490" spans="8:9" x14ac:dyDescent="0.25">
      <c r="H5490" s="110"/>
      <c r="I5490" s="110"/>
    </row>
    <row r="5491" spans="8:9" x14ac:dyDescent="0.25">
      <c r="H5491" s="110"/>
      <c r="I5491" s="110"/>
    </row>
    <row r="5492" spans="8:9" x14ac:dyDescent="0.25">
      <c r="H5492" s="110"/>
      <c r="I5492" s="110"/>
    </row>
    <row r="5493" spans="8:9" x14ac:dyDescent="0.25">
      <c r="H5493" s="110"/>
      <c r="I5493" s="110"/>
    </row>
    <row r="5494" spans="8:9" x14ac:dyDescent="0.25">
      <c r="H5494" s="110"/>
      <c r="I5494" s="110"/>
    </row>
    <row r="5495" spans="8:9" x14ac:dyDescent="0.25">
      <c r="H5495" s="110"/>
      <c r="I5495" s="110"/>
    </row>
    <row r="5496" spans="8:9" x14ac:dyDescent="0.25">
      <c r="H5496" s="110"/>
      <c r="I5496" s="110"/>
    </row>
    <row r="5497" spans="8:9" x14ac:dyDescent="0.25">
      <c r="H5497" s="110"/>
      <c r="I5497" s="110"/>
    </row>
    <row r="5498" spans="8:9" x14ac:dyDescent="0.25">
      <c r="H5498" s="110"/>
      <c r="I5498" s="110"/>
    </row>
    <row r="5499" spans="8:9" x14ac:dyDescent="0.25">
      <c r="H5499" s="110"/>
      <c r="I5499" s="110"/>
    </row>
    <row r="5500" spans="8:9" x14ac:dyDescent="0.25">
      <c r="H5500" s="110"/>
      <c r="I5500" s="110"/>
    </row>
    <row r="5501" spans="8:9" x14ac:dyDescent="0.25">
      <c r="H5501" s="110"/>
      <c r="I5501" s="110"/>
    </row>
    <row r="5502" spans="8:9" x14ac:dyDescent="0.25">
      <c r="H5502" s="110"/>
      <c r="I5502" s="110"/>
    </row>
    <row r="5503" spans="8:9" x14ac:dyDescent="0.25">
      <c r="H5503" s="110"/>
      <c r="I5503" s="110"/>
    </row>
    <row r="5504" spans="8:9" x14ac:dyDescent="0.25">
      <c r="H5504" s="110"/>
      <c r="I5504" s="110"/>
    </row>
    <row r="5505" spans="8:9" x14ac:dyDescent="0.25">
      <c r="H5505" s="110"/>
      <c r="I5505" s="110"/>
    </row>
    <row r="5506" spans="8:9" x14ac:dyDescent="0.25">
      <c r="H5506" s="110"/>
      <c r="I5506" s="110"/>
    </row>
    <row r="5507" spans="8:9" x14ac:dyDescent="0.25">
      <c r="H5507" s="110"/>
      <c r="I5507" s="110"/>
    </row>
    <row r="5508" spans="8:9" x14ac:dyDescent="0.25">
      <c r="H5508" s="110"/>
      <c r="I5508" s="110"/>
    </row>
    <row r="5509" spans="8:9" x14ac:dyDescent="0.25">
      <c r="H5509" s="110"/>
      <c r="I5509" s="110"/>
    </row>
    <row r="5510" spans="8:9" x14ac:dyDescent="0.25">
      <c r="H5510" s="110"/>
      <c r="I5510" s="110"/>
    </row>
    <row r="5511" spans="8:9" x14ac:dyDescent="0.25">
      <c r="H5511" s="110"/>
      <c r="I5511" s="110"/>
    </row>
    <row r="5512" spans="8:9" x14ac:dyDescent="0.25">
      <c r="H5512" s="110"/>
      <c r="I5512" s="110"/>
    </row>
    <row r="5513" spans="8:9" x14ac:dyDescent="0.25">
      <c r="H5513" s="110"/>
      <c r="I5513" s="110"/>
    </row>
    <row r="5514" spans="8:9" x14ac:dyDescent="0.25">
      <c r="H5514" s="110"/>
      <c r="I5514" s="110"/>
    </row>
    <row r="5515" spans="8:9" x14ac:dyDescent="0.25">
      <c r="H5515" s="110"/>
      <c r="I5515" s="110"/>
    </row>
    <row r="5516" spans="8:9" x14ac:dyDescent="0.25">
      <c r="H5516" s="110"/>
      <c r="I5516" s="110"/>
    </row>
    <row r="5517" spans="8:9" x14ac:dyDescent="0.25">
      <c r="H5517" s="110"/>
      <c r="I5517" s="110"/>
    </row>
    <row r="5518" spans="8:9" x14ac:dyDescent="0.25">
      <c r="H5518" s="110"/>
      <c r="I5518" s="110"/>
    </row>
    <row r="5519" spans="8:9" x14ac:dyDescent="0.25">
      <c r="H5519" s="110"/>
      <c r="I5519" s="110"/>
    </row>
    <row r="5520" spans="8:9" x14ac:dyDescent="0.25">
      <c r="H5520" s="110"/>
      <c r="I5520" s="110"/>
    </row>
    <row r="5521" spans="8:9" x14ac:dyDescent="0.25">
      <c r="H5521" s="110"/>
      <c r="I5521" s="110"/>
    </row>
    <row r="5522" spans="8:9" x14ac:dyDescent="0.25">
      <c r="H5522" s="110"/>
      <c r="I5522" s="110"/>
    </row>
    <row r="5523" spans="8:9" x14ac:dyDescent="0.25">
      <c r="H5523" s="110"/>
      <c r="I5523" s="110"/>
    </row>
    <row r="5524" spans="8:9" x14ac:dyDescent="0.25">
      <c r="H5524" s="110"/>
      <c r="I5524" s="110"/>
    </row>
    <row r="5525" spans="8:9" x14ac:dyDescent="0.25">
      <c r="H5525" s="110"/>
      <c r="I5525" s="110"/>
    </row>
    <row r="5526" spans="8:9" x14ac:dyDescent="0.25">
      <c r="H5526" s="110"/>
      <c r="I5526" s="110"/>
    </row>
    <row r="5527" spans="8:9" x14ac:dyDescent="0.25">
      <c r="H5527" s="110"/>
      <c r="I5527" s="110"/>
    </row>
    <row r="5528" spans="8:9" x14ac:dyDescent="0.25">
      <c r="H5528" s="110"/>
      <c r="I5528" s="110"/>
    </row>
    <row r="5529" spans="8:9" x14ac:dyDescent="0.25">
      <c r="H5529" s="110"/>
      <c r="I5529" s="110"/>
    </row>
    <row r="5530" spans="8:9" x14ac:dyDescent="0.25">
      <c r="H5530" s="110"/>
      <c r="I5530" s="110"/>
    </row>
    <row r="5531" spans="8:9" x14ac:dyDescent="0.25">
      <c r="H5531" s="110"/>
      <c r="I5531" s="110"/>
    </row>
    <row r="5532" spans="8:9" x14ac:dyDescent="0.25">
      <c r="H5532" s="110"/>
      <c r="I5532" s="110"/>
    </row>
    <row r="5533" spans="8:9" x14ac:dyDescent="0.25">
      <c r="H5533" s="110"/>
      <c r="I5533" s="110"/>
    </row>
    <row r="5534" spans="8:9" x14ac:dyDescent="0.25">
      <c r="H5534" s="110"/>
      <c r="I5534" s="110"/>
    </row>
    <row r="5535" spans="8:9" x14ac:dyDescent="0.25">
      <c r="H5535" s="110"/>
      <c r="I5535" s="110"/>
    </row>
    <row r="5536" spans="8:9" x14ac:dyDescent="0.25">
      <c r="H5536" s="110"/>
      <c r="I5536" s="110"/>
    </row>
    <row r="5537" spans="8:9" x14ac:dyDescent="0.25">
      <c r="H5537" s="110"/>
      <c r="I5537" s="110"/>
    </row>
    <row r="5538" spans="8:9" x14ac:dyDescent="0.25">
      <c r="H5538" s="110"/>
      <c r="I5538" s="110"/>
    </row>
    <row r="5539" spans="8:9" x14ac:dyDescent="0.25">
      <c r="H5539" s="110"/>
      <c r="I5539" s="110"/>
    </row>
    <row r="5540" spans="8:9" x14ac:dyDescent="0.25">
      <c r="H5540" s="110"/>
      <c r="I5540" s="110"/>
    </row>
    <row r="5541" spans="8:9" x14ac:dyDescent="0.25">
      <c r="H5541" s="110"/>
      <c r="I5541" s="110"/>
    </row>
    <row r="5542" spans="8:9" x14ac:dyDescent="0.25">
      <c r="H5542" s="110"/>
      <c r="I5542" s="110"/>
    </row>
    <row r="5543" spans="8:9" x14ac:dyDescent="0.25">
      <c r="H5543" s="110"/>
      <c r="I5543" s="110"/>
    </row>
    <row r="5544" spans="8:9" x14ac:dyDescent="0.25">
      <c r="H5544" s="110"/>
      <c r="I5544" s="110"/>
    </row>
    <row r="5545" spans="8:9" x14ac:dyDescent="0.25">
      <c r="H5545" s="110"/>
      <c r="I5545" s="110"/>
    </row>
    <row r="5546" spans="8:9" x14ac:dyDescent="0.25">
      <c r="H5546" s="110"/>
      <c r="I5546" s="110"/>
    </row>
    <row r="5547" spans="8:9" x14ac:dyDescent="0.25">
      <c r="H5547" s="110"/>
      <c r="I5547" s="110"/>
    </row>
    <row r="5548" spans="8:9" x14ac:dyDescent="0.25">
      <c r="H5548" s="110"/>
      <c r="I5548" s="110"/>
    </row>
    <row r="5549" spans="8:9" x14ac:dyDescent="0.25">
      <c r="H5549" s="110"/>
      <c r="I5549" s="110"/>
    </row>
    <row r="5550" spans="8:9" x14ac:dyDescent="0.25">
      <c r="H5550" s="110"/>
      <c r="I5550" s="110"/>
    </row>
    <row r="5551" spans="8:9" x14ac:dyDescent="0.25">
      <c r="H5551" s="110"/>
      <c r="I5551" s="110"/>
    </row>
    <row r="5552" spans="8:9" x14ac:dyDescent="0.25">
      <c r="H5552" s="110"/>
      <c r="I5552" s="110"/>
    </row>
    <row r="5553" spans="8:9" x14ac:dyDescent="0.25">
      <c r="H5553" s="110"/>
      <c r="I5553" s="110"/>
    </row>
    <row r="5554" spans="8:9" x14ac:dyDescent="0.25">
      <c r="H5554" s="110"/>
      <c r="I5554" s="110"/>
    </row>
    <row r="5555" spans="8:9" x14ac:dyDescent="0.25">
      <c r="H5555" s="110"/>
      <c r="I5555" s="110"/>
    </row>
    <row r="5556" spans="8:9" x14ac:dyDescent="0.25">
      <c r="H5556" s="110"/>
      <c r="I5556" s="110"/>
    </row>
    <row r="5557" spans="8:9" x14ac:dyDescent="0.25">
      <c r="H5557" s="110"/>
      <c r="I5557" s="110"/>
    </row>
    <row r="5558" spans="8:9" x14ac:dyDescent="0.25">
      <c r="H5558" s="110"/>
      <c r="I5558" s="110"/>
    </row>
    <row r="5559" spans="8:9" x14ac:dyDescent="0.25">
      <c r="H5559" s="110"/>
      <c r="I5559" s="110"/>
    </row>
    <row r="5560" spans="8:9" x14ac:dyDescent="0.25">
      <c r="H5560" s="110"/>
      <c r="I5560" s="110"/>
    </row>
    <row r="5561" spans="8:9" x14ac:dyDescent="0.25">
      <c r="H5561" s="110"/>
      <c r="I5561" s="110"/>
    </row>
    <row r="5562" spans="8:9" x14ac:dyDescent="0.25">
      <c r="H5562" s="110"/>
      <c r="I5562" s="110"/>
    </row>
    <row r="5563" spans="8:9" x14ac:dyDescent="0.25">
      <c r="H5563" s="110"/>
      <c r="I5563" s="110"/>
    </row>
    <row r="5564" spans="8:9" x14ac:dyDescent="0.25">
      <c r="H5564" s="110"/>
      <c r="I5564" s="110"/>
    </row>
    <row r="5565" spans="8:9" x14ac:dyDescent="0.25">
      <c r="H5565" s="110"/>
      <c r="I5565" s="110"/>
    </row>
    <row r="5566" spans="8:9" x14ac:dyDescent="0.25">
      <c r="H5566" s="110"/>
      <c r="I5566" s="110"/>
    </row>
    <row r="5567" spans="8:9" x14ac:dyDescent="0.25">
      <c r="H5567" s="110"/>
      <c r="I5567" s="110"/>
    </row>
    <row r="5568" spans="8:9" x14ac:dyDescent="0.25">
      <c r="H5568" s="110"/>
      <c r="I5568" s="110"/>
    </row>
    <row r="5569" spans="8:9" x14ac:dyDescent="0.25">
      <c r="H5569" s="110"/>
      <c r="I5569" s="110"/>
    </row>
    <row r="5570" spans="8:9" x14ac:dyDescent="0.25">
      <c r="H5570" s="110"/>
      <c r="I5570" s="110"/>
    </row>
    <row r="5571" spans="8:9" x14ac:dyDescent="0.25">
      <c r="H5571" s="110"/>
      <c r="I5571" s="110"/>
    </row>
    <row r="5572" spans="8:9" x14ac:dyDescent="0.25">
      <c r="H5572" s="110"/>
      <c r="I5572" s="110"/>
    </row>
    <row r="5573" spans="8:9" x14ac:dyDescent="0.25">
      <c r="H5573" s="110"/>
      <c r="I5573" s="110"/>
    </row>
    <row r="5574" spans="8:9" x14ac:dyDescent="0.25">
      <c r="H5574" s="110"/>
      <c r="I5574" s="110"/>
    </row>
    <row r="5575" spans="8:9" x14ac:dyDescent="0.25">
      <c r="H5575" s="110"/>
      <c r="I5575" s="110"/>
    </row>
    <row r="5576" spans="8:9" x14ac:dyDescent="0.25">
      <c r="H5576" s="110"/>
      <c r="I5576" s="110"/>
    </row>
    <row r="5577" spans="8:9" x14ac:dyDescent="0.25">
      <c r="H5577" s="110"/>
      <c r="I5577" s="110"/>
    </row>
    <row r="5578" spans="8:9" x14ac:dyDescent="0.25">
      <c r="H5578" s="110"/>
      <c r="I5578" s="110"/>
    </row>
    <row r="5579" spans="8:9" x14ac:dyDescent="0.25">
      <c r="H5579" s="110"/>
      <c r="I5579" s="110"/>
    </row>
    <row r="5580" spans="8:9" x14ac:dyDescent="0.25">
      <c r="H5580" s="110"/>
      <c r="I5580" s="110"/>
    </row>
    <row r="5581" spans="8:9" x14ac:dyDescent="0.25">
      <c r="H5581" s="110"/>
      <c r="I5581" s="110"/>
    </row>
    <row r="5582" spans="8:9" x14ac:dyDescent="0.25">
      <c r="H5582" s="110"/>
      <c r="I5582" s="110"/>
    </row>
    <row r="5583" spans="8:9" x14ac:dyDescent="0.25">
      <c r="H5583" s="110"/>
      <c r="I5583" s="110"/>
    </row>
    <row r="5584" spans="8:9" x14ac:dyDescent="0.25">
      <c r="H5584" s="110"/>
      <c r="I5584" s="110"/>
    </row>
    <row r="5585" spans="8:9" x14ac:dyDescent="0.25">
      <c r="H5585" s="110"/>
      <c r="I5585" s="110"/>
    </row>
    <row r="5586" spans="8:9" x14ac:dyDescent="0.25">
      <c r="H5586" s="110"/>
      <c r="I5586" s="110"/>
    </row>
    <row r="5587" spans="8:9" x14ac:dyDescent="0.25">
      <c r="H5587" s="110"/>
      <c r="I5587" s="110"/>
    </row>
    <row r="5588" spans="8:9" x14ac:dyDescent="0.25">
      <c r="H5588" s="110"/>
      <c r="I5588" s="110"/>
    </row>
    <row r="5589" spans="8:9" x14ac:dyDescent="0.25">
      <c r="H5589" s="110"/>
      <c r="I5589" s="110"/>
    </row>
    <row r="5590" spans="8:9" x14ac:dyDescent="0.25">
      <c r="H5590" s="110"/>
      <c r="I5590" s="110"/>
    </row>
    <row r="5591" spans="8:9" x14ac:dyDescent="0.25">
      <c r="H5591" s="110"/>
      <c r="I5591" s="110"/>
    </row>
    <row r="5592" spans="8:9" x14ac:dyDescent="0.25">
      <c r="H5592" s="110"/>
      <c r="I5592" s="110"/>
    </row>
    <row r="5593" spans="8:9" x14ac:dyDescent="0.25">
      <c r="H5593" s="110"/>
      <c r="I5593" s="110"/>
    </row>
    <row r="5594" spans="8:9" x14ac:dyDescent="0.25">
      <c r="H5594" s="110"/>
      <c r="I5594" s="110"/>
    </row>
    <row r="5595" spans="8:9" x14ac:dyDescent="0.25">
      <c r="H5595" s="110"/>
      <c r="I5595" s="110"/>
    </row>
    <row r="5596" spans="8:9" x14ac:dyDescent="0.25">
      <c r="H5596" s="110"/>
      <c r="I5596" s="110"/>
    </row>
    <row r="5597" spans="8:9" x14ac:dyDescent="0.25">
      <c r="H5597" s="110"/>
      <c r="I5597" s="110"/>
    </row>
    <row r="5598" spans="8:9" x14ac:dyDescent="0.25">
      <c r="H5598" s="110"/>
      <c r="I5598" s="110"/>
    </row>
    <row r="5599" spans="8:9" x14ac:dyDescent="0.25">
      <c r="H5599" s="110"/>
      <c r="I5599" s="110"/>
    </row>
    <row r="5600" spans="8:9" x14ac:dyDescent="0.25">
      <c r="H5600" s="110"/>
      <c r="I5600" s="110"/>
    </row>
    <row r="5601" spans="8:9" x14ac:dyDescent="0.25">
      <c r="H5601" s="110"/>
      <c r="I5601" s="110"/>
    </row>
    <row r="5602" spans="8:9" x14ac:dyDescent="0.25">
      <c r="H5602" s="110"/>
      <c r="I5602" s="110"/>
    </row>
    <row r="5603" spans="8:9" x14ac:dyDescent="0.25">
      <c r="H5603" s="110"/>
      <c r="I5603" s="110"/>
    </row>
    <row r="5604" spans="8:9" x14ac:dyDescent="0.25">
      <c r="H5604" s="110"/>
      <c r="I5604" s="110"/>
    </row>
    <row r="5605" spans="8:9" x14ac:dyDescent="0.25">
      <c r="H5605" s="110"/>
      <c r="I5605" s="110"/>
    </row>
    <row r="5606" spans="8:9" x14ac:dyDescent="0.25">
      <c r="H5606" s="110"/>
      <c r="I5606" s="110"/>
    </row>
    <row r="5607" spans="8:9" x14ac:dyDescent="0.25">
      <c r="H5607" s="110"/>
      <c r="I5607" s="110"/>
    </row>
    <row r="5608" spans="8:9" x14ac:dyDescent="0.25">
      <c r="H5608" s="110"/>
      <c r="I5608" s="110"/>
    </row>
    <row r="5609" spans="8:9" x14ac:dyDescent="0.25">
      <c r="H5609" s="110"/>
      <c r="I5609" s="110"/>
    </row>
    <row r="5610" spans="8:9" x14ac:dyDescent="0.25">
      <c r="H5610" s="110"/>
      <c r="I5610" s="110"/>
    </row>
    <row r="5611" spans="8:9" x14ac:dyDescent="0.25">
      <c r="H5611" s="110"/>
      <c r="I5611" s="110"/>
    </row>
    <row r="5612" spans="8:9" x14ac:dyDescent="0.25">
      <c r="H5612" s="110"/>
      <c r="I5612" s="110"/>
    </row>
    <row r="5613" spans="8:9" x14ac:dyDescent="0.25">
      <c r="H5613" s="110"/>
      <c r="I5613" s="110"/>
    </row>
    <row r="5614" spans="8:9" x14ac:dyDescent="0.25">
      <c r="H5614" s="110"/>
      <c r="I5614" s="110"/>
    </row>
    <row r="5615" spans="8:9" x14ac:dyDescent="0.25">
      <c r="H5615" s="110"/>
      <c r="I5615" s="110"/>
    </row>
    <row r="5616" spans="8:9" x14ac:dyDescent="0.25">
      <c r="H5616" s="110"/>
      <c r="I5616" s="110"/>
    </row>
    <row r="5617" spans="8:9" x14ac:dyDescent="0.25">
      <c r="H5617" s="110"/>
      <c r="I5617" s="110"/>
    </row>
    <row r="5618" spans="8:9" x14ac:dyDescent="0.25">
      <c r="H5618" s="110"/>
      <c r="I5618" s="110"/>
    </row>
    <row r="5619" spans="8:9" x14ac:dyDescent="0.25">
      <c r="H5619" s="110"/>
      <c r="I5619" s="110"/>
    </row>
    <row r="5620" spans="8:9" x14ac:dyDescent="0.25">
      <c r="H5620" s="110"/>
      <c r="I5620" s="110"/>
    </row>
    <row r="5621" spans="8:9" x14ac:dyDescent="0.25">
      <c r="H5621" s="110"/>
      <c r="I5621" s="110"/>
    </row>
    <row r="5622" spans="8:9" x14ac:dyDescent="0.25">
      <c r="H5622" s="110"/>
      <c r="I5622" s="110"/>
    </row>
    <row r="5623" spans="8:9" x14ac:dyDescent="0.25">
      <c r="H5623" s="110"/>
      <c r="I5623" s="110"/>
    </row>
    <row r="5624" spans="8:9" x14ac:dyDescent="0.25">
      <c r="H5624" s="110"/>
      <c r="I5624" s="110"/>
    </row>
    <row r="5625" spans="8:9" x14ac:dyDescent="0.25">
      <c r="H5625" s="110"/>
      <c r="I5625" s="110"/>
    </row>
    <row r="5626" spans="8:9" x14ac:dyDescent="0.25">
      <c r="H5626" s="110"/>
      <c r="I5626" s="110"/>
    </row>
    <row r="5627" spans="8:9" x14ac:dyDescent="0.25">
      <c r="H5627" s="110"/>
      <c r="I5627" s="110"/>
    </row>
    <row r="5628" spans="8:9" x14ac:dyDescent="0.25">
      <c r="H5628" s="110"/>
      <c r="I5628" s="110"/>
    </row>
    <row r="5629" spans="8:9" x14ac:dyDescent="0.25">
      <c r="H5629" s="110"/>
      <c r="I5629" s="110"/>
    </row>
    <row r="5630" spans="8:9" x14ac:dyDescent="0.25">
      <c r="H5630" s="110"/>
      <c r="I5630" s="110"/>
    </row>
    <row r="5631" spans="8:9" x14ac:dyDescent="0.25">
      <c r="H5631" s="110"/>
      <c r="I5631" s="110"/>
    </row>
    <row r="5632" spans="8:9" x14ac:dyDescent="0.25">
      <c r="H5632" s="110"/>
      <c r="I5632" s="110"/>
    </row>
    <row r="5633" spans="8:9" x14ac:dyDescent="0.25">
      <c r="H5633" s="110"/>
      <c r="I5633" s="110"/>
    </row>
    <row r="5634" spans="8:9" x14ac:dyDescent="0.25">
      <c r="H5634" s="110"/>
      <c r="I5634" s="110"/>
    </row>
    <row r="5635" spans="8:9" x14ac:dyDescent="0.25">
      <c r="H5635" s="110"/>
      <c r="I5635" s="110"/>
    </row>
    <row r="5636" spans="8:9" x14ac:dyDescent="0.25">
      <c r="H5636" s="110"/>
      <c r="I5636" s="110"/>
    </row>
    <row r="5637" spans="8:9" x14ac:dyDescent="0.25">
      <c r="H5637" s="110"/>
      <c r="I5637" s="110"/>
    </row>
    <row r="5638" spans="8:9" x14ac:dyDescent="0.25">
      <c r="H5638" s="110"/>
      <c r="I5638" s="110"/>
    </row>
    <row r="5639" spans="8:9" x14ac:dyDescent="0.25">
      <c r="H5639" s="110"/>
      <c r="I5639" s="110"/>
    </row>
    <row r="5640" spans="8:9" x14ac:dyDescent="0.25">
      <c r="H5640" s="110"/>
      <c r="I5640" s="110"/>
    </row>
    <row r="5641" spans="8:9" x14ac:dyDescent="0.25">
      <c r="H5641" s="110"/>
      <c r="I5641" s="110"/>
    </row>
    <row r="5642" spans="8:9" x14ac:dyDescent="0.25">
      <c r="H5642" s="110"/>
      <c r="I5642" s="110"/>
    </row>
    <row r="5643" spans="8:9" x14ac:dyDescent="0.25">
      <c r="H5643" s="110"/>
      <c r="I5643" s="110"/>
    </row>
    <row r="5644" spans="8:9" x14ac:dyDescent="0.25">
      <c r="H5644" s="110"/>
      <c r="I5644" s="110"/>
    </row>
    <row r="5645" spans="8:9" x14ac:dyDescent="0.25">
      <c r="H5645" s="110"/>
      <c r="I5645" s="110"/>
    </row>
    <row r="5646" spans="8:9" x14ac:dyDescent="0.25">
      <c r="H5646" s="110"/>
      <c r="I5646" s="110"/>
    </row>
    <row r="5647" spans="8:9" x14ac:dyDescent="0.25">
      <c r="H5647" s="110"/>
      <c r="I5647" s="110"/>
    </row>
    <row r="5648" spans="8:9" x14ac:dyDescent="0.25">
      <c r="H5648" s="110"/>
      <c r="I5648" s="110"/>
    </row>
    <row r="5649" spans="8:9" x14ac:dyDescent="0.25">
      <c r="H5649" s="110"/>
      <c r="I5649" s="110"/>
    </row>
    <row r="5650" spans="8:9" x14ac:dyDescent="0.25">
      <c r="H5650" s="110"/>
      <c r="I5650" s="110"/>
    </row>
    <row r="5651" spans="8:9" x14ac:dyDescent="0.25">
      <c r="H5651" s="110"/>
      <c r="I5651" s="110"/>
    </row>
    <row r="5652" spans="8:9" x14ac:dyDescent="0.25">
      <c r="H5652" s="110"/>
      <c r="I5652" s="110"/>
    </row>
    <row r="5653" spans="8:9" x14ac:dyDescent="0.25">
      <c r="H5653" s="110"/>
      <c r="I5653" s="110"/>
    </row>
    <row r="5654" spans="8:9" x14ac:dyDescent="0.25">
      <c r="H5654" s="110"/>
      <c r="I5654" s="110"/>
    </row>
    <row r="5655" spans="8:9" x14ac:dyDescent="0.25">
      <c r="H5655" s="110"/>
      <c r="I5655" s="110"/>
    </row>
    <row r="5656" spans="8:9" x14ac:dyDescent="0.25">
      <c r="H5656" s="110"/>
      <c r="I5656" s="110"/>
    </row>
    <row r="5657" spans="8:9" x14ac:dyDescent="0.25">
      <c r="H5657" s="110"/>
      <c r="I5657" s="110"/>
    </row>
    <row r="5658" spans="8:9" x14ac:dyDescent="0.25">
      <c r="H5658" s="110"/>
      <c r="I5658" s="110"/>
    </row>
    <row r="5659" spans="8:9" x14ac:dyDescent="0.25">
      <c r="H5659" s="110"/>
      <c r="I5659" s="110"/>
    </row>
    <row r="5660" spans="8:9" x14ac:dyDescent="0.25">
      <c r="H5660" s="110"/>
      <c r="I5660" s="110"/>
    </row>
    <row r="5661" spans="8:9" x14ac:dyDescent="0.25">
      <c r="H5661" s="110"/>
      <c r="I5661" s="110"/>
    </row>
    <row r="5662" spans="8:9" x14ac:dyDescent="0.25">
      <c r="H5662" s="110"/>
      <c r="I5662" s="110"/>
    </row>
    <row r="5663" spans="8:9" x14ac:dyDescent="0.25">
      <c r="H5663" s="110"/>
      <c r="I5663" s="110"/>
    </row>
    <row r="5664" spans="8:9" x14ac:dyDescent="0.25">
      <c r="H5664" s="110"/>
      <c r="I5664" s="110"/>
    </row>
    <row r="5665" spans="8:9" x14ac:dyDescent="0.25">
      <c r="H5665" s="110"/>
      <c r="I5665" s="110"/>
    </row>
    <row r="5666" spans="8:9" x14ac:dyDescent="0.25">
      <c r="H5666" s="110"/>
      <c r="I5666" s="110"/>
    </row>
    <row r="5667" spans="8:9" x14ac:dyDescent="0.25">
      <c r="H5667" s="110"/>
      <c r="I5667" s="110"/>
    </row>
    <row r="5668" spans="8:9" x14ac:dyDescent="0.25">
      <c r="H5668" s="110"/>
      <c r="I5668" s="110"/>
    </row>
    <row r="5669" spans="8:9" x14ac:dyDescent="0.25">
      <c r="H5669" s="110"/>
      <c r="I5669" s="110"/>
    </row>
    <row r="5670" spans="8:9" x14ac:dyDescent="0.25">
      <c r="H5670" s="110"/>
      <c r="I5670" s="110"/>
    </row>
    <row r="5671" spans="8:9" x14ac:dyDescent="0.25">
      <c r="H5671" s="110"/>
      <c r="I5671" s="110"/>
    </row>
    <row r="5672" spans="8:9" x14ac:dyDescent="0.25">
      <c r="H5672" s="110"/>
      <c r="I5672" s="110"/>
    </row>
    <row r="5673" spans="8:9" x14ac:dyDescent="0.25">
      <c r="H5673" s="110"/>
      <c r="I5673" s="110"/>
    </row>
    <row r="5674" spans="8:9" x14ac:dyDescent="0.25">
      <c r="H5674" s="110"/>
      <c r="I5674" s="110"/>
    </row>
    <row r="5675" spans="8:9" x14ac:dyDescent="0.25">
      <c r="H5675" s="110"/>
      <c r="I5675" s="110"/>
    </row>
    <row r="5676" spans="8:9" x14ac:dyDescent="0.25">
      <c r="H5676" s="110"/>
      <c r="I5676" s="110"/>
    </row>
    <row r="5677" spans="8:9" x14ac:dyDescent="0.25">
      <c r="H5677" s="110"/>
      <c r="I5677" s="110"/>
    </row>
    <row r="5678" spans="8:9" x14ac:dyDescent="0.25">
      <c r="H5678" s="110"/>
      <c r="I5678" s="110"/>
    </row>
    <row r="5679" spans="8:9" x14ac:dyDescent="0.25">
      <c r="H5679" s="110"/>
      <c r="I5679" s="110"/>
    </row>
    <row r="5680" spans="8:9" x14ac:dyDescent="0.25">
      <c r="H5680" s="110"/>
      <c r="I5680" s="110"/>
    </row>
    <row r="5681" spans="8:9" x14ac:dyDescent="0.25">
      <c r="H5681" s="110"/>
      <c r="I5681" s="110"/>
    </row>
    <row r="5682" spans="8:9" x14ac:dyDescent="0.25">
      <c r="H5682" s="110"/>
      <c r="I5682" s="110"/>
    </row>
    <row r="5683" spans="8:9" x14ac:dyDescent="0.25">
      <c r="H5683" s="110"/>
      <c r="I5683" s="110"/>
    </row>
    <row r="5684" spans="8:9" x14ac:dyDescent="0.25">
      <c r="H5684" s="110"/>
      <c r="I5684" s="110"/>
    </row>
    <row r="5685" spans="8:9" x14ac:dyDescent="0.25">
      <c r="H5685" s="110"/>
      <c r="I5685" s="110"/>
    </row>
    <row r="5686" spans="8:9" x14ac:dyDescent="0.25">
      <c r="H5686" s="110"/>
      <c r="I5686" s="110"/>
    </row>
    <row r="5687" spans="8:9" x14ac:dyDescent="0.25">
      <c r="H5687" s="110"/>
      <c r="I5687" s="110"/>
    </row>
    <row r="5688" spans="8:9" x14ac:dyDescent="0.25">
      <c r="H5688" s="110"/>
      <c r="I5688" s="110"/>
    </row>
    <row r="5689" spans="8:9" x14ac:dyDescent="0.25">
      <c r="H5689" s="110"/>
      <c r="I5689" s="110"/>
    </row>
    <row r="5690" spans="8:9" x14ac:dyDescent="0.25">
      <c r="H5690" s="110"/>
      <c r="I5690" s="110"/>
    </row>
    <row r="5691" spans="8:9" x14ac:dyDescent="0.25">
      <c r="H5691" s="110"/>
      <c r="I5691" s="110"/>
    </row>
    <row r="5692" spans="8:9" x14ac:dyDescent="0.25">
      <c r="H5692" s="110"/>
      <c r="I5692" s="110"/>
    </row>
    <row r="5693" spans="8:9" x14ac:dyDescent="0.25">
      <c r="H5693" s="110"/>
      <c r="I5693" s="110"/>
    </row>
    <row r="5694" spans="8:9" x14ac:dyDescent="0.25">
      <c r="H5694" s="110"/>
      <c r="I5694" s="110"/>
    </row>
    <row r="5695" spans="8:9" x14ac:dyDescent="0.25">
      <c r="H5695" s="110"/>
      <c r="I5695" s="110"/>
    </row>
    <row r="5696" spans="8:9" x14ac:dyDescent="0.25">
      <c r="H5696" s="110"/>
      <c r="I5696" s="110"/>
    </row>
    <row r="5697" spans="8:9" x14ac:dyDescent="0.25">
      <c r="H5697" s="110"/>
      <c r="I5697" s="110"/>
    </row>
    <row r="5698" spans="8:9" x14ac:dyDescent="0.25">
      <c r="H5698" s="110"/>
      <c r="I5698" s="110"/>
    </row>
    <row r="5699" spans="8:9" x14ac:dyDescent="0.25">
      <c r="H5699" s="110"/>
      <c r="I5699" s="110"/>
    </row>
    <row r="5700" spans="8:9" x14ac:dyDescent="0.25">
      <c r="H5700" s="110"/>
      <c r="I5700" s="110"/>
    </row>
    <row r="5701" spans="8:9" x14ac:dyDescent="0.25">
      <c r="H5701" s="110"/>
      <c r="I5701" s="110"/>
    </row>
    <row r="5702" spans="8:9" x14ac:dyDescent="0.25">
      <c r="H5702" s="110"/>
      <c r="I5702" s="110"/>
    </row>
    <row r="5703" spans="8:9" x14ac:dyDescent="0.25">
      <c r="H5703" s="110"/>
      <c r="I5703" s="110"/>
    </row>
    <row r="5704" spans="8:9" x14ac:dyDescent="0.25">
      <c r="H5704" s="110"/>
      <c r="I5704" s="110"/>
    </row>
    <row r="5705" spans="8:9" x14ac:dyDescent="0.25">
      <c r="H5705" s="110"/>
      <c r="I5705" s="110"/>
    </row>
    <row r="5706" spans="8:9" x14ac:dyDescent="0.25">
      <c r="H5706" s="110"/>
      <c r="I5706" s="110"/>
    </row>
    <row r="5707" spans="8:9" x14ac:dyDescent="0.25">
      <c r="H5707" s="110"/>
      <c r="I5707" s="110"/>
    </row>
    <row r="5708" spans="8:9" x14ac:dyDescent="0.25">
      <c r="H5708" s="110"/>
      <c r="I5708" s="110"/>
    </row>
    <row r="5709" spans="8:9" x14ac:dyDescent="0.25">
      <c r="H5709" s="110"/>
      <c r="I5709" s="110"/>
    </row>
    <row r="5710" spans="8:9" x14ac:dyDescent="0.25">
      <c r="H5710" s="110"/>
      <c r="I5710" s="110"/>
    </row>
    <row r="5711" spans="8:9" x14ac:dyDescent="0.25">
      <c r="H5711" s="110"/>
      <c r="I5711" s="110"/>
    </row>
    <row r="5712" spans="8:9" x14ac:dyDescent="0.25">
      <c r="H5712" s="110"/>
      <c r="I5712" s="110"/>
    </row>
    <row r="5713" spans="8:9" x14ac:dyDescent="0.25">
      <c r="H5713" s="110"/>
      <c r="I5713" s="110"/>
    </row>
    <row r="5714" spans="8:9" x14ac:dyDescent="0.25">
      <c r="H5714" s="110"/>
      <c r="I5714" s="110"/>
    </row>
    <row r="5715" spans="8:9" x14ac:dyDescent="0.25">
      <c r="H5715" s="110"/>
      <c r="I5715" s="110"/>
    </row>
    <row r="5716" spans="8:9" x14ac:dyDescent="0.25">
      <c r="H5716" s="110"/>
      <c r="I5716" s="110"/>
    </row>
    <row r="5717" spans="8:9" x14ac:dyDescent="0.25">
      <c r="H5717" s="110"/>
      <c r="I5717" s="110"/>
    </row>
    <row r="5718" spans="8:9" x14ac:dyDescent="0.25">
      <c r="H5718" s="110"/>
      <c r="I5718" s="110"/>
    </row>
    <row r="5719" spans="8:9" x14ac:dyDescent="0.25">
      <c r="H5719" s="110"/>
      <c r="I5719" s="110"/>
    </row>
    <row r="5720" spans="8:9" x14ac:dyDescent="0.25">
      <c r="H5720" s="110"/>
      <c r="I5720" s="110"/>
    </row>
    <row r="5721" spans="8:9" x14ac:dyDescent="0.25">
      <c r="H5721" s="110"/>
      <c r="I5721" s="110"/>
    </row>
    <row r="5722" spans="8:9" x14ac:dyDescent="0.25">
      <c r="H5722" s="110"/>
      <c r="I5722" s="110"/>
    </row>
    <row r="5723" spans="8:9" x14ac:dyDescent="0.25">
      <c r="H5723" s="110"/>
      <c r="I5723" s="110"/>
    </row>
    <row r="5724" spans="8:9" x14ac:dyDescent="0.25">
      <c r="H5724" s="110"/>
      <c r="I5724" s="110"/>
    </row>
    <row r="5725" spans="8:9" x14ac:dyDescent="0.25">
      <c r="H5725" s="110"/>
      <c r="I5725" s="110"/>
    </row>
    <row r="5726" spans="8:9" x14ac:dyDescent="0.25">
      <c r="H5726" s="110"/>
      <c r="I5726" s="110"/>
    </row>
    <row r="5727" spans="8:9" x14ac:dyDescent="0.25">
      <c r="H5727" s="110"/>
      <c r="I5727" s="110"/>
    </row>
    <row r="5728" spans="8:9" x14ac:dyDescent="0.25">
      <c r="H5728" s="110"/>
      <c r="I5728" s="110"/>
    </row>
    <row r="5729" spans="8:9" x14ac:dyDescent="0.25">
      <c r="H5729" s="110"/>
      <c r="I5729" s="110"/>
    </row>
    <row r="5730" spans="8:9" x14ac:dyDescent="0.25">
      <c r="H5730" s="110"/>
      <c r="I5730" s="110"/>
    </row>
    <row r="5731" spans="8:9" x14ac:dyDescent="0.25">
      <c r="H5731" s="110"/>
      <c r="I5731" s="110"/>
    </row>
    <row r="5732" spans="8:9" x14ac:dyDescent="0.25">
      <c r="H5732" s="110"/>
      <c r="I5732" s="110"/>
    </row>
    <row r="5733" spans="8:9" x14ac:dyDescent="0.25">
      <c r="H5733" s="110"/>
      <c r="I5733" s="110"/>
    </row>
    <row r="5734" spans="8:9" x14ac:dyDescent="0.25">
      <c r="H5734" s="110"/>
      <c r="I5734" s="110"/>
    </row>
    <row r="5735" spans="8:9" x14ac:dyDescent="0.25">
      <c r="H5735" s="110"/>
      <c r="I5735" s="110"/>
    </row>
    <row r="5736" spans="8:9" x14ac:dyDescent="0.25">
      <c r="H5736" s="110"/>
      <c r="I5736" s="110"/>
    </row>
    <row r="5737" spans="8:9" x14ac:dyDescent="0.25">
      <c r="H5737" s="110"/>
      <c r="I5737" s="110"/>
    </row>
    <row r="5738" spans="8:9" x14ac:dyDescent="0.25">
      <c r="H5738" s="110"/>
      <c r="I5738" s="110"/>
    </row>
    <row r="5739" spans="8:9" x14ac:dyDescent="0.25">
      <c r="H5739" s="110"/>
      <c r="I5739" s="110"/>
    </row>
    <row r="5740" spans="8:9" x14ac:dyDescent="0.25">
      <c r="H5740" s="110"/>
      <c r="I5740" s="110"/>
    </row>
    <row r="5741" spans="8:9" x14ac:dyDescent="0.25">
      <c r="H5741" s="110"/>
      <c r="I5741" s="110"/>
    </row>
    <row r="5742" spans="8:9" x14ac:dyDescent="0.25">
      <c r="H5742" s="110"/>
      <c r="I5742" s="110"/>
    </row>
    <row r="5743" spans="8:9" x14ac:dyDescent="0.25">
      <c r="H5743" s="110"/>
      <c r="I5743" s="110"/>
    </row>
    <row r="5744" spans="8:9" x14ac:dyDescent="0.25">
      <c r="H5744" s="110"/>
      <c r="I5744" s="110"/>
    </row>
    <row r="5745" spans="8:9" x14ac:dyDescent="0.25">
      <c r="H5745" s="110"/>
      <c r="I5745" s="110"/>
    </row>
    <row r="5746" spans="8:9" x14ac:dyDescent="0.25">
      <c r="H5746" s="110"/>
      <c r="I5746" s="110"/>
    </row>
    <row r="5747" spans="8:9" x14ac:dyDescent="0.25">
      <c r="H5747" s="110"/>
      <c r="I5747" s="110"/>
    </row>
    <row r="5748" spans="8:9" x14ac:dyDescent="0.25">
      <c r="H5748" s="110"/>
      <c r="I5748" s="110"/>
    </row>
    <row r="5749" spans="8:9" x14ac:dyDescent="0.25">
      <c r="H5749" s="110"/>
      <c r="I5749" s="110"/>
    </row>
    <row r="5750" spans="8:9" x14ac:dyDescent="0.25">
      <c r="H5750" s="110"/>
      <c r="I5750" s="110"/>
    </row>
    <row r="5751" spans="8:9" x14ac:dyDescent="0.25">
      <c r="H5751" s="110"/>
      <c r="I5751" s="110"/>
    </row>
    <row r="5752" spans="8:9" x14ac:dyDescent="0.25">
      <c r="H5752" s="110"/>
      <c r="I5752" s="110"/>
    </row>
    <row r="5753" spans="8:9" x14ac:dyDescent="0.25">
      <c r="H5753" s="110"/>
      <c r="I5753" s="110"/>
    </row>
    <row r="5754" spans="8:9" x14ac:dyDescent="0.25">
      <c r="H5754" s="110"/>
      <c r="I5754" s="110"/>
    </row>
    <row r="5755" spans="8:9" x14ac:dyDescent="0.25">
      <c r="H5755" s="110"/>
      <c r="I5755" s="110"/>
    </row>
    <row r="5756" spans="8:9" x14ac:dyDescent="0.25">
      <c r="H5756" s="110"/>
      <c r="I5756" s="110"/>
    </row>
    <row r="5757" spans="8:9" x14ac:dyDescent="0.25">
      <c r="H5757" s="110"/>
      <c r="I5757" s="110"/>
    </row>
    <row r="5758" spans="8:9" x14ac:dyDescent="0.25">
      <c r="H5758" s="110"/>
      <c r="I5758" s="110"/>
    </row>
    <row r="5759" spans="8:9" x14ac:dyDescent="0.25">
      <c r="H5759" s="110"/>
      <c r="I5759" s="110"/>
    </row>
    <row r="5760" spans="8:9" x14ac:dyDescent="0.25">
      <c r="H5760" s="110"/>
      <c r="I5760" s="110"/>
    </row>
    <row r="5761" spans="8:9" x14ac:dyDescent="0.25">
      <c r="H5761" s="110"/>
      <c r="I5761" s="110"/>
    </row>
    <row r="5762" spans="8:9" x14ac:dyDescent="0.25">
      <c r="H5762" s="110"/>
      <c r="I5762" s="110"/>
    </row>
    <row r="5763" spans="8:9" x14ac:dyDescent="0.25">
      <c r="H5763" s="110"/>
      <c r="I5763" s="110"/>
    </row>
    <row r="5764" spans="8:9" x14ac:dyDescent="0.25">
      <c r="H5764" s="110"/>
      <c r="I5764" s="110"/>
    </row>
    <row r="5765" spans="8:9" x14ac:dyDescent="0.25">
      <c r="H5765" s="110"/>
      <c r="I5765" s="110"/>
    </row>
    <row r="5766" spans="8:9" x14ac:dyDescent="0.25">
      <c r="H5766" s="110"/>
      <c r="I5766" s="110"/>
    </row>
    <row r="5767" spans="8:9" x14ac:dyDescent="0.25">
      <c r="H5767" s="110"/>
      <c r="I5767" s="110"/>
    </row>
    <row r="5768" spans="8:9" x14ac:dyDescent="0.25">
      <c r="H5768" s="110"/>
      <c r="I5768" s="110"/>
    </row>
    <row r="5769" spans="8:9" x14ac:dyDescent="0.25">
      <c r="H5769" s="110"/>
      <c r="I5769" s="110"/>
    </row>
    <row r="5770" spans="8:9" x14ac:dyDescent="0.25">
      <c r="H5770" s="110"/>
      <c r="I5770" s="110"/>
    </row>
    <row r="5771" spans="8:9" x14ac:dyDescent="0.25">
      <c r="H5771" s="110"/>
      <c r="I5771" s="110"/>
    </row>
    <row r="5772" spans="8:9" x14ac:dyDescent="0.25">
      <c r="H5772" s="110"/>
      <c r="I5772" s="110"/>
    </row>
    <row r="5773" spans="8:9" x14ac:dyDescent="0.25">
      <c r="H5773" s="110"/>
      <c r="I5773" s="110"/>
    </row>
    <row r="5774" spans="8:9" x14ac:dyDescent="0.25">
      <c r="H5774" s="110"/>
      <c r="I5774" s="110"/>
    </row>
    <row r="5775" spans="8:9" x14ac:dyDescent="0.25">
      <c r="H5775" s="110"/>
      <c r="I5775" s="110"/>
    </row>
    <row r="5776" spans="8:9" x14ac:dyDescent="0.25">
      <c r="H5776" s="110"/>
      <c r="I5776" s="110"/>
    </row>
    <row r="5777" spans="8:9" x14ac:dyDescent="0.25">
      <c r="H5777" s="110"/>
      <c r="I5777" s="110"/>
    </row>
    <row r="5778" spans="8:9" x14ac:dyDescent="0.25">
      <c r="H5778" s="110"/>
      <c r="I5778" s="110"/>
    </row>
    <row r="5779" spans="8:9" x14ac:dyDescent="0.25">
      <c r="H5779" s="110"/>
      <c r="I5779" s="110"/>
    </row>
    <row r="5780" spans="8:9" x14ac:dyDescent="0.25">
      <c r="H5780" s="110"/>
      <c r="I5780" s="110"/>
    </row>
    <row r="5781" spans="8:9" x14ac:dyDescent="0.25">
      <c r="H5781" s="110"/>
      <c r="I5781" s="110"/>
    </row>
    <row r="5782" spans="8:9" x14ac:dyDescent="0.25">
      <c r="H5782" s="110"/>
      <c r="I5782" s="110"/>
    </row>
    <row r="5783" spans="8:9" x14ac:dyDescent="0.25">
      <c r="H5783" s="110"/>
      <c r="I5783" s="110"/>
    </row>
    <row r="5784" spans="8:9" x14ac:dyDescent="0.25">
      <c r="H5784" s="110"/>
      <c r="I5784" s="110"/>
    </row>
    <row r="5785" spans="8:9" x14ac:dyDescent="0.25">
      <c r="H5785" s="110"/>
      <c r="I5785" s="110"/>
    </row>
    <row r="5786" spans="8:9" x14ac:dyDescent="0.25">
      <c r="H5786" s="110"/>
      <c r="I5786" s="110"/>
    </row>
    <row r="5787" spans="8:9" x14ac:dyDescent="0.25">
      <c r="H5787" s="110"/>
      <c r="I5787" s="110"/>
    </row>
    <row r="5788" spans="8:9" x14ac:dyDescent="0.25">
      <c r="H5788" s="110"/>
      <c r="I5788" s="110"/>
    </row>
    <row r="5789" spans="8:9" x14ac:dyDescent="0.25">
      <c r="H5789" s="110"/>
      <c r="I5789" s="110"/>
    </row>
    <row r="5790" spans="8:9" x14ac:dyDescent="0.25">
      <c r="H5790" s="110"/>
      <c r="I5790" s="110"/>
    </row>
    <row r="5791" spans="8:9" x14ac:dyDescent="0.25">
      <c r="H5791" s="110"/>
      <c r="I5791" s="110"/>
    </row>
    <row r="5792" spans="8:9" x14ac:dyDescent="0.25">
      <c r="H5792" s="110"/>
      <c r="I5792" s="110"/>
    </row>
    <row r="5793" spans="8:9" x14ac:dyDescent="0.25">
      <c r="H5793" s="110"/>
      <c r="I5793" s="110"/>
    </row>
    <row r="5794" spans="8:9" x14ac:dyDescent="0.25">
      <c r="H5794" s="110"/>
      <c r="I5794" s="110"/>
    </row>
    <row r="5795" spans="8:9" x14ac:dyDescent="0.25">
      <c r="H5795" s="110"/>
      <c r="I5795" s="110"/>
    </row>
    <row r="5796" spans="8:9" x14ac:dyDescent="0.25">
      <c r="H5796" s="110"/>
      <c r="I5796" s="110"/>
    </row>
    <row r="5797" spans="8:9" x14ac:dyDescent="0.25">
      <c r="H5797" s="110"/>
      <c r="I5797" s="110"/>
    </row>
    <row r="5798" spans="8:9" x14ac:dyDescent="0.25">
      <c r="H5798" s="110"/>
      <c r="I5798" s="110"/>
    </row>
    <row r="5799" spans="8:9" x14ac:dyDescent="0.25">
      <c r="H5799" s="110"/>
      <c r="I5799" s="110"/>
    </row>
    <row r="5800" spans="8:9" x14ac:dyDescent="0.25">
      <c r="H5800" s="110"/>
      <c r="I5800" s="110"/>
    </row>
    <row r="5801" spans="8:9" x14ac:dyDescent="0.25">
      <c r="H5801" s="110"/>
      <c r="I5801" s="110"/>
    </row>
    <row r="5802" spans="8:9" x14ac:dyDescent="0.25">
      <c r="H5802" s="110"/>
      <c r="I5802" s="110"/>
    </row>
    <row r="5803" spans="8:9" x14ac:dyDescent="0.25">
      <c r="H5803" s="110"/>
      <c r="I5803" s="110"/>
    </row>
    <row r="5804" spans="8:9" x14ac:dyDescent="0.25">
      <c r="H5804" s="110"/>
      <c r="I5804" s="110"/>
    </row>
    <row r="5805" spans="8:9" x14ac:dyDescent="0.25">
      <c r="H5805" s="110"/>
      <c r="I5805" s="110"/>
    </row>
    <row r="5806" spans="8:9" x14ac:dyDescent="0.25">
      <c r="H5806" s="110"/>
      <c r="I5806" s="110"/>
    </row>
    <row r="5807" spans="8:9" x14ac:dyDescent="0.25">
      <c r="H5807" s="110"/>
      <c r="I5807" s="110"/>
    </row>
    <row r="5808" spans="8:9" x14ac:dyDescent="0.25">
      <c r="H5808" s="110"/>
      <c r="I5808" s="110"/>
    </row>
    <row r="5809" spans="8:9" x14ac:dyDescent="0.25">
      <c r="H5809" s="110"/>
      <c r="I5809" s="110"/>
    </row>
    <row r="5810" spans="8:9" x14ac:dyDescent="0.25">
      <c r="H5810" s="110"/>
      <c r="I5810" s="110"/>
    </row>
    <row r="5811" spans="8:9" x14ac:dyDescent="0.25">
      <c r="H5811" s="110"/>
      <c r="I5811" s="110"/>
    </row>
    <row r="5812" spans="8:9" x14ac:dyDescent="0.25">
      <c r="H5812" s="110"/>
      <c r="I5812" s="110"/>
    </row>
    <row r="5813" spans="8:9" x14ac:dyDescent="0.25">
      <c r="H5813" s="110"/>
      <c r="I5813" s="110"/>
    </row>
    <row r="5814" spans="8:9" x14ac:dyDescent="0.25">
      <c r="H5814" s="110"/>
      <c r="I5814" s="110"/>
    </row>
    <row r="5815" spans="8:9" x14ac:dyDescent="0.25">
      <c r="H5815" s="110"/>
      <c r="I5815" s="110"/>
    </row>
    <row r="5816" spans="8:9" x14ac:dyDescent="0.25">
      <c r="H5816" s="110"/>
      <c r="I5816" s="110"/>
    </row>
    <row r="5817" spans="8:9" x14ac:dyDescent="0.25">
      <c r="H5817" s="110"/>
      <c r="I5817" s="110"/>
    </row>
    <row r="5818" spans="8:9" x14ac:dyDescent="0.25">
      <c r="H5818" s="110"/>
      <c r="I5818" s="110"/>
    </row>
    <row r="5819" spans="8:9" x14ac:dyDescent="0.25">
      <c r="H5819" s="110"/>
      <c r="I5819" s="110"/>
    </row>
    <row r="5820" spans="8:9" x14ac:dyDescent="0.25">
      <c r="H5820" s="110"/>
      <c r="I5820" s="110"/>
    </row>
    <row r="5821" spans="8:9" x14ac:dyDescent="0.25">
      <c r="H5821" s="110"/>
      <c r="I5821" s="110"/>
    </row>
    <row r="5822" spans="8:9" x14ac:dyDescent="0.25">
      <c r="H5822" s="110"/>
      <c r="I5822" s="110"/>
    </row>
    <row r="5823" spans="8:9" x14ac:dyDescent="0.25">
      <c r="H5823" s="110"/>
      <c r="I5823" s="110"/>
    </row>
    <row r="5824" spans="8:9" x14ac:dyDescent="0.25">
      <c r="H5824" s="110"/>
      <c r="I5824" s="110"/>
    </row>
    <row r="5825" spans="8:9" x14ac:dyDescent="0.25">
      <c r="H5825" s="110"/>
      <c r="I5825" s="110"/>
    </row>
    <row r="5826" spans="8:9" x14ac:dyDescent="0.25">
      <c r="H5826" s="110"/>
      <c r="I5826" s="110"/>
    </row>
    <row r="5827" spans="8:9" x14ac:dyDescent="0.25">
      <c r="H5827" s="110"/>
      <c r="I5827" s="110"/>
    </row>
    <row r="5828" spans="8:9" x14ac:dyDescent="0.25">
      <c r="H5828" s="110"/>
      <c r="I5828" s="110"/>
    </row>
    <row r="5829" spans="8:9" x14ac:dyDescent="0.25">
      <c r="H5829" s="110"/>
      <c r="I5829" s="110"/>
    </row>
    <row r="5830" spans="8:9" x14ac:dyDescent="0.25">
      <c r="H5830" s="110"/>
      <c r="I5830" s="110"/>
    </row>
    <row r="5831" spans="8:9" x14ac:dyDescent="0.25">
      <c r="H5831" s="110"/>
      <c r="I5831" s="110"/>
    </row>
    <row r="5832" spans="8:9" x14ac:dyDescent="0.25">
      <c r="H5832" s="110"/>
      <c r="I5832" s="110"/>
    </row>
    <row r="5833" spans="8:9" x14ac:dyDescent="0.25">
      <c r="H5833" s="110"/>
      <c r="I5833" s="110"/>
    </row>
    <row r="5834" spans="8:9" x14ac:dyDescent="0.25">
      <c r="H5834" s="110"/>
      <c r="I5834" s="110"/>
    </row>
    <row r="5835" spans="8:9" x14ac:dyDescent="0.25">
      <c r="H5835" s="110"/>
      <c r="I5835" s="110"/>
    </row>
    <row r="5836" spans="8:9" x14ac:dyDescent="0.25">
      <c r="H5836" s="110"/>
      <c r="I5836" s="110"/>
    </row>
    <row r="5837" spans="8:9" x14ac:dyDescent="0.25">
      <c r="H5837" s="110"/>
      <c r="I5837" s="110"/>
    </row>
    <row r="5838" spans="8:9" x14ac:dyDescent="0.25">
      <c r="H5838" s="110"/>
      <c r="I5838" s="110"/>
    </row>
    <row r="5839" spans="8:9" x14ac:dyDescent="0.25">
      <c r="H5839" s="110"/>
      <c r="I5839" s="110"/>
    </row>
    <row r="5840" spans="8:9" x14ac:dyDescent="0.25">
      <c r="H5840" s="110"/>
      <c r="I5840" s="110"/>
    </row>
    <row r="5841" spans="8:9" x14ac:dyDescent="0.25">
      <c r="H5841" s="110"/>
      <c r="I5841" s="110"/>
    </row>
    <row r="5842" spans="8:9" x14ac:dyDescent="0.25">
      <c r="H5842" s="110"/>
      <c r="I5842" s="110"/>
    </row>
    <row r="5843" spans="8:9" x14ac:dyDescent="0.25">
      <c r="H5843" s="110"/>
      <c r="I5843" s="110"/>
    </row>
    <row r="5844" spans="8:9" x14ac:dyDescent="0.25">
      <c r="H5844" s="110"/>
      <c r="I5844" s="110"/>
    </row>
    <row r="5845" spans="8:9" x14ac:dyDescent="0.25">
      <c r="H5845" s="110"/>
      <c r="I5845" s="110"/>
    </row>
    <row r="5846" spans="8:9" x14ac:dyDescent="0.25">
      <c r="H5846" s="110"/>
      <c r="I5846" s="110"/>
    </row>
    <row r="5847" spans="8:9" x14ac:dyDescent="0.25">
      <c r="H5847" s="110"/>
      <c r="I5847" s="110"/>
    </row>
    <row r="5848" spans="8:9" x14ac:dyDescent="0.25">
      <c r="H5848" s="110"/>
      <c r="I5848" s="110"/>
    </row>
    <row r="5849" spans="8:9" x14ac:dyDescent="0.25">
      <c r="H5849" s="110"/>
      <c r="I5849" s="110"/>
    </row>
    <row r="5850" spans="8:9" x14ac:dyDescent="0.25">
      <c r="H5850" s="110"/>
      <c r="I5850" s="110"/>
    </row>
    <row r="5851" spans="8:9" x14ac:dyDescent="0.25">
      <c r="H5851" s="110"/>
      <c r="I5851" s="110"/>
    </row>
    <row r="5852" spans="8:9" x14ac:dyDescent="0.25">
      <c r="H5852" s="110"/>
      <c r="I5852" s="110"/>
    </row>
    <row r="5853" spans="8:9" x14ac:dyDescent="0.25">
      <c r="H5853" s="110"/>
      <c r="I5853" s="110"/>
    </row>
    <row r="5854" spans="8:9" x14ac:dyDescent="0.25">
      <c r="H5854" s="110"/>
      <c r="I5854" s="110"/>
    </row>
    <row r="5855" spans="8:9" x14ac:dyDescent="0.25">
      <c r="H5855" s="110"/>
      <c r="I5855" s="110"/>
    </row>
    <row r="5856" spans="8:9" x14ac:dyDescent="0.25">
      <c r="H5856" s="110"/>
      <c r="I5856" s="110"/>
    </row>
    <row r="5857" spans="8:9" x14ac:dyDescent="0.25">
      <c r="H5857" s="110"/>
      <c r="I5857" s="110"/>
    </row>
    <row r="5858" spans="8:9" x14ac:dyDescent="0.25">
      <c r="H5858" s="110"/>
      <c r="I5858" s="110"/>
    </row>
    <row r="5859" spans="8:9" x14ac:dyDescent="0.25">
      <c r="H5859" s="110"/>
      <c r="I5859" s="110"/>
    </row>
    <row r="5860" spans="8:9" x14ac:dyDescent="0.25">
      <c r="H5860" s="110"/>
      <c r="I5860" s="110"/>
    </row>
    <row r="5861" spans="8:9" x14ac:dyDescent="0.25">
      <c r="H5861" s="110"/>
      <c r="I5861" s="110"/>
    </row>
    <row r="5862" spans="8:9" x14ac:dyDescent="0.25">
      <c r="H5862" s="110"/>
      <c r="I5862" s="110"/>
    </row>
    <row r="5863" spans="8:9" x14ac:dyDescent="0.25">
      <c r="H5863" s="110"/>
      <c r="I5863" s="110"/>
    </row>
    <row r="5864" spans="8:9" x14ac:dyDescent="0.25">
      <c r="H5864" s="110"/>
      <c r="I5864" s="110"/>
    </row>
    <row r="5865" spans="8:9" x14ac:dyDescent="0.25">
      <c r="H5865" s="110"/>
      <c r="I5865" s="110"/>
    </row>
    <row r="5866" spans="8:9" x14ac:dyDescent="0.25">
      <c r="H5866" s="110"/>
      <c r="I5866" s="110"/>
    </row>
    <row r="5867" spans="8:9" x14ac:dyDescent="0.25">
      <c r="H5867" s="110"/>
      <c r="I5867" s="110"/>
    </row>
    <row r="5868" spans="8:9" x14ac:dyDescent="0.25">
      <c r="H5868" s="110"/>
      <c r="I5868" s="110"/>
    </row>
    <row r="5869" spans="8:9" x14ac:dyDescent="0.25">
      <c r="H5869" s="110"/>
      <c r="I5869" s="110"/>
    </row>
    <row r="5870" spans="8:9" x14ac:dyDescent="0.25">
      <c r="H5870" s="110"/>
      <c r="I5870" s="110"/>
    </row>
    <row r="5871" spans="8:9" x14ac:dyDescent="0.25">
      <c r="H5871" s="110"/>
      <c r="I5871" s="110"/>
    </row>
    <row r="5872" spans="8:9" x14ac:dyDescent="0.25">
      <c r="H5872" s="110"/>
      <c r="I5872" s="110"/>
    </row>
    <row r="5873" spans="8:9" x14ac:dyDescent="0.25">
      <c r="H5873" s="110"/>
      <c r="I5873" s="110"/>
    </row>
    <row r="5874" spans="8:9" x14ac:dyDescent="0.25">
      <c r="H5874" s="110"/>
      <c r="I5874" s="110"/>
    </row>
    <row r="5875" spans="8:9" x14ac:dyDescent="0.25">
      <c r="H5875" s="110"/>
      <c r="I5875" s="110"/>
    </row>
    <row r="5876" spans="8:9" x14ac:dyDescent="0.25">
      <c r="H5876" s="110"/>
      <c r="I5876" s="110"/>
    </row>
    <row r="5877" spans="8:9" x14ac:dyDescent="0.25">
      <c r="H5877" s="110"/>
      <c r="I5877" s="110"/>
    </row>
    <row r="5878" spans="8:9" x14ac:dyDescent="0.25">
      <c r="H5878" s="110"/>
      <c r="I5878" s="110"/>
    </row>
    <row r="5879" spans="8:9" x14ac:dyDescent="0.25">
      <c r="H5879" s="110"/>
      <c r="I5879" s="110"/>
    </row>
    <row r="5880" spans="8:9" x14ac:dyDescent="0.25">
      <c r="H5880" s="110"/>
      <c r="I5880" s="110"/>
    </row>
    <row r="5881" spans="8:9" x14ac:dyDescent="0.25">
      <c r="H5881" s="110"/>
      <c r="I5881" s="110"/>
    </row>
    <row r="5882" spans="8:9" x14ac:dyDescent="0.25">
      <c r="H5882" s="110"/>
      <c r="I5882" s="110"/>
    </row>
    <row r="5883" spans="8:9" x14ac:dyDescent="0.25">
      <c r="H5883" s="110"/>
      <c r="I5883" s="110"/>
    </row>
    <row r="5884" spans="8:9" x14ac:dyDescent="0.25">
      <c r="H5884" s="110"/>
      <c r="I5884" s="110"/>
    </row>
    <row r="5885" spans="8:9" x14ac:dyDescent="0.25">
      <c r="H5885" s="110"/>
      <c r="I5885" s="110"/>
    </row>
    <row r="5886" spans="8:9" x14ac:dyDescent="0.25">
      <c r="H5886" s="110"/>
      <c r="I5886" s="110"/>
    </row>
    <row r="5887" spans="8:9" x14ac:dyDescent="0.25">
      <c r="H5887" s="110"/>
      <c r="I5887" s="110"/>
    </row>
    <row r="5888" spans="8:9" x14ac:dyDescent="0.25">
      <c r="H5888" s="110"/>
      <c r="I5888" s="110"/>
    </row>
    <row r="5889" spans="8:9" x14ac:dyDescent="0.25">
      <c r="H5889" s="110"/>
      <c r="I5889" s="110"/>
    </row>
    <row r="5890" spans="8:9" x14ac:dyDescent="0.25">
      <c r="H5890" s="110"/>
      <c r="I5890" s="110"/>
    </row>
    <row r="5891" spans="8:9" x14ac:dyDescent="0.25">
      <c r="H5891" s="110"/>
      <c r="I5891" s="110"/>
    </row>
    <row r="5892" spans="8:9" x14ac:dyDescent="0.25">
      <c r="H5892" s="110"/>
      <c r="I5892" s="110"/>
    </row>
    <row r="5893" spans="8:9" x14ac:dyDescent="0.25">
      <c r="H5893" s="110"/>
      <c r="I5893" s="110"/>
    </row>
    <row r="5894" spans="8:9" x14ac:dyDescent="0.25">
      <c r="H5894" s="110"/>
      <c r="I5894" s="110"/>
    </row>
    <row r="5895" spans="8:9" x14ac:dyDescent="0.25">
      <c r="H5895" s="110"/>
      <c r="I5895" s="110"/>
    </row>
    <row r="5896" spans="8:9" x14ac:dyDescent="0.25">
      <c r="H5896" s="110"/>
      <c r="I5896" s="110"/>
    </row>
    <row r="5897" spans="8:9" x14ac:dyDescent="0.25">
      <c r="H5897" s="110"/>
      <c r="I5897" s="110"/>
    </row>
    <row r="5898" spans="8:9" x14ac:dyDescent="0.25">
      <c r="H5898" s="110"/>
      <c r="I5898" s="110"/>
    </row>
    <row r="5899" spans="8:9" x14ac:dyDescent="0.25">
      <c r="H5899" s="110"/>
      <c r="I5899" s="110"/>
    </row>
    <row r="5900" spans="8:9" x14ac:dyDescent="0.25">
      <c r="H5900" s="110"/>
      <c r="I5900" s="110"/>
    </row>
    <row r="5901" spans="8:9" x14ac:dyDescent="0.25">
      <c r="H5901" s="110"/>
      <c r="I5901" s="110"/>
    </row>
    <row r="5902" spans="8:9" x14ac:dyDescent="0.25">
      <c r="H5902" s="110"/>
      <c r="I5902" s="110"/>
    </row>
    <row r="5903" spans="8:9" x14ac:dyDescent="0.25">
      <c r="H5903" s="110"/>
      <c r="I5903" s="110"/>
    </row>
    <row r="5904" spans="8:9" x14ac:dyDescent="0.25">
      <c r="H5904" s="110"/>
      <c r="I5904" s="110"/>
    </row>
    <row r="5905" spans="8:9" x14ac:dyDescent="0.25">
      <c r="H5905" s="110"/>
      <c r="I5905" s="110"/>
    </row>
    <row r="5906" spans="8:9" x14ac:dyDescent="0.25">
      <c r="H5906" s="110"/>
      <c r="I5906" s="110"/>
    </row>
    <row r="5907" spans="8:9" x14ac:dyDescent="0.25">
      <c r="H5907" s="110"/>
      <c r="I5907" s="110"/>
    </row>
    <row r="5908" spans="8:9" x14ac:dyDescent="0.25">
      <c r="H5908" s="110"/>
      <c r="I5908" s="110"/>
    </row>
    <row r="5909" spans="8:9" x14ac:dyDescent="0.25">
      <c r="H5909" s="110"/>
      <c r="I5909" s="110"/>
    </row>
    <row r="5910" spans="8:9" x14ac:dyDescent="0.25">
      <c r="H5910" s="110"/>
      <c r="I5910" s="110"/>
    </row>
    <row r="5911" spans="8:9" x14ac:dyDescent="0.25">
      <c r="H5911" s="110"/>
      <c r="I5911" s="110"/>
    </row>
    <row r="5912" spans="8:9" x14ac:dyDescent="0.25">
      <c r="H5912" s="110"/>
      <c r="I5912" s="110"/>
    </row>
    <row r="5913" spans="8:9" x14ac:dyDescent="0.25">
      <c r="H5913" s="110"/>
      <c r="I5913" s="110"/>
    </row>
    <row r="5914" spans="8:9" x14ac:dyDescent="0.25">
      <c r="H5914" s="110"/>
      <c r="I5914" s="110"/>
    </row>
    <row r="5915" spans="8:9" x14ac:dyDescent="0.25">
      <c r="H5915" s="110"/>
      <c r="I5915" s="110"/>
    </row>
    <row r="5916" spans="8:9" x14ac:dyDescent="0.25">
      <c r="H5916" s="110"/>
      <c r="I5916" s="110"/>
    </row>
    <row r="5917" spans="8:9" x14ac:dyDescent="0.25">
      <c r="H5917" s="110"/>
      <c r="I5917" s="110"/>
    </row>
    <row r="5918" spans="8:9" x14ac:dyDescent="0.25">
      <c r="H5918" s="110"/>
      <c r="I5918" s="110"/>
    </row>
    <row r="5919" spans="8:9" x14ac:dyDescent="0.25">
      <c r="H5919" s="110"/>
      <c r="I5919" s="110"/>
    </row>
    <row r="5920" spans="8:9" x14ac:dyDescent="0.25">
      <c r="H5920" s="110"/>
      <c r="I5920" s="110"/>
    </row>
    <row r="5921" spans="8:9" x14ac:dyDescent="0.25">
      <c r="H5921" s="110"/>
      <c r="I5921" s="110"/>
    </row>
    <row r="5922" spans="8:9" x14ac:dyDescent="0.25">
      <c r="H5922" s="110"/>
      <c r="I5922" s="110"/>
    </row>
    <row r="5923" spans="8:9" x14ac:dyDescent="0.25">
      <c r="H5923" s="110"/>
      <c r="I5923" s="110"/>
    </row>
    <row r="5924" spans="8:9" x14ac:dyDescent="0.25">
      <c r="H5924" s="110"/>
      <c r="I5924" s="110"/>
    </row>
    <row r="5925" spans="8:9" x14ac:dyDescent="0.25">
      <c r="H5925" s="110"/>
      <c r="I5925" s="110"/>
    </row>
    <row r="5926" spans="8:9" x14ac:dyDescent="0.25">
      <c r="H5926" s="110"/>
      <c r="I5926" s="110"/>
    </row>
    <row r="5927" spans="8:9" x14ac:dyDescent="0.25">
      <c r="H5927" s="110"/>
      <c r="I5927" s="110"/>
    </row>
    <row r="5928" spans="8:9" x14ac:dyDescent="0.25">
      <c r="H5928" s="110"/>
      <c r="I5928" s="110"/>
    </row>
    <row r="5929" spans="8:9" x14ac:dyDescent="0.25">
      <c r="H5929" s="110"/>
      <c r="I5929" s="110"/>
    </row>
    <row r="5930" spans="8:9" x14ac:dyDescent="0.25">
      <c r="H5930" s="110"/>
      <c r="I5930" s="110"/>
    </row>
    <row r="5931" spans="8:9" x14ac:dyDescent="0.25">
      <c r="H5931" s="110"/>
      <c r="I5931" s="110"/>
    </row>
    <row r="5932" spans="8:9" x14ac:dyDescent="0.25">
      <c r="H5932" s="110"/>
      <c r="I5932" s="110"/>
    </row>
    <row r="5933" spans="8:9" x14ac:dyDescent="0.25">
      <c r="H5933" s="110"/>
      <c r="I5933" s="110"/>
    </row>
    <row r="5934" spans="8:9" x14ac:dyDescent="0.25">
      <c r="H5934" s="110"/>
      <c r="I5934" s="110"/>
    </row>
    <row r="5935" spans="8:9" x14ac:dyDescent="0.25">
      <c r="H5935" s="110"/>
      <c r="I5935" s="110"/>
    </row>
    <row r="5936" spans="8:9" x14ac:dyDescent="0.25">
      <c r="H5936" s="110"/>
      <c r="I5936" s="110"/>
    </row>
    <row r="5937" spans="8:9" x14ac:dyDescent="0.25">
      <c r="H5937" s="110"/>
      <c r="I5937" s="110"/>
    </row>
    <row r="5938" spans="8:9" x14ac:dyDescent="0.25">
      <c r="H5938" s="110"/>
      <c r="I5938" s="110"/>
    </row>
    <row r="5939" spans="8:9" x14ac:dyDescent="0.25">
      <c r="H5939" s="110"/>
      <c r="I5939" s="110"/>
    </row>
    <row r="5940" spans="8:9" x14ac:dyDescent="0.25">
      <c r="H5940" s="110"/>
      <c r="I5940" s="110"/>
    </row>
    <row r="5941" spans="8:9" x14ac:dyDescent="0.25">
      <c r="H5941" s="110"/>
      <c r="I5941" s="110"/>
    </row>
    <row r="5942" spans="8:9" x14ac:dyDescent="0.25">
      <c r="H5942" s="110"/>
      <c r="I5942" s="110"/>
    </row>
    <row r="5943" spans="8:9" x14ac:dyDescent="0.25">
      <c r="H5943" s="110"/>
      <c r="I5943" s="110"/>
    </row>
    <row r="5944" spans="8:9" x14ac:dyDescent="0.25">
      <c r="H5944" s="110"/>
      <c r="I5944" s="110"/>
    </row>
    <row r="5945" spans="8:9" x14ac:dyDescent="0.25">
      <c r="H5945" s="110"/>
      <c r="I5945" s="110"/>
    </row>
    <row r="5946" spans="8:9" x14ac:dyDescent="0.25">
      <c r="H5946" s="110"/>
      <c r="I5946" s="110"/>
    </row>
    <row r="5947" spans="8:9" x14ac:dyDescent="0.25">
      <c r="H5947" s="110"/>
      <c r="I5947" s="110"/>
    </row>
    <row r="5948" spans="8:9" x14ac:dyDescent="0.25">
      <c r="H5948" s="110"/>
      <c r="I5948" s="110"/>
    </row>
    <row r="5949" spans="8:9" x14ac:dyDescent="0.25">
      <c r="H5949" s="110"/>
      <c r="I5949" s="110"/>
    </row>
    <row r="5950" spans="8:9" x14ac:dyDescent="0.25">
      <c r="H5950" s="110"/>
      <c r="I5950" s="110"/>
    </row>
    <row r="5951" spans="8:9" x14ac:dyDescent="0.25">
      <c r="H5951" s="110"/>
      <c r="I5951" s="110"/>
    </row>
    <row r="5952" spans="8:9" x14ac:dyDescent="0.25">
      <c r="H5952" s="110"/>
      <c r="I5952" s="110"/>
    </row>
    <row r="5953" spans="8:9" x14ac:dyDescent="0.25">
      <c r="H5953" s="110"/>
      <c r="I5953" s="110"/>
    </row>
    <row r="5954" spans="8:9" x14ac:dyDescent="0.25">
      <c r="H5954" s="110"/>
      <c r="I5954" s="110"/>
    </row>
    <row r="5955" spans="8:9" x14ac:dyDescent="0.25">
      <c r="H5955" s="110"/>
      <c r="I5955" s="110"/>
    </row>
    <row r="5956" spans="8:9" x14ac:dyDescent="0.25">
      <c r="H5956" s="110"/>
      <c r="I5956" s="110"/>
    </row>
    <row r="5957" spans="8:9" x14ac:dyDescent="0.25">
      <c r="H5957" s="110"/>
      <c r="I5957" s="110"/>
    </row>
    <row r="5958" spans="8:9" x14ac:dyDescent="0.25">
      <c r="H5958" s="110"/>
      <c r="I5958" s="110"/>
    </row>
    <row r="5959" spans="8:9" x14ac:dyDescent="0.25">
      <c r="H5959" s="110"/>
      <c r="I5959" s="110"/>
    </row>
    <row r="5960" spans="8:9" x14ac:dyDescent="0.25">
      <c r="H5960" s="110"/>
      <c r="I5960" s="110"/>
    </row>
    <row r="5961" spans="8:9" x14ac:dyDescent="0.25">
      <c r="H5961" s="110"/>
      <c r="I5961" s="110"/>
    </row>
    <row r="5962" spans="8:9" x14ac:dyDescent="0.25">
      <c r="H5962" s="110"/>
      <c r="I5962" s="110"/>
    </row>
    <row r="5963" spans="8:9" x14ac:dyDescent="0.25">
      <c r="H5963" s="110"/>
      <c r="I5963" s="110"/>
    </row>
    <row r="5964" spans="8:9" x14ac:dyDescent="0.25">
      <c r="H5964" s="110"/>
      <c r="I5964" s="110"/>
    </row>
    <row r="5965" spans="8:9" x14ac:dyDescent="0.25">
      <c r="H5965" s="110"/>
      <c r="I5965" s="110"/>
    </row>
    <row r="5966" spans="8:9" x14ac:dyDescent="0.25">
      <c r="H5966" s="110"/>
      <c r="I5966" s="110"/>
    </row>
    <row r="5967" spans="8:9" x14ac:dyDescent="0.25">
      <c r="H5967" s="110"/>
      <c r="I5967" s="110"/>
    </row>
    <row r="5968" spans="8:9" x14ac:dyDescent="0.25">
      <c r="H5968" s="110"/>
      <c r="I5968" s="110"/>
    </row>
    <row r="5969" spans="8:9" x14ac:dyDescent="0.25">
      <c r="H5969" s="110"/>
      <c r="I5969" s="110"/>
    </row>
    <row r="5970" spans="8:9" x14ac:dyDescent="0.25">
      <c r="H5970" s="110"/>
      <c r="I5970" s="110"/>
    </row>
    <row r="5971" spans="8:9" x14ac:dyDescent="0.25">
      <c r="H5971" s="110"/>
      <c r="I5971" s="110"/>
    </row>
    <row r="5972" spans="8:9" x14ac:dyDescent="0.25">
      <c r="H5972" s="110"/>
      <c r="I5972" s="110"/>
    </row>
    <row r="5973" spans="8:9" x14ac:dyDescent="0.25">
      <c r="H5973" s="110"/>
      <c r="I5973" s="110"/>
    </row>
    <row r="5974" spans="8:9" x14ac:dyDescent="0.25">
      <c r="H5974" s="110"/>
      <c r="I5974" s="110"/>
    </row>
    <row r="5975" spans="8:9" x14ac:dyDescent="0.25">
      <c r="H5975" s="110"/>
      <c r="I5975" s="110"/>
    </row>
    <row r="5976" spans="8:9" x14ac:dyDescent="0.25">
      <c r="H5976" s="110"/>
      <c r="I5976" s="110"/>
    </row>
    <row r="5977" spans="8:9" x14ac:dyDescent="0.25">
      <c r="H5977" s="110"/>
      <c r="I5977" s="110"/>
    </row>
    <row r="5978" spans="8:9" x14ac:dyDescent="0.25">
      <c r="H5978" s="110"/>
      <c r="I5978" s="110"/>
    </row>
    <row r="5979" spans="8:9" x14ac:dyDescent="0.25">
      <c r="H5979" s="110"/>
      <c r="I5979" s="110"/>
    </row>
    <row r="5980" spans="8:9" x14ac:dyDescent="0.25">
      <c r="H5980" s="110"/>
      <c r="I5980" s="110"/>
    </row>
    <row r="5981" spans="8:9" x14ac:dyDescent="0.25">
      <c r="H5981" s="110"/>
      <c r="I5981" s="110"/>
    </row>
    <row r="5982" spans="8:9" x14ac:dyDescent="0.25">
      <c r="H5982" s="110"/>
      <c r="I5982" s="110"/>
    </row>
    <row r="5983" spans="8:9" x14ac:dyDescent="0.25">
      <c r="H5983" s="110"/>
      <c r="I5983" s="110"/>
    </row>
    <row r="5984" spans="8:9" x14ac:dyDescent="0.25">
      <c r="H5984" s="110"/>
      <c r="I5984" s="110"/>
    </row>
    <row r="5985" spans="8:9" x14ac:dyDescent="0.25">
      <c r="H5985" s="110"/>
      <c r="I5985" s="110"/>
    </row>
    <row r="5986" spans="8:9" x14ac:dyDescent="0.25">
      <c r="H5986" s="110"/>
      <c r="I5986" s="110"/>
    </row>
    <row r="5987" spans="8:9" x14ac:dyDescent="0.25">
      <c r="H5987" s="110"/>
      <c r="I5987" s="110"/>
    </row>
    <row r="5988" spans="8:9" x14ac:dyDescent="0.25">
      <c r="H5988" s="110"/>
      <c r="I5988" s="110"/>
    </row>
    <row r="5989" spans="8:9" x14ac:dyDescent="0.25">
      <c r="H5989" s="110"/>
      <c r="I5989" s="110"/>
    </row>
    <row r="5990" spans="8:9" x14ac:dyDescent="0.25">
      <c r="H5990" s="110"/>
      <c r="I5990" s="110"/>
    </row>
    <row r="5991" spans="8:9" x14ac:dyDescent="0.25">
      <c r="H5991" s="110"/>
      <c r="I5991" s="110"/>
    </row>
    <row r="5992" spans="8:9" x14ac:dyDescent="0.25">
      <c r="H5992" s="110"/>
      <c r="I5992" s="110"/>
    </row>
    <row r="5993" spans="8:9" x14ac:dyDescent="0.25">
      <c r="H5993" s="110"/>
      <c r="I5993" s="110"/>
    </row>
    <row r="5994" spans="8:9" x14ac:dyDescent="0.25">
      <c r="H5994" s="110"/>
      <c r="I5994" s="110"/>
    </row>
    <row r="5995" spans="8:9" x14ac:dyDescent="0.25">
      <c r="H5995" s="110"/>
      <c r="I5995" s="110"/>
    </row>
    <row r="5996" spans="8:9" x14ac:dyDescent="0.25">
      <c r="H5996" s="110"/>
      <c r="I5996" s="110"/>
    </row>
    <row r="5997" spans="8:9" x14ac:dyDescent="0.25">
      <c r="H5997" s="110"/>
      <c r="I5997" s="110"/>
    </row>
    <row r="5998" spans="8:9" x14ac:dyDescent="0.25">
      <c r="H5998" s="110"/>
      <c r="I5998" s="110"/>
    </row>
    <row r="5999" spans="8:9" x14ac:dyDescent="0.25">
      <c r="H5999" s="110"/>
      <c r="I5999" s="110"/>
    </row>
    <row r="6000" spans="8:9" x14ac:dyDescent="0.25">
      <c r="H6000" s="110"/>
      <c r="I6000" s="110"/>
    </row>
    <row r="6001" spans="8:9" x14ac:dyDescent="0.25">
      <c r="H6001" s="110"/>
      <c r="I6001" s="110"/>
    </row>
    <row r="6002" spans="8:9" x14ac:dyDescent="0.25">
      <c r="H6002" s="110"/>
      <c r="I6002" s="110"/>
    </row>
    <row r="6003" spans="8:9" x14ac:dyDescent="0.25">
      <c r="H6003" s="110"/>
      <c r="I6003" s="110"/>
    </row>
    <row r="6004" spans="8:9" x14ac:dyDescent="0.25">
      <c r="H6004" s="110"/>
      <c r="I6004" s="110"/>
    </row>
    <row r="6005" spans="8:9" x14ac:dyDescent="0.25">
      <c r="H6005" s="110"/>
      <c r="I6005" s="110"/>
    </row>
    <row r="6006" spans="8:9" x14ac:dyDescent="0.25">
      <c r="H6006" s="110"/>
      <c r="I6006" s="110"/>
    </row>
    <row r="6007" spans="8:9" x14ac:dyDescent="0.25">
      <c r="H6007" s="110"/>
      <c r="I6007" s="110"/>
    </row>
    <row r="6008" spans="8:9" x14ac:dyDescent="0.25">
      <c r="H6008" s="110"/>
      <c r="I6008" s="110"/>
    </row>
    <row r="6009" spans="8:9" x14ac:dyDescent="0.25">
      <c r="H6009" s="110"/>
      <c r="I6009" s="110"/>
    </row>
    <row r="6010" spans="8:9" x14ac:dyDescent="0.25">
      <c r="H6010" s="110"/>
      <c r="I6010" s="110"/>
    </row>
    <row r="6011" spans="8:9" x14ac:dyDescent="0.25">
      <c r="H6011" s="110"/>
      <c r="I6011" s="110"/>
    </row>
    <row r="6012" spans="8:9" x14ac:dyDescent="0.25">
      <c r="H6012" s="110"/>
      <c r="I6012" s="110"/>
    </row>
    <row r="6013" spans="8:9" x14ac:dyDescent="0.25">
      <c r="H6013" s="110"/>
      <c r="I6013" s="110"/>
    </row>
    <row r="6014" spans="8:9" x14ac:dyDescent="0.25">
      <c r="H6014" s="110"/>
      <c r="I6014" s="110"/>
    </row>
    <row r="6015" spans="8:9" x14ac:dyDescent="0.25">
      <c r="H6015" s="110"/>
      <c r="I6015" s="110"/>
    </row>
    <row r="6016" spans="8:9" x14ac:dyDescent="0.25">
      <c r="H6016" s="110"/>
      <c r="I6016" s="110"/>
    </row>
    <row r="6017" spans="8:9" x14ac:dyDescent="0.25">
      <c r="H6017" s="110"/>
      <c r="I6017" s="110"/>
    </row>
    <row r="6018" spans="8:9" x14ac:dyDescent="0.25">
      <c r="H6018" s="110"/>
      <c r="I6018" s="110"/>
    </row>
    <row r="6019" spans="8:9" x14ac:dyDescent="0.25">
      <c r="H6019" s="110"/>
      <c r="I6019" s="110"/>
    </row>
    <row r="6020" spans="8:9" x14ac:dyDescent="0.25">
      <c r="H6020" s="110"/>
      <c r="I6020" s="110"/>
    </row>
    <row r="6021" spans="8:9" x14ac:dyDescent="0.25">
      <c r="H6021" s="110"/>
      <c r="I6021" s="110"/>
    </row>
    <row r="6022" spans="8:9" x14ac:dyDescent="0.25">
      <c r="H6022" s="110"/>
      <c r="I6022" s="110"/>
    </row>
    <row r="6023" spans="8:9" x14ac:dyDescent="0.25">
      <c r="H6023" s="110"/>
      <c r="I6023" s="110"/>
    </row>
    <row r="6024" spans="8:9" x14ac:dyDescent="0.25">
      <c r="H6024" s="110"/>
      <c r="I6024" s="110"/>
    </row>
    <row r="6025" spans="8:9" x14ac:dyDescent="0.25">
      <c r="H6025" s="110"/>
      <c r="I6025" s="110"/>
    </row>
    <row r="6026" spans="8:9" x14ac:dyDescent="0.25">
      <c r="H6026" s="110"/>
      <c r="I6026" s="110"/>
    </row>
    <row r="6027" spans="8:9" x14ac:dyDescent="0.25">
      <c r="H6027" s="110"/>
      <c r="I6027" s="110"/>
    </row>
    <row r="6028" spans="8:9" x14ac:dyDescent="0.25">
      <c r="H6028" s="110"/>
      <c r="I6028" s="110"/>
    </row>
    <row r="6029" spans="8:9" x14ac:dyDescent="0.25">
      <c r="H6029" s="110"/>
      <c r="I6029" s="110"/>
    </row>
    <row r="6030" spans="8:9" x14ac:dyDescent="0.25">
      <c r="H6030" s="110"/>
      <c r="I6030" s="110"/>
    </row>
    <row r="6031" spans="8:9" x14ac:dyDescent="0.25">
      <c r="H6031" s="110"/>
      <c r="I6031" s="110"/>
    </row>
    <row r="6032" spans="8:9" x14ac:dyDescent="0.25">
      <c r="H6032" s="110"/>
      <c r="I6032" s="110"/>
    </row>
    <row r="6033" spans="8:9" x14ac:dyDescent="0.25">
      <c r="H6033" s="110"/>
      <c r="I6033" s="110"/>
    </row>
    <row r="6034" spans="8:9" x14ac:dyDescent="0.25">
      <c r="H6034" s="110"/>
      <c r="I6034" s="110"/>
    </row>
    <row r="6035" spans="8:9" x14ac:dyDescent="0.25">
      <c r="H6035" s="110"/>
      <c r="I6035" s="110"/>
    </row>
    <row r="6036" spans="8:9" x14ac:dyDescent="0.25">
      <c r="H6036" s="110"/>
      <c r="I6036" s="110"/>
    </row>
    <row r="6037" spans="8:9" x14ac:dyDescent="0.25">
      <c r="H6037" s="110"/>
      <c r="I6037" s="110"/>
    </row>
    <row r="6038" spans="8:9" x14ac:dyDescent="0.25">
      <c r="H6038" s="110"/>
      <c r="I6038" s="110"/>
    </row>
    <row r="6039" spans="8:9" x14ac:dyDescent="0.25">
      <c r="H6039" s="110"/>
      <c r="I6039" s="110"/>
    </row>
    <row r="6040" spans="8:9" x14ac:dyDescent="0.25">
      <c r="H6040" s="110"/>
      <c r="I6040" s="110"/>
    </row>
    <row r="6041" spans="8:9" x14ac:dyDescent="0.25">
      <c r="H6041" s="110"/>
      <c r="I6041" s="110"/>
    </row>
    <row r="6042" spans="8:9" x14ac:dyDescent="0.25">
      <c r="H6042" s="110"/>
      <c r="I6042" s="110"/>
    </row>
    <row r="6043" spans="8:9" x14ac:dyDescent="0.25">
      <c r="H6043" s="110"/>
      <c r="I6043" s="110"/>
    </row>
    <row r="6044" spans="8:9" x14ac:dyDescent="0.25">
      <c r="H6044" s="110"/>
      <c r="I6044" s="110"/>
    </row>
    <row r="6045" spans="8:9" x14ac:dyDescent="0.25">
      <c r="H6045" s="110"/>
      <c r="I6045" s="110"/>
    </row>
    <row r="6046" spans="8:9" x14ac:dyDescent="0.25">
      <c r="H6046" s="110"/>
      <c r="I6046" s="110"/>
    </row>
    <row r="6047" spans="8:9" x14ac:dyDescent="0.25">
      <c r="H6047" s="110"/>
      <c r="I6047" s="110"/>
    </row>
    <row r="6048" spans="8:9" x14ac:dyDescent="0.25">
      <c r="H6048" s="110"/>
      <c r="I6048" s="110"/>
    </row>
    <row r="6049" spans="8:9" x14ac:dyDescent="0.25">
      <c r="H6049" s="110"/>
      <c r="I6049" s="110"/>
    </row>
    <row r="6050" spans="8:9" x14ac:dyDescent="0.25">
      <c r="H6050" s="110"/>
      <c r="I6050" s="110"/>
    </row>
    <row r="6051" spans="8:9" x14ac:dyDescent="0.25">
      <c r="H6051" s="110"/>
      <c r="I6051" s="110"/>
    </row>
    <row r="6052" spans="8:9" x14ac:dyDescent="0.25">
      <c r="H6052" s="110"/>
      <c r="I6052" s="110"/>
    </row>
    <row r="6053" spans="8:9" x14ac:dyDescent="0.25">
      <c r="H6053" s="110"/>
      <c r="I6053" s="110"/>
    </row>
    <row r="6054" spans="8:9" x14ac:dyDescent="0.25">
      <c r="H6054" s="110"/>
      <c r="I6054" s="110"/>
    </row>
    <row r="6055" spans="8:9" x14ac:dyDescent="0.25">
      <c r="H6055" s="110"/>
      <c r="I6055" s="110"/>
    </row>
    <row r="6056" spans="8:9" x14ac:dyDescent="0.25">
      <c r="H6056" s="110"/>
      <c r="I6056" s="110"/>
    </row>
    <row r="6057" spans="8:9" x14ac:dyDescent="0.25">
      <c r="H6057" s="110"/>
      <c r="I6057" s="110"/>
    </row>
    <row r="6058" spans="8:9" x14ac:dyDescent="0.25">
      <c r="H6058" s="110"/>
      <c r="I6058" s="110"/>
    </row>
    <row r="6059" spans="8:9" x14ac:dyDescent="0.25">
      <c r="H6059" s="110"/>
      <c r="I6059" s="110"/>
    </row>
    <row r="6060" spans="8:9" x14ac:dyDescent="0.25">
      <c r="H6060" s="110"/>
      <c r="I6060" s="110"/>
    </row>
    <row r="6061" spans="8:9" x14ac:dyDescent="0.25">
      <c r="H6061" s="110"/>
      <c r="I6061" s="110"/>
    </row>
    <row r="6062" spans="8:9" x14ac:dyDescent="0.25">
      <c r="H6062" s="110"/>
      <c r="I6062" s="110"/>
    </row>
    <row r="6063" spans="8:9" x14ac:dyDescent="0.25">
      <c r="H6063" s="110"/>
      <c r="I6063" s="110"/>
    </row>
    <row r="6064" spans="8:9" x14ac:dyDescent="0.25">
      <c r="H6064" s="110"/>
      <c r="I6064" s="110"/>
    </row>
    <row r="6065" spans="8:9" x14ac:dyDescent="0.25">
      <c r="H6065" s="110"/>
      <c r="I6065" s="110"/>
    </row>
    <row r="6066" spans="8:9" x14ac:dyDescent="0.25">
      <c r="H6066" s="110"/>
      <c r="I6066" s="110"/>
    </row>
    <row r="6067" spans="8:9" x14ac:dyDescent="0.25">
      <c r="H6067" s="110"/>
      <c r="I6067" s="110"/>
    </row>
    <row r="6068" spans="8:9" x14ac:dyDescent="0.25">
      <c r="H6068" s="110"/>
      <c r="I6068" s="110"/>
    </row>
    <row r="6069" spans="8:9" x14ac:dyDescent="0.25">
      <c r="H6069" s="110"/>
      <c r="I6069" s="110"/>
    </row>
    <row r="6070" spans="8:9" x14ac:dyDescent="0.25">
      <c r="H6070" s="110"/>
      <c r="I6070" s="110"/>
    </row>
    <row r="6071" spans="8:9" x14ac:dyDescent="0.25">
      <c r="H6071" s="110"/>
      <c r="I6071" s="110"/>
    </row>
    <row r="6072" spans="8:9" x14ac:dyDescent="0.25">
      <c r="H6072" s="110"/>
      <c r="I6072" s="110"/>
    </row>
    <row r="6073" spans="8:9" x14ac:dyDescent="0.25">
      <c r="H6073" s="110"/>
      <c r="I6073" s="110"/>
    </row>
    <row r="6074" spans="8:9" x14ac:dyDescent="0.25">
      <c r="H6074" s="110"/>
      <c r="I6074" s="110"/>
    </row>
    <row r="6075" spans="8:9" x14ac:dyDescent="0.25">
      <c r="H6075" s="110"/>
      <c r="I6075" s="110"/>
    </row>
    <row r="6076" spans="8:9" x14ac:dyDescent="0.25">
      <c r="H6076" s="110"/>
      <c r="I6076" s="110"/>
    </row>
    <row r="6077" spans="8:9" x14ac:dyDescent="0.25">
      <c r="H6077" s="110"/>
      <c r="I6077" s="110"/>
    </row>
    <row r="6078" spans="8:9" x14ac:dyDescent="0.25">
      <c r="H6078" s="110"/>
      <c r="I6078" s="110"/>
    </row>
    <row r="6079" spans="8:9" x14ac:dyDescent="0.25">
      <c r="H6079" s="110"/>
      <c r="I6079" s="110"/>
    </row>
    <row r="6080" spans="8:9" x14ac:dyDescent="0.25">
      <c r="H6080" s="110"/>
      <c r="I6080" s="110"/>
    </row>
    <row r="6081" spans="8:9" x14ac:dyDescent="0.25">
      <c r="H6081" s="110"/>
      <c r="I6081" s="110"/>
    </row>
    <row r="6082" spans="8:9" x14ac:dyDescent="0.25">
      <c r="H6082" s="110"/>
      <c r="I6082" s="110"/>
    </row>
    <row r="6083" spans="8:9" x14ac:dyDescent="0.25">
      <c r="H6083" s="110"/>
      <c r="I6083" s="110"/>
    </row>
    <row r="6084" spans="8:9" x14ac:dyDescent="0.25">
      <c r="H6084" s="110"/>
      <c r="I6084" s="110"/>
    </row>
    <row r="6085" spans="8:9" x14ac:dyDescent="0.25">
      <c r="H6085" s="110"/>
      <c r="I6085" s="110"/>
    </row>
    <row r="6086" spans="8:9" x14ac:dyDescent="0.25">
      <c r="H6086" s="110"/>
      <c r="I6086" s="110"/>
    </row>
    <row r="6087" spans="8:9" x14ac:dyDescent="0.25">
      <c r="H6087" s="110"/>
      <c r="I6087" s="110"/>
    </row>
    <row r="6088" spans="8:9" x14ac:dyDescent="0.25">
      <c r="H6088" s="110"/>
      <c r="I6088" s="110"/>
    </row>
    <row r="6089" spans="8:9" x14ac:dyDescent="0.25">
      <c r="H6089" s="110"/>
      <c r="I6089" s="110"/>
    </row>
    <row r="6090" spans="8:9" x14ac:dyDescent="0.25">
      <c r="H6090" s="110"/>
      <c r="I6090" s="110"/>
    </row>
    <row r="6091" spans="8:9" x14ac:dyDescent="0.25">
      <c r="H6091" s="110"/>
      <c r="I6091" s="110"/>
    </row>
    <row r="6092" spans="8:9" x14ac:dyDescent="0.25">
      <c r="H6092" s="110"/>
      <c r="I6092" s="110"/>
    </row>
    <row r="6093" spans="8:9" x14ac:dyDescent="0.25">
      <c r="H6093" s="110"/>
      <c r="I6093" s="110"/>
    </row>
    <row r="6094" spans="8:9" x14ac:dyDescent="0.25">
      <c r="H6094" s="110"/>
      <c r="I6094" s="110"/>
    </row>
    <row r="6095" spans="8:9" x14ac:dyDescent="0.25">
      <c r="H6095" s="110"/>
      <c r="I6095" s="110"/>
    </row>
    <row r="6096" spans="8:9" x14ac:dyDescent="0.25">
      <c r="H6096" s="110"/>
      <c r="I6096" s="110"/>
    </row>
    <row r="6097" spans="8:9" x14ac:dyDescent="0.25">
      <c r="H6097" s="110"/>
      <c r="I6097" s="110"/>
    </row>
    <row r="6098" spans="8:9" x14ac:dyDescent="0.25">
      <c r="H6098" s="110"/>
      <c r="I6098" s="110"/>
    </row>
    <row r="6099" spans="8:9" x14ac:dyDescent="0.25">
      <c r="H6099" s="110"/>
      <c r="I6099" s="110"/>
    </row>
    <row r="6100" spans="8:9" x14ac:dyDescent="0.25">
      <c r="H6100" s="110"/>
      <c r="I6100" s="110"/>
    </row>
    <row r="6101" spans="8:9" x14ac:dyDescent="0.25">
      <c r="H6101" s="110"/>
      <c r="I6101" s="110"/>
    </row>
    <row r="6102" spans="8:9" x14ac:dyDescent="0.25">
      <c r="H6102" s="110"/>
      <c r="I6102" s="110"/>
    </row>
    <row r="6103" spans="8:9" x14ac:dyDescent="0.25">
      <c r="H6103" s="110"/>
      <c r="I6103" s="110"/>
    </row>
    <row r="6104" spans="8:9" x14ac:dyDescent="0.25">
      <c r="H6104" s="110"/>
      <c r="I6104" s="110"/>
    </row>
    <row r="6105" spans="8:9" x14ac:dyDescent="0.25">
      <c r="H6105" s="110"/>
      <c r="I6105" s="110"/>
    </row>
    <row r="6106" spans="8:9" x14ac:dyDescent="0.25">
      <c r="H6106" s="110"/>
      <c r="I6106" s="110"/>
    </row>
    <row r="6107" spans="8:9" x14ac:dyDescent="0.25">
      <c r="H6107" s="110"/>
      <c r="I6107" s="110"/>
    </row>
    <row r="6108" spans="8:9" x14ac:dyDescent="0.25">
      <c r="H6108" s="110"/>
      <c r="I6108" s="110"/>
    </row>
    <row r="6109" spans="8:9" x14ac:dyDescent="0.25">
      <c r="H6109" s="110"/>
      <c r="I6109" s="110"/>
    </row>
    <row r="6110" spans="8:9" x14ac:dyDescent="0.25">
      <c r="H6110" s="110"/>
      <c r="I6110" s="110"/>
    </row>
    <row r="6111" spans="8:9" x14ac:dyDescent="0.25">
      <c r="H6111" s="110"/>
      <c r="I6111" s="110"/>
    </row>
    <row r="6112" spans="8:9" x14ac:dyDescent="0.25">
      <c r="H6112" s="110"/>
      <c r="I6112" s="110"/>
    </row>
    <row r="6113" spans="8:9" x14ac:dyDescent="0.25">
      <c r="H6113" s="110"/>
      <c r="I6113" s="110"/>
    </row>
    <row r="6114" spans="8:9" x14ac:dyDescent="0.25">
      <c r="H6114" s="110"/>
      <c r="I6114" s="110"/>
    </row>
    <row r="6115" spans="8:9" x14ac:dyDescent="0.25">
      <c r="H6115" s="110"/>
      <c r="I6115" s="110"/>
    </row>
    <row r="6116" spans="8:9" x14ac:dyDescent="0.25">
      <c r="H6116" s="110"/>
      <c r="I6116" s="110"/>
    </row>
    <row r="6117" spans="8:9" x14ac:dyDescent="0.25">
      <c r="H6117" s="110"/>
      <c r="I6117" s="110"/>
    </row>
    <row r="6118" spans="8:9" x14ac:dyDescent="0.25">
      <c r="H6118" s="110"/>
      <c r="I6118" s="110"/>
    </row>
    <row r="6119" spans="8:9" x14ac:dyDescent="0.25">
      <c r="H6119" s="110"/>
      <c r="I6119" s="110"/>
    </row>
    <row r="6120" spans="8:9" x14ac:dyDescent="0.25">
      <c r="H6120" s="110"/>
      <c r="I6120" s="110"/>
    </row>
    <row r="6121" spans="8:9" x14ac:dyDescent="0.25">
      <c r="H6121" s="110"/>
      <c r="I6121" s="110"/>
    </row>
    <row r="6122" spans="8:9" x14ac:dyDescent="0.25">
      <c r="H6122" s="110"/>
      <c r="I6122" s="110"/>
    </row>
    <row r="6123" spans="8:9" x14ac:dyDescent="0.25">
      <c r="H6123" s="110"/>
      <c r="I6123" s="110"/>
    </row>
    <row r="6124" spans="8:9" x14ac:dyDescent="0.25">
      <c r="H6124" s="110"/>
      <c r="I6124" s="110"/>
    </row>
    <row r="6125" spans="8:9" x14ac:dyDescent="0.25">
      <c r="H6125" s="110"/>
      <c r="I6125" s="110"/>
    </row>
    <row r="6126" spans="8:9" x14ac:dyDescent="0.25">
      <c r="H6126" s="110"/>
      <c r="I6126" s="110"/>
    </row>
    <row r="6127" spans="8:9" x14ac:dyDescent="0.25">
      <c r="H6127" s="110"/>
      <c r="I6127" s="110"/>
    </row>
    <row r="6128" spans="8:9" x14ac:dyDescent="0.25">
      <c r="H6128" s="110"/>
      <c r="I6128" s="110"/>
    </row>
    <row r="6129" spans="8:9" x14ac:dyDescent="0.25">
      <c r="H6129" s="110"/>
      <c r="I6129" s="110"/>
    </row>
    <row r="6130" spans="8:9" x14ac:dyDescent="0.25">
      <c r="H6130" s="110"/>
      <c r="I6130" s="110"/>
    </row>
    <row r="6131" spans="8:9" x14ac:dyDescent="0.25">
      <c r="H6131" s="110"/>
      <c r="I6131" s="110"/>
    </row>
    <row r="6132" spans="8:9" x14ac:dyDescent="0.25">
      <c r="H6132" s="110"/>
      <c r="I6132" s="110"/>
    </row>
    <row r="6133" spans="8:9" x14ac:dyDescent="0.25">
      <c r="H6133" s="110"/>
      <c r="I6133" s="110"/>
    </row>
    <row r="6134" spans="8:9" x14ac:dyDescent="0.25">
      <c r="H6134" s="110"/>
      <c r="I6134" s="110"/>
    </row>
    <row r="6135" spans="8:9" x14ac:dyDescent="0.25">
      <c r="H6135" s="110"/>
      <c r="I6135" s="110"/>
    </row>
    <row r="6136" spans="8:9" x14ac:dyDescent="0.25">
      <c r="H6136" s="110"/>
      <c r="I6136" s="110"/>
    </row>
    <row r="6137" spans="8:9" x14ac:dyDescent="0.25">
      <c r="H6137" s="110"/>
      <c r="I6137" s="110"/>
    </row>
    <row r="6138" spans="8:9" x14ac:dyDescent="0.25">
      <c r="H6138" s="110"/>
      <c r="I6138" s="110"/>
    </row>
    <row r="6139" spans="8:9" x14ac:dyDescent="0.25">
      <c r="H6139" s="110"/>
      <c r="I6139" s="110"/>
    </row>
    <row r="6140" spans="8:9" x14ac:dyDescent="0.25">
      <c r="H6140" s="110"/>
      <c r="I6140" s="110"/>
    </row>
    <row r="6141" spans="8:9" x14ac:dyDescent="0.25">
      <c r="H6141" s="110"/>
      <c r="I6141" s="110"/>
    </row>
    <row r="6142" spans="8:9" x14ac:dyDescent="0.25">
      <c r="H6142" s="110"/>
      <c r="I6142" s="110"/>
    </row>
    <row r="6143" spans="8:9" x14ac:dyDescent="0.25">
      <c r="H6143" s="110"/>
      <c r="I6143" s="110"/>
    </row>
    <row r="6144" spans="8:9" x14ac:dyDescent="0.25">
      <c r="H6144" s="110"/>
      <c r="I6144" s="110"/>
    </row>
    <row r="6145" spans="8:9" x14ac:dyDescent="0.25">
      <c r="H6145" s="110"/>
      <c r="I6145" s="110"/>
    </row>
    <row r="6146" spans="8:9" x14ac:dyDescent="0.25">
      <c r="H6146" s="110"/>
      <c r="I6146" s="110"/>
    </row>
    <row r="6147" spans="8:9" x14ac:dyDescent="0.25">
      <c r="H6147" s="110"/>
      <c r="I6147" s="110"/>
    </row>
    <row r="6148" spans="8:9" x14ac:dyDescent="0.25">
      <c r="H6148" s="110"/>
      <c r="I6148" s="110"/>
    </row>
    <row r="6149" spans="8:9" x14ac:dyDescent="0.25">
      <c r="H6149" s="110"/>
      <c r="I6149" s="110"/>
    </row>
    <row r="6150" spans="8:9" x14ac:dyDescent="0.25">
      <c r="H6150" s="110"/>
      <c r="I6150" s="110"/>
    </row>
    <row r="6151" spans="8:9" x14ac:dyDescent="0.25">
      <c r="H6151" s="110"/>
      <c r="I6151" s="110"/>
    </row>
    <row r="6152" spans="8:9" x14ac:dyDescent="0.25">
      <c r="H6152" s="110"/>
      <c r="I6152" s="110"/>
    </row>
    <row r="6153" spans="8:9" x14ac:dyDescent="0.25">
      <c r="H6153" s="110"/>
      <c r="I6153" s="110"/>
    </row>
    <row r="6154" spans="8:9" x14ac:dyDescent="0.25">
      <c r="H6154" s="110"/>
      <c r="I6154" s="110"/>
    </row>
    <row r="6155" spans="8:9" x14ac:dyDescent="0.25">
      <c r="H6155" s="110"/>
      <c r="I6155" s="110"/>
    </row>
    <row r="6156" spans="8:9" x14ac:dyDescent="0.25">
      <c r="H6156" s="110"/>
      <c r="I6156" s="110"/>
    </row>
    <row r="6157" spans="8:9" x14ac:dyDescent="0.25">
      <c r="H6157" s="110"/>
      <c r="I6157" s="110"/>
    </row>
    <row r="6158" spans="8:9" x14ac:dyDescent="0.25">
      <c r="H6158" s="110"/>
      <c r="I6158" s="110"/>
    </row>
    <row r="6159" spans="8:9" x14ac:dyDescent="0.25">
      <c r="H6159" s="110"/>
      <c r="I6159" s="110"/>
    </row>
    <row r="6160" spans="8:9" x14ac:dyDescent="0.25">
      <c r="H6160" s="110"/>
      <c r="I6160" s="110"/>
    </row>
    <row r="6161" spans="8:9" x14ac:dyDescent="0.25">
      <c r="H6161" s="110"/>
      <c r="I6161" s="110"/>
    </row>
    <row r="6162" spans="8:9" x14ac:dyDescent="0.25">
      <c r="H6162" s="110"/>
      <c r="I6162" s="110"/>
    </row>
    <row r="6163" spans="8:9" x14ac:dyDescent="0.25">
      <c r="H6163" s="110"/>
      <c r="I6163" s="110"/>
    </row>
    <row r="6164" spans="8:9" x14ac:dyDescent="0.25">
      <c r="H6164" s="110"/>
      <c r="I6164" s="110"/>
    </row>
    <row r="6165" spans="8:9" x14ac:dyDescent="0.25">
      <c r="H6165" s="110"/>
      <c r="I6165" s="110"/>
    </row>
    <row r="6166" spans="8:9" x14ac:dyDescent="0.25">
      <c r="H6166" s="110"/>
      <c r="I6166" s="110"/>
    </row>
    <row r="6167" spans="8:9" x14ac:dyDescent="0.25">
      <c r="H6167" s="110"/>
      <c r="I6167" s="110"/>
    </row>
    <row r="6168" spans="8:9" x14ac:dyDescent="0.25">
      <c r="H6168" s="110"/>
      <c r="I6168" s="110"/>
    </row>
    <row r="6169" spans="8:9" x14ac:dyDescent="0.25">
      <c r="H6169" s="110"/>
      <c r="I6169" s="110"/>
    </row>
    <row r="6170" spans="8:9" x14ac:dyDescent="0.25">
      <c r="H6170" s="110"/>
      <c r="I6170" s="110"/>
    </row>
    <row r="6171" spans="8:9" x14ac:dyDescent="0.25">
      <c r="H6171" s="110"/>
      <c r="I6171" s="110"/>
    </row>
    <row r="6172" spans="8:9" x14ac:dyDescent="0.25">
      <c r="H6172" s="110"/>
      <c r="I6172" s="110"/>
    </row>
    <row r="6173" spans="8:9" x14ac:dyDescent="0.25">
      <c r="H6173" s="110"/>
      <c r="I6173" s="110"/>
    </row>
    <row r="6174" spans="8:9" x14ac:dyDescent="0.25">
      <c r="H6174" s="110"/>
      <c r="I6174" s="110"/>
    </row>
    <row r="6175" spans="8:9" x14ac:dyDescent="0.25">
      <c r="H6175" s="110"/>
      <c r="I6175" s="110"/>
    </row>
    <row r="6176" spans="8:9" x14ac:dyDescent="0.25">
      <c r="H6176" s="110"/>
      <c r="I6176" s="110"/>
    </row>
    <row r="6177" spans="8:9" x14ac:dyDescent="0.25">
      <c r="H6177" s="110"/>
      <c r="I6177" s="110"/>
    </row>
    <row r="6178" spans="8:9" x14ac:dyDescent="0.25">
      <c r="H6178" s="110"/>
      <c r="I6178" s="110"/>
    </row>
    <row r="6179" spans="8:9" x14ac:dyDescent="0.25">
      <c r="H6179" s="110"/>
      <c r="I6179" s="110"/>
    </row>
    <row r="6180" spans="8:9" x14ac:dyDescent="0.25">
      <c r="H6180" s="110"/>
      <c r="I6180" s="110"/>
    </row>
    <row r="6181" spans="8:9" x14ac:dyDescent="0.25">
      <c r="H6181" s="110"/>
      <c r="I6181" s="110"/>
    </row>
    <row r="6182" spans="8:9" x14ac:dyDescent="0.25">
      <c r="H6182" s="110"/>
      <c r="I6182" s="110"/>
    </row>
    <row r="6183" spans="8:9" x14ac:dyDescent="0.25">
      <c r="H6183" s="110"/>
      <c r="I6183" s="110"/>
    </row>
    <row r="6184" spans="8:9" x14ac:dyDescent="0.25">
      <c r="H6184" s="110"/>
      <c r="I6184" s="110"/>
    </row>
    <row r="6185" spans="8:9" x14ac:dyDescent="0.25">
      <c r="H6185" s="110"/>
      <c r="I6185" s="110"/>
    </row>
    <row r="6186" spans="8:9" x14ac:dyDescent="0.25">
      <c r="H6186" s="110"/>
      <c r="I6186" s="110"/>
    </row>
    <row r="6187" spans="8:9" x14ac:dyDescent="0.25">
      <c r="H6187" s="110"/>
      <c r="I6187" s="110"/>
    </row>
    <row r="6188" spans="8:9" x14ac:dyDescent="0.25">
      <c r="H6188" s="110"/>
      <c r="I6188" s="110"/>
    </row>
    <row r="6189" spans="8:9" x14ac:dyDescent="0.25">
      <c r="H6189" s="110"/>
      <c r="I6189" s="110"/>
    </row>
    <row r="6190" spans="8:9" x14ac:dyDescent="0.25">
      <c r="H6190" s="110"/>
      <c r="I6190" s="110"/>
    </row>
    <row r="6191" spans="8:9" x14ac:dyDescent="0.25">
      <c r="H6191" s="110"/>
      <c r="I6191" s="110"/>
    </row>
    <row r="6192" spans="8:9" x14ac:dyDescent="0.25">
      <c r="H6192" s="110"/>
      <c r="I6192" s="110"/>
    </row>
    <row r="6193" spans="8:9" x14ac:dyDescent="0.25">
      <c r="H6193" s="110"/>
      <c r="I6193" s="110"/>
    </row>
    <row r="6194" spans="8:9" x14ac:dyDescent="0.25">
      <c r="H6194" s="110"/>
      <c r="I6194" s="110"/>
    </row>
    <row r="6195" spans="8:9" x14ac:dyDescent="0.25">
      <c r="H6195" s="110"/>
      <c r="I6195" s="110"/>
    </row>
    <row r="6196" spans="8:9" x14ac:dyDescent="0.25">
      <c r="H6196" s="110"/>
      <c r="I6196" s="110"/>
    </row>
    <row r="6197" spans="8:9" x14ac:dyDescent="0.25">
      <c r="H6197" s="110"/>
      <c r="I6197" s="110"/>
    </row>
    <row r="6198" spans="8:9" x14ac:dyDescent="0.25">
      <c r="H6198" s="110"/>
      <c r="I6198" s="110"/>
    </row>
    <row r="6199" spans="8:9" x14ac:dyDescent="0.25">
      <c r="H6199" s="110"/>
      <c r="I6199" s="110"/>
    </row>
    <row r="6200" spans="8:9" x14ac:dyDescent="0.25">
      <c r="H6200" s="110"/>
      <c r="I6200" s="110"/>
    </row>
    <row r="6201" spans="8:9" x14ac:dyDescent="0.25">
      <c r="H6201" s="110"/>
      <c r="I6201" s="110"/>
    </row>
    <row r="6202" spans="8:9" x14ac:dyDescent="0.25">
      <c r="H6202" s="110"/>
      <c r="I6202" s="110"/>
    </row>
    <row r="6203" spans="8:9" x14ac:dyDescent="0.25">
      <c r="H6203" s="110"/>
      <c r="I6203" s="110"/>
    </row>
    <row r="6204" spans="8:9" x14ac:dyDescent="0.25">
      <c r="H6204" s="110"/>
      <c r="I6204" s="110"/>
    </row>
    <row r="6205" spans="8:9" x14ac:dyDescent="0.25">
      <c r="H6205" s="110"/>
      <c r="I6205" s="110"/>
    </row>
    <row r="6206" spans="8:9" x14ac:dyDescent="0.25">
      <c r="H6206" s="110"/>
      <c r="I6206" s="110"/>
    </row>
    <row r="6207" spans="8:9" x14ac:dyDescent="0.25">
      <c r="H6207" s="110"/>
      <c r="I6207" s="110"/>
    </row>
    <row r="6208" spans="8:9" x14ac:dyDescent="0.25">
      <c r="H6208" s="110"/>
      <c r="I6208" s="110"/>
    </row>
    <row r="6209" spans="8:9" x14ac:dyDescent="0.25">
      <c r="H6209" s="110"/>
      <c r="I6209" s="110"/>
    </row>
    <row r="6210" spans="8:9" x14ac:dyDescent="0.25">
      <c r="H6210" s="110"/>
      <c r="I6210" s="110"/>
    </row>
    <row r="6211" spans="8:9" x14ac:dyDescent="0.25">
      <c r="H6211" s="110"/>
      <c r="I6211" s="110"/>
    </row>
    <row r="6212" spans="8:9" x14ac:dyDescent="0.25">
      <c r="H6212" s="110"/>
      <c r="I6212" s="110"/>
    </row>
    <row r="6213" spans="8:9" x14ac:dyDescent="0.25">
      <c r="H6213" s="110"/>
      <c r="I6213" s="110"/>
    </row>
    <row r="6214" spans="8:9" x14ac:dyDescent="0.25">
      <c r="H6214" s="110"/>
      <c r="I6214" s="110"/>
    </row>
    <row r="6215" spans="8:9" x14ac:dyDescent="0.25">
      <c r="H6215" s="110"/>
      <c r="I6215" s="110"/>
    </row>
    <row r="6216" spans="8:9" x14ac:dyDescent="0.25">
      <c r="H6216" s="110"/>
      <c r="I6216" s="110"/>
    </row>
    <row r="6217" spans="8:9" x14ac:dyDescent="0.25">
      <c r="H6217" s="110"/>
      <c r="I6217" s="110"/>
    </row>
    <row r="6218" spans="8:9" x14ac:dyDescent="0.25">
      <c r="H6218" s="110"/>
      <c r="I6218" s="110"/>
    </row>
    <row r="6219" spans="8:9" x14ac:dyDescent="0.25">
      <c r="H6219" s="110"/>
      <c r="I6219" s="110"/>
    </row>
    <row r="6220" spans="8:9" x14ac:dyDescent="0.25">
      <c r="H6220" s="110"/>
      <c r="I6220" s="110"/>
    </row>
    <row r="6221" spans="8:9" x14ac:dyDescent="0.25">
      <c r="H6221" s="110"/>
      <c r="I6221" s="110"/>
    </row>
    <row r="6222" spans="8:9" x14ac:dyDescent="0.25">
      <c r="H6222" s="110"/>
      <c r="I6222" s="110"/>
    </row>
    <row r="6223" spans="8:9" x14ac:dyDescent="0.25">
      <c r="H6223" s="110"/>
      <c r="I6223" s="110"/>
    </row>
    <row r="6224" spans="8:9" x14ac:dyDescent="0.25">
      <c r="H6224" s="110"/>
      <c r="I6224" s="110"/>
    </row>
    <row r="6225" spans="8:9" x14ac:dyDescent="0.25">
      <c r="H6225" s="110"/>
      <c r="I6225" s="110"/>
    </row>
    <row r="6226" spans="8:9" x14ac:dyDescent="0.25">
      <c r="H6226" s="110"/>
      <c r="I6226" s="110"/>
    </row>
    <row r="6227" spans="8:9" x14ac:dyDescent="0.25">
      <c r="H6227" s="110"/>
      <c r="I6227" s="110"/>
    </row>
    <row r="6228" spans="8:9" x14ac:dyDescent="0.25">
      <c r="H6228" s="110"/>
      <c r="I6228" s="110"/>
    </row>
    <row r="6229" spans="8:9" x14ac:dyDescent="0.25">
      <c r="H6229" s="110"/>
      <c r="I6229" s="110"/>
    </row>
    <row r="6230" spans="8:9" x14ac:dyDescent="0.25">
      <c r="H6230" s="110"/>
      <c r="I6230" s="110"/>
    </row>
    <row r="6231" spans="8:9" x14ac:dyDescent="0.25">
      <c r="H6231" s="110"/>
      <c r="I6231" s="110"/>
    </row>
    <row r="6232" spans="8:9" x14ac:dyDescent="0.25">
      <c r="H6232" s="110"/>
      <c r="I6232" s="110"/>
    </row>
    <row r="6233" spans="8:9" x14ac:dyDescent="0.25">
      <c r="H6233" s="110"/>
      <c r="I6233" s="110"/>
    </row>
    <row r="6234" spans="8:9" x14ac:dyDescent="0.25">
      <c r="H6234" s="110"/>
      <c r="I6234" s="110"/>
    </row>
    <row r="6235" spans="8:9" x14ac:dyDescent="0.25">
      <c r="H6235" s="110"/>
      <c r="I6235" s="110"/>
    </row>
    <row r="6236" spans="8:9" x14ac:dyDescent="0.25">
      <c r="H6236" s="110"/>
      <c r="I6236" s="110"/>
    </row>
    <row r="6237" spans="8:9" x14ac:dyDescent="0.25">
      <c r="H6237" s="110"/>
      <c r="I6237" s="110"/>
    </row>
    <row r="6238" spans="8:9" x14ac:dyDescent="0.25">
      <c r="H6238" s="110"/>
      <c r="I6238" s="110"/>
    </row>
    <row r="6239" spans="8:9" x14ac:dyDescent="0.25">
      <c r="H6239" s="110"/>
      <c r="I6239" s="110"/>
    </row>
    <row r="6240" spans="8:9" x14ac:dyDescent="0.25">
      <c r="H6240" s="110"/>
      <c r="I6240" s="110"/>
    </row>
    <row r="6241" spans="8:9" x14ac:dyDescent="0.25">
      <c r="H6241" s="110"/>
      <c r="I6241" s="110"/>
    </row>
    <row r="6242" spans="8:9" x14ac:dyDescent="0.25">
      <c r="H6242" s="110"/>
      <c r="I6242" s="110"/>
    </row>
    <row r="6243" spans="8:9" x14ac:dyDescent="0.25">
      <c r="H6243" s="110"/>
      <c r="I6243" s="110"/>
    </row>
    <row r="6244" spans="8:9" x14ac:dyDescent="0.25">
      <c r="H6244" s="110"/>
      <c r="I6244" s="110"/>
    </row>
    <row r="6245" spans="8:9" x14ac:dyDescent="0.25">
      <c r="H6245" s="110"/>
      <c r="I6245" s="110"/>
    </row>
    <row r="6246" spans="8:9" x14ac:dyDescent="0.25">
      <c r="H6246" s="110"/>
      <c r="I6246" s="110"/>
    </row>
    <row r="6247" spans="8:9" x14ac:dyDescent="0.25">
      <c r="H6247" s="110"/>
      <c r="I6247" s="110"/>
    </row>
    <row r="6248" spans="8:9" x14ac:dyDescent="0.25">
      <c r="H6248" s="110"/>
      <c r="I6248" s="110"/>
    </row>
    <row r="6249" spans="8:9" x14ac:dyDescent="0.25">
      <c r="H6249" s="110"/>
      <c r="I6249" s="110"/>
    </row>
    <row r="6250" spans="8:9" x14ac:dyDescent="0.25">
      <c r="H6250" s="110"/>
      <c r="I6250" s="110"/>
    </row>
    <row r="6251" spans="8:9" x14ac:dyDescent="0.25">
      <c r="H6251" s="110"/>
      <c r="I6251" s="110"/>
    </row>
    <row r="6252" spans="8:9" x14ac:dyDescent="0.25">
      <c r="H6252" s="110"/>
      <c r="I6252" s="110"/>
    </row>
    <row r="6253" spans="8:9" x14ac:dyDescent="0.25">
      <c r="H6253" s="110"/>
      <c r="I6253" s="110"/>
    </row>
    <row r="6254" spans="8:9" x14ac:dyDescent="0.25">
      <c r="H6254" s="110"/>
      <c r="I6254" s="110"/>
    </row>
    <row r="6255" spans="8:9" x14ac:dyDescent="0.25">
      <c r="H6255" s="110"/>
      <c r="I6255" s="110"/>
    </row>
    <row r="6256" spans="8:9" x14ac:dyDescent="0.25">
      <c r="H6256" s="110"/>
      <c r="I6256" s="110"/>
    </row>
    <row r="6257" spans="8:9" x14ac:dyDescent="0.25">
      <c r="H6257" s="110"/>
      <c r="I6257" s="110"/>
    </row>
    <row r="6258" spans="8:9" x14ac:dyDescent="0.25">
      <c r="H6258" s="110"/>
      <c r="I6258" s="110"/>
    </row>
    <row r="6259" spans="8:9" x14ac:dyDescent="0.25">
      <c r="H6259" s="110"/>
      <c r="I6259" s="110"/>
    </row>
    <row r="6260" spans="8:9" x14ac:dyDescent="0.25">
      <c r="H6260" s="110"/>
      <c r="I6260" s="110"/>
    </row>
    <row r="6261" spans="8:9" x14ac:dyDescent="0.25">
      <c r="H6261" s="110"/>
      <c r="I6261" s="110"/>
    </row>
    <row r="6262" spans="8:9" x14ac:dyDescent="0.25">
      <c r="H6262" s="110"/>
      <c r="I6262" s="110"/>
    </row>
    <row r="6263" spans="8:9" x14ac:dyDescent="0.25">
      <c r="H6263" s="110"/>
      <c r="I6263" s="110"/>
    </row>
    <row r="6264" spans="8:9" x14ac:dyDescent="0.25">
      <c r="H6264" s="110"/>
      <c r="I6264" s="110"/>
    </row>
    <row r="6265" spans="8:9" x14ac:dyDescent="0.25">
      <c r="H6265" s="110"/>
      <c r="I6265" s="110"/>
    </row>
    <row r="6266" spans="8:9" x14ac:dyDescent="0.25">
      <c r="H6266" s="110"/>
      <c r="I6266" s="110"/>
    </row>
    <row r="6267" spans="8:9" x14ac:dyDescent="0.25">
      <c r="H6267" s="110"/>
      <c r="I6267" s="110"/>
    </row>
    <row r="6268" spans="8:9" x14ac:dyDescent="0.25">
      <c r="H6268" s="110"/>
      <c r="I6268" s="110"/>
    </row>
    <row r="6269" spans="8:9" x14ac:dyDescent="0.25">
      <c r="H6269" s="110"/>
      <c r="I6269" s="110"/>
    </row>
    <row r="6270" spans="8:9" x14ac:dyDescent="0.25">
      <c r="H6270" s="110"/>
      <c r="I6270" s="110"/>
    </row>
    <row r="6271" spans="8:9" x14ac:dyDescent="0.25">
      <c r="H6271" s="110"/>
      <c r="I6271" s="110"/>
    </row>
    <row r="6272" spans="8:9" x14ac:dyDescent="0.25">
      <c r="H6272" s="110"/>
      <c r="I6272" s="110"/>
    </row>
    <row r="6273" spans="8:9" x14ac:dyDescent="0.25">
      <c r="H6273" s="110"/>
      <c r="I6273" s="110"/>
    </row>
    <row r="6274" spans="8:9" x14ac:dyDescent="0.25">
      <c r="H6274" s="110"/>
      <c r="I6274" s="110"/>
    </row>
    <row r="6275" spans="8:9" x14ac:dyDescent="0.25">
      <c r="H6275" s="110"/>
      <c r="I6275" s="110"/>
    </row>
    <row r="6276" spans="8:9" x14ac:dyDescent="0.25">
      <c r="H6276" s="110"/>
      <c r="I6276" s="110"/>
    </row>
    <row r="6277" spans="8:9" x14ac:dyDescent="0.25">
      <c r="H6277" s="110"/>
      <c r="I6277" s="110"/>
    </row>
    <row r="6278" spans="8:9" x14ac:dyDescent="0.25">
      <c r="H6278" s="110"/>
      <c r="I6278" s="110"/>
    </row>
    <row r="6279" spans="8:9" x14ac:dyDescent="0.25">
      <c r="H6279" s="110"/>
      <c r="I6279" s="110"/>
    </row>
    <row r="6280" spans="8:9" x14ac:dyDescent="0.25">
      <c r="H6280" s="110"/>
      <c r="I6280" s="110"/>
    </row>
    <row r="6281" spans="8:9" x14ac:dyDescent="0.25">
      <c r="H6281" s="110"/>
      <c r="I6281" s="110"/>
    </row>
    <row r="6282" spans="8:9" x14ac:dyDescent="0.25">
      <c r="H6282" s="110"/>
      <c r="I6282" s="110"/>
    </row>
    <row r="6283" spans="8:9" x14ac:dyDescent="0.25">
      <c r="H6283" s="110"/>
      <c r="I6283" s="110"/>
    </row>
    <row r="6284" spans="8:9" x14ac:dyDescent="0.25">
      <c r="H6284" s="110"/>
      <c r="I6284" s="110"/>
    </row>
    <row r="6285" spans="8:9" x14ac:dyDescent="0.25">
      <c r="H6285" s="110"/>
      <c r="I6285" s="110"/>
    </row>
    <row r="6286" spans="8:9" x14ac:dyDescent="0.25">
      <c r="H6286" s="110"/>
      <c r="I6286" s="110"/>
    </row>
    <row r="6287" spans="8:9" x14ac:dyDescent="0.25">
      <c r="H6287" s="110"/>
      <c r="I6287" s="110"/>
    </row>
    <row r="6288" spans="8:9" x14ac:dyDescent="0.25">
      <c r="H6288" s="110"/>
      <c r="I6288" s="110"/>
    </row>
    <row r="6289" spans="8:9" x14ac:dyDescent="0.25">
      <c r="H6289" s="110"/>
      <c r="I6289" s="110"/>
    </row>
    <row r="6290" spans="8:9" x14ac:dyDescent="0.25">
      <c r="H6290" s="110"/>
      <c r="I6290" s="110"/>
    </row>
    <row r="6291" spans="8:9" x14ac:dyDescent="0.25">
      <c r="H6291" s="110"/>
      <c r="I6291" s="110"/>
    </row>
    <row r="6292" spans="8:9" x14ac:dyDescent="0.25">
      <c r="H6292" s="110"/>
      <c r="I6292" s="110"/>
    </row>
    <row r="6293" spans="8:9" x14ac:dyDescent="0.25">
      <c r="H6293" s="110"/>
      <c r="I6293" s="110"/>
    </row>
    <row r="6294" spans="8:9" x14ac:dyDescent="0.25">
      <c r="H6294" s="110"/>
      <c r="I6294" s="110"/>
    </row>
    <row r="6295" spans="8:9" x14ac:dyDescent="0.25">
      <c r="H6295" s="110"/>
      <c r="I6295" s="110"/>
    </row>
    <row r="6296" spans="8:9" x14ac:dyDescent="0.25">
      <c r="H6296" s="110"/>
      <c r="I6296" s="110"/>
    </row>
    <row r="6297" spans="8:9" x14ac:dyDescent="0.25">
      <c r="H6297" s="110"/>
      <c r="I6297" s="110"/>
    </row>
    <row r="6298" spans="8:9" x14ac:dyDescent="0.25">
      <c r="H6298" s="110"/>
      <c r="I6298" s="110"/>
    </row>
    <row r="6299" spans="8:9" x14ac:dyDescent="0.25">
      <c r="H6299" s="110"/>
      <c r="I6299" s="110"/>
    </row>
    <row r="6300" spans="8:9" x14ac:dyDescent="0.25">
      <c r="H6300" s="110"/>
      <c r="I6300" s="110"/>
    </row>
    <row r="6301" spans="8:9" x14ac:dyDescent="0.25">
      <c r="H6301" s="110"/>
      <c r="I6301" s="110"/>
    </row>
    <row r="6302" spans="8:9" x14ac:dyDescent="0.25">
      <c r="H6302" s="110"/>
      <c r="I6302" s="110"/>
    </row>
    <row r="6303" spans="8:9" x14ac:dyDescent="0.25">
      <c r="H6303" s="110"/>
      <c r="I6303" s="110"/>
    </row>
    <row r="6304" spans="8:9" x14ac:dyDescent="0.25">
      <c r="H6304" s="110"/>
      <c r="I6304" s="110"/>
    </row>
    <row r="6305" spans="8:9" x14ac:dyDescent="0.25">
      <c r="H6305" s="110"/>
      <c r="I6305" s="110"/>
    </row>
    <row r="6306" spans="8:9" x14ac:dyDescent="0.25">
      <c r="H6306" s="110"/>
      <c r="I6306" s="110"/>
    </row>
    <row r="6307" spans="8:9" x14ac:dyDescent="0.25">
      <c r="H6307" s="110"/>
      <c r="I6307" s="110"/>
    </row>
    <row r="6308" spans="8:9" x14ac:dyDescent="0.25">
      <c r="H6308" s="110"/>
      <c r="I6308" s="110"/>
    </row>
    <row r="6309" spans="8:9" x14ac:dyDescent="0.25">
      <c r="H6309" s="110"/>
      <c r="I6309" s="110"/>
    </row>
    <row r="6310" spans="8:9" x14ac:dyDescent="0.25">
      <c r="H6310" s="110"/>
      <c r="I6310" s="110"/>
    </row>
    <row r="6311" spans="8:9" x14ac:dyDescent="0.25">
      <c r="H6311" s="110"/>
      <c r="I6311" s="110"/>
    </row>
    <row r="6312" spans="8:9" x14ac:dyDescent="0.25">
      <c r="H6312" s="110"/>
      <c r="I6312" s="110"/>
    </row>
    <row r="6313" spans="8:9" x14ac:dyDescent="0.25">
      <c r="H6313" s="110"/>
      <c r="I6313" s="110"/>
    </row>
    <row r="6314" spans="8:9" x14ac:dyDescent="0.25">
      <c r="H6314" s="110"/>
      <c r="I6314" s="110"/>
    </row>
    <row r="6315" spans="8:9" x14ac:dyDescent="0.25">
      <c r="H6315" s="110"/>
      <c r="I6315" s="110"/>
    </row>
    <row r="6316" spans="8:9" x14ac:dyDescent="0.25">
      <c r="H6316" s="110"/>
      <c r="I6316" s="110"/>
    </row>
    <row r="6317" spans="8:9" x14ac:dyDescent="0.25">
      <c r="H6317" s="110"/>
      <c r="I6317" s="110"/>
    </row>
    <row r="6318" spans="8:9" x14ac:dyDescent="0.25">
      <c r="H6318" s="110"/>
      <c r="I6318" s="110"/>
    </row>
    <row r="6319" spans="8:9" x14ac:dyDescent="0.25">
      <c r="H6319" s="110"/>
      <c r="I6319" s="110"/>
    </row>
    <row r="6320" spans="8:9" x14ac:dyDescent="0.25">
      <c r="H6320" s="110"/>
      <c r="I6320" s="110"/>
    </row>
    <row r="6321" spans="8:9" x14ac:dyDescent="0.25">
      <c r="H6321" s="110"/>
      <c r="I6321" s="110"/>
    </row>
    <row r="6322" spans="8:9" x14ac:dyDescent="0.25">
      <c r="H6322" s="110"/>
      <c r="I6322" s="110"/>
    </row>
    <row r="6323" spans="8:9" x14ac:dyDescent="0.25">
      <c r="H6323" s="110"/>
      <c r="I6323" s="110"/>
    </row>
    <row r="6324" spans="8:9" x14ac:dyDescent="0.25">
      <c r="H6324" s="110"/>
      <c r="I6324" s="110"/>
    </row>
    <row r="6325" spans="8:9" x14ac:dyDescent="0.25">
      <c r="H6325" s="110"/>
      <c r="I6325" s="110"/>
    </row>
    <row r="6326" spans="8:9" x14ac:dyDescent="0.25">
      <c r="H6326" s="110"/>
      <c r="I6326" s="110"/>
    </row>
    <row r="6327" spans="8:9" x14ac:dyDescent="0.25">
      <c r="H6327" s="110"/>
      <c r="I6327" s="110"/>
    </row>
    <row r="6328" spans="8:9" x14ac:dyDescent="0.25">
      <c r="H6328" s="110"/>
      <c r="I6328" s="110"/>
    </row>
    <row r="6329" spans="8:9" x14ac:dyDescent="0.25">
      <c r="H6329" s="110"/>
      <c r="I6329" s="110"/>
    </row>
    <row r="6330" spans="8:9" x14ac:dyDescent="0.25">
      <c r="H6330" s="110"/>
      <c r="I6330" s="110"/>
    </row>
    <row r="6331" spans="8:9" x14ac:dyDescent="0.25">
      <c r="H6331" s="110"/>
      <c r="I6331" s="110"/>
    </row>
    <row r="6332" spans="8:9" x14ac:dyDescent="0.25">
      <c r="H6332" s="110"/>
      <c r="I6332" s="110"/>
    </row>
    <row r="6333" spans="8:9" x14ac:dyDescent="0.25">
      <c r="H6333" s="110"/>
      <c r="I6333" s="110"/>
    </row>
    <row r="6334" spans="8:9" x14ac:dyDescent="0.25">
      <c r="H6334" s="110"/>
      <c r="I6334" s="110"/>
    </row>
    <row r="6335" spans="8:9" x14ac:dyDescent="0.25">
      <c r="H6335" s="110"/>
      <c r="I6335" s="110"/>
    </row>
    <row r="6336" spans="8:9" x14ac:dyDescent="0.25">
      <c r="H6336" s="110"/>
      <c r="I6336" s="110"/>
    </row>
    <row r="6337" spans="8:9" x14ac:dyDescent="0.25">
      <c r="H6337" s="110"/>
      <c r="I6337" s="110"/>
    </row>
    <row r="6338" spans="8:9" x14ac:dyDescent="0.25">
      <c r="H6338" s="110"/>
      <c r="I6338" s="110"/>
    </row>
    <row r="6339" spans="8:9" x14ac:dyDescent="0.25">
      <c r="H6339" s="110"/>
      <c r="I6339" s="110"/>
    </row>
    <row r="6340" spans="8:9" x14ac:dyDescent="0.25">
      <c r="H6340" s="110"/>
      <c r="I6340" s="110"/>
    </row>
    <row r="6341" spans="8:9" x14ac:dyDescent="0.25">
      <c r="H6341" s="110"/>
      <c r="I6341" s="110"/>
    </row>
    <row r="6342" spans="8:9" x14ac:dyDescent="0.25">
      <c r="H6342" s="110"/>
      <c r="I6342" s="110"/>
    </row>
    <row r="6343" spans="8:9" x14ac:dyDescent="0.25">
      <c r="H6343" s="110"/>
      <c r="I6343" s="110"/>
    </row>
    <row r="6344" spans="8:9" x14ac:dyDescent="0.25">
      <c r="H6344" s="110"/>
      <c r="I6344" s="110"/>
    </row>
    <row r="6345" spans="8:9" x14ac:dyDescent="0.25">
      <c r="H6345" s="110"/>
      <c r="I6345" s="110"/>
    </row>
    <row r="6346" spans="8:9" x14ac:dyDescent="0.25">
      <c r="H6346" s="110"/>
      <c r="I6346" s="110"/>
    </row>
    <row r="6347" spans="8:9" x14ac:dyDescent="0.25">
      <c r="H6347" s="110"/>
      <c r="I6347" s="110"/>
    </row>
    <row r="6348" spans="8:9" x14ac:dyDescent="0.25">
      <c r="H6348" s="110"/>
      <c r="I6348" s="110"/>
    </row>
    <row r="6349" spans="8:9" x14ac:dyDescent="0.25">
      <c r="H6349" s="110"/>
      <c r="I6349" s="110"/>
    </row>
    <row r="6350" spans="8:9" x14ac:dyDescent="0.25">
      <c r="H6350" s="110"/>
      <c r="I6350" s="110"/>
    </row>
    <row r="6351" spans="8:9" x14ac:dyDescent="0.25">
      <c r="H6351" s="110"/>
      <c r="I6351" s="110"/>
    </row>
    <row r="6352" spans="8:9" x14ac:dyDescent="0.25">
      <c r="H6352" s="110"/>
      <c r="I6352" s="110"/>
    </row>
    <row r="6353" spans="8:9" x14ac:dyDescent="0.25">
      <c r="H6353" s="110"/>
      <c r="I6353" s="110"/>
    </row>
    <row r="6354" spans="8:9" x14ac:dyDescent="0.25">
      <c r="H6354" s="110"/>
      <c r="I6354" s="110"/>
    </row>
    <row r="6355" spans="8:9" x14ac:dyDescent="0.25">
      <c r="H6355" s="110"/>
      <c r="I6355" s="110"/>
    </row>
    <row r="6356" spans="8:9" x14ac:dyDescent="0.25">
      <c r="H6356" s="110"/>
      <c r="I6356" s="110"/>
    </row>
    <row r="6357" spans="8:9" x14ac:dyDescent="0.25">
      <c r="H6357" s="110"/>
      <c r="I6357" s="110"/>
    </row>
    <row r="6358" spans="8:9" x14ac:dyDescent="0.25">
      <c r="H6358" s="110"/>
      <c r="I6358" s="110"/>
    </row>
    <row r="6359" spans="8:9" x14ac:dyDescent="0.25">
      <c r="H6359" s="110"/>
      <c r="I6359" s="110"/>
    </row>
    <row r="6360" spans="8:9" x14ac:dyDescent="0.25">
      <c r="H6360" s="110"/>
      <c r="I6360" s="110"/>
    </row>
    <row r="6361" spans="8:9" x14ac:dyDescent="0.25">
      <c r="H6361" s="110"/>
      <c r="I6361" s="110"/>
    </row>
    <row r="6362" spans="8:9" x14ac:dyDescent="0.25">
      <c r="H6362" s="110"/>
      <c r="I6362" s="110"/>
    </row>
    <row r="6363" spans="8:9" x14ac:dyDescent="0.25">
      <c r="H6363" s="110"/>
      <c r="I6363" s="110"/>
    </row>
    <row r="6364" spans="8:9" x14ac:dyDescent="0.25">
      <c r="H6364" s="110"/>
      <c r="I6364" s="110"/>
    </row>
    <row r="6365" spans="8:9" x14ac:dyDescent="0.25">
      <c r="H6365" s="110"/>
      <c r="I6365" s="110"/>
    </row>
    <row r="6366" spans="8:9" x14ac:dyDescent="0.25">
      <c r="H6366" s="110"/>
      <c r="I6366" s="110"/>
    </row>
    <row r="6367" spans="8:9" x14ac:dyDescent="0.25">
      <c r="H6367" s="110"/>
      <c r="I6367" s="110"/>
    </row>
    <row r="6368" spans="8:9" x14ac:dyDescent="0.25">
      <c r="H6368" s="110"/>
      <c r="I6368" s="110"/>
    </row>
    <row r="6369" spans="8:9" x14ac:dyDescent="0.25">
      <c r="H6369" s="110"/>
      <c r="I6369" s="110"/>
    </row>
    <row r="6370" spans="8:9" x14ac:dyDescent="0.25">
      <c r="H6370" s="110"/>
      <c r="I6370" s="110"/>
    </row>
    <row r="6371" spans="8:9" x14ac:dyDescent="0.25">
      <c r="H6371" s="110"/>
      <c r="I6371" s="110"/>
    </row>
    <row r="6372" spans="8:9" x14ac:dyDescent="0.25">
      <c r="H6372" s="110"/>
      <c r="I6372" s="110"/>
    </row>
    <row r="6373" spans="8:9" x14ac:dyDescent="0.25">
      <c r="H6373" s="110"/>
      <c r="I6373" s="110"/>
    </row>
    <row r="6374" spans="8:9" x14ac:dyDescent="0.25">
      <c r="H6374" s="110"/>
      <c r="I6374" s="110"/>
    </row>
    <row r="6375" spans="8:9" x14ac:dyDescent="0.25">
      <c r="H6375" s="110"/>
      <c r="I6375" s="110"/>
    </row>
    <row r="6376" spans="8:9" x14ac:dyDescent="0.25">
      <c r="H6376" s="110"/>
      <c r="I6376" s="110"/>
    </row>
    <row r="6377" spans="8:9" x14ac:dyDescent="0.25">
      <c r="H6377" s="110"/>
      <c r="I6377" s="110"/>
    </row>
    <row r="6378" spans="8:9" x14ac:dyDescent="0.25">
      <c r="H6378" s="110"/>
      <c r="I6378" s="110"/>
    </row>
    <row r="6379" spans="8:9" x14ac:dyDescent="0.25">
      <c r="H6379" s="110"/>
      <c r="I6379" s="110"/>
    </row>
    <row r="6380" spans="8:9" x14ac:dyDescent="0.25">
      <c r="H6380" s="110"/>
      <c r="I6380" s="110"/>
    </row>
    <row r="6381" spans="8:9" x14ac:dyDescent="0.25">
      <c r="H6381" s="110"/>
      <c r="I6381" s="110"/>
    </row>
    <row r="6382" spans="8:9" x14ac:dyDescent="0.25">
      <c r="H6382" s="110"/>
      <c r="I6382" s="110"/>
    </row>
    <row r="6383" spans="8:9" x14ac:dyDescent="0.25">
      <c r="H6383" s="110"/>
      <c r="I6383" s="110"/>
    </row>
    <row r="6384" spans="8:9" x14ac:dyDescent="0.25">
      <c r="H6384" s="110"/>
      <c r="I6384" s="110"/>
    </row>
    <row r="6385" spans="8:9" x14ac:dyDescent="0.25">
      <c r="H6385" s="110"/>
      <c r="I6385" s="110"/>
    </row>
    <row r="6386" spans="8:9" x14ac:dyDescent="0.25">
      <c r="H6386" s="110"/>
      <c r="I6386" s="110"/>
    </row>
    <row r="6387" spans="8:9" x14ac:dyDescent="0.25">
      <c r="H6387" s="110"/>
      <c r="I6387" s="110"/>
    </row>
    <row r="6388" spans="8:9" x14ac:dyDescent="0.25">
      <c r="H6388" s="110"/>
      <c r="I6388" s="110"/>
    </row>
    <row r="6389" spans="8:9" x14ac:dyDescent="0.25">
      <c r="H6389" s="110"/>
      <c r="I6389" s="110"/>
    </row>
    <row r="6390" spans="8:9" x14ac:dyDescent="0.25">
      <c r="H6390" s="110"/>
      <c r="I6390" s="110"/>
    </row>
    <row r="6391" spans="8:9" x14ac:dyDescent="0.25">
      <c r="H6391" s="110"/>
      <c r="I6391" s="110"/>
    </row>
    <row r="6392" spans="8:9" x14ac:dyDescent="0.25">
      <c r="H6392" s="110"/>
      <c r="I6392" s="110"/>
    </row>
    <row r="6393" spans="8:9" x14ac:dyDescent="0.25">
      <c r="H6393" s="110"/>
      <c r="I6393" s="110"/>
    </row>
    <row r="6394" spans="8:9" x14ac:dyDescent="0.25">
      <c r="H6394" s="110"/>
      <c r="I6394" s="110"/>
    </row>
    <row r="6395" spans="8:9" x14ac:dyDescent="0.25">
      <c r="H6395" s="110"/>
      <c r="I6395" s="110"/>
    </row>
    <row r="6396" spans="8:9" x14ac:dyDescent="0.25">
      <c r="H6396" s="110"/>
      <c r="I6396" s="110"/>
    </row>
    <row r="6397" spans="8:9" x14ac:dyDescent="0.25">
      <c r="H6397" s="110"/>
      <c r="I6397" s="110"/>
    </row>
    <row r="6398" spans="8:9" x14ac:dyDescent="0.25">
      <c r="H6398" s="110"/>
      <c r="I6398" s="110"/>
    </row>
    <row r="6399" spans="8:9" x14ac:dyDescent="0.25">
      <c r="H6399" s="110"/>
      <c r="I6399" s="110"/>
    </row>
    <row r="6400" spans="8:9" x14ac:dyDescent="0.25">
      <c r="H6400" s="110"/>
      <c r="I6400" s="110"/>
    </row>
    <row r="6401" spans="8:9" x14ac:dyDescent="0.25">
      <c r="H6401" s="110"/>
      <c r="I6401" s="110"/>
    </row>
    <row r="6402" spans="8:9" x14ac:dyDescent="0.25">
      <c r="H6402" s="110"/>
      <c r="I6402" s="110"/>
    </row>
    <row r="6403" spans="8:9" x14ac:dyDescent="0.25">
      <c r="H6403" s="110"/>
      <c r="I6403" s="110"/>
    </row>
    <row r="6404" spans="8:9" x14ac:dyDescent="0.25">
      <c r="H6404" s="110"/>
      <c r="I6404" s="110"/>
    </row>
    <row r="6405" spans="8:9" x14ac:dyDescent="0.25">
      <c r="H6405" s="110"/>
      <c r="I6405" s="110"/>
    </row>
    <row r="6406" spans="8:9" x14ac:dyDescent="0.25">
      <c r="H6406" s="110"/>
      <c r="I6406" s="110"/>
    </row>
    <row r="6407" spans="8:9" x14ac:dyDescent="0.25">
      <c r="H6407" s="110"/>
      <c r="I6407" s="110"/>
    </row>
    <row r="6408" spans="8:9" x14ac:dyDescent="0.25">
      <c r="H6408" s="110"/>
      <c r="I6408" s="110"/>
    </row>
    <row r="6409" spans="8:9" x14ac:dyDescent="0.25">
      <c r="H6409" s="110"/>
      <c r="I6409" s="110"/>
    </row>
    <row r="6410" spans="8:9" x14ac:dyDescent="0.25">
      <c r="H6410" s="110"/>
      <c r="I6410" s="110"/>
    </row>
    <row r="6411" spans="8:9" x14ac:dyDescent="0.25">
      <c r="H6411" s="110"/>
      <c r="I6411" s="110"/>
    </row>
    <row r="6412" spans="8:9" x14ac:dyDescent="0.25">
      <c r="H6412" s="110"/>
      <c r="I6412" s="110"/>
    </row>
    <row r="6413" spans="8:9" x14ac:dyDescent="0.25">
      <c r="H6413" s="110"/>
      <c r="I6413" s="110"/>
    </row>
    <row r="6414" spans="8:9" x14ac:dyDescent="0.25">
      <c r="H6414" s="110"/>
      <c r="I6414" s="110"/>
    </row>
    <row r="6415" spans="8:9" x14ac:dyDescent="0.25">
      <c r="H6415" s="110"/>
      <c r="I6415" s="110"/>
    </row>
    <row r="6416" spans="8:9" x14ac:dyDescent="0.25">
      <c r="H6416" s="110"/>
      <c r="I6416" s="110"/>
    </row>
    <row r="6417" spans="8:9" x14ac:dyDescent="0.25">
      <c r="H6417" s="110"/>
      <c r="I6417" s="110"/>
    </row>
    <row r="6418" spans="8:9" x14ac:dyDescent="0.25">
      <c r="H6418" s="110"/>
      <c r="I6418" s="110"/>
    </row>
    <row r="6419" spans="8:9" x14ac:dyDescent="0.25">
      <c r="H6419" s="110"/>
      <c r="I6419" s="110"/>
    </row>
    <row r="6420" spans="8:9" x14ac:dyDescent="0.25">
      <c r="H6420" s="110"/>
      <c r="I6420" s="110"/>
    </row>
    <row r="6421" spans="8:9" x14ac:dyDescent="0.25">
      <c r="H6421" s="110"/>
      <c r="I6421" s="110"/>
    </row>
    <row r="6422" spans="8:9" x14ac:dyDescent="0.25">
      <c r="H6422" s="110"/>
      <c r="I6422" s="110"/>
    </row>
    <row r="6423" spans="8:9" x14ac:dyDescent="0.25">
      <c r="H6423" s="110"/>
      <c r="I6423" s="110"/>
    </row>
    <row r="6424" spans="8:9" x14ac:dyDescent="0.25">
      <c r="H6424" s="110"/>
      <c r="I6424" s="110"/>
    </row>
    <row r="6425" spans="8:9" x14ac:dyDescent="0.25">
      <c r="H6425" s="110"/>
      <c r="I6425" s="110"/>
    </row>
    <row r="6426" spans="8:9" x14ac:dyDescent="0.25">
      <c r="H6426" s="110"/>
      <c r="I6426" s="110"/>
    </row>
    <row r="6427" spans="8:9" x14ac:dyDescent="0.25">
      <c r="H6427" s="110"/>
      <c r="I6427" s="110"/>
    </row>
    <row r="6428" spans="8:9" x14ac:dyDescent="0.25">
      <c r="H6428" s="110"/>
      <c r="I6428" s="110"/>
    </row>
    <row r="6429" spans="8:9" x14ac:dyDescent="0.25">
      <c r="H6429" s="110"/>
      <c r="I6429" s="110"/>
    </row>
    <row r="6430" spans="8:9" x14ac:dyDescent="0.25">
      <c r="H6430" s="110"/>
      <c r="I6430" s="110"/>
    </row>
    <row r="6431" spans="8:9" x14ac:dyDescent="0.25">
      <c r="H6431" s="110"/>
      <c r="I6431" s="110"/>
    </row>
    <row r="6432" spans="8:9" x14ac:dyDescent="0.25">
      <c r="H6432" s="110"/>
      <c r="I6432" s="110"/>
    </row>
    <row r="6433" spans="8:9" x14ac:dyDescent="0.25">
      <c r="H6433" s="110"/>
      <c r="I6433" s="110"/>
    </row>
    <row r="6434" spans="8:9" x14ac:dyDescent="0.25">
      <c r="H6434" s="110"/>
      <c r="I6434" s="110"/>
    </row>
    <row r="6435" spans="8:9" x14ac:dyDescent="0.25">
      <c r="H6435" s="110"/>
      <c r="I6435" s="110"/>
    </row>
    <row r="6436" spans="8:9" x14ac:dyDescent="0.25">
      <c r="H6436" s="110"/>
      <c r="I6436" s="110"/>
    </row>
    <row r="6437" spans="8:9" x14ac:dyDescent="0.25">
      <c r="H6437" s="110"/>
      <c r="I6437" s="110"/>
    </row>
    <row r="6438" spans="8:9" x14ac:dyDescent="0.25">
      <c r="H6438" s="110"/>
      <c r="I6438" s="110"/>
    </row>
    <row r="6439" spans="8:9" x14ac:dyDescent="0.25">
      <c r="H6439" s="110"/>
      <c r="I6439" s="110"/>
    </row>
    <row r="6440" spans="8:9" x14ac:dyDescent="0.25">
      <c r="H6440" s="110"/>
      <c r="I6440" s="110"/>
    </row>
    <row r="6441" spans="8:9" x14ac:dyDescent="0.25">
      <c r="H6441" s="110"/>
      <c r="I6441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W28" activePane="bottomRight" state="frozen"/>
      <selection pane="topRight" activeCell="C1" sqref="C1"/>
      <selection pane="bottomLeft" activeCell="A6" sqref="A6"/>
      <selection pane="bottomRight" activeCell="AO58" sqref="AO58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132483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60</v>
      </c>
      <c r="B6" t="s">
        <v>247</v>
      </c>
      <c r="C6" cm="1">
        <f t="array" ref="C6">+_xll.EQNXTDZ($A$1,$B6,C$2)</f>
        <v>11139.65</v>
      </c>
      <c r="D6" cm="1">
        <f t="array" ref="D6">+_xll.EQNXTDZ($A$1,$B6,D$2)</f>
        <v>11267.5</v>
      </c>
      <c r="E6" cm="1">
        <f t="array" ref="E6">+_xll.EQNXTDZ($A$1,$B6,E$2)</f>
        <v>10882.07</v>
      </c>
      <c r="F6" cm="1">
        <f t="array" ref="F6">+_xll.EQNXTDZ($A$1,$B6,F$2)</f>
        <v>10732.91</v>
      </c>
      <c r="G6" cm="1">
        <f t="array" ref="G6">+_xll.EQNXTDZ($A$1,$B6,G$2)</f>
        <v>10201.700000000001</v>
      </c>
      <c r="H6" cm="1">
        <f t="array" ref="H6">+_xll.EQNXTDZ($A$1,$B6,H$2)</f>
        <v>10405.35</v>
      </c>
      <c r="I6" cm="1">
        <f t="array" ref="I6">+_xll.EQNXTDZ($A$1,$B6,I$2)</f>
        <v>10287.67</v>
      </c>
      <c r="J6" cm="1">
        <f t="array" ref="J6">+_xll.EQNXTDZ($A$1,$B6,J$2)</f>
        <v>10492.92</v>
      </c>
      <c r="K6" cm="1">
        <f t="array" ref="K6">+_xll.EQNXTDZ($A$1,$B6,K$2)</f>
        <v>10195.59</v>
      </c>
      <c r="L6" cm="1">
        <f t="array" ref="L6">+_xll.EQNXTDZ($A$1,$B6,L$2)</f>
        <v>10058.450000000001</v>
      </c>
      <c r="M6" cm="1">
        <f t="array" ref="M6">+_xll.EQNXTDZ($A$1,$B6,M$2)</f>
        <v>10774.64</v>
      </c>
      <c r="N6" cm="1">
        <f t="array" ref="N6">+_xll.EQNXTDZ($A$1,$B6,N$2)</f>
        <v>10223.41</v>
      </c>
      <c r="O6" cm="1">
        <f t="array" ref="O6">+_xll.EQNXTDZ($A$1,$B6,O$2)</f>
        <v>11359.55</v>
      </c>
      <c r="P6" cm="1">
        <f t="array" ref="P6">+_xll.EQNXTDZ($A$1,$B6,P$2)</f>
        <v>11123.75</v>
      </c>
      <c r="Q6" cm="1">
        <f t="array" ref="Q6">+_xll.EQNXTDZ($A$1,$B6,Q$2)</f>
        <v>12188.56</v>
      </c>
      <c r="R6" cm="1">
        <f t="array" ref="R6">+_xll.EQNXTDZ($A$1,$B6,R$2)</f>
        <v>12138.48</v>
      </c>
      <c r="S6" cm="1">
        <f t="array" ref="S6">+_xll.EQNXTDZ($A$1,$B6,S$2)</f>
        <v>12200.52</v>
      </c>
      <c r="T6" cm="1">
        <f t="array" ref="T6">+_xll.EQNXTDZ($A$1,$B6,T$2)</f>
        <v>12392.14</v>
      </c>
      <c r="U6" cm="1">
        <f t="array" ref="U6">+_xll.EQNXTDZ($A$1,$B6,U$2)</f>
        <v>12294.89</v>
      </c>
      <c r="V6" cm="1">
        <f t="array" ref="V6">+_xll.EQNXTDZ($A$1,$B6,V$2)</f>
        <v>12047.44</v>
      </c>
      <c r="W6" cm="1">
        <f t="array" ref="W6">+_xll.EQNXTDZ($A$1,$B6,W$2)</f>
        <v>18035.810000000001</v>
      </c>
      <c r="X6" cm="1">
        <f t="array" ref="X6">+_xll.EQNXTDZ($A$1,$B6,X$2)</f>
        <v>17690.47</v>
      </c>
      <c r="Y6" cm="1">
        <f t="array" ref="Y6">+_xll.EQNXTDZ($A$1,$B6,Y$2)</f>
        <v>17211.939999999999</v>
      </c>
      <c r="Z6" cm="1">
        <f t="array" ref="Z6">+_xll.EQNXTDZ($A$1,$B6,Z$2)</f>
        <v>16337.43</v>
      </c>
      <c r="AA6" cm="1">
        <f t="array" ref="AA6">+_xll.EQNXTDZ($A$1,$B6,AA$2)</f>
        <v>16784.37</v>
      </c>
      <c r="AB6" cm="1">
        <f t="array" ref="AB6">+_xll.EQNXTDZ($A$1,$B6,AB$2)</f>
        <v>17063.689999999999</v>
      </c>
      <c r="AC6" cm="1">
        <f t="array" ref="AC6">+_xll.EQNXTDZ($A$1,$B6,AC$2)</f>
        <v>17700.599999999999</v>
      </c>
      <c r="AD6" cm="1">
        <f t="array" ref="AD6">+_xll.EQNXTDZ($A$1,$B6,AD$2)</f>
        <v>17861.59</v>
      </c>
      <c r="AE6" cm="1">
        <f t="array" ref="AE6">+_xll.EQNXTDZ($A$1,$B6,AE$2)</f>
        <v>18176.64</v>
      </c>
      <c r="AF6" cm="1">
        <f t="array" ref="AF6">+_xll.EQNXTDZ($A$1,$B6,AF$2)</f>
        <v>20106.919999999998</v>
      </c>
      <c r="AG6" cm="1">
        <f t="array" ref="AG6">+_xll.EQNXTDZ($A$1,$B6,AG$2)</f>
        <v>22231.42</v>
      </c>
      <c r="AH6" cm="1">
        <f t="array" ref="AH6">+_xll.EQNXTDZ($A$1,$B6,AH$2)</f>
        <v>23909.8</v>
      </c>
      <c r="AI6" cm="1">
        <f t="array" ref="AI6">+_xll.EQNXTDZ($A$1,$B6,AI$2)</f>
        <v>25004.07</v>
      </c>
      <c r="AJ6" cm="1">
        <f t="array" ref="AJ6">+_xll.EQNXTDZ($A$1,$B6,AJ$2)</f>
        <v>26837.68</v>
      </c>
      <c r="AK6" cm="1">
        <f t="array" ref="AK6">+_xll.EQNXTDZ($A$1,$B6,AK$2)</f>
        <v>28038.83</v>
      </c>
      <c r="AL6" cm="1">
        <f t="array" ref="AL6">+_xll.EQNXTDZ($A$1,$B6,AL$2)</f>
        <v>28807.35</v>
      </c>
      <c r="AM6" cm="1">
        <f t="array" ref="AM6">+_xll.EQNXTDZ($A$1,$B6,AM$2)</f>
        <v>28701.35</v>
      </c>
      <c r="AN6" cm="1">
        <f t="array" ref="AN6">+_xll.EQNXTDZ($A$1,$B6,AN$2)</f>
        <v>29740.07</v>
      </c>
      <c r="AO6" cm="1">
        <f t="array" ref="AO6">+_xll.EQNXTDZ($A$1,$B6,AO$2)</f>
        <v>30311.61</v>
      </c>
      <c r="AP6" cm="1">
        <f t="array" ref="AP6">+_xll.EQNXTDZ($A$1,$B6,AP$2)</f>
        <v>31002.04</v>
      </c>
      <c r="AQ6" cm="1">
        <f t="array" ref="AQ6">+_xll.EQNXTDZ($A$1,$B6,AQ$2)</f>
        <v>31002.83</v>
      </c>
      <c r="AR6" cm="1">
        <f t="array" ref="AR6">+_xll.EQNXTDZ($A$1,$B6,AR$2)</f>
        <v>31543.89</v>
      </c>
      <c r="AS6" cm="1">
        <f t="array" ref="AS6">+_xll.EQNXTDZ($A$1,$B6,AS$2)</f>
        <v>31981.599999999999</v>
      </c>
      <c r="AT6" cm="1">
        <f t="array" ref="AT6">+_xll.EQNXTDZ($A$1,$B6,AT$2)</f>
        <v>31837.85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248</v>
      </c>
      <c r="C7" cm="1">
        <f t="array" ref="C7">+_xll.EQNXTDZ($A$1,$B7,C$2)</f>
        <v>1112.99</v>
      </c>
      <c r="D7" cm="1">
        <f t="array" ref="D7">+_xll.EQNXTDZ($A$1,$B7,D$2)</f>
        <v>1210.45</v>
      </c>
      <c r="E7" cm="1">
        <f t="array" ref="E7">+_xll.EQNXTDZ($A$1,$B7,E$2)</f>
        <v>1168.56</v>
      </c>
      <c r="F7" cm="1">
        <f t="array" ref="F7">+_xll.EQNXTDZ($A$1,$B7,F$2)</f>
        <v>1383.23</v>
      </c>
      <c r="G7" cm="1">
        <f t="array" ref="G7">+_xll.EQNXTDZ($A$1,$B7,G$2)</f>
        <v>1584.65</v>
      </c>
      <c r="H7" cm="1">
        <f t="array" ref="H7">+_xll.EQNXTDZ($A$1,$B7,H$2)</f>
        <v>1781.77</v>
      </c>
      <c r="I7" cm="1">
        <f t="array" ref="I7">+_xll.EQNXTDZ($A$1,$B7,I$2)</f>
        <v>1791.7</v>
      </c>
      <c r="J7" cm="1">
        <f t="array" ref="J7">+_xll.EQNXTDZ($A$1,$B7,J$2)</f>
        <v>2396.2800000000002</v>
      </c>
      <c r="K7" cm="1">
        <f t="array" ref="K7">+_xll.EQNXTDZ($A$1,$B7,K$2)</f>
        <v>2108.5100000000002</v>
      </c>
      <c r="L7" cm="1">
        <f t="array" ref="L7">+_xll.EQNXTDZ($A$1,$B7,L$2)</f>
        <v>1936.19</v>
      </c>
      <c r="M7" cm="1">
        <f t="array" ref="M7">+_xll.EQNXTDZ($A$1,$B7,M$2)</f>
        <v>1566.45</v>
      </c>
      <c r="N7" cm="1">
        <f t="array" ref="N7">+_xll.EQNXTDZ($A$1,$B7,N$2)</f>
        <v>1331.7</v>
      </c>
      <c r="O7" cm="1">
        <f t="array" ref="O7">+_xll.EQNXTDZ($A$1,$B7,O$2)</f>
        <v>1832.91</v>
      </c>
      <c r="P7" cm="1">
        <f t="array" ref="P7">+_xll.EQNXTDZ($A$1,$B7,P$2)</f>
        <v>1555.31</v>
      </c>
      <c r="Q7" cm="1">
        <f t="array" ref="Q7">+_xll.EQNXTDZ($A$1,$B7,Q$2)</f>
        <v>1324.79</v>
      </c>
      <c r="R7" cm="1">
        <f t="array" ref="R7">+_xll.EQNXTDZ($A$1,$B7,R$2)</f>
        <v>1861.95</v>
      </c>
      <c r="S7" cm="1">
        <f t="array" ref="S7">+_xll.EQNXTDZ($A$1,$B7,S$2)</f>
        <v>1861.87</v>
      </c>
      <c r="T7" cm="1">
        <f t="array" ref="T7">+_xll.EQNXTDZ($A$1,$B7,T$2)</f>
        <v>2069.59</v>
      </c>
      <c r="U7" cm="1">
        <f t="array" ref="U7">+_xll.EQNXTDZ($A$1,$B7,U$2)</f>
        <v>1706.74</v>
      </c>
      <c r="V7" cm="1">
        <f t="array" ref="V7">+_xll.EQNXTDZ($A$1,$B7,V$2)</f>
        <v>2174.9499999999998</v>
      </c>
      <c r="W7" cm="1">
        <f t="array" ref="W7">+_xll.EQNXTDZ($A$1,$B7,W$2)</f>
        <v>2650.1</v>
      </c>
      <c r="X7" cm="1">
        <f t="array" ref="X7">+_xll.EQNXTDZ($A$1,$B7,X$2)</f>
        <v>3103.45</v>
      </c>
      <c r="Y7" cm="1">
        <f t="array" ref="Y7">+_xll.EQNXTDZ($A$1,$B7,Y$2)</f>
        <v>4153.45</v>
      </c>
      <c r="Z7" cm="1">
        <f t="array" ref="Z7">+_xll.EQNXTDZ($A$1,$B7,Z$2)</f>
        <v>4703.2</v>
      </c>
      <c r="AA7" cm="1">
        <f t="array" ref="AA7">+_xll.EQNXTDZ($A$1,$B7,AA$2)</f>
        <v>4155.91</v>
      </c>
      <c r="AB7" cm="1">
        <f t="array" ref="AB7">+_xll.EQNXTDZ($A$1,$B7,AB$2)</f>
        <v>4267.8</v>
      </c>
      <c r="AC7" cm="1">
        <f t="array" ref="AC7">+_xll.EQNXTDZ($A$1,$B7,AC$2)</f>
        <v>3611.67</v>
      </c>
      <c r="AD7" cm="1">
        <f t="array" ref="AD7">+_xll.EQNXTDZ($A$1,$B7,AD$2)</f>
        <v>4461.5200000000004</v>
      </c>
      <c r="AE7" cm="1">
        <f t="array" ref="AE7">+_xll.EQNXTDZ($A$1,$B7,AE$2)</f>
        <v>5175.32</v>
      </c>
      <c r="AF7" cm="1">
        <f t="array" ref="AF7">+_xll.EQNXTDZ($A$1,$B7,AF$2)</f>
        <v>4825.2700000000004</v>
      </c>
      <c r="AG7" cm="1">
        <f t="array" ref="AG7">+_xll.EQNXTDZ($A$1,$B7,AG$2)</f>
        <v>3986.44</v>
      </c>
      <c r="AH7" cm="1">
        <f t="array" ref="AH7">+_xll.EQNXTDZ($A$1,$B7,AH$2)</f>
        <v>4775.17</v>
      </c>
      <c r="AI7" cm="1">
        <f t="array" ref="AI7">+_xll.EQNXTDZ($A$1,$B7,AI$2)</f>
        <v>4819.01</v>
      </c>
      <c r="AJ7" cm="1">
        <f t="array" ref="AJ7">+_xll.EQNXTDZ($A$1,$B7,AJ$2)</f>
        <v>4634.5</v>
      </c>
      <c r="AK7" cm="1">
        <f t="array" ref="AK7">+_xll.EQNXTDZ($A$1,$B7,AK$2)</f>
        <v>4295.1000000000004</v>
      </c>
      <c r="AL7" cm="1">
        <f t="array" ref="AL7">+_xll.EQNXTDZ($A$1,$B7,AL$2)</f>
        <v>5217.83</v>
      </c>
      <c r="AM7" cm="1">
        <f t="array" ref="AM7">+_xll.EQNXTDZ($A$1,$B7,AM$2)</f>
        <v>5318.88</v>
      </c>
      <c r="AN7" cm="1">
        <f t="array" ref="AN7">+_xll.EQNXTDZ($A$1,$B7,AN$2)</f>
        <v>4981</v>
      </c>
      <c r="AO7" cm="1">
        <f t="array" ref="AO7">+_xll.EQNXTDZ($A$1,$B7,AO$2)</f>
        <v>5802.16</v>
      </c>
      <c r="AP7" cm="1">
        <f t="array" ref="AP7">+_xll.EQNXTDZ($A$1,$B7,AP$2)</f>
        <v>6350.76</v>
      </c>
      <c r="AQ7" cm="1">
        <f t="array" ref="AQ7">+_xll.EQNXTDZ($A$1,$B7,AQ$2)</f>
        <v>7060.48</v>
      </c>
      <c r="AR7" cm="1">
        <f t="array" ref="AR7">+_xll.EQNXTDZ($A$1,$B7,AR$2)</f>
        <v>7053.84</v>
      </c>
      <c r="AS7" cm="1">
        <f t="array" ref="AS7">+_xll.EQNXTDZ($A$1,$B7,AS$2)</f>
        <v>7899.36</v>
      </c>
      <c r="AT7" cm="1">
        <f t="array" ref="AT7">+_xll.EQNXTDZ($A$1,$B7,AT$2)</f>
        <v>4824.3599999999997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61</v>
      </c>
      <c r="B8" t="s">
        <v>249</v>
      </c>
      <c r="C8" cm="1">
        <f t="array" ref="C8">+_xll.EQNXTDZ($A$1,$B8,C$2)</f>
        <v>12252.64</v>
      </c>
      <c r="D8" cm="1">
        <f t="array" ref="D8">+_xll.EQNXTDZ($A$1,$B8,D$2)</f>
        <v>12477.95</v>
      </c>
      <c r="E8" cm="1">
        <f t="array" ref="E8">+_xll.EQNXTDZ($A$1,$B8,E$2)</f>
        <v>12050.63</v>
      </c>
      <c r="F8" cm="1">
        <f t="array" ref="F8">+_xll.EQNXTDZ($A$1,$B8,F$2)</f>
        <v>12116.14</v>
      </c>
      <c r="G8" cm="1">
        <f t="array" ref="G8">+_xll.EQNXTDZ($A$1,$B8,G$2)</f>
        <v>11786.35</v>
      </c>
      <c r="H8" cm="1">
        <f t="array" ref="H8">+_xll.EQNXTDZ($A$1,$B8,H$2)</f>
        <v>12187.12</v>
      </c>
      <c r="I8" cm="1">
        <f t="array" ref="I8">+_xll.EQNXTDZ($A$1,$B8,I$2)</f>
        <v>12079.37</v>
      </c>
      <c r="J8" cm="1">
        <f t="array" ref="J8">+_xll.EQNXTDZ($A$1,$B8,J$2)</f>
        <v>12889.2</v>
      </c>
      <c r="K8" cm="1">
        <f t="array" ref="K8">+_xll.EQNXTDZ($A$1,$B8,K$2)</f>
        <v>12304.1</v>
      </c>
      <c r="L8" cm="1">
        <f t="array" ref="L8">+_xll.EQNXTDZ($A$1,$B8,L$2)</f>
        <v>11994.64</v>
      </c>
      <c r="M8" cm="1">
        <f t="array" ref="M8">+_xll.EQNXTDZ($A$1,$B8,M$2)</f>
        <v>12341.09</v>
      </c>
      <c r="N8" cm="1">
        <f t="array" ref="N8">+_xll.EQNXTDZ($A$1,$B8,N$2)</f>
        <v>11555.11</v>
      </c>
      <c r="O8" cm="1">
        <f t="array" ref="O8">+_xll.EQNXTDZ($A$1,$B8,O$2)</f>
        <v>13192.46</v>
      </c>
      <c r="P8" cm="1">
        <f t="array" ref="P8">+_xll.EQNXTDZ($A$1,$B8,P$2)</f>
        <v>12679.06</v>
      </c>
      <c r="Q8" cm="1">
        <f t="array" ref="Q8">+_xll.EQNXTDZ($A$1,$B8,Q$2)</f>
        <v>13513.35</v>
      </c>
      <c r="R8" cm="1">
        <f t="array" ref="R8">+_xll.EQNXTDZ($A$1,$B8,R$2)</f>
        <v>14000.43</v>
      </c>
      <c r="S8" cm="1">
        <f t="array" ref="S8">+_xll.EQNXTDZ($A$1,$B8,S$2)</f>
        <v>14062.39</v>
      </c>
      <c r="T8" cm="1">
        <f t="array" ref="T8">+_xll.EQNXTDZ($A$1,$B8,T$2)</f>
        <v>14461.73</v>
      </c>
      <c r="U8" cm="1">
        <f t="array" ref="U8">+_xll.EQNXTDZ($A$1,$B8,U$2)</f>
        <v>14001.63</v>
      </c>
      <c r="V8" cm="1">
        <f t="array" ref="V8">+_xll.EQNXTDZ($A$1,$B8,V$2)</f>
        <v>14222.39</v>
      </c>
      <c r="W8" cm="1">
        <f t="array" ref="W8">+_xll.EQNXTDZ($A$1,$B8,W$2)</f>
        <v>20685.91</v>
      </c>
      <c r="X8" cm="1">
        <f t="array" ref="X8">+_xll.EQNXTDZ($A$1,$B8,X$2)</f>
        <v>20793.919999999998</v>
      </c>
      <c r="Y8" cm="1">
        <f t="array" ref="Y8">+_xll.EQNXTDZ($A$1,$B8,Y$2)</f>
        <v>21365.39</v>
      </c>
      <c r="Z8" cm="1">
        <f t="array" ref="Z8">+_xll.EQNXTDZ($A$1,$B8,Z$2)</f>
        <v>21040.63</v>
      </c>
      <c r="AA8" cm="1">
        <f t="array" ref="AA8">+_xll.EQNXTDZ($A$1,$B8,AA$2)</f>
        <v>20940.28</v>
      </c>
      <c r="AB8" cm="1">
        <f t="array" ref="AB8">+_xll.EQNXTDZ($A$1,$B8,AB$2)</f>
        <v>21331.49</v>
      </c>
      <c r="AC8" cm="1">
        <f t="array" ref="AC8">+_xll.EQNXTDZ($A$1,$B8,AC$2)</f>
        <v>21312.27</v>
      </c>
      <c r="AD8" cm="1">
        <f t="array" ref="AD8">+_xll.EQNXTDZ($A$1,$B8,AD$2)</f>
        <v>22323.11</v>
      </c>
      <c r="AE8" cm="1">
        <f t="array" ref="AE8">+_xll.EQNXTDZ($A$1,$B8,AE$2)</f>
        <v>23351.96</v>
      </c>
      <c r="AF8" cm="1">
        <f t="array" ref="AF8">+_xll.EQNXTDZ($A$1,$B8,AF$2)</f>
        <v>24932.19</v>
      </c>
      <c r="AG8" cm="1">
        <f t="array" ref="AG8">+_xll.EQNXTDZ($A$1,$B8,AG$2)</f>
        <v>26217.86</v>
      </c>
      <c r="AH8" cm="1">
        <f t="array" ref="AH8">+_xll.EQNXTDZ($A$1,$B8,AH$2)</f>
        <v>28684.97</v>
      </c>
      <c r="AI8" cm="1">
        <f t="array" ref="AI8">+_xll.EQNXTDZ($A$1,$B8,AI$2)</f>
        <v>29823.08</v>
      </c>
      <c r="AJ8" cm="1">
        <f t="array" ref="AJ8">+_xll.EQNXTDZ($A$1,$B8,AJ$2)</f>
        <v>31472.18</v>
      </c>
      <c r="AK8" cm="1">
        <f t="array" ref="AK8">+_xll.EQNXTDZ($A$1,$B8,AK$2)</f>
        <v>32333.93</v>
      </c>
      <c r="AL8" cm="1">
        <f t="array" ref="AL8">+_xll.EQNXTDZ($A$1,$B8,AL$2)</f>
        <v>34025.18</v>
      </c>
      <c r="AM8" cm="1">
        <f t="array" ref="AM8">+_xll.EQNXTDZ($A$1,$B8,AM$2)</f>
        <v>34020.230000000003</v>
      </c>
      <c r="AN8" cm="1">
        <f t="array" ref="AN8">+_xll.EQNXTDZ($A$1,$B8,AN$2)</f>
        <v>34721.07</v>
      </c>
      <c r="AO8" cm="1">
        <f t="array" ref="AO8">+_xll.EQNXTDZ($A$1,$B8,AO$2)</f>
        <v>36113.769999999997</v>
      </c>
      <c r="AP8" cm="1">
        <f t="array" ref="AP8">+_xll.EQNXTDZ($A$1,$B8,AP$2)</f>
        <v>37352.800000000003</v>
      </c>
      <c r="AQ8" cm="1">
        <f t="array" ref="AQ8">+_xll.EQNXTDZ($A$1,$B8,AQ$2)</f>
        <v>38063.31</v>
      </c>
      <c r="AR8" cm="1">
        <f t="array" ref="AR8">+_xll.EQNXTDZ($A$1,$B8,AR$2)</f>
        <v>38597.730000000003</v>
      </c>
      <c r="AS8" cm="1">
        <f t="array" ref="AS8">+_xll.EQNXTDZ($A$1,$B8,AS$2)</f>
        <v>39880.959999999999</v>
      </c>
      <c r="AT8" cm="1">
        <f t="array" ref="AT8">+_xll.EQNXTDZ($A$1,$B8,AT$2)</f>
        <v>36662.21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62</v>
      </c>
      <c r="B9" t="s">
        <v>250</v>
      </c>
      <c r="C9" cm="1">
        <f t="array" ref="C9">+_xll.EQNXTDZ($A$1,$B9,C$2)</f>
        <v>8623.15</v>
      </c>
      <c r="D9" cm="1">
        <f t="array" ref="D9">+_xll.EQNXTDZ($A$1,$B9,D$2)</f>
        <v>8621</v>
      </c>
      <c r="E9" cm="1">
        <f t="array" ref="E9">+_xll.EQNXTDZ($A$1,$B9,E$2)</f>
        <v>8655.4699999999993</v>
      </c>
      <c r="F9" cm="1">
        <f t="array" ref="F9">+_xll.EQNXTDZ($A$1,$B9,F$2)</f>
        <v>8359.15</v>
      </c>
      <c r="G9" cm="1">
        <f t="array" ref="G9">+_xll.EQNXTDZ($A$1,$B9,G$2)</f>
        <v>7894.3</v>
      </c>
      <c r="H9" cm="1">
        <f t="array" ref="H9">+_xll.EQNXTDZ($A$1,$B9,H$2)</f>
        <v>7963</v>
      </c>
      <c r="I9" cm="1">
        <f t="array" ref="I9">+_xll.EQNXTDZ($A$1,$B9,I$2)</f>
        <v>7873.87</v>
      </c>
      <c r="J9" cm="1">
        <f t="array" ref="J9">+_xll.EQNXTDZ($A$1,$B9,J$2)</f>
        <v>7784.7</v>
      </c>
      <c r="K9" cm="1">
        <f t="array" ref="K9">+_xll.EQNXTDZ($A$1,$B9,K$2)</f>
        <v>7482.35</v>
      </c>
      <c r="L9" cm="1">
        <f t="array" ref="L9">+_xll.EQNXTDZ($A$1,$B9,L$2)</f>
        <v>7275.08</v>
      </c>
      <c r="M9" cm="1">
        <f t="array" ref="M9">+_xll.EQNXTDZ($A$1,$B9,M$2)</f>
        <v>7095.51</v>
      </c>
      <c r="N9" cm="1">
        <f t="array" ref="N9">+_xll.EQNXTDZ($A$1,$B9,N$2)</f>
        <v>7235.82</v>
      </c>
      <c r="O9" cm="1">
        <f t="array" ref="O9">+_xll.EQNXTDZ($A$1,$B9,O$2)</f>
        <v>7476.65</v>
      </c>
      <c r="P9" cm="1">
        <f t="array" ref="P9">+_xll.EQNXTDZ($A$1,$B9,P$2)</f>
        <v>7842.48</v>
      </c>
      <c r="Q9" cm="1">
        <f t="array" ref="Q9">+_xll.EQNXTDZ($A$1,$B9,Q$2)</f>
        <v>8374.76</v>
      </c>
      <c r="R9" cm="1">
        <f t="array" ref="R9">+_xll.EQNXTDZ($A$1,$B9,R$2)</f>
        <v>8638.33</v>
      </c>
      <c r="S9" cm="1">
        <f t="array" ref="S9">+_xll.EQNXTDZ($A$1,$B9,S$2)</f>
        <v>8959.91</v>
      </c>
      <c r="T9" cm="1">
        <f t="array" ref="T9">+_xll.EQNXTDZ($A$1,$B9,T$2)</f>
        <v>9262.3799999999992</v>
      </c>
      <c r="U9" cm="1">
        <f t="array" ref="U9">+_xll.EQNXTDZ($A$1,$B9,U$2)</f>
        <v>8859.8700000000008</v>
      </c>
      <c r="V9" cm="1">
        <f t="array" ref="V9">+_xll.EQNXTDZ($A$1,$B9,V$2)</f>
        <v>8728.92</v>
      </c>
      <c r="W9" cm="1">
        <f t="array" ref="W9">+_xll.EQNXTDZ($A$1,$B9,W$2)</f>
        <v>11940.26</v>
      </c>
      <c r="X9" cm="1">
        <f t="array" ref="X9">+_xll.EQNXTDZ($A$1,$B9,X$2)</f>
        <v>11385.59</v>
      </c>
      <c r="Y9" cm="1">
        <f t="array" ref="Y9">+_xll.EQNXTDZ($A$1,$B9,Y$2)</f>
        <v>11125.46</v>
      </c>
      <c r="Z9" cm="1">
        <f t="array" ref="Z9">+_xll.EQNXTDZ($A$1,$B9,Z$2)</f>
        <v>10726.31</v>
      </c>
      <c r="AA9" cm="1">
        <f t="array" ref="AA9">+_xll.EQNXTDZ($A$1,$B9,AA$2)</f>
        <v>10625.04</v>
      </c>
      <c r="AB9" cm="1">
        <f t="array" ref="AB9">+_xll.EQNXTDZ($A$1,$B9,AB$2)</f>
        <v>10789.88</v>
      </c>
      <c r="AC9" cm="1">
        <f t="array" ref="AC9">+_xll.EQNXTDZ($A$1,$B9,AC$2)</f>
        <v>10755.62</v>
      </c>
      <c r="AD9" cm="1">
        <f t="array" ref="AD9">+_xll.EQNXTDZ($A$1,$B9,AD$2)</f>
        <v>10855.72</v>
      </c>
      <c r="AE9" cm="1">
        <f t="array" ref="AE9">+_xll.EQNXTDZ($A$1,$B9,AE$2)</f>
        <v>11391.91</v>
      </c>
      <c r="AF9" cm="1">
        <f t="array" ref="AF9">+_xll.EQNXTDZ($A$1,$B9,AF$2)</f>
        <v>12673.1</v>
      </c>
      <c r="AG9" cm="1">
        <f t="array" ref="AG9">+_xll.EQNXTDZ($A$1,$B9,AG$2)</f>
        <v>13631.47</v>
      </c>
      <c r="AH9" cm="1">
        <f t="array" ref="AH9">+_xll.EQNXTDZ($A$1,$B9,AH$2)</f>
        <v>15293.01</v>
      </c>
      <c r="AI9" cm="1">
        <f t="array" ref="AI9">+_xll.EQNXTDZ($A$1,$B9,AI$2)</f>
        <v>16338.42</v>
      </c>
      <c r="AJ9" cm="1">
        <f t="array" ref="AJ9">+_xll.EQNXTDZ($A$1,$B9,AJ$2)</f>
        <v>17934.689999999999</v>
      </c>
      <c r="AK9" cm="1">
        <f t="array" ref="AK9">+_xll.EQNXTDZ($A$1,$B9,AK$2)</f>
        <v>18621.73</v>
      </c>
      <c r="AL9" cm="1">
        <f t="array" ref="AL9">+_xll.EQNXTDZ($A$1,$B9,AL$2)</f>
        <v>19227.150000000001</v>
      </c>
      <c r="AM9" cm="1">
        <f t="array" ref="AM9">+_xll.EQNXTDZ($A$1,$B9,AM$2)</f>
        <v>19535.080000000002</v>
      </c>
      <c r="AN9" cm="1">
        <f t="array" ref="AN9">+_xll.EQNXTDZ($A$1,$B9,AN$2)</f>
        <v>20424.87</v>
      </c>
      <c r="AO9" cm="1">
        <f t="array" ref="AO9">+_xll.EQNXTDZ($A$1,$B9,AO$2)</f>
        <v>21163.040000000001</v>
      </c>
      <c r="AP9" cm="1">
        <f t="array" ref="AP9">+_xll.EQNXTDZ($A$1,$B9,AP$2)</f>
        <v>21560.12</v>
      </c>
      <c r="AQ9" cm="1">
        <f t="array" ref="AQ9">+_xll.EQNXTDZ($A$1,$B9,AQ$2)</f>
        <v>21994.07</v>
      </c>
      <c r="AR9" cm="1">
        <f t="array" ref="AR9">+_xll.EQNXTDZ($A$1,$B9,AR$2)</f>
        <v>22402.7</v>
      </c>
      <c r="AS9" cm="1">
        <f t="array" ref="AS9">+_xll.EQNXTDZ($A$1,$B9,AS$2)</f>
        <v>22729.279999999999</v>
      </c>
      <c r="AT9" cm="1">
        <f t="array" ref="AT9">+_xll.EQNXTDZ($A$1,$B9,AT$2)</f>
        <v>22029.88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63</v>
      </c>
      <c r="B10" t="s">
        <v>251</v>
      </c>
      <c r="C10" cm="1">
        <f t="array" ref="C10">+_xll.EQNXTDZ($A$1,$B10,C$2)</f>
        <v>1625.92</v>
      </c>
      <c r="D10" cm="1">
        <f t="array" ref="D10">+_xll.EQNXTDZ($A$1,$B10,D$2)</f>
        <v>1912.85</v>
      </c>
      <c r="E10" cm="1">
        <f t="array" ref="E10">+_xll.EQNXTDZ($A$1,$B10,E$2)</f>
        <v>1842.72</v>
      </c>
      <c r="F10" cm="1">
        <f t="array" ref="F10">+_xll.EQNXTDZ($A$1,$B10,F$2)</f>
        <v>2110.44</v>
      </c>
      <c r="G10" cm="1">
        <f t="array" ref="G10">+_xll.EQNXTDZ($A$1,$B10,G$2)</f>
        <v>2073.1799999999998</v>
      </c>
      <c r="H10" cm="1">
        <f t="array" ref="H10">+_xll.EQNXTDZ($A$1,$B10,H$2)</f>
        <v>2083.35</v>
      </c>
      <c r="I10" cm="1">
        <f t="array" ref="I10">+_xll.EQNXTDZ($A$1,$B10,I$2)</f>
        <v>2224.17</v>
      </c>
      <c r="J10" cm="1">
        <f t="array" ref="J10">+_xll.EQNXTDZ($A$1,$B10,J$2)</f>
        <v>2131.58</v>
      </c>
      <c r="K10" cm="1">
        <f t="array" ref="K10">+_xll.EQNXTDZ($A$1,$B10,K$2)</f>
        <v>2349.37</v>
      </c>
      <c r="L10" cm="1">
        <f t="array" ref="L10">+_xll.EQNXTDZ($A$1,$B10,L$2)</f>
        <v>2239.7399999999998</v>
      </c>
      <c r="M10" cm="1">
        <f t="array" ref="M10">+_xll.EQNXTDZ($A$1,$B10,M$2)</f>
        <v>2414.19</v>
      </c>
      <c r="N10" cm="1">
        <f t="array" ref="N10">+_xll.EQNXTDZ($A$1,$B10,N$2)</f>
        <v>2554.64</v>
      </c>
      <c r="O10" cm="1">
        <f t="array" ref="O10">+_xll.EQNXTDZ($A$1,$B10,O$2)</f>
        <v>2783.02</v>
      </c>
      <c r="P10" cm="1">
        <f t="array" ref="P10">+_xll.EQNXTDZ($A$1,$B10,P$2)</f>
        <v>2509.1999999999998</v>
      </c>
      <c r="Q10" cm="1">
        <f t="array" ref="Q10">+_xll.EQNXTDZ($A$1,$B10,Q$2)</f>
        <v>2781.35</v>
      </c>
      <c r="R10" cm="1">
        <f t="array" ref="R10">+_xll.EQNXTDZ($A$1,$B10,R$2)</f>
        <v>2388.64</v>
      </c>
      <c r="S10" cm="1">
        <f t="array" ref="S10">+_xll.EQNXTDZ($A$1,$B10,S$2)</f>
        <v>2662.47</v>
      </c>
      <c r="T10" cm="1">
        <f t="array" ref="T10">+_xll.EQNXTDZ($A$1,$B10,T$2)</f>
        <v>2654.74</v>
      </c>
      <c r="U10" cm="1">
        <f t="array" ref="U10">+_xll.EQNXTDZ($A$1,$B10,U$2)</f>
        <v>2807.43</v>
      </c>
      <c r="V10" cm="1">
        <f t="array" ref="V10">+_xll.EQNXTDZ($A$1,$B10,V$2)</f>
        <v>3452.6</v>
      </c>
      <c r="W10" cm="1">
        <f t="array" ref="W10">+_xll.EQNXTDZ($A$1,$B10,W$2)</f>
        <v>4460.2</v>
      </c>
      <c r="X10" cm="1">
        <f t="array" ref="X10">+_xll.EQNXTDZ($A$1,$B10,X$2)</f>
        <v>4811.3599999999997</v>
      </c>
      <c r="Y10" cm="1">
        <f t="array" ref="Y10">+_xll.EQNXTDZ($A$1,$B10,Y$2)</f>
        <v>4972.8900000000003</v>
      </c>
      <c r="Z10" cm="1">
        <f t="array" ref="Z10">+_xll.EQNXTDZ($A$1,$B10,Z$2)</f>
        <v>5093.74</v>
      </c>
      <c r="AA10" cm="1">
        <f t="array" ref="AA10">+_xll.EQNXTDZ($A$1,$B10,AA$2)</f>
        <v>4834.3599999999997</v>
      </c>
      <c r="AB10" cm="1">
        <f t="array" ref="AB10">+_xll.EQNXTDZ($A$1,$B10,AB$2)</f>
        <v>4937.97</v>
      </c>
      <c r="AC10" cm="1">
        <f t="array" ref="AC10">+_xll.EQNXTDZ($A$1,$B10,AC$2)</f>
        <v>4754.13</v>
      </c>
      <c r="AD10" cm="1">
        <f t="array" ref="AD10">+_xll.EQNXTDZ($A$1,$B10,AD$2)</f>
        <v>5265.45</v>
      </c>
      <c r="AE10" cm="1">
        <f t="array" ref="AE10">+_xll.EQNXTDZ($A$1,$B10,AE$2)</f>
        <v>5353.82</v>
      </c>
      <c r="AF10" cm="1">
        <f t="array" ref="AF10">+_xll.EQNXTDZ($A$1,$B10,AF$2)</f>
        <v>5353.61</v>
      </c>
      <c r="AG10" cm="1">
        <f t="array" ref="AG10">+_xll.EQNXTDZ($A$1,$B10,AG$2)</f>
        <v>5634.33</v>
      </c>
      <c r="AH10" cm="1">
        <f t="array" ref="AH10">+_xll.EQNXTDZ($A$1,$B10,AH$2)</f>
        <v>6139.72</v>
      </c>
      <c r="AI10" cm="1">
        <f t="array" ref="AI10">+_xll.EQNXTDZ($A$1,$B10,AI$2)</f>
        <v>5880.64</v>
      </c>
      <c r="AJ10" cm="1">
        <f t="array" ref="AJ10">+_xll.EQNXTDZ($A$1,$B10,AJ$2)</f>
        <v>5921.91</v>
      </c>
      <c r="AK10" cm="1">
        <f t="array" ref="AK10">+_xll.EQNXTDZ($A$1,$B10,AK$2)</f>
        <v>6906.67</v>
      </c>
      <c r="AL10" cm="1">
        <f t="array" ref="AL10">+_xll.EQNXTDZ($A$1,$B10,AL$2)</f>
        <v>7410.57</v>
      </c>
      <c r="AM10" cm="1">
        <f t="array" ref="AM10">+_xll.EQNXTDZ($A$1,$B10,AM$2)</f>
        <v>6869.01</v>
      </c>
      <c r="AN10" cm="1">
        <f t="array" ref="AN10">+_xll.EQNXTDZ($A$1,$B10,AN$2)</f>
        <v>6642.37</v>
      </c>
      <c r="AO10" cm="1">
        <f t="array" ref="AO10">+_xll.EQNXTDZ($A$1,$B10,AO$2)</f>
        <v>7114.11</v>
      </c>
      <c r="AP10" cm="1">
        <f t="array" ref="AP10">+_xll.EQNXTDZ($A$1,$B10,AP$2)</f>
        <v>7509.01</v>
      </c>
      <c r="AQ10" cm="1">
        <f t="array" ref="AQ10">+_xll.EQNXTDZ($A$1,$B10,AQ$2)</f>
        <v>7515.65</v>
      </c>
      <c r="AR10" cm="1">
        <f t="array" ref="AR10">+_xll.EQNXTDZ($A$1,$B10,AR$2)</f>
        <v>7606.9</v>
      </c>
      <c r="AS10" cm="1">
        <f t="array" ref="AS10">+_xll.EQNXTDZ($A$1,$B10,AS$2)</f>
        <v>8032.21</v>
      </c>
      <c r="AT10" cm="1">
        <f t="array" ref="AT10">+_xll.EQNXTDZ($A$1,$B10,AT$2)</f>
        <v>7874.95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331</v>
      </c>
      <c r="B11" t="s">
        <v>333</v>
      </c>
      <c r="C11" cm="1">
        <f t="array" ref="C11">+_xll.EQNXTDZ($A$1,$B11,C$2)</f>
        <v>1058.75</v>
      </c>
      <c r="D11" cm="1">
        <f t="array" ref="D11">+_xll.EQNXTDZ($A$1,$B11,D$2)</f>
        <v>1107.8399999999999</v>
      </c>
      <c r="E11" cm="1">
        <f t="array" ref="E11">+_xll.EQNXTDZ($A$1,$B11,E$2)</f>
        <v>1039.75</v>
      </c>
      <c r="F11" cm="1">
        <f t="array" ref="F11">+_xll.EQNXTDZ($A$1,$B11,F$2)</f>
        <v>1239.54</v>
      </c>
      <c r="G11" cm="1">
        <f t="array" ref="G11">+_xll.EQNXTDZ($A$1,$B11,G$2)</f>
        <v>1208.17</v>
      </c>
      <c r="H11" cm="1">
        <f t="array" ref="H11">+_xll.EQNXTDZ($A$1,$B11,H$2)</f>
        <v>1216.94</v>
      </c>
      <c r="I11" cm="1">
        <f t="array" ref="I11">+_xll.EQNXTDZ($A$1,$B11,I$2)</f>
        <v>1305.74</v>
      </c>
      <c r="J11" cm="1">
        <f t="array" ref="J11">+_xll.EQNXTDZ($A$1,$B11,J$2)</f>
        <v>1184.24</v>
      </c>
      <c r="K11" cm="1">
        <f t="array" ref="K11">+_xll.EQNXTDZ($A$1,$B11,K$2)</f>
        <v>1351.76</v>
      </c>
      <c r="L11" cm="1">
        <f t="array" ref="L11">+_xll.EQNXTDZ($A$1,$B11,L$2)</f>
        <v>1377.28</v>
      </c>
      <c r="M11" cm="1">
        <f t="array" ref="M11">+_xll.EQNXTDZ($A$1,$B11,M$2)</f>
        <v>1408.37</v>
      </c>
      <c r="N11" cm="1">
        <f t="array" ref="N11">+_xll.EQNXTDZ($A$1,$B11,N$2)</f>
        <v>1306.71</v>
      </c>
      <c r="O11" cm="1">
        <f t="array" ref="O11">+_xll.EQNXTDZ($A$1,$B11,O$2)</f>
        <v>1516.89</v>
      </c>
      <c r="P11" cm="1">
        <f t="array" ref="P11">+_xll.EQNXTDZ($A$1,$B11,P$2)</f>
        <v>1552.4</v>
      </c>
      <c r="Q11" cm="1">
        <f t="array" ref="Q11">+_xll.EQNXTDZ($A$1,$B11,Q$2)</f>
        <v>1565.95</v>
      </c>
      <c r="R11" cm="1">
        <f t="array" ref="R11">+_xll.EQNXTDZ($A$1,$B11,R$2)</f>
        <v>1146.94</v>
      </c>
      <c r="S11" cm="1">
        <f t="array" ref="S11">+_xll.EQNXTDZ($A$1,$B11,S$2)</f>
        <v>1669.19</v>
      </c>
      <c r="T11" cm="1">
        <f t="array" ref="T11">+_xll.EQNXTDZ($A$1,$B11,T$2)</f>
        <v>1520.64</v>
      </c>
      <c r="U11" cm="1">
        <f t="array" ref="U11">+_xll.EQNXTDZ($A$1,$B11,U$2)</f>
        <v>1696.43</v>
      </c>
      <c r="V11" cm="1">
        <f t="array" ref="V11">+_xll.EQNXTDZ($A$1,$B11,V$2)</f>
        <v>2175.1999999999998</v>
      </c>
      <c r="W11" cm="1">
        <f t="array" ref="W11">+_xll.EQNXTDZ($A$1,$B11,W$2)</f>
        <v>3037.42</v>
      </c>
      <c r="X11" cm="1">
        <f t="array" ref="X11">+_xll.EQNXTDZ($A$1,$B11,X$2)</f>
        <v>3207.92</v>
      </c>
      <c r="Y11" cm="1">
        <f t="array" ref="Y11">+_xll.EQNXTDZ($A$1,$B11,Y$2)</f>
        <v>3184.11</v>
      </c>
      <c r="Z11" cm="1">
        <f t="array" ref="Z11">+_xll.EQNXTDZ($A$1,$B11,Z$2)</f>
        <v>3266.3</v>
      </c>
      <c r="AA11" cm="1">
        <f t="array" ref="AA11">+_xll.EQNXTDZ($A$1,$B11,AA$2)</f>
        <v>3365.45</v>
      </c>
      <c r="AB11" cm="1">
        <f t="array" ref="AB11">+_xll.EQNXTDZ($A$1,$B11,AB$2)</f>
        <v>3138.24</v>
      </c>
      <c r="AC11" cm="1">
        <f t="array" ref="AC11">+_xll.EQNXTDZ($A$1,$B11,AC$2)</f>
        <v>2972.39</v>
      </c>
      <c r="AD11" cm="1">
        <f t="array" ref="AD11">+_xll.EQNXTDZ($A$1,$B11,AD$2)</f>
        <v>3227.56</v>
      </c>
      <c r="AE11" cm="1">
        <f t="array" ref="AE11">+_xll.EQNXTDZ($A$1,$B11,AE$2)</f>
        <v>3416.4</v>
      </c>
      <c r="AF11" cm="1">
        <f t="array" ref="AF11">+_xll.EQNXTDZ($A$1,$B11,AF$2)</f>
        <v>3119.47</v>
      </c>
      <c r="AG11" cm="1">
        <f t="array" ref="AG11">+_xll.EQNXTDZ($A$1,$B11,AG$2)</f>
        <v>3481.51</v>
      </c>
      <c r="AH11" cm="1">
        <f t="array" ref="AH11">+_xll.EQNXTDZ($A$1,$B11,AH$2)</f>
        <v>3726.45</v>
      </c>
      <c r="AI11" cm="1">
        <f t="array" ref="AI11">+_xll.EQNXTDZ($A$1,$B11,AI$2)</f>
        <v>3651.03</v>
      </c>
      <c r="AJ11" cm="1">
        <f t="array" ref="AJ11">+_xll.EQNXTDZ($A$1,$B11,AJ$2)</f>
        <v>3791.41</v>
      </c>
      <c r="AK11" cm="1">
        <f t="array" ref="AK11">+_xll.EQNXTDZ($A$1,$B11,AK$2)</f>
        <v>4533.33</v>
      </c>
      <c r="AL11" cm="1">
        <f t="array" ref="AL11">+_xll.EQNXTDZ($A$1,$B11,AL$2)</f>
        <v>4458.41</v>
      </c>
      <c r="AM11" cm="1">
        <f t="array" ref="AM11">+_xll.EQNXTDZ($A$1,$B11,AM$2)</f>
        <v>4229.57</v>
      </c>
      <c r="AN11" cm="1">
        <f t="array" ref="AN11">+_xll.EQNXTDZ($A$1,$B11,AN$2)</f>
        <v>4363.21</v>
      </c>
      <c r="AO11" cm="1">
        <f t="array" ref="AO11">+_xll.EQNXTDZ($A$1,$B11,AO$2)</f>
        <v>4480.5200000000004</v>
      </c>
      <c r="AP11" cm="1">
        <f t="array" ref="AP11">+_xll.EQNXTDZ($A$1,$B11,AP$2)</f>
        <v>4782.79</v>
      </c>
      <c r="AQ11" cm="1">
        <f t="array" ref="AQ11">+_xll.EQNXTDZ($A$1,$B11,AQ$2)</f>
        <v>4795.54</v>
      </c>
      <c r="AR11" cm="1">
        <f t="array" ref="AR11">+_xll.EQNXTDZ($A$1,$B11,AR$2)</f>
        <v>4822.25</v>
      </c>
      <c r="AS11" cm="1">
        <f t="array" ref="AS11">+_xll.EQNXTDZ($A$1,$B11,AS$2)</f>
        <v>4904.57</v>
      </c>
      <c r="AT11" cm="1">
        <f t="array" ref="AT11">+_xll.EQNXTDZ($A$1,$B11,AT$2)</f>
        <v>4743.6400000000003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332</v>
      </c>
      <c r="B12" t="s">
        <v>334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203</v>
      </c>
      <c r="B13" t="s">
        <v>252</v>
      </c>
      <c r="C13" cm="1">
        <f t="array" ref="C13">+_xll.EQNXTDZ($A$1,$B13,C$2)</f>
        <v>1625.92</v>
      </c>
      <c r="D13" cm="1">
        <f t="array" ref="D13">+_xll.EQNXTDZ($A$1,$B13,D$2)</f>
        <v>1912.85</v>
      </c>
      <c r="E13" cm="1">
        <f t="array" ref="E13">+_xll.EQNXTDZ($A$1,$B13,E$2)</f>
        <v>1842.72</v>
      </c>
      <c r="F13" cm="1">
        <f t="array" ref="F13">+_xll.EQNXTDZ($A$1,$B13,F$2)</f>
        <v>2110.44</v>
      </c>
      <c r="G13" cm="1">
        <f t="array" ref="G13">+_xll.EQNXTDZ($A$1,$B13,G$2)</f>
        <v>2073.1799999999998</v>
      </c>
      <c r="H13" cm="1">
        <f t="array" ref="H13">+_xll.EQNXTDZ($A$1,$B13,H$2)</f>
        <v>2083.35</v>
      </c>
      <c r="I13" cm="1">
        <f t="array" ref="I13">+_xll.EQNXTDZ($A$1,$B13,I$2)</f>
        <v>2224.17</v>
      </c>
      <c r="J13" cm="1">
        <f t="array" ref="J13">+_xll.EQNXTDZ($A$1,$B13,J$2)</f>
        <v>2131.58</v>
      </c>
      <c r="K13" cm="1">
        <f t="array" ref="K13">+_xll.EQNXTDZ($A$1,$B13,K$2)</f>
        <v>2349.37</v>
      </c>
      <c r="L13" cm="1">
        <f t="array" ref="L13">+_xll.EQNXTDZ($A$1,$B13,L$2)</f>
        <v>2239.7399999999998</v>
      </c>
      <c r="M13" cm="1">
        <f t="array" ref="M13">+_xll.EQNXTDZ($A$1,$B13,M$2)</f>
        <v>2414.19</v>
      </c>
      <c r="N13" cm="1">
        <f t="array" ref="N13">+_xll.EQNXTDZ($A$1,$B13,N$2)</f>
        <v>2554.64</v>
      </c>
      <c r="O13" cm="1">
        <f t="array" ref="O13">+_xll.EQNXTDZ($A$1,$B13,O$2)</f>
        <v>2783.02</v>
      </c>
      <c r="P13" cm="1">
        <f t="array" ref="P13">+_xll.EQNXTDZ($A$1,$B13,P$2)</f>
        <v>2509.1999999999998</v>
      </c>
      <c r="Q13" cm="1">
        <f t="array" ref="Q13">+_xll.EQNXTDZ($A$1,$B13,Q$2)</f>
        <v>11156.11</v>
      </c>
      <c r="R13" cm="1">
        <f t="array" ref="R13">+_xll.EQNXTDZ($A$1,$B13,R$2)</f>
        <v>2388.64</v>
      </c>
      <c r="S13" cm="1">
        <f t="array" ref="S13">+_xll.EQNXTDZ($A$1,$B13,S$2)</f>
        <v>2662.47</v>
      </c>
      <c r="T13" cm="1">
        <f t="array" ref="T13">+_xll.EQNXTDZ($A$1,$B13,T$2)</f>
        <v>2654.74</v>
      </c>
      <c r="U13" cm="1">
        <f t="array" ref="U13">+_xll.EQNXTDZ($A$1,$B13,U$2)</f>
        <v>2807.43</v>
      </c>
      <c r="V13" cm="1">
        <f t="array" ref="V13">+_xll.EQNXTDZ($A$1,$B13,V$2)</f>
        <v>3452.6</v>
      </c>
      <c r="W13" cm="1">
        <f t="array" ref="W13">+_xll.EQNXTDZ($A$1,$B13,W$2)</f>
        <v>4460.2</v>
      </c>
      <c r="X13" cm="1">
        <f t="array" ref="X13">+_xll.EQNXTDZ($A$1,$B13,X$2)</f>
        <v>4811.3599999999997</v>
      </c>
      <c r="Y13" cm="1">
        <f t="array" ref="Y13">+_xll.EQNXTDZ($A$1,$B13,Y$2)</f>
        <v>4972.8900000000003</v>
      </c>
      <c r="Z13" cm="1">
        <f t="array" ref="Z13">+_xll.EQNXTDZ($A$1,$B13,Z$2)</f>
        <v>5093.74</v>
      </c>
      <c r="AA13" cm="1">
        <f t="array" ref="AA13">+_xll.EQNXTDZ($A$1,$B13,AA$2)</f>
        <v>4834.3599999999997</v>
      </c>
      <c r="AB13" cm="1">
        <f t="array" ref="AB13">+_xll.EQNXTDZ($A$1,$B13,AB$2)</f>
        <v>4937.97</v>
      </c>
      <c r="AC13" cm="1">
        <f t="array" ref="AC13">+_xll.EQNXTDZ($A$1,$B13,AC$2)</f>
        <v>4754.13</v>
      </c>
      <c r="AD13" cm="1">
        <f t="array" ref="AD13">+_xll.EQNXTDZ($A$1,$B13,AD$2)</f>
        <v>5265.45</v>
      </c>
      <c r="AE13" cm="1">
        <f t="array" ref="AE13">+_xll.EQNXTDZ($A$1,$B13,AE$2)</f>
        <v>5353.82</v>
      </c>
      <c r="AF13" cm="1">
        <f t="array" ref="AF13">+_xll.EQNXTDZ($A$1,$B13,AF$2)</f>
        <v>5353.61</v>
      </c>
      <c r="AG13" cm="1">
        <f t="array" ref="AG13">+_xll.EQNXTDZ($A$1,$B13,AG$2)</f>
        <v>5634.33</v>
      </c>
      <c r="AH13" cm="1">
        <f t="array" ref="AH13">+_xll.EQNXTDZ($A$1,$B13,AH$2)</f>
        <v>6139.72</v>
      </c>
      <c r="AI13" cm="1">
        <f t="array" ref="AI13">+_xll.EQNXTDZ($A$1,$B13,AI$2)</f>
        <v>5880.64</v>
      </c>
      <c r="AJ13" cm="1">
        <f t="array" ref="AJ13">+_xll.EQNXTDZ($A$1,$B13,AJ$2)</f>
        <v>5921.91</v>
      </c>
      <c r="AK13" cm="1">
        <f t="array" ref="AK13">+_xll.EQNXTDZ($A$1,$B13,AK$2)</f>
        <v>6906.67</v>
      </c>
      <c r="AL13" cm="1">
        <f t="array" ref="AL13">+_xll.EQNXTDZ($A$1,$B13,AL$2)</f>
        <v>7410.57</v>
      </c>
      <c r="AM13" cm="1">
        <f t="array" ref="AM13">+_xll.EQNXTDZ($A$1,$B13,AM$2)</f>
        <v>6869.01</v>
      </c>
      <c r="AN13" cm="1">
        <f t="array" ref="AN13">+_xll.EQNXTDZ($A$1,$B13,AN$2)</f>
        <v>6642.37</v>
      </c>
      <c r="AO13" cm="1">
        <f t="array" ref="AO13">+_xll.EQNXTDZ($A$1,$B13,AO$2)</f>
        <v>7114.11</v>
      </c>
      <c r="AP13" cm="1">
        <f t="array" ref="AP13">+_xll.EQNXTDZ($A$1,$B13,AP$2)</f>
        <v>7509.01</v>
      </c>
      <c r="AQ13" cm="1">
        <f t="array" ref="AQ13">+_xll.EQNXTDZ($A$1,$B13,AQ$2)</f>
        <v>7515.65</v>
      </c>
      <c r="AR13" cm="1">
        <f t="array" ref="AR13">+_xll.EQNXTDZ($A$1,$B13,AR$2)</f>
        <v>7606.9</v>
      </c>
      <c r="AS13" cm="1">
        <f t="array" ref="AS13">+_xll.EQNXTDZ($A$1,$B13,AS$2)</f>
        <v>8032.21</v>
      </c>
      <c r="AT13" cm="1">
        <f t="array" ref="AT13">+_xll.EQNXTDZ($A$1,$B13,AT$2)</f>
        <v>7874.95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216</v>
      </c>
      <c r="B14" t="s">
        <v>253</v>
      </c>
      <c r="C14" cm="1">
        <f t="array" ref="C14">+_xll.EQNXTDZ($A$1,$B14,C$2)</f>
        <v>2003.57</v>
      </c>
      <c r="D14" cm="1">
        <f t="array" ref="D14">+_xll.EQNXTDZ($A$1,$B14,D$2)</f>
        <v>1944.1</v>
      </c>
      <c r="E14" cm="1">
        <f t="array" ref="E14">+_xll.EQNXTDZ($A$1,$B14,E$2)</f>
        <v>1552.44</v>
      </c>
      <c r="F14" cm="1">
        <f t="array" ref="F14">+_xll.EQNXTDZ($A$1,$B14,F$2)</f>
        <v>1646.55</v>
      </c>
      <c r="G14" cm="1">
        <f t="array" ref="G14">+_xll.EQNXTDZ($A$1,$B14,G$2)</f>
        <v>1818.87</v>
      </c>
      <c r="H14" cm="1">
        <f t="array" ref="H14">+_xll.EQNXTDZ($A$1,$B14,H$2)</f>
        <v>2140.77</v>
      </c>
      <c r="I14" cm="1">
        <f t="array" ref="I14">+_xll.EQNXTDZ($A$1,$B14,I$2)</f>
        <v>1981.33</v>
      </c>
      <c r="J14" cm="1">
        <f t="array" ref="J14">+_xll.EQNXTDZ($A$1,$B14,J$2)</f>
        <v>2972.92</v>
      </c>
      <c r="K14" cm="1">
        <f t="array" ref="K14">+_xll.EQNXTDZ($A$1,$B14,K$2)</f>
        <v>2472.38</v>
      </c>
      <c r="L14" cm="1">
        <f t="array" ref="L14">+_xll.EQNXTDZ($A$1,$B14,L$2)</f>
        <v>2479.8200000000002</v>
      </c>
      <c r="M14" cm="1">
        <f t="array" ref="M14">+_xll.EQNXTDZ($A$1,$B14,M$2)</f>
        <v>2831.39</v>
      </c>
      <c r="N14" cm="1">
        <f t="array" ref="N14">+_xll.EQNXTDZ($A$1,$B14,N$2)</f>
        <v>1764.65</v>
      </c>
      <c r="O14" cm="1">
        <f t="array" ref="O14">+_xll.EQNXTDZ($A$1,$B14,O$2)</f>
        <v>2932.79</v>
      </c>
      <c r="P14" cm="1">
        <f t="array" ref="P14">+_xll.EQNXTDZ($A$1,$B14,P$2)</f>
        <v>2327.38</v>
      </c>
      <c r="Q14" cm="1">
        <f t="array" ref="Q14">+_xll.EQNXTDZ($A$1,$B14,Q$2)</f>
        <v>2357.2399999999998</v>
      </c>
      <c r="R14" cm="1">
        <f t="array" ref="R14">+_xll.EQNXTDZ($A$1,$B14,R$2)</f>
        <v>2973.46</v>
      </c>
      <c r="S14" cm="1">
        <f t="array" ref="S14">+_xll.EQNXTDZ($A$1,$B14,S$2)</f>
        <v>2440.0100000000002</v>
      </c>
      <c r="T14" cm="1">
        <f t="array" ref="T14">+_xll.EQNXTDZ($A$1,$B14,T$2)</f>
        <v>2544.61</v>
      </c>
      <c r="U14" cm="1">
        <f t="array" ref="U14">+_xll.EQNXTDZ($A$1,$B14,U$2)</f>
        <v>2334.33</v>
      </c>
      <c r="V14" cm="1">
        <f t="array" ref="V14">+_xll.EQNXTDZ($A$1,$B14,V$2)</f>
        <v>2040.87</v>
      </c>
      <c r="W14" cm="1">
        <f t="array" ref="W14">+_xll.EQNXTDZ($A$1,$B14,W$2)</f>
        <v>4285.45</v>
      </c>
      <c r="X14" cm="1">
        <f t="array" ref="X14">+_xll.EQNXTDZ($A$1,$B14,X$2)</f>
        <v>4596.97</v>
      </c>
      <c r="Y14" cm="1">
        <f t="array" ref="Y14">+_xll.EQNXTDZ($A$1,$B14,Y$2)</f>
        <v>5267.04</v>
      </c>
      <c r="Z14" cm="1">
        <f t="array" ref="Z14">+_xll.EQNXTDZ($A$1,$B14,Z$2)</f>
        <v>5220.58</v>
      </c>
      <c r="AA14" cm="1">
        <f t="array" ref="AA14">+_xll.EQNXTDZ($A$1,$B14,AA$2)</f>
        <v>5480.88</v>
      </c>
      <c r="AB14" cm="1">
        <f t="array" ref="AB14">+_xll.EQNXTDZ($A$1,$B14,AB$2)</f>
        <v>5603.64</v>
      </c>
      <c r="AC14" cm="1">
        <f t="array" ref="AC14">+_xll.EQNXTDZ($A$1,$B14,AC$2)</f>
        <v>5802.52</v>
      </c>
      <c r="AD14" cm="1">
        <f t="array" ref="AD14">+_xll.EQNXTDZ($A$1,$B14,AD$2)</f>
        <v>6201.94</v>
      </c>
      <c r="AE14" cm="1">
        <f t="array" ref="AE14">+_xll.EQNXTDZ($A$1,$B14,AE$2)</f>
        <v>6606.23</v>
      </c>
      <c r="AF14" cm="1">
        <f t="array" ref="AF14">+_xll.EQNXTDZ($A$1,$B14,AF$2)</f>
        <v>6905.48</v>
      </c>
      <c r="AG14" cm="1">
        <f t="array" ref="AG14">+_xll.EQNXTDZ($A$1,$B14,AG$2)</f>
        <v>6952.06</v>
      </c>
      <c r="AH14" cm="1">
        <f t="array" ref="AH14">+_xll.EQNXTDZ($A$1,$B14,AH$2)</f>
        <v>7252.24</v>
      </c>
      <c r="AI14" cm="1">
        <f t="array" ref="AI14">+_xll.EQNXTDZ($A$1,$B14,AI$2)</f>
        <v>7604.02</v>
      </c>
      <c r="AJ14" cm="1">
        <f t="array" ref="AJ14">+_xll.EQNXTDZ($A$1,$B14,AJ$2)</f>
        <v>7615.58</v>
      </c>
      <c r="AK14" cm="1">
        <f t="array" ref="AK14">+_xll.EQNXTDZ($A$1,$B14,AK$2)</f>
        <v>6805.53</v>
      </c>
      <c r="AL14" cm="1">
        <f t="array" ref="AL14">+_xll.EQNXTDZ($A$1,$B14,AL$2)</f>
        <v>7387.46</v>
      </c>
      <c r="AM14" cm="1">
        <f t="array" ref="AM14">+_xll.EQNXTDZ($A$1,$B14,AM$2)</f>
        <v>7616.14</v>
      </c>
      <c r="AN14" cm="1">
        <f t="array" ref="AN14">+_xll.EQNXTDZ($A$1,$B14,AN$2)</f>
        <v>7653.83</v>
      </c>
      <c r="AO14" cm="1">
        <f t="array" ref="AO14">+_xll.EQNXTDZ($A$1,$B14,AO$2)</f>
        <v>7836.62</v>
      </c>
      <c r="AP14" cm="1">
        <f t="array" ref="AP14">+_xll.EQNXTDZ($A$1,$B14,AP$2)</f>
        <v>8283.67</v>
      </c>
      <c r="AQ14" cm="1">
        <f t="array" ref="AQ14">+_xll.EQNXTDZ($A$1,$B14,AQ$2)</f>
        <v>8553.59</v>
      </c>
      <c r="AR14" cm="1">
        <f t="array" ref="AR14">+_xll.EQNXTDZ($A$1,$B14,AR$2)</f>
        <v>8588.1299999999992</v>
      </c>
      <c r="AS14" cm="1">
        <f t="array" ref="AS14">+_xll.EQNXTDZ($A$1,$B14,AS$2)</f>
        <v>9119.4699999999993</v>
      </c>
      <c r="AT14" cm="1">
        <f t="array" ref="AT14">+_xll.EQNXTDZ($A$1,$B14,AT$2)</f>
        <v>6757.38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217</v>
      </c>
      <c r="B15" t="s">
        <v>254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-1354.9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218</v>
      </c>
      <c r="B16" t="s">
        <v>255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219</v>
      </c>
      <c r="B17" t="s">
        <v>256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-1354.9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257</v>
      </c>
      <c r="C18" cm="1">
        <f t="array" ref="C18">+_xll.EQNXTDZ($A$1,$B18,C$2)</f>
        <v>1359.73</v>
      </c>
      <c r="D18" cm="1">
        <f t="array" ref="D18">+_xll.EQNXTDZ($A$1,$B18,D$2)</f>
        <v>1212.31</v>
      </c>
      <c r="E18" cm="1">
        <f t="array" ref="E18">+_xll.EQNXTDZ($A$1,$B18,E$2)</f>
        <v>1428.85</v>
      </c>
      <c r="F18" cm="1">
        <f t="array" ref="F18">+_xll.EQNXTDZ($A$1,$B18,F$2)</f>
        <v>6331.54</v>
      </c>
      <c r="G18" cm="1">
        <f t="array" ref="G18">+_xll.EQNXTDZ($A$1,$B18,G$2)</f>
        <v>1492.92</v>
      </c>
      <c r="H18" cm="1">
        <f t="array" ref="H18">+_xll.EQNXTDZ($A$1,$B18,H$2)</f>
        <v>1585.74</v>
      </c>
      <c r="I18" cm="1">
        <f t="array" ref="I18">+_xll.EQNXTDZ($A$1,$B18,I$2)</f>
        <v>1484.57</v>
      </c>
      <c r="J18" cm="1">
        <f t="array" ref="J18">+_xll.EQNXTDZ($A$1,$B18,J$2)</f>
        <v>2708.74</v>
      </c>
      <c r="K18" cm="1">
        <f t="array" ref="K18">+_xll.EQNXTDZ($A$1,$B18,K$2)</f>
        <v>2203.7800000000002</v>
      </c>
      <c r="L18" cm="1">
        <f t="array" ref="L18">+_xll.EQNXTDZ($A$1,$B18,L$2)</f>
        <v>2156.64</v>
      </c>
      <c r="M18" cm="1">
        <f t="array" ref="M18">+_xll.EQNXTDZ($A$1,$B18,M$2)</f>
        <v>2673.64</v>
      </c>
      <c r="N18" cm="1">
        <f t="array" ref="N18">+_xll.EQNXTDZ($A$1,$B18,N$2)</f>
        <v>9075.0400000000009</v>
      </c>
      <c r="O18" cm="1">
        <f t="array" ref="O18">+_xll.EQNXTDZ($A$1,$B18,O$2)</f>
        <v>2582.3000000000002</v>
      </c>
      <c r="P18" cm="1">
        <f t="array" ref="P18">+_xll.EQNXTDZ($A$1,$B18,P$2)</f>
        <v>2835.14</v>
      </c>
      <c r="Q18" cm="1">
        <f t="array" ref="Q18">+_xll.EQNXTDZ($A$1,$B18,Q$2)</f>
        <v>1977.34</v>
      </c>
      <c r="R18" cm="1">
        <f t="array" ref="R18">+_xll.EQNXTDZ($A$1,$B18,R$2)</f>
        <v>5523.5</v>
      </c>
      <c r="S18" cm="1">
        <f t="array" ref="S18">+_xll.EQNXTDZ($A$1,$B18,S$2)</f>
        <v>1899.13</v>
      </c>
      <c r="T18" cm="1">
        <f t="array" ref="T18">+_xll.EQNXTDZ($A$1,$B18,T$2)</f>
        <v>2037.97</v>
      </c>
      <c r="U18" cm="1">
        <f t="array" ref="U18">+_xll.EQNXTDZ($A$1,$B18,U$2)</f>
        <v>1802.91</v>
      </c>
      <c r="V18" cm="1">
        <f t="array" ref="V18">+_xll.EQNXTDZ($A$1,$B18,V$2)</f>
        <v>5375.38</v>
      </c>
      <c r="W18" cm="1">
        <f t="array" ref="W18">+_xll.EQNXTDZ($A$1,$B18,W$2)</f>
        <v>3826.34</v>
      </c>
      <c r="X18" cm="1">
        <f t="array" ref="X18">+_xll.EQNXTDZ($A$1,$B18,X$2)</f>
        <v>3974.02</v>
      </c>
      <c r="Y18" cm="1">
        <f t="array" ref="Y18">+_xll.EQNXTDZ($A$1,$B18,Y$2)</f>
        <v>4210.28</v>
      </c>
      <c r="Z18" cm="1">
        <f t="array" ref="Z18">+_xll.EQNXTDZ($A$1,$B18,Z$2)</f>
        <v>3652.18</v>
      </c>
      <c r="AA18" cm="1">
        <f t="array" ref="AA18">+_xll.EQNXTDZ($A$1,$B18,AA$2)</f>
        <v>3458.74</v>
      </c>
      <c r="AB18" cm="1">
        <f t="array" ref="AB18">+_xll.EQNXTDZ($A$1,$B18,AB$2)</f>
        <v>3360.23</v>
      </c>
      <c r="AC18" cm="1">
        <f t="array" ref="AC18">+_xll.EQNXTDZ($A$1,$B18,AC$2)</f>
        <v>2244.84</v>
      </c>
      <c r="AD18" cm="1">
        <f t="array" ref="AD18">+_xll.EQNXTDZ($A$1,$B18,AD$2)</f>
        <v>3708.68</v>
      </c>
      <c r="AE18" cm="1">
        <f t="array" ref="AE18">+_xll.EQNXTDZ($A$1,$B18,AE$2)</f>
        <v>3690.05</v>
      </c>
      <c r="AF18" cm="1">
        <f t="array" ref="AF18">+_xll.EQNXTDZ($A$1,$B18,AF$2)</f>
        <v>3636.81</v>
      </c>
      <c r="AG18" cm="1">
        <f t="array" ref="AG18">+_xll.EQNXTDZ($A$1,$B18,AG$2)</f>
        <v>3121.2</v>
      </c>
      <c r="AH18" cm="1">
        <f t="array" ref="AH18">+_xll.EQNXTDZ($A$1,$B18,AH$2)</f>
        <v>3094.95</v>
      </c>
      <c r="AI18" cm="1">
        <f t="array" ref="AI18">+_xll.EQNXTDZ($A$1,$B18,AI$2)</f>
        <v>2718.93</v>
      </c>
      <c r="AJ18" cm="1">
        <f t="array" ref="AJ18">+_xll.EQNXTDZ($A$1,$B18,AJ$2)</f>
        <v>2607.9499999999998</v>
      </c>
      <c r="AK18" cm="1">
        <f t="array" ref="AK18">+_xll.EQNXTDZ($A$1,$B18,AK$2)</f>
        <v>1898.91</v>
      </c>
      <c r="AL18" cm="1">
        <f t="array" ref="AL18">+_xll.EQNXTDZ($A$1,$B18,AL$2)</f>
        <v>2481.8200000000002</v>
      </c>
      <c r="AM18" cm="1">
        <f t="array" ref="AM18">+_xll.EQNXTDZ($A$1,$B18,AM$2)</f>
        <v>2282.34</v>
      </c>
      <c r="AN18" cm="1">
        <f t="array" ref="AN18">+_xll.EQNXTDZ($A$1,$B18,AN$2)</f>
        <v>2251.29</v>
      </c>
      <c r="AO18" cm="1">
        <f t="array" ref="AO18">+_xll.EQNXTDZ($A$1,$B18,AO$2)</f>
        <v>2398.25</v>
      </c>
      <c r="AP18" cm="1">
        <f t="array" ref="AP18">+_xll.EQNXTDZ($A$1,$B18,AP$2)</f>
        <v>1831.71</v>
      </c>
      <c r="AQ18" cm="1">
        <f t="array" ref="AQ18">+_xll.EQNXTDZ($A$1,$B18,AQ$2)</f>
        <v>2351.56</v>
      </c>
      <c r="AR18" cm="1">
        <f t="array" ref="AR18">+_xll.EQNXTDZ($A$1,$B18,AR$2)</f>
        <v>2354.17</v>
      </c>
      <c r="AS18" cm="1">
        <f t="array" ref="AS18">+_xll.EQNXTDZ($A$1,$B18,AS$2)</f>
        <v>2414.36</v>
      </c>
      <c r="AT18" cm="1">
        <f t="array" ref="AT18">+_xll.EQNXTDZ($A$1,$B18,AT$2)</f>
        <v>991.81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258</v>
      </c>
      <c r="C19" cm="1">
        <f t="array" ref="C19">+_xll.EQNXTDZ($A$1,$B19,C$2)</f>
        <v>643.84</v>
      </c>
      <c r="D19" cm="1">
        <f t="array" ref="D19">+_xll.EQNXTDZ($A$1,$B19,D$2)</f>
        <v>731.79</v>
      </c>
      <c r="E19" cm="1">
        <f t="array" ref="E19">+_xll.EQNXTDZ($A$1,$B19,E$2)</f>
        <v>123.59</v>
      </c>
      <c r="F19" cm="1">
        <f t="array" ref="F19">+_xll.EQNXTDZ($A$1,$B19,F$2)</f>
        <v>-4684.99</v>
      </c>
      <c r="G19" cm="1">
        <f t="array" ref="G19">+_xll.EQNXTDZ($A$1,$B19,G$2)</f>
        <v>325.95</v>
      </c>
      <c r="H19" cm="1">
        <f t="array" ref="H19">+_xll.EQNXTDZ($A$1,$B19,H$2)</f>
        <v>555.03</v>
      </c>
      <c r="I19" cm="1">
        <f t="array" ref="I19">+_xll.EQNXTDZ($A$1,$B19,I$2)</f>
        <v>496.76</v>
      </c>
      <c r="J19" cm="1">
        <f t="array" ref="J19">+_xll.EQNXTDZ($A$1,$B19,J$2)</f>
        <v>264.18</v>
      </c>
      <c r="K19" cm="1">
        <f t="array" ref="K19">+_xll.EQNXTDZ($A$1,$B19,K$2)</f>
        <v>268.60000000000002</v>
      </c>
      <c r="L19" cm="1">
        <f t="array" ref="L19">+_xll.EQNXTDZ($A$1,$B19,L$2)</f>
        <v>323.18</v>
      </c>
      <c r="M19" cm="1">
        <f t="array" ref="M19">+_xll.EQNXTDZ($A$1,$B19,M$2)</f>
        <v>157.75</v>
      </c>
      <c r="N19" cm="1">
        <f t="array" ref="N19">+_xll.EQNXTDZ($A$1,$B19,N$2)</f>
        <v>-7310.39</v>
      </c>
      <c r="O19" cm="1">
        <f t="array" ref="O19">+_xll.EQNXTDZ($A$1,$B19,O$2)</f>
        <v>350.49</v>
      </c>
      <c r="P19" cm="1">
        <f t="array" ref="P19">+_xll.EQNXTDZ($A$1,$B19,P$2)</f>
        <v>-507.76</v>
      </c>
      <c r="Q19" cm="1">
        <f t="array" ref="Q19">+_xll.EQNXTDZ($A$1,$B19,Q$2)</f>
        <v>379.9</v>
      </c>
      <c r="R19" cm="1">
        <f t="array" ref="R19">+_xll.EQNXTDZ($A$1,$B19,R$2)</f>
        <v>-2550.04</v>
      </c>
      <c r="S19" cm="1">
        <f t="array" ref="S19">+_xll.EQNXTDZ($A$1,$B19,S$2)</f>
        <v>540.88</v>
      </c>
      <c r="T19" cm="1">
        <f t="array" ref="T19">+_xll.EQNXTDZ($A$1,$B19,T$2)</f>
        <v>506.64</v>
      </c>
      <c r="U19" cm="1">
        <f t="array" ref="U19">+_xll.EQNXTDZ($A$1,$B19,U$2)</f>
        <v>531.41999999999996</v>
      </c>
      <c r="V19" cm="1">
        <f t="array" ref="V19">+_xll.EQNXTDZ($A$1,$B19,V$2)</f>
        <v>-3334.51</v>
      </c>
      <c r="W19" cm="1">
        <f t="array" ref="W19">+_xll.EQNXTDZ($A$1,$B19,W$2)</f>
        <v>459.11</v>
      </c>
      <c r="X19" cm="1">
        <f t="array" ref="X19">+_xll.EQNXTDZ($A$1,$B19,X$2)</f>
        <v>622.95000000000005</v>
      </c>
      <c r="Y19" cm="1">
        <f t="array" ref="Y19">+_xll.EQNXTDZ($A$1,$B19,Y$2)</f>
        <v>1056.76</v>
      </c>
      <c r="Z19" cm="1">
        <f t="array" ref="Z19">+_xll.EQNXTDZ($A$1,$B19,Z$2)</f>
        <v>1568.4</v>
      </c>
      <c r="AA19" cm="1">
        <f t="array" ref="AA19">+_xll.EQNXTDZ($A$1,$B19,AA$2)</f>
        <v>2022.14</v>
      </c>
      <c r="AB19" cm="1">
        <f t="array" ref="AB19">+_xll.EQNXTDZ($A$1,$B19,AB$2)</f>
        <v>2243.41</v>
      </c>
      <c r="AC19" cm="1">
        <f t="array" ref="AC19">+_xll.EQNXTDZ($A$1,$B19,AC$2)</f>
        <v>2202.7800000000002</v>
      </c>
      <c r="AD19" cm="1">
        <f t="array" ref="AD19">+_xll.EQNXTDZ($A$1,$B19,AD$2)</f>
        <v>2493.2600000000002</v>
      </c>
      <c r="AE19" cm="1">
        <f t="array" ref="AE19">+_xll.EQNXTDZ($A$1,$B19,AE$2)</f>
        <v>2916.18</v>
      </c>
      <c r="AF19" cm="1">
        <f t="array" ref="AF19">+_xll.EQNXTDZ($A$1,$B19,AF$2)</f>
        <v>3268.67</v>
      </c>
      <c r="AG19" cm="1">
        <f t="array" ref="AG19">+_xll.EQNXTDZ($A$1,$B19,AG$2)</f>
        <v>3830.86</v>
      </c>
      <c r="AH19" cm="1">
        <f t="array" ref="AH19">+_xll.EQNXTDZ($A$1,$B19,AH$2)</f>
        <v>4157.29</v>
      </c>
      <c r="AI19" cm="1">
        <f t="array" ref="AI19">+_xll.EQNXTDZ($A$1,$B19,AI$2)</f>
        <v>4885.09</v>
      </c>
      <c r="AJ19" cm="1">
        <f t="array" ref="AJ19">+_xll.EQNXTDZ($A$1,$B19,AJ$2)</f>
        <v>5007.63</v>
      </c>
      <c r="AK19" cm="1">
        <f t="array" ref="AK19">+_xll.EQNXTDZ($A$1,$B19,AK$2)</f>
        <v>4906.62</v>
      </c>
      <c r="AL19" cm="1">
        <f t="array" ref="AL19">+_xll.EQNXTDZ($A$1,$B19,AL$2)</f>
        <v>4905.6400000000003</v>
      </c>
      <c r="AM19" cm="1">
        <f t="array" ref="AM19">+_xll.EQNXTDZ($A$1,$B19,AM$2)</f>
        <v>5333.8</v>
      </c>
      <c r="AN19" cm="1">
        <f t="array" ref="AN19">+_xll.EQNXTDZ($A$1,$B19,AN$2)</f>
        <v>5402.54</v>
      </c>
      <c r="AO19" cm="1">
        <f t="array" ref="AO19">+_xll.EQNXTDZ($A$1,$B19,AO$2)</f>
        <v>5438.37</v>
      </c>
      <c r="AP19" cm="1">
        <f t="array" ref="AP19">+_xll.EQNXTDZ($A$1,$B19,AP$2)</f>
        <v>6451.96</v>
      </c>
      <c r="AQ19" cm="1">
        <f t="array" ref="AQ19">+_xll.EQNXTDZ($A$1,$B19,AQ$2)</f>
        <v>6202.03</v>
      </c>
      <c r="AR19" cm="1">
        <f t="array" ref="AR19">+_xll.EQNXTDZ($A$1,$B19,AR$2)</f>
        <v>6233.96</v>
      </c>
      <c r="AS19" cm="1">
        <f t="array" ref="AS19">+_xll.EQNXTDZ($A$1,$B19,AS$2)</f>
        <v>6705.11</v>
      </c>
      <c r="AT19" cm="1">
        <f t="array" ref="AT19">+_xll.EQNXTDZ($A$1,$B19,AT$2)</f>
        <v>5765.57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259</v>
      </c>
      <c r="C20" cm="1">
        <f t="array" ref="C20">+_xll.EQNXTDZ($A$1,$B20,C$2)</f>
        <v>165</v>
      </c>
      <c r="D20" cm="1">
        <f t="array" ref="D20">+_xll.EQNXTDZ($A$1,$B20,D$2)</f>
        <v>202.93</v>
      </c>
      <c r="E20" cm="1">
        <f t="array" ref="E20">+_xll.EQNXTDZ($A$1,$B20,E$2)</f>
        <v>38.619999999999997</v>
      </c>
      <c r="F20" cm="1">
        <f t="array" ref="F20">+_xll.EQNXTDZ($A$1,$B20,F$2)</f>
        <v>-779.5</v>
      </c>
      <c r="G20" cm="1">
        <f t="array" ref="G20">+_xll.EQNXTDZ($A$1,$B20,G$2)</f>
        <v>97</v>
      </c>
      <c r="H20" cm="1">
        <f t="array" ref="H20">+_xll.EQNXTDZ($A$1,$B20,H$2)</f>
        <v>198.12</v>
      </c>
      <c r="I20" cm="1">
        <f t="array" ref="I20">+_xll.EQNXTDZ($A$1,$B20,I$2)</f>
        <v>174.88</v>
      </c>
      <c r="J20" cm="1">
        <f t="array" ref="J20">+_xll.EQNXTDZ($A$1,$B20,J$2)</f>
        <v>50</v>
      </c>
      <c r="K20" cm="1">
        <f t="array" ref="K20">+_xll.EQNXTDZ($A$1,$B20,K$2)</f>
        <v>17</v>
      </c>
      <c r="L20" cm="1">
        <f t="array" ref="L20">+_xll.EQNXTDZ($A$1,$B20,L$2)</f>
        <v>63</v>
      </c>
      <c r="M20" cm="1">
        <f t="array" ref="M20">+_xll.EQNXTDZ($A$1,$B20,M$2)</f>
        <v>32</v>
      </c>
      <c r="N20" cm="1">
        <f t="array" ref="N20">+_xll.EQNXTDZ($A$1,$B20,N$2)</f>
        <v>-2450.62</v>
      </c>
      <c r="O20" cm="1">
        <f t="array" ref="O20">+_xll.EQNXTDZ($A$1,$B20,O$2)</f>
        <v>69</v>
      </c>
      <c r="P20" cm="1">
        <f t="array" ref="P20">+_xll.EQNXTDZ($A$1,$B20,P$2)</f>
        <v>-807.3</v>
      </c>
      <c r="Q20" cm="1">
        <f t="array" ref="Q20">+_xll.EQNXTDZ($A$1,$B20,Q$2)</f>
        <v>62.38</v>
      </c>
      <c r="R20" cm="1">
        <f t="array" ref="R20">+_xll.EQNXTDZ($A$1,$B20,R$2)</f>
        <v>-1998.51</v>
      </c>
      <c r="S20" cm="1">
        <f t="array" ref="S20">+_xll.EQNXTDZ($A$1,$B20,S$2)</f>
        <v>211.81</v>
      </c>
      <c r="T20" cm="1">
        <f t="array" ref="T20">+_xll.EQNXTDZ($A$1,$B20,T$2)</f>
        <v>141.72</v>
      </c>
      <c r="U20" cm="1">
        <f t="array" ref="U20">+_xll.EQNXTDZ($A$1,$B20,U$2)</f>
        <v>201.8</v>
      </c>
      <c r="V20" cm="1">
        <f t="array" ref="V20">+_xll.EQNXTDZ($A$1,$B20,V$2)</f>
        <v>-75.180000000000007</v>
      </c>
      <c r="W20" cm="1">
        <f t="array" ref="W20">+_xll.EQNXTDZ($A$1,$B20,W$2)</f>
        <v>52.87</v>
      </c>
      <c r="X20" cm="1">
        <f t="array" ref="X20">+_xll.EQNXTDZ($A$1,$B20,X$2)</f>
        <v>178.54</v>
      </c>
      <c r="Y20" cm="1">
        <f t="array" ref="Y20">+_xll.EQNXTDZ($A$1,$B20,Y$2)</f>
        <v>360.7</v>
      </c>
      <c r="Z20" cm="1">
        <f t="array" ref="Z20">+_xll.EQNXTDZ($A$1,$B20,Z$2)</f>
        <v>557.53</v>
      </c>
      <c r="AA20" cm="1">
        <f t="array" ref="AA20">+_xll.EQNXTDZ($A$1,$B20,AA$2)</f>
        <v>844.67</v>
      </c>
      <c r="AB20" cm="1">
        <f t="array" ref="AB20">+_xll.EQNXTDZ($A$1,$B20,AB$2)</f>
        <v>910.8</v>
      </c>
      <c r="AC20" cm="1">
        <f t="array" ref="AC20">+_xll.EQNXTDZ($A$1,$B20,AC$2)</f>
        <v>700.66</v>
      </c>
      <c r="AD20" cm="1">
        <f t="array" ref="AD20">+_xll.EQNXTDZ($A$1,$B20,AD$2)</f>
        <v>827.04</v>
      </c>
      <c r="AE20" cm="1">
        <f t="array" ref="AE20">+_xll.EQNXTDZ($A$1,$B20,AE$2)</f>
        <v>894.15</v>
      </c>
      <c r="AF20" cm="1">
        <f t="array" ref="AF20">+_xll.EQNXTDZ($A$1,$B20,AF$2)</f>
        <v>743.2</v>
      </c>
      <c r="AG20" cm="1">
        <f t="array" ref="AG20">+_xll.EQNXTDZ($A$1,$B20,AG$2)</f>
        <v>949.34</v>
      </c>
      <c r="AH20" cm="1">
        <f t="array" ref="AH20">+_xll.EQNXTDZ($A$1,$B20,AH$2)</f>
        <v>982.55</v>
      </c>
      <c r="AI20" cm="1">
        <f t="array" ref="AI20">+_xll.EQNXTDZ($A$1,$B20,AI$2)</f>
        <v>1350.25</v>
      </c>
      <c r="AJ20" cm="1">
        <f t="array" ref="AJ20">+_xll.EQNXTDZ($A$1,$B20,AJ$2)</f>
        <v>1401.49</v>
      </c>
      <c r="AK20" cm="1">
        <f t="array" ref="AK20">+_xll.EQNXTDZ($A$1,$B20,AK$2)</f>
        <v>1250.5</v>
      </c>
      <c r="AL20" cm="1">
        <f t="array" ref="AL20">+_xll.EQNXTDZ($A$1,$B20,AL$2)</f>
        <v>1148.4100000000001</v>
      </c>
      <c r="AM20" cm="1">
        <f t="array" ref="AM20">+_xll.EQNXTDZ($A$1,$B20,AM$2)</f>
        <v>1428.52</v>
      </c>
      <c r="AN20" cm="1">
        <f t="array" ref="AN20">+_xll.EQNXTDZ($A$1,$B20,AN$2)</f>
        <v>1388.01</v>
      </c>
      <c r="AO20" cm="1">
        <f t="array" ref="AO20">+_xll.EQNXTDZ($A$1,$B20,AO$2)</f>
        <v>1334.17</v>
      </c>
      <c r="AP20" cm="1">
        <f t="array" ref="AP20">+_xll.EQNXTDZ($A$1,$B20,AP$2)</f>
        <v>1449.3</v>
      </c>
      <c r="AQ20" cm="1">
        <f t="array" ref="AQ20">+_xll.EQNXTDZ($A$1,$B20,AQ$2)</f>
        <v>1450</v>
      </c>
      <c r="AR20" cm="1">
        <f t="array" ref="AR20">+_xll.EQNXTDZ($A$1,$B20,AR$2)</f>
        <v>1460</v>
      </c>
      <c r="AS20" cm="1">
        <f t="array" ref="AS20">+_xll.EQNXTDZ($A$1,$B20,AS$2)</f>
        <v>1550</v>
      </c>
      <c r="AT20" cm="1">
        <f t="array" ref="AT20">+_xll.EQNXTDZ($A$1,$B20,AT$2)</f>
        <v>1260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220</v>
      </c>
      <c r="B21" t="s">
        <v>260</v>
      </c>
      <c r="C21" cm="1">
        <f t="array" ref="C21">+_xll.EQNXTDZ($A$1,$B21,C$2)</f>
        <v>478.84</v>
      </c>
      <c r="D21" cm="1">
        <f t="array" ref="D21">+_xll.EQNXTDZ($A$1,$B21,D$2)</f>
        <v>528.86</v>
      </c>
      <c r="E21" cm="1">
        <f t="array" ref="E21">+_xll.EQNXTDZ($A$1,$B21,E$2)</f>
        <v>84.97</v>
      </c>
      <c r="F21" cm="1">
        <f t="array" ref="F21">+_xll.EQNXTDZ($A$1,$B21,F$2)</f>
        <v>-3905.49</v>
      </c>
      <c r="G21" cm="1">
        <f t="array" ref="G21">+_xll.EQNXTDZ($A$1,$B21,G$2)</f>
        <v>228.95</v>
      </c>
      <c r="H21" cm="1">
        <f t="array" ref="H21">+_xll.EQNXTDZ($A$1,$B21,H$2)</f>
        <v>356.91</v>
      </c>
      <c r="I21" cm="1">
        <f t="array" ref="I21">+_xll.EQNXTDZ($A$1,$B21,I$2)</f>
        <v>321.88</v>
      </c>
      <c r="J21" cm="1">
        <f t="array" ref="J21">+_xll.EQNXTDZ($A$1,$B21,J$2)</f>
        <v>214.18</v>
      </c>
      <c r="K21" cm="1">
        <f t="array" ref="K21">+_xll.EQNXTDZ($A$1,$B21,K$2)</f>
        <v>251.6</v>
      </c>
      <c r="L21" cm="1">
        <f t="array" ref="L21">+_xll.EQNXTDZ($A$1,$B21,L$2)</f>
        <v>260.18</v>
      </c>
      <c r="M21" cm="1">
        <f t="array" ref="M21">+_xll.EQNXTDZ($A$1,$B21,M$2)</f>
        <v>125.75</v>
      </c>
      <c r="N21" cm="1">
        <f t="array" ref="N21">+_xll.EQNXTDZ($A$1,$B21,N$2)</f>
        <v>-4859.7700000000004</v>
      </c>
      <c r="O21" cm="1">
        <f t="array" ref="O21">+_xll.EQNXTDZ($A$1,$B21,O$2)</f>
        <v>281.49</v>
      </c>
      <c r="P21" cm="1">
        <f t="array" ref="P21">+_xll.EQNXTDZ($A$1,$B21,P$2)</f>
        <v>299.54000000000002</v>
      </c>
      <c r="Q21" cm="1">
        <f t="array" ref="Q21">+_xll.EQNXTDZ($A$1,$B21,Q$2)</f>
        <v>317.52</v>
      </c>
      <c r="R21" cm="1">
        <f t="array" ref="R21">+_xll.EQNXTDZ($A$1,$B21,R$2)</f>
        <v>-551.53</v>
      </c>
      <c r="S21" cm="1">
        <f t="array" ref="S21">+_xll.EQNXTDZ($A$1,$B21,S$2)</f>
        <v>329.07</v>
      </c>
      <c r="T21" cm="1">
        <f t="array" ref="T21">+_xll.EQNXTDZ($A$1,$B21,T$2)</f>
        <v>364.92</v>
      </c>
      <c r="U21" cm="1">
        <f t="array" ref="U21">+_xll.EQNXTDZ($A$1,$B21,U$2)</f>
        <v>329.62</v>
      </c>
      <c r="V21" cm="1">
        <f t="array" ref="V21">+_xll.EQNXTDZ($A$1,$B21,V$2)</f>
        <v>-3259.33</v>
      </c>
      <c r="W21" cm="1">
        <f t="array" ref="W21">+_xll.EQNXTDZ($A$1,$B21,W$2)</f>
        <v>406.24</v>
      </c>
      <c r="X21" cm="1">
        <f t="array" ref="X21">+_xll.EQNXTDZ($A$1,$B21,X$2)</f>
        <v>444.41</v>
      </c>
      <c r="Y21" cm="1">
        <f t="array" ref="Y21">+_xll.EQNXTDZ($A$1,$B21,Y$2)</f>
        <v>696.06</v>
      </c>
      <c r="Z21" cm="1">
        <f t="array" ref="Z21">+_xll.EQNXTDZ($A$1,$B21,Z$2)</f>
        <v>1010.87</v>
      </c>
      <c r="AA21" cm="1">
        <f t="array" ref="AA21">+_xll.EQNXTDZ($A$1,$B21,AA$2)</f>
        <v>1177.47</v>
      </c>
      <c r="AB21" cm="1">
        <f t="array" ref="AB21">+_xll.EQNXTDZ($A$1,$B21,AB$2)</f>
        <v>1332.61</v>
      </c>
      <c r="AC21" cm="1">
        <f t="array" ref="AC21">+_xll.EQNXTDZ($A$1,$B21,AC$2)</f>
        <v>1502.12</v>
      </c>
      <c r="AD21" cm="1">
        <f t="array" ref="AD21">+_xll.EQNXTDZ($A$1,$B21,AD$2)</f>
        <v>1666.22</v>
      </c>
      <c r="AE21" cm="1">
        <f t="array" ref="AE21">+_xll.EQNXTDZ($A$1,$B21,AE$2)</f>
        <v>2022.03</v>
      </c>
      <c r="AF21" cm="1">
        <f t="array" ref="AF21">+_xll.EQNXTDZ($A$1,$B21,AF$2)</f>
        <v>2525.4699999999998</v>
      </c>
      <c r="AG21" cm="1">
        <f t="array" ref="AG21">+_xll.EQNXTDZ($A$1,$B21,AG$2)</f>
        <v>2881.52</v>
      </c>
      <c r="AH21" cm="1">
        <f t="array" ref="AH21">+_xll.EQNXTDZ($A$1,$B21,AH$2)</f>
        <v>3174.74</v>
      </c>
      <c r="AI21" cm="1">
        <f t="array" ref="AI21">+_xll.EQNXTDZ($A$1,$B21,AI$2)</f>
        <v>3534.84</v>
      </c>
      <c r="AJ21" cm="1">
        <f t="array" ref="AJ21">+_xll.EQNXTDZ($A$1,$B21,AJ$2)</f>
        <v>3606.14</v>
      </c>
      <c r="AK21" cm="1">
        <f t="array" ref="AK21">+_xll.EQNXTDZ($A$1,$B21,AK$2)</f>
        <v>3656.12</v>
      </c>
      <c r="AL21" cm="1">
        <f t="array" ref="AL21">+_xll.EQNXTDZ($A$1,$B21,AL$2)</f>
        <v>3757.23</v>
      </c>
      <c r="AM21" cm="1">
        <f t="array" ref="AM21">+_xll.EQNXTDZ($A$1,$B21,AM$2)</f>
        <v>3905.28</v>
      </c>
      <c r="AN21" cm="1">
        <f t="array" ref="AN21">+_xll.EQNXTDZ($A$1,$B21,AN$2)</f>
        <v>4014.53</v>
      </c>
      <c r="AO21" cm="1">
        <f t="array" ref="AO21">+_xll.EQNXTDZ($A$1,$B21,AO$2)</f>
        <v>4104.2</v>
      </c>
      <c r="AP21" cm="1">
        <f t="array" ref="AP21">+_xll.EQNXTDZ($A$1,$B21,AP$2)</f>
        <v>5002.66</v>
      </c>
      <c r="AQ21" cm="1">
        <f t="array" ref="AQ21">+_xll.EQNXTDZ($A$1,$B21,AQ$2)</f>
        <v>4752.03</v>
      </c>
      <c r="AR21" cm="1">
        <f t="array" ref="AR21">+_xll.EQNXTDZ($A$1,$B21,AR$2)</f>
        <v>4773.96</v>
      </c>
      <c r="AS21" cm="1">
        <f t="array" ref="AS21">+_xll.EQNXTDZ($A$1,$B21,AS$2)</f>
        <v>5155.1099999999997</v>
      </c>
      <c r="AT21" cm="1">
        <f t="array" ref="AT21">+_xll.EQNXTDZ($A$1,$B21,AT$2)</f>
        <v>4505.57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221</v>
      </c>
      <c r="B22" t="s">
        <v>261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222</v>
      </c>
      <c r="B23" t="s">
        <v>262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223</v>
      </c>
      <c r="B24" t="s">
        <v>263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224</v>
      </c>
      <c r="B25" t="s">
        <v>264</v>
      </c>
      <c r="C25" cm="1">
        <f t="array" ref="C25">+_xll.EQNXTDZ($A$1,$B25,C$2)</f>
        <v>478.84</v>
      </c>
      <c r="D25" cm="1">
        <f t="array" ref="D25">+_xll.EQNXTDZ($A$1,$B25,D$2)</f>
        <v>528.86</v>
      </c>
      <c r="E25" cm="1">
        <f t="array" ref="E25">+_xll.EQNXTDZ($A$1,$B25,E$2)</f>
        <v>84.97</v>
      </c>
      <c r="F25" cm="1">
        <f t="array" ref="F25">+_xll.EQNXTDZ($A$1,$B25,F$2)</f>
        <v>-3905.49</v>
      </c>
      <c r="G25" cm="1">
        <f t="array" ref="G25">+_xll.EQNXTDZ($A$1,$B25,G$2)</f>
        <v>228.95</v>
      </c>
      <c r="H25" cm="1">
        <f t="array" ref="H25">+_xll.EQNXTDZ($A$1,$B25,H$2)</f>
        <v>356.91</v>
      </c>
      <c r="I25" cm="1">
        <f t="array" ref="I25">+_xll.EQNXTDZ($A$1,$B25,I$2)</f>
        <v>321.88</v>
      </c>
      <c r="J25" cm="1">
        <f t="array" ref="J25">+_xll.EQNXTDZ($A$1,$B25,J$2)</f>
        <v>214.18</v>
      </c>
      <c r="K25" cm="1">
        <f t="array" ref="K25">+_xll.EQNXTDZ($A$1,$B25,K$2)</f>
        <v>251.6</v>
      </c>
      <c r="L25" cm="1">
        <f t="array" ref="L25">+_xll.EQNXTDZ($A$1,$B25,L$2)</f>
        <v>260.18</v>
      </c>
      <c r="M25" cm="1">
        <f t="array" ref="M25">+_xll.EQNXTDZ($A$1,$B25,M$2)</f>
        <v>125.75</v>
      </c>
      <c r="N25" cm="1">
        <f t="array" ref="N25">+_xll.EQNXTDZ($A$1,$B25,N$2)</f>
        <v>-4859.7700000000004</v>
      </c>
      <c r="O25" cm="1">
        <f t="array" ref="O25">+_xll.EQNXTDZ($A$1,$B25,O$2)</f>
        <v>281.49</v>
      </c>
      <c r="P25" cm="1">
        <f t="array" ref="P25">+_xll.EQNXTDZ($A$1,$B25,P$2)</f>
        <v>299.54000000000002</v>
      </c>
      <c r="Q25" cm="1">
        <f t="array" ref="Q25">+_xll.EQNXTDZ($A$1,$B25,Q$2)</f>
        <v>317.52</v>
      </c>
      <c r="R25" cm="1">
        <f t="array" ref="R25">+_xll.EQNXTDZ($A$1,$B25,R$2)</f>
        <v>-551.53</v>
      </c>
      <c r="S25" cm="1">
        <f t="array" ref="S25">+_xll.EQNXTDZ($A$1,$B25,S$2)</f>
        <v>329.07</v>
      </c>
      <c r="T25" cm="1">
        <f t="array" ref="T25">+_xll.EQNXTDZ($A$1,$B25,T$2)</f>
        <v>364.92</v>
      </c>
      <c r="U25" cm="1">
        <f t="array" ref="U25">+_xll.EQNXTDZ($A$1,$B25,U$2)</f>
        <v>329.62</v>
      </c>
      <c r="V25" cm="1">
        <f t="array" ref="V25">+_xll.EQNXTDZ($A$1,$B25,V$2)</f>
        <v>-3259.33</v>
      </c>
      <c r="W25" cm="1">
        <f t="array" ref="W25">+_xll.EQNXTDZ($A$1,$B25,W$2)</f>
        <v>406.24</v>
      </c>
      <c r="X25" cm="1">
        <f t="array" ref="X25">+_xll.EQNXTDZ($A$1,$B25,X$2)</f>
        <v>444.41</v>
      </c>
      <c r="Y25" cm="1">
        <f t="array" ref="Y25">+_xll.EQNXTDZ($A$1,$B25,Y$2)</f>
        <v>696.06</v>
      </c>
      <c r="Z25" cm="1">
        <f t="array" ref="Z25">+_xll.EQNXTDZ($A$1,$B25,Z$2)</f>
        <v>1010.87</v>
      </c>
      <c r="AA25" cm="1">
        <f t="array" ref="AA25">+_xll.EQNXTDZ($A$1,$B25,AA$2)</f>
        <v>1177.47</v>
      </c>
      <c r="AB25" cm="1">
        <f t="array" ref="AB25">+_xll.EQNXTDZ($A$1,$B25,AB$2)</f>
        <v>1332.61</v>
      </c>
      <c r="AC25" cm="1">
        <f t="array" ref="AC25">+_xll.EQNXTDZ($A$1,$B25,AC$2)</f>
        <v>1502.12</v>
      </c>
      <c r="AD25" cm="1">
        <f t="array" ref="AD25">+_xll.EQNXTDZ($A$1,$B25,AD$2)</f>
        <v>1666.22</v>
      </c>
      <c r="AE25" cm="1">
        <f t="array" ref="AE25">+_xll.EQNXTDZ($A$1,$B25,AE$2)</f>
        <v>2022.03</v>
      </c>
      <c r="AF25" cm="1">
        <f t="array" ref="AF25">+_xll.EQNXTDZ($A$1,$B25,AF$2)</f>
        <v>2525.4699999999998</v>
      </c>
      <c r="AG25" cm="1">
        <f t="array" ref="AG25">+_xll.EQNXTDZ($A$1,$B25,AG$2)</f>
        <v>2881.52</v>
      </c>
      <c r="AH25" cm="1">
        <f t="array" ref="AH25">+_xll.EQNXTDZ($A$1,$B25,AH$2)</f>
        <v>3174.74</v>
      </c>
      <c r="AI25" cm="1">
        <f t="array" ref="AI25">+_xll.EQNXTDZ($A$1,$B25,AI$2)</f>
        <v>3534.84</v>
      </c>
      <c r="AJ25" cm="1">
        <f t="array" ref="AJ25">+_xll.EQNXTDZ($A$1,$B25,AJ$2)</f>
        <v>3606.14</v>
      </c>
      <c r="AK25" cm="1">
        <f t="array" ref="AK25">+_xll.EQNXTDZ($A$1,$B25,AK$2)</f>
        <v>3656.12</v>
      </c>
      <c r="AL25" cm="1">
        <f t="array" ref="AL25">+_xll.EQNXTDZ($A$1,$B25,AL$2)</f>
        <v>3757.23</v>
      </c>
      <c r="AM25" cm="1">
        <f t="array" ref="AM25">+_xll.EQNXTDZ($A$1,$B25,AM$2)</f>
        <v>3905.28</v>
      </c>
      <c r="AN25" cm="1">
        <f t="array" ref="AN25">+_xll.EQNXTDZ($A$1,$B25,AN$2)</f>
        <v>4014.53</v>
      </c>
      <c r="AO25" cm="1">
        <f t="array" ref="AO25">+_xll.EQNXTDZ($A$1,$B25,AO$2)</f>
        <v>4104.2</v>
      </c>
      <c r="AP25" cm="1">
        <f t="array" ref="AP25">+_xll.EQNXTDZ($A$1,$B25,AP$2)</f>
        <v>5002.66</v>
      </c>
      <c r="AQ25" cm="1">
        <f t="array" ref="AQ25">+_xll.EQNXTDZ($A$1,$B25,AQ$2)</f>
        <v>4752.03</v>
      </c>
      <c r="AR25" cm="1">
        <f t="array" ref="AR25">+_xll.EQNXTDZ($A$1,$B25,AR$2)</f>
        <v>4773.96</v>
      </c>
      <c r="AS25" cm="1">
        <f t="array" ref="AS25">+_xll.EQNXTDZ($A$1,$B25,AS$2)</f>
        <v>5155.1099999999997</v>
      </c>
      <c r="AT25" cm="1">
        <f t="array" ref="AT25">+_xll.EQNXTDZ($A$1,$B25,AT$2)</f>
        <v>4505.57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225</v>
      </c>
      <c r="B26" t="s">
        <v>265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226</v>
      </c>
      <c r="B27" t="s">
        <v>266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227</v>
      </c>
      <c r="B28" t="s">
        <v>267</v>
      </c>
      <c r="C28" cm="1">
        <f t="array" ref="C28">+_xll.EQNXTDZ($A$1,$B28,C$2)</f>
        <v>478.84</v>
      </c>
      <c r="D28" cm="1">
        <f t="array" ref="D28">+_xll.EQNXTDZ($A$1,$B28,D$2)</f>
        <v>528.86</v>
      </c>
      <c r="E28" cm="1">
        <f t="array" ref="E28">+_xll.EQNXTDZ($A$1,$B28,E$2)</f>
        <v>84.97</v>
      </c>
      <c r="F28" cm="1">
        <f t="array" ref="F28">+_xll.EQNXTDZ($A$1,$B28,F$2)</f>
        <v>-3905.49</v>
      </c>
      <c r="G28" cm="1">
        <f t="array" ref="G28">+_xll.EQNXTDZ($A$1,$B28,G$2)</f>
        <v>228.95</v>
      </c>
      <c r="H28" cm="1">
        <f t="array" ref="H28">+_xll.EQNXTDZ($A$1,$B28,H$2)</f>
        <v>356.91</v>
      </c>
      <c r="I28" cm="1">
        <f t="array" ref="I28">+_xll.EQNXTDZ($A$1,$B28,I$2)</f>
        <v>321.88</v>
      </c>
      <c r="J28" cm="1">
        <f t="array" ref="J28">+_xll.EQNXTDZ($A$1,$B28,J$2)</f>
        <v>214.18</v>
      </c>
      <c r="K28" cm="1">
        <f t="array" ref="K28">+_xll.EQNXTDZ($A$1,$B28,K$2)</f>
        <v>251.6</v>
      </c>
      <c r="L28" cm="1">
        <f t="array" ref="L28">+_xll.EQNXTDZ($A$1,$B28,L$2)</f>
        <v>260.18</v>
      </c>
      <c r="M28" cm="1">
        <f t="array" ref="M28">+_xll.EQNXTDZ($A$1,$B28,M$2)</f>
        <v>125.75</v>
      </c>
      <c r="N28" cm="1">
        <f t="array" ref="N28">+_xll.EQNXTDZ($A$1,$B28,N$2)</f>
        <v>-4859.7700000000004</v>
      </c>
      <c r="O28" cm="1">
        <f t="array" ref="O28">+_xll.EQNXTDZ($A$1,$B28,O$2)</f>
        <v>281.49</v>
      </c>
      <c r="P28" cm="1">
        <f t="array" ref="P28">+_xll.EQNXTDZ($A$1,$B28,P$2)</f>
        <v>299.54000000000002</v>
      </c>
      <c r="Q28" cm="1">
        <f t="array" ref="Q28">+_xll.EQNXTDZ($A$1,$B28,Q$2)</f>
        <v>317.52</v>
      </c>
      <c r="R28" cm="1">
        <f t="array" ref="R28">+_xll.EQNXTDZ($A$1,$B28,R$2)</f>
        <v>-551.53</v>
      </c>
      <c r="S28" cm="1">
        <f t="array" ref="S28">+_xll.EQNXTDZ($A$1,$B28,S$2)</f>
        <v>329.07</v>
      </c>
      <c r="T28" cm="1">
        <f t="array" ref="T28">+_xll.EQNXTDZ($A$1,$B28,T$2)</f>
        <v>364.92</v>
      </c>
      <c r="U28" cm="1">
        <f t="array" ref="U28">+_xll.EQNXTDZ($A$1,$B28,U$2)</f>
        <v>329.62</v>
      </c>
      <c r="V28" cm="1">
        <f t="array" ref="V28">+_xll.EQNXTDZ($A$1,$B28,V$2)</f>
        <v>-3259.33</v>
      </c>
      <c r="W28" cm="1">
        <f t="array" ref="W28">+_xll.EQNXTDZ($A$1,$B28,W$2)</f>
        <v>406.24</v>
      </c>
      <c r="X28" cm="1">
        <f t="array" ref="X28">+_xll.EQNXTDZ($A$1,$B28,X$2)</f>
        <v>444.41</v>
      </c>
      <c r="Y28" cm="1">
        <f t="array" ref="Y28">+_xll.EQNXTDZ($A$1,$B28,Y$2)</f>
        <v>696.06</v>
      </c>
      <c r="Z28" cm="1">
        <f t="array" ref="Z28">+_xll.EQNXTDZ($A$1,$B28,Z$2)</f>
        <v>1010.87</v>
      </c>
      <c r="AA28" cm="1">
        <f t="array" ref="AA28">+_xll.EQNXTDZ($A$1,$B28,AA$2)</f>
        <v>1177.47</v>
      </c>
      <c r="AB28" cm="1">
        <f t="array" ref="AB28">+_xll.EQNXTDZ($A$1,$B28,AB$2)</f>
        <v>1332.61</v>
      </c>
      <c r="AC28" cm="1">
        <f t="array" ref="AC28">+_xll.EQNXTDZ($A$1,$B28,AC$2)</f>
        <v>1502.12</v>
      </c>
      <c r="AD28" cm="1">
        <f t="array" ref="AD28">+_xll.EQNXTDZ($A$1,$B28,AD$2)</f>
        <v>1666.22</v>
      </c>
      <c r="AE28" cm="1">
        <f t="array" ref="AE28">+_xll.EQNXTDZ($A$1,$B28,AE$2)</f>
        <v>2022.03</v>
      </c>
      <c r="AF28" cm="1">
        <f t="array" ref="AF28">+_xll.EQNXTDZ($A$1,$B28,AF$2)</f>
        <v>2525.4699999999998</v>
      </c>
      <c r="AG28" cm="1">
        <f t="array" ref="AG28">+_xll.EQNXTDZ($A$1,$B28,AG$2)</f>
        <v>2881.52</v>
      </c>
      <c r="AH28" cm="1">
        <f t="array" ref="AH28">+_xll.EQNXTDZ($A$1,$B28,AH$2)</f>
        <v>3174.74</v>
      </c>
      <c r="AI28" cm="1">
        <f t="array" ref="AI28">+_xll.EQNXTDZ($A$1,$B28,AI$2)</f>
        <v>3534.84</v>
      </c>
      <c r="AJ28" cm="1">
        <f t="array" ref="AJ28">+_xll.EQNXTDZ($A$1,$B28,AJ$2)</f>
        <v>3606.14</v>
      </c>
      <c r="AK28" cm="1">
        <f t="array" ref="AK28">+_xll.EQNXTDZ($A$1,$B28,AK$2)</f>
        <v>3656.12</v>
      </c>
      <c r="AL28" cm="1">
        <f t="array" ref="AL28">+_xll.EQNXTDZ($A$1,$B28,AL$2)</f>
        <v>3757.23</v>
      </c>
      <c r="AM28" cm="1">
        <f t="array" ref="AM28">+_xll.EQNXTDZ($A$1,$B28,AM$2)</f>
        <v>3905.28</v>
      </c>
      <c r="AN28" cm="1">
        <f t="array" ref="AN28">+_xll.EQNXTDZ($A$1,$B28,AN$2)</f>
        <v>4014.53</v>
      </c>
      <c r="AO28" cm="1">
        <f t="array" ref="AO28">+_xll.EQNXTDZ($A$1,$B28,AO$2)</f>
        <v>4104.2</v>
      </c>
      <c r="AP28" cm="1">
        <f t="array" ref="AP28">+_xll.EQNXTDZ($A$1,$B28,AP$2)</f>
        <v>5002.66</v>
      </c>
      <c r="AQ28" cm="1">
        <f t="array" ref="AQ28">+_xll.EQNXTDZ($A$1,$B28,AQ$2)</f>
        <v>4752.03</v>
      </c>
      <c r="AR28" cm="1">
        <f t="array" ref="AR28">+_xll.EQNXTDZ($A$1,$B28,AR$2)</f>
        <v>4773.96</v>
      </c>
      <c r="AS28" cm="1">
        <f t="array" ref="AS28">+_xll.EQNXTDZ($A$1,$B28,AS$2)</f>
        <v>5155.1099999999997</v>
      </c>
      <c r="AT28" cm="1">
        <f t="array" ref="AT28">+_xll.EQNXTDZ($A$1,$B28,AT$2)</f>
        <v>4505.57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228</v>
      </c>
      <c r="B29" t="s">
        <v>268</v>
      </c>
      <c r="C29" cm="1">
        <f t="array" ref="C29">+_xll.EQNXTDZ($A$1,$B29,C$2)</f>
        <v>515.20000000000005</v>
      </c>
      <c r="D29" cm="1">
        <f t="array" ref="D29">+_xll.EQNXTDZ($A$1,$B29,D$2)</f>
        <v>542.99</v>
      </c>
      <c r="E29" cm="1">
        <f t="array" ref="E29">+_xll.EQNXTDZ($A$1,$B29,E$2)</f>
        <v>542.99</v>
      </c>
      <c r="F29" cm="1">
        <f t="array" ref="F29">+_xll.EQNXTDZ($A$1,$B29,F$2)</f>
        <v>542.99</v>
      </c>
      <c r="G29" cm="1">
        <f t="array" ref="G29">+_xll.EQNXTDZ($A$1,$B29,G$2)</f>
        <v>542.99</v>
      </c>
      <c r="H29" cm="1">
        <f t="array" ref="H29">+_xll.EQNXTDZ($A$1,$B29,H$2)</f>
        <v>542.99</v>
      </c>
      <c r="I29" cm="1">
        <f t="array" ref="I29">+_xll.EQNXTDZ($A$1,$B29,I$2)</f>
        <v>542.99</v>
      </c>
      <c r="J29" cm="1">
        <f t="array" ref="J29">+_xll.EQNXTDZ($A$1,$B29,J$2)</f>
        <v>597.29</v>
      </c>
      <c r="K29" cm="1">
        <f t="array" ref="K29">+_xll.EQNXTDZ($A$1,$B29,K$2)</f>
        <v>597.29</v>
      </c>
      <c r="L29" cm="1">
        <f t="array" ref="L29">+_xll.EQNXTDZ($A$1,$B29,L$2)</f>
        <v>597.29</v>
      </c>
      <c r="M29" cm="1">
        <f t="array" ref="M29">+_xll.EQNXTDZ($A$1,$B29,M$2)</f>
        <v>597.29</v>
      </c>
      <c r="N29" cm="1">
        <f t="array" ref="N29">+_xll.EQNXTDZ($A$1,$B29,N$2)</f>
        <v>733.24</v>
      </c>
      <c r="O29" cm="1">
        <f t="array" ref="O29">+_xll.EQNXTDZ($A$1,$B29,O$2)</f>
        <v>733.24</v>
      </c>
      <c r="P29" cm="1">
        <f t="array" ref="P29">+_xll.EQNXTDZ($A$1,$B29,P$2)</f>
        <v>733.24</v>
      </c>
      <c r="Q29" cm="1">
        <f t="array" ref="Q29">+_xll.EQNXTDZ($A$1,$B29,Q$2)</f>
        <v>733.24</v>
      </c>
      <c r="R29" cm="1">
        <f t="array" ref="R29">+_xll.EQNXTDZ($A$1,$B29,R$2)</f>
        <v>753.24</v>
      </c>
      <c r="S29" cm="1">
        <f t="array" ref="S29">+_xll.EQNXTDZ($A$1,$B29,S$2)</f>
        <v>753.24</v>
      </c>
      <c r="T29" cm="1">
        <f t="array" ref="T29">+_xll.EQNXTDZ($A$1,$B29,T$2)</f>
        <v>753.24</v>
      </c>
      <c r="U29" cm="1">
        <f t="array" ref="U29">+_xll.EQNXTDZ($A$1,$B29,U$2)</f>
        <v>1030.23</v>
      </c>
      <c r="V29" cm="1">
        <f t="array" ref="V29">+_xll.EQNXTDZ($A$1,$B29,V$2)</f>
        <v>1030.23</v>
      </c>
      <c r="W29" cm="1">
        <f t="array" ref="W29">+_xll.EQNXTDZ($A$1,$B29,W$2)</f>
        <v>1453.5</v>
      </c>
      <c r="X29" cm="1">
        <f t="array" ref="X29">+_xll.EQNXTDZ($A$1,$B29,X$2)</f>
        <v>1453.5</v>
      </c>
      <c r="Y29" cm="1">
        <f t="array" ref="Y29">+_xll.EQNXTDZ($A$1,$B29,Y$2)</f>
        <v>1646.74</v>
      </c>
      <c r="Z29" cm="1">
        <f t="array" ref="Z29">+_xll.EQNXTDZ($A$1,$B29,Z$2)</f>
        <v>1646.74</v>
      </c>
      <c r="AA29" cm="1">
        <f t="array" ref="AA29">+_xll.EQNXTDZ($A$1,$B29,AA$2)</f>
        <v>1646.74</v>
      </c>
      <c r="AB29" cm="1">
        <f t="array" ref="AB29">+_xll.EQNXTDZ($A$1,$B29,AB$2)</f>
        <v>1814.13</v>
      </c>
      <c r="AC29" cm="1">
        <f t="array" ref="AC29">+_xll.EQNXTDZ($A$1,$B29,AC$2)</f>
        <v>1814.13</v>
      </c>
      <c r="AD29" cm="1">
        <f t="array" ref="AD29">+_xll.EQNXTDZ($A$1,$B29,AD$2)</f>
        <v>1814.13</v>
      </c>
      <c r="AE29" cm="1">
        <f t="array" ref="AE29">+_xll.EQNXTDZ($A$1,$B29,AE$2)</f>
        <v>1814.13</v>
      </c>
      <c r="AF29" cm="1">
        <f t="array" ref="AF29">+_xll.EQNXTDZ($A$1,$B29,AF$2)</f>
        <v>1814.13</v>
      </c>
      <c r="AG29" cm="1">
        <f t="array" ref="AG29">+_xll.EQNXTDZ($A$1,$B29,AG$2)</f>
        <v>1814.13</v>
      </c>
      <c r="AH29" cm="1">
        <f t="array" ref="AH29">+_xll.EQNXTDZ($A$1,$B29,AH$2)</f>
        <v>1814.13</v>
      </c>
      <c r="AI29" cm="1">
        <f t="array" ref="AI29">+_xll.EQNXTDZ($A$1,$B29,AI$2)</f>
        <v>1814.13</v>
      </c>
      <c r="AJ29" cm="1">
        <f t="array" ref="AJ29">+_xll.EQNXTDZ($A$1,$B29,AJ$2)</f>
        <v>1814.13</v>
      </c>
      <c r="AK29" cm="1">
        <f t="array" ref="AK29">+_xll.EQNXTDZ($A$1,$B29,AK$2)</f>
        <v>1814.13</v>
      </c>
      <c r="AL29" cm="1">
        <f t="array" ref="AL29">+_xll.EQNXTDZ($A$1,$B29,AL$2)</f>
        <v>1814.13</v>
      </c>
      <c r="AM29" cm="1">
        <f t="array" ref="AM29">+_xll.EQNXTDZ($A$1,$B29,AM$2)</f>
        <v>1814.13</v>
      </c>
      <c r="AN29" cm="1">
        <f t="array" ref="AN29">+_xll.EQNXTDZ($A$1,$B29,AN$2)</f>
        <v>1814.13</v>
      </c>
      <c r="AO29" cm="1">
        <f t="array" ref="AO29">+_xll.EQNXTDZ($A$1,$B29,AO$2)</f>
        <v>1814.13</v>
      </c>
      <c r="AP29" cm="1">
        <f t="array" ref="AP29">+_xll.EQNXTDZ($A$1,$B29,AP$2)</f>
        <v>1814.13</v>
      </c>
      <c r="AQ29" cm="1">
        <f t="array" ref="AQ29">+_xll.EQNXTDZ($A$1,$B29,AQ$2)</f>
        <v>1814.13</v>
      </c>
      <c r="AR29" cm="1">
        <f t="array" ref="AR29">+_xll.EQNXTDZ($A$1,$B29,AR$2)</f>
        <v>1814.13</v>
      </c>
      <c r="AS29" cm="1">
        <f t="array" ref="AS29">+_xll.EQNXTDZ($A$1,$B29,AS$2)</f>
        <v>1814.13</v>
      </c>
      <c r="AT29" cm="1">
        <f t="array" ref="AT29">+_xll.EQNXTDZ($A$1,$B29,AT$2)</f>
        <v>1814.13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204</v>
      </c>
      <c r="B30" t="s">
        <v>269</v>
      </c>
      <c r="C30" cm="1">
        <f t="array" ref="C30">+_xll.EQNXTDZ($A$1,$B30,C$2)</f>
        <v>10</v>
      </c>
      <c r="D30" cm="1">
        <f t="array" ref="D30">+_xll.EQNXTDZ($A$1,$B30,D$2)</f>
        <v>10</v>
      </c>
      <c r="E30" cm="1">
        <f t="array" ref="E30">+_xll.EQNXTDZ($A$1,$B30,E$2)</f>
        <v>10</v>
      </c>
      <c r="F30" cm="1">
        <f t="array" ref="F30">+_xll.EQNXTDZ($A$1,$B30,F$2)</f>
        <v>10</v>
      </c>
      <c r="G30" cm="1">
        <f t="array" ref="G30">+_xll.EQNXTDZ($A$1,$B30,G$2)</f>
        <v>10</v>
      </c>
      <c r="H30" cm="1">
        <f t="array" ref="H30">+_xll.EQNXTDZ($A$1,$B30,H$2)</f>
        <v>10</v>
      </c>
      <c r="I30" cm="1">
        <f t="array" ref="I30">+_xll.EQNXTDZ($A$1,$B30,I$2)</f>
        <v>10</v>
      </c>
      <c r="J30" cm="1">
        <f t="array" ref="J30">+_xll.EQNXTDZ($A$1,$B30,J$2)</f>
        <v>10</v>
      </c>
      <c r="K30" cm="1">
        <f t="array" ref="K30">+_xll.EQNXTDZ($A$1,$B30,K$2)</f>
        <v>10</v>
      </c>
      <c r="L30" cm="1">
        <f t="array" ref="L30">+_xll.EQNXTDZ($A$1,$B30,L$2)</f>
        <v>10</v>
      </c>
      <c r="M30" cm="1">
        <f t="array" ref="M30">+_xll.EQNXTDZ($A$1,$B30,M$2)</f>
        <v>10</v>
      </c>
      <c r="N30" cm="1">
        <f t="array" ref="N30">+_xll.EQNXTDZ($A$1,$B30,N$2)</f>
        <v>10</v>
      </c>
      <c r="O30" cm="1">
        <f t="array" ref="O30">+_xll.EQNXTDZ($A$1,$B30,O$2)</f>
        <v>10</v>
      </c>
      <c r="P30" cm="1">
        <f t="array" ref="P30">+_xll.EQNXTDZ($A$1,$B30,P$2)</f>
        <v>10</v>
      </c>
      <c r="Q30" cm="1">
        <f t="array" ref="Q30">+_xll.EQNXTDZ($A$1,$B30,Q$2)</f>
        <v>10</v>
      </c>
      <c r="R30" cm="1">
        <f t="array" ref="R30">+_xll.EQNXTDZ($A$1,$B30,R$2)</f>
        <v>10</v>
      </c>
      <c r="S30" cm="1">
        <f t="array" ref="S30">+_xll.EQNXTDZ($A$1,$B30,S$2)</f>
        <v>10</v>
      </c>
      <c r="T30" cm="1">
        <f t="array" ref="T30">+_xll.EQNXTDZ($A$1,$B30,T$2)</f>
        <v>10</v>
      </c>
      <c r="U30" cm="1">
        <f t="array" ref="U30">+_xll.EQNXTDZ($A$1,$B30,U$2)</f>
        <v>10</v>
      </c>
      <c r="V30" cm="1">
        <f t="array" ref="V30">+_xll.EQNXTDZ($A$1,$B30,V$2)</f>
        <v>10</v>
      </c>
      <c r="W30" cm="1">
        <f t="array" ref="W30">+_xll.EQNXTDZ($A$1,$B30,W$2)</f>
        <v>10</v>
      </c>
      <c r="X30" cm="1">
        <f t="array" ref="X30">+_xll.EQNXTDZ($A$1,$B30,X$2)</f>
        <v>10</v>
      </c>
      <c r="Y30" cm="1">
        <f t="array" ref="Y30">+_xll.EQNXTDZ($A$1,$B30,Y$2)</f>
        <v>10</v>
      </c>
      <c r="Z30" cm="1">
        <f t="array" ref="Z30">+_xll.EQNXTDZ($A$1,$B30,Z$2)</f>
        <v>10</v>
      </c>
      <c r="AA30" cm="1">
        <f t="array" ref="AA30">+_xll.EQNXTDZ($A$1,$B30,AA$2)</f>
        <v>10</v>
      </c>
      <c r="AB30" cm="1">
        <f t="array" ref="AB30">+_xll.EQNXTDZ($A$1,$B30,AB$2)</f>
        <v>10</v>
      </c>
      <c r="AC30" cm="1">
        <f t="array" ref="AC30">+_xll.EQNXTDZ($A$1,$B30,AC$2)</f>
        <v>10</v>
      </c>
      <c r="AD30" cm="1">
        <f t="array" ref="AD30">+_xll.EQNXTDZ($A$1,$B30,AD$2)</f>
        <v>10</v>
      </c>
      <c r="AE30" cm="1">
        <f t="array" ref="AE30">+_xll.EQNXTDZ($A$1,$B30,AE$2)</f>
        <v>10</v>
      </c>
      <c r="AF30" cm="1">
        <f t="array" ref="AF30">+_xll.EQNXTDZ($A$1,$B30,AF$2)</f>
        <v>10</v>
      </c>
      <c r="AG30" cm="1">
        <f t="array" ref="AG30">+_xll.EQNXTDZ($A$1,$B30,AG$2)</f>
        <v>10</v>
      </c>
      <c r="AH30" cm="1">
        <f t="array" ref="AH30">+_xll.EQNXTDZ($A$1,$B30,AH$2)</f>
        <v>10</v>
      </c>
      <c r="AI30" cm="1">
        <f t="array" ref="AI30">+_xll.EQNXTDZ($A$1,$B30,AI$2)</f>
        <v>10</v>
      </c>
      <c r="AJ30" cm="1">
        <f t="array" ref="AJ30">+_xll.EQNXTDZ($A$1,$B30,AJ$2)</f>
        <v>10</v>
      </c>
      <c r="AK30" cm="1">
        <f t="array" ref="AK30">+_xll.EQNXTDZ($A$1,$B30,AK$2)</f>
        <v>10</v>
      </c>
      <c r="AL30" cm="1">
        <f t="array" ref="AL30">+_xll.EQNXTDZ($A$1,$B30,AL$2)</f>
        <v>10</v>
      </c>
      <c r="AM30" cm="1">
        <f t="array" ref="AM30">+_xll.EQNXTDZ($A$1,$B30,AM$2)</f>
        <v>2</v>
      </c>
      <c r="AN30" cm="1">
        <f t="array" ref="AN30">+_xll.EQNXTDZ($A$1,$B30,AN$2)</f>
        <v>2</v>
      </c>
      <c r="AO30" cm="1">
        <f t="array" ref="AO30">+_xll.EQNXTDZ($A$1,$B30,AO$2)</f>
        <v>2</v>
      </c>
      <c r="AP30" cm="1">
        <f t="array" ref="AP30">+_xll.EQNXTDZ($A$1,$B30,AP$2)</f>
        <v>2</v>
      </c>
      <c r="AQ30" cm="1">
        <f t="array" ref="AQ30">+_xll.EQNXTDZ($A$1,$B30,AQ$2)</f>
        <v>2</v>
      </c>
      <c r="AR30" cm="1">
        <f t="array" ref="AR30">+_xll.EQNXTDZ($A$1,$B30,AR$2)</f>
        <v>2</v>
      </c>
      <c r="AS30" cm="1">
        <f t="array" ref="AS30">+_xll.EQNXTDZ($A$1,$B30,AS$2)</f>
        <v>2</v>
      </c>
      <c r="AT30" cm="1">
        <f t="array" ref="AT30">+_xll.EQNXTDZ($A$1,$B30,AT$2)</f>
        <v>2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229</v>
      </c>
      <c r="B31" t="s">
        <v>270</v>
      </c>
      <c r="C31" cm="1">
        <f t="array" ref="C31">+_xll.EQNXTDZ($A$1,$B31,C$2)</f>
        <v>0</v>
      </c>
      <c r="D31" cm="1">
        <f t="array" ref="D31">+_xll.EQNXTDZ($A$1,$B31,D$2)</f>
        <v>0</v>
      </c>
      <c r="E31" cm="1">
        <f t="array" ref="E31">+_xll.EQNXTDZ($A$1,$B31,E$2)</f>
        <v>0</v>
      </c>
      <c r="F31" cm="1">
        <f t="array" ref="F31">+_xll.EQNXTDZ($A$1,$B31,F$2)</f>
        <v>0</v>
      </c>
      <c r="G31" cm="1">
        <f t="array" ref="G31">+_xll.EQNXTDZ($A$1,$B31,G$2)</f>
        <v>0</v>
      </c>
      <c r="H31" cm="1">
        <f t="array" ref="H31">+_xll.EQNXTDZ($A$1,$B31,H$2)</f>
        <v>0</v>
      </c>
      <c r="I31" cm="1">
        <f t="array" ref="I31">+_xll.EQNXTDZ($A$1,$B31,I$2)</f>
        <v>0</v>
      </c>
      <c r="J31" cm="1">
        <f t="array" ref="J31">+_xll.EQNXTDZ($A$1,$B31,J$2)</f>
        <v>0</v>
      </c>
      <c r="K31" cm="1">
        <f t="array" ref="K31">+_xll.EQNXTDZ($A$1,$B31,K$2)</f>
        <v>0</v>
      </c>
      <c r="L31" cm="1">
        <f t="array" ref="L31">+_xll.EQNXTDZ($A$1,$B31,L$2)</f>
        <v>0</v>
      </c>
      <c r="M31" cm="1">
        <f t="array" ref="M31">+_xll.EQNXTDZ($A$1,$B31,M$2)</f>
        <v>0</v>
      </c>
      <c r="N31" cm="1">
        <f t="array" ref="N31">+_xll.EQNXTDZ($A$1,$B31,N$2)</f>
        <v>0</v>
      </c>
      <c r="O31" cm="1">
        <f t="array" ref="O31">+_xll.EQNXTDZ($A$1,$B31,O$2)</f>
        <v>0</v>
      </c>
      <c r="P31" cm="1">
        <f t="array" ref="P31">+_xll.EQNXTDZ($A$1,$B31,P$2)</f>
        <v>0</v>
      </c>
      <c r="Q31" cm="1">
        <f t="array" ref="Q31">+_xll.EQNXTDZ($A$1,$B31,Q$2)</f>
        <v>0</v>
      </c>
      <c r="R31" cm="1">
        <f t="array" ref="R31">+_xll.EQNXTDZ($A$1,$B31,R$2)</f>
        <v>0</v>
      </c>
      <c r="S31" cm="1">
        <f t="array" ref="S31">+_xll.EQNXTDZ($A$1,$B31,S$2)</f>
        <v>0</v>
      </c>
      <c r="T31" cm="1">
        <f t="array" ref="T31">+_xll.EQNXTDZ($A$1,$B31,T$2)</f>
        <v>0</v>
      </c>
      <c r="U31" cm="1">
        <f t="array" ref="U31">+_xll.EQNXTDZ($A$1,$B31,U$2)</f>
        <v>0</v>
      </c>
      <c r="V31" cm="1">
        <f t="array" ref="V31">+_xll.EQNXTDZ($A$1,$B31,V$2)</f>
        <v>0</v>
      </c>
      <c r="W31" cm="1">
        <f t="array" ref="W31">+_xll.EQNXTDZ($A$1,$B31,W$2)</f>
        <v>0</v>
      </c>
      <c r="X31" cm="1">
        <f t="array" ref="X31">+_xll.EQNXTDZ($A$1,$B31,X$2)</f>
        <v>0</v>
      </c>
      <c r="Y31" cm="1">
        <f t="array" ref="Y31">+_xll.EQNXTDZ($A$1,$B31,Y$2)</f>
        <v>0</v>
      </c>
      <c r="Z31" cm="1">
        <f t="array" ref="Z31">+_xll.EQNXTDZ($A$1,$B31,Z$2)</f>
        <v>0</v>
      </c>
      <c r="AA31" cm="1">
        <f t="array" ref="AA31">+_xll.EQNXTDZ($A$1,$B31,AA$2)</f>
        <v>0</v>
      </c>
      <c r="AB31" cm="1">
        <f t="array" ref="AB31">+_xll.EQNXTDZ($A$1,$B31,AB$2)</f>
        <v>0</v>
      </c>
      <c r="AC31" cm="1">
        <f t="array" ref="AC31">+_xll.EQNXTDZ($A$1,$B31,AC$2)</f>
        <v>0</v>
      </c>
      <c r="AD31" cm="1">
        <f t="array" ref="AD31">+_xll.EQNXTDZ($A$1,$B31,AD$2)</f>
        <v>0</v>
      </c>
      <c r="AE31" cm="1">
        <f t="array" ref="AE31">+_xll.EQNXTDZ($A$1,$B31,AE$2)</f>
        <v>0</v>
      </c>
      <c r="AF31" cm="1">
        <f t="array" ref="AF31">+_xll.EQNXTDZ($A$1,$B31,AF$2)</f>
        <v>0</v>
      </c>
      <c r="AG31" cm="1">
        <f t="array" ref="AG31">+_xll.EQNXTDZ($A$1,$B31,AG$2)</f>
        <v>0</v>
      </c>
      <c r="AH31" cm="1">
        <f t="array" ref="AH31">+_xll.EQNXTDZ($A$1,$B31,AH$2)</f>
        <v>0</v>
      </c>
      <c r="AI31" cm="1">
        <f t="array" ref="AI31">+_xll.EQNXTDZ($A$1,$B31,AI$2)</f>
        <v>0</v>
      </c>
      <c r="AJ31" cm="1">
        <f t="array" ref="AJ31">+_xll.EQNXTDZ($A$1,$B31,AJ$2)</f>
        <v>0</v>
      </c>
      <c r="AK31" cm="1">
        <f t="array" ref="AK31">+_xll.EQNXTDZ($A$1,$B31,AK$2)</f>
        <v>0</v>
      </c>
      <c r="AL31" cm="1">
        <f t="array" ref="AL31">+_xll.EQNXTDZ($A$1,$B31,AL$2)</f>
        <v>0</v>
      </c>
      <c r="AM31" cm="1">
        <f t="array" ref="AM31">+_xll.EQNXTDZ($A$1,$B31,AM$2)</f>
        <v>0</v>
      </c>
      <c r="AN31" cm="1">
        <f t="array" ref="AN31">+_xll.EQNXTDZ($A$1,$B31,AN$2)</f>
        <v>0</v>
      </c>
      <c r="AO31" cm="1">
        <f t="array" ref="AO31">+_xll.EQNXTDZ($A$1,$B31,AO$2)</f>
        <v>0</v>
      </c>
      <c r="AP31" cm="1">
        <f t="array" ref="AP31">+_xll.EQNXTDZ($A$1,$B31,AP$2)</f>
        <v>0</v>
      </c>
      <c r="AQ31" cm="1">
        <f t="array" ref="AQ31">+_xll.EQNXTDZ($A$1,$B31,AQ$2)</f>
        <v>0</v>
      </c>
      <c r="AR31" cm="1">
        <f t="array" ref="AR31">+_xll.EQNXTDZ($A$1,$B31,AR$2)</f>
        <v>0</v>
      </c>
      <c r="AS31" cm="1">
        <f t="array" ref="AS31">+_xll.EQNXTDZ($A$1,$B31,AS$2)</f>
        <v>0</v>
      </c>
      <c r="AT31" cm="1">
        <f t="array" ref="AT31">+_xll.EQNXTDZ($A$1,$B31,AT$2)</f>
        <v>0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230</v>
      </c>
      <c r="B32" t="s">
        <v>271</v>
      </c>
      <c r="C32" cm="1">
        <f t="array" ref="C32">+_xll.EQNXTDZ($A$1,$B32,C$2)</f>
        <v>64.48</v>
      </c>
      <c r="D32" cm="1">
        <f t="array" ref="D32">+_xll.EQNXTDZ($A$1,$B32,D$2)</f>
        <v>66.3</v>
      </c>
      <c r="E32" cm="1">
        <f t="array" ref="E32">+_xll.EQNXTDZ($A$1,$B32,E$2)</f>
        <v>66.3</v>
      </c>
      <c r="F32" cm="1">
        <f t="array" ref="F32">+_xll.EQNXTDZ($A$1,$B32,F$2)</f>
        <v>66.3</v>
      </c>
      <c r="G32" cm="1">
        <f t="array" ref="G32">+_xll.EQNXTDZ($A$1,$B32,G$2)</f>
        <v>66.3</v>
      </c>
      <c r="H32" cm="1">
        <f t="array" ref="H32">+_xll.EQNXTDZ($A$1,$B32,H$2)</f>
        <v>66.3</v>
      </c>
      <c r="I32" cm="1">
        <f t="array" ref="I32">+_xll.EQNXTDZ($A$1,$B32,I$2)</f>
        <v>66.3</v>
      </c>
      <c r="J32" cm="1">
        <f t="array" ref="J32">+_xll.EQNXTDZ($A$1,$B32,J$2)</f>
        <v>66.3</v>
      </c>
      <c r="K32" cm="1">
        <f t="array" ref="K32">+_xll.EQNXTDZ($A$1,$B32,K$2)</f>
        <v>66.3</v>
      </c>
      <c r="L32" cm="1">
        <f t="array" ref="L32">+_xll.EQNXTDZ($A$1,$B32,L$2)</f>
        <v>66.3</v>
      </c>
      <c r="M32" cm="1">
        <f t="array" ref="M32">+_xll.EQNXTDZ($A$1,$B32,M$2)</f>
        <v>66.3</v>
      </c>
      <c r="N32" cm="1">
        <f t="array" ref="N32">+_xll.EQNXTDZ($A$1,$B32,N$2)</f>
        <v>72.55</v>
      </c>
      <c r="O32" cm="1">
        <f t="array" ref="O32">+_xll.EQNXTDZ($A$1,$B32,O$2)</f>
        <v>72.55</v>
      </c>
      <c r="P32" cm="1">
        <f t="array" ref="P32">+_xll.EQNXTDZ($A$1,$B32,P$2)</f>
        <v>72.55</v>
      </c>
      <c r="Q32" cm="1">
        <f t="array" ref="Q32">+_xll.EQNXTDZ($A$1,$B32,Q$2)</f>
        <v>72.55</v>
      </c>
      <c r="R32" cm="1">
        <f t="array" ref="R32">+_xll.EQNXTDZ($A$1,$B32,R$2)</f>
        <v>70.62</v>
      </c>
      <c r="S32" cm="1">
        <f t="array" ref="S32">+_xll.EQNXTDZ($A$1,$B32,S$2)</f>
        <v>70.62</v>
      </c>
      <c r="T32" cm="1">
        <f t="array" ref="T32">+_xll.EQNXTDZ($A$1,$B32,T$2)</f>
        <v>70.62</v>
      </c>
      <c r="U32" cm="1">
        <f t="array" ref="U32">+_xll.EQNXTDZ($A$1,$B32,U$2)</f>
        <v>78.52</v>
      </c>
      <c r="V32" cm="1">
        <f t="array" ref="V32">+_xll.EQNXTDZ($A$1,$B32,V$2)</f>
        <v>78.52</v>
      </c>
      <c r="W32" cm="1">
        <f t="array" ref="W32">+_xll.EQNXTDZ($A$1,$B32,W$2)</f>
        <v>78.55</v>
      </c>
      <c r="X32" cm="1">
        <f t="array" ref="X32">+_xll.EQNXTDZ($A$1,$B32,X$2)</f>
        <v>78.55</v>
      </c>
      <c r="Y32" cm="1">
        <f t="array" ref="Y32">+_xll.EQNXTDZ($A$1,$B32,Y$2)</f>
        <v>69.33</v>
      </c>
      <c r="Z32" cm="1">
        <f t="array" ref="Z32">+_xll.EQNXTDZ($A$1,$B32,Z$2)</f>
        <v>69.33</v>
      </c>
      <c r="AA32" cm="1">
        <f t="array" ref="AA32">+_xll.EQNXTDZ($A$1,$B32,AA$2)</f>
        <v>69.33</v>
      </c>
      <c r="AB32" cm="1">
        <f t="array" ref="AB32">+_xll.EQNXTDZ($A$1,$B32,AB$2)</f>
        <v>62.93</v>
      </c>
      <c r="AC32" cm="1">
        <f t="array" ref="AC32">+_xll.EQNXTDZ($A$1,$B32,AC$2)</f>
        <v>62.93</v>
      </c>
      <c r="AD32" cm="1">
        <f t="array" ref="AD32">+_xll.EQNXTDZ($A$1,$B32,AD$2)</f>
        <v>62.93</v>
      </c>
      <c r="AE32" cm="1">
        <f t="array" ref="AE32">+_xll.EQNXTDZ($A$1,$B32,AE$2)</f>
        <v>62.93</v>
      </c>
      <c r="AF32" cm="1">
        <f t="array" ref="AF32">+_xll.EQNXTDZ($A$1,$B32,AF$2)</f>
        <v>62.93</v>
      </c>
      <c r="AG32" cm="1">
        <f t="array" ref="AG32">+_xll.EQNXTDZ($A$1,$B32,AG$2)</f>
        <v>62.93</v>
      </c>
      <c r="AH32" cm="1">
        <f t="array" ref="AH32">+_xll.EQNXTDZ($A$1,$B32,AH$2)</f>
        <v>62.93</v>
      </c>
      <c r="AI32" cm="1">
        <f t="array" ref="AI32">+_xll.EQNXTDZ($A$1,$B32,AI$2)</f>
        <v>62.93</v>
      </c>
      <c r="AJ32" cm="1">
        <f t="array" ref="AJ32">+_xll.EQNXTDZ($A$1,$B32,AJ$2)</f>
        <v>62.93</v>
      </c>
      <c r="AK32" cm="1">
        <f t="array" ref="AK32">+_xll.EQNXTDZ($A$1,$B32,AK$2)</f>
        <v>62.93</v>
      </c>
      <c r="AL32" cm="1">
        <f t="array" ref="AL32">+_xll.EQNXTDZ($A$1,$B32,AL$2)</f>
        <v>62.93</v>
      </c>
      <c r="AM32" cm="1">
        <f t="array" ref="AM32">+_xll.EQNXTDZ($A$1,$B32,AM$2)</f>
        <v>62.93</v>
      </c>
      <c r="AN32" cm="1">
        <f t="array" ref="AN32">+_xll.EQNXTDZ($A$1,$B32,AN$2)</f>
        <v>62.93</v>
      </c>
      <c r="AO32" cm="1">
        <f t="array" ref="AO32">+_xll.EQNXTDZ($A$1,$B32,AO$2)</f>
        <v>62.93</v>
      </c>
      <c r="AP32" cm="1">
        <f t="array" ref="AP32">+_xll.EQNXTDZ($A$1,$B32,AP$2)</f>
        <v>62.93</v>
      </c>
      <c r="AQ32" cm="1">
        <f t="array" ref="AQ32">+_xll.EQNXTDZ($A$1,$B32,AQ$2)</f>
        <v>62.93</v>
      </c>
      <c r="AR32" cm="1">
        <f t="array" ref="AR32">+_xll.EQNXTDZ($A$1,$B32,AR$2)</f>
        <v>62.93</v>
      </c>
      <c r="AS32" cm="1">
        <f t="array" ref="AS32">+_xll.EQNXTDZ($A$1,$B32,AS$2)</f>
        <v>62.93</v>
      </c>
      <c r="AT32" cm="1">
        <f t="array" ref="AT32">+_xll.EQNXTDZ($A$1,$B32,AT$2)</f>
        <v>62.93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231</v>
      </c>
      <c r="B33" t="s">
        <v>272</v>
      </c>
      <c r="C33" cm="1">
        <f t="array" ref="C33">+_xll.EQNXTDZ($A$1,$B33,C$2)</f>
        <v>11.16</v>
      </c>
      <c r="D33" cm="1">
        <f t="array" ref="D33">+_xll.EQNXTDZ($A$1,$B33,D$2)</f>
        <v>11.42</v>
      </c>
      <c r="E33" cm="1">
        <f t="array" ref="E33">+_xll.EQNXTDZ($A$1,$B33,E$2)</f>
        <v>0</v>
      </c>
      <c r="F33" cm="1">
        <f t="array" ref="F33">+_xll.EQNXTDZ($A$1,$B33,F$2)</f>
        <v>0</v>
      </c>
      <c r="G33" cm="1">
        <f t="array" ref="G33">+_xll.EQNXTDZ($A$1,$B33,G$2)</f>
        <v>0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232</v>
      </c>
      <c r="B34" t="s">
        <v>273</v>
      </c>
      <c r="C34" cm="1">
        <f t="array" ref="C34">+_xll.EQNXTDZ($A$1,$B34,C$2)</f>
        <v>0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233</v>
      </c>
      <c r="B35" t="s">
        <v>274</v>
      </c>
      <c r="C35" cm="1">
        <f t="array" ref="C35">+_xll.EQNXTDZ($A$1,$B35,C$2)</f>
        <v>0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234</v>
      </c>
      <c r="B36" t="s">
        <v>275</v>
      </c>
      <c r="C36" cm="1">
        <f t="array" ref="C36">+_xll.EQNXTDZ($A$1,$B36,C$2)</f>
        <v>10.75</v>
      </c>
      <c r="D36" cm="1">
        <f t="array" ref="D36">+_xll.EQNXTDZ($A$1,$B36,D$2)</f>
        <v>11.04</v>
      </c>
      <c r="E36" cm="1">
        <f t="array" ref="E36">+_xll.EQNXTDZ($A$1,$B36,E$2)</f>
        <v>11.54</v>
      </c>
      <c r="F36" cm="1">
        <f t="array" ref="F36">+_xll.EQNXTDZ($A$1,$B36,F$2)</f>
        <v>11.08</v>
      </c>
      <c r="G36" cm="1">
        <f t="array" ref="G36">+_xll.EQNXTDZ($A$1,$B36,G$2)</f>
        <v>12.11</v>
      </c>
      <c r="H36" cm="1">
        <f t="array" ref="H36">+_xll.EQNXTDZ($A$1,$B36,H$2)</f>
        <v>12.19</v>
      </c>
      <c r="I36" cm="1">
        <f t="array" ref="I36">+_xll.EQNXTDZ($A$1,$B36,I$2)</f>
        <v>12.28</v>
      </c>
      <c r="J36" cm="1">
        <f t="array" ref="J36">+_xll.EQNXTDZ($A$1,$B36,J$2)</f>
        <v>12.86</v>
      </c>
      <c r="K36" cm="1">
        <f t="array" ref="K36">+_xll.EQNXTDZ($A$1,$B36,K$2)</f>
        <v>12.61</v>
      </c>
      <c r="L36" cm="1">
        <f t="array" ref="L36">+_xll.EQNXTDZ($A$1,$B36,L$2)</f>
        <v>12.45</v>
      </c>
      <c r="M36" cm="1">
        <f t="array" ref="M36">+_xll.EQNXTDZ($A$1,$B36,M$2)</f>
        <v>12.49</v>
      </c>
      <c r="N36" cm="1">
        <f t="array" ref="N36">+_xll.EQNXTDZ($A$1,$B36,N$2)</f>
        <v>13.22</v>
      </c>
      <c r="O36" cm="1">
        <f t="array" ref="O36">+_xll.EQNXTDZ($A$1,$B36,O$2)</f>
        <v>13</v>
      </c>
      <c r="P36" cm="1">
        <f t="array" ref="P36">+_xll.EQNXTDZ($A$1,$B36,P$2)</f>
        <v>12.62</v>
      </c>
      <c r="Q36" cm="1">
        <f t="array" ref="Q36">+_xll.EQNXTDZ($A$1,$B36,Q$2)</f>
        <v>12.21</v>
      </c>
      <c r="R36" cm="1">
        <f t="array" ref="R36">+_xll.EQNXTDZ($A$1,$B36,R$2)</f>
        <v>11.9</v>
      </c>
      <c r="S36" cm="1">
        <f t="array" ref="S36">+_xll.EQNXTDZ($A$1,$B36,S$2)</f>
        <v>11.7</v>
      </c>
      <c r="T36" cm="1">
        <f t="array" ref="T36">+_xll.EQNXTDZ($A$1,$B36,T$2)</f>
        <v>13.99</v>
      </c>
      <c r="U36" cm="1">
        <f t="array" ref="U36">+_xll.EQNXTDZ($A$1,$B36,U$2)</f>
        <v>13.86</v>
      </c>
      <c r="V36" cm="1">
        <f t="array" ref="V36">+_xll.EQNXTDZ($A$1,$B36,V$2)</f>
        <v>13.65</v>
      </c>
      <c r="W36" cm="1">
        <f t="array" ref="W36">+_xll.EQNXTDZ($A$1,$B36,W$2)</f>
        <v>12.77</v>
      </c>
      <c r="X36" cm="1">
        <f t="array" ref="X36">+_xll.EQNXTDZ($A$1,$B36,X$2)</f>
        <v>12.77</v>
      </c>
      <c r="Y36" cm="1">
        <f t="array" ref="Y36">+_xll.EQNXTDZ($A$1,$B36,Y$2)</f>
        <v>13.69</v>
      </c>
      <c r="Z36" cm="1">
        <f t="array" ref="Z36">+_xll.EQNXTDZ($A$1,$B36,Z$2)</f>
        <v>13.18</v>
      </c>
      <c r="AA36" cm="1">
        <f t="array" ref="AA36">+_xll.EQNXTDZ($A$1,$B36,AA$2)</f>
        <v>13.36</v>
      </c>
      <c r="AB36" cm="1">
        <f t="array" ref="AB36">+_xll.EQNXTDZ($A$1,$B36,AB$2)</f>
        <v>14.37</v>
      </c>
      <c r="AC36" cm="1">
        <f t="array" ref="AC36">+_xll.EQNXTDZ($A$1,$B36,AC$2)</f>
        <v>14.8</v>
      </c>
      <c r="AD36" cm="1">
        <f t="array" ref="AD36">+_xll.EQNXTDZ($A$1,$B36,AD$2)</f>
        <v>14.9</v>
      </c>
      <c r="AE36" cm="1">
        <f t="array" ref="AE36">+_xll.EQNXTDZ($A$1,$B36,AE$2)</f>
        <v>14.91</v>
      </c>
      <c r="AF36" cm="1">
        <f t="array" ref="AF36">+_xll.EQNXTDZ($A$1,$B36,AF$2)</f>
        <v>16.510000000000002</v>
      </c>
      <c r="AG36" cm="1">
        <f t="array" ref="AG36">+_xll.EQNXTDZ($A$1,$B36,AG$2)</f>
        <v>16.72</v>
      </c>
      <c r="AH36" cm="1">
        <f t="array" ref="AH36">+_xll.EQNXTDZ($A$1,$B36,AH$2)</f>
        <v>16.68</v>
      </c>
      <c r="AI36" cm="1">
        <f t="array" ref="AI36">+_xll.EQNXTDZ($A$1,$B36,AI$2)</f>
        <v>16.239999999999998</v>
      </c>
      <c r="AJ36" cm="1">
        <f t="array" ref="AJ36">+_xll.EQNXTDZ($A$1,$B36,AJ$2)</f>
        <v>16.2</v>
      </c>
      <c r="AK36" cm="1">
        <f t="array" ref="AK36">+_xll.EQNXTDZ($A$1,$B36,AK$2)</f>
        <v>15.78</v>
      </c>
      <c r="AL36" cm="1">
        <f t="array" ref="AL36">+_xll.EQNXTDZ($A$1,$B36,AL$2)</f>
        <v>16.28</v>
      </c>
      <c r="AM36" cm="1">
        <f t="array" ref="AM36">+_xll.EQNXTDZ($A$1,$B36,AM$2)</f>
        <v>16.38</v>
      </c>
      <c r="AN36" cm="1">
        <f t="array" ref="AN36">+_xll.EQNXTDZ($A$1,$B36,AN$2)</f>
        <v>16.57</v>
      </c>
      <c r="AO36" cm="1">
        <f t="array" ref="AO36">+_xll.EQNXTDZ($A$1,$B36,AO$2)</f>
        <v>16.440000000000001</v>
      </c>
      <c r="AP36" cm="1">
        <f t="array" ref="AP36">+_xll.EQNXTDZ($A$1,$B36,AP$2)</f>
        <v>16.329999999999998</v>
      </c>
      <c r="AQ36" cm="1">
        <f t="array" ref="AQ36">+_xll.EQNXTDZ($A$1,$B36,AQ$2)</f>
        <v>16.52</v>
      </c>
      <c r="AR36" cm="1">
        <f t="array" ref="AR36">+_xll.EQNXTDZ($A$1,$B36,AR$2)</f>
        <v>16.2</v>
      </c>
      <c r="AS36" cm="1">
        <f t="array" ref="AS36">+_xll.EQNXTDZ($A$1,$B36,AS$2)</f>
        <v>16.5</v>
      </c>
      <c r="AT36" cm="1">
        <f t="array" ref="AT36">+_xll.EQNXTDZ($A$1,$B36,AT$2)</f>
        <v>17.04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235</v>
      </c>
      <c r="B37" t="s">
        <v>276</v>
      </c>
      <c r="C37" cm="1">
        <f t="array" ref="C37">+_xll.EQNXTDZ($A$1,$B37,C$2)</f>
        <v>8.2799999999999994</v>
      </c>
      <c r="D37" cm="1">
        <f t="array" ref="D37">+_xll.EQNXTDZ($A$1,$B37,D$2)</f>
        <v>8.6300000000000008</v>
      </c>
      <c r="E37" cm="1">
        <f t="array" ref="E37">+_xll.EQNXTDZ($A$1,$B37,E$2)</f>
        <v>8.68</v>
      </c>
      <c r="F37" cm="1">
        <f t="array" ref="F37">+_xll.EQNXTDZ($A$1,$B37,F$2)</f>
        <v>8.8000000000000007</v>
      </c>
      <c r="G37" cm="1">
        <f t="array" ref="G37">+_xll.EQNXTDZ($A$1,$B37,G$2)</f>
        <v>8.83</v>
      </c>
      <c r="H37" cm="1">
        <f t="array" ref="H37">+_xll.EQNXTDZ($A$1,$B37,H$2)</f>
        <v>8.8699999999999992</v>
      </c>
      <c r="I37" cm="1">
        <f t="array" ref="I37">+_xll.EQNXTDZ($A$1,$B37,I$2)</f>
        <v>9.01</v>
      </c>
      <c r="J37" cm="1">
        <f t="array" ref="J37">+_xll.EQNXTDZ($A$1,$B37,J$2)</f>
        <v>9.77</v>
      </c>
      <c r="K37" cm="1">
        <f t="array" ref="K37">+_xll.EQNXTDZ($A$1,$B37,K$2)</f>
        <v>9.57</v>
      </c>
      <c r="L37" cm="1">
        <f t="array" ref="L37">+_xll.EQNXTDZ($A$1,$B37,L$2)</f>
        <v>9.5</v>
      </c>
      <c r="M37" cm="1">
        <f t="array" ref="M37">+_xll.EQNXTDZ($A$1,$B37,M$2)</f>
        <v>9.57</v>
      </c>
      <c r="N37" cm="1">
        <f t="array" ref="N37">+_xll.EQNXTDZ($A$1,$B37,N$2)</f>
        <v>10.3</v>
      </c>
      <c r="O37" cm="1">
        <f t="array" ref="O37">+_xll.EQNXTDZ($A$1,$B37,O$2)</f>
        <v>10.119999999999999</v>
      </c>
      <c r="P37" cm="1">
        <f t="array" ref="P37">+_xll.EQNXTDZ($A$1,$B37,P$2)</f>
        <v>9.86</v>
      </c>
      <c r="Q37" cm="1">
        <f t="array" ref="Q37">+_xll.EQNXTDZ($A$1,$B37,Q$2)</f>
        <v>9.5399999999999991</v>
      </c>
      <c r="R37" cm="1">
        <f t="array" ref="R37">+_xll.EQNXTDZ($A$1,$B37,R$2)</f>
        <v>9.0299999999999994</v>
      </c>
      <c r="S37" cm="1">
        <f t="array" ref="S37">+_xll.EQNXTDZ($A$1,$B37,S$2)</f>
        <v>8.92</v>
      </c>
      <c r="T37" cm="1">
        <f t="array" ref="T37">+_xll.EQNXTDZ($A$1,$B37,T$2)</f>
        <v>11.12</v>
      </c>
      <c r="U37" cm="1">
        <f t="array" ref="U37">+_xll.EQNXTDZ($A$1,$B37,U$2)</f>
        <v>11.05</v>
      </c>
      <c r="V37" cm="1">
        <f t="array" ref="V37">+_xll.EQNXTDZ($A$1,$B37,V$2)</f>
        <v>10.119999999999999</v>
      </c>
      <c r="W37" cm="1">
        <f t="array" ref="W37">+_xll.EQNXTDZ($A$1,$B37,W$2)</f>
        <v>9.2899999999999991</v>
      </c>
      <c r="X37" cm="1">
        <f t="array" ref="X37">+_xll.EQNXTDZ($A$1,$B37,X$2)</f>
        <v>9.5399999999999991</v>
      </c>
      <c r="Y37" cm="1">
        <f t="array" ref="Y37">+_xll.EQNXTDZ($A$1,$B37,Y$2)</f>
        <v>10.45</v>
      </c>
      <c r="Z37" cm="1">
        <f t="array" ref="Z37">+_xll.EQNXTDZ($A$1,$B37,Z$2)</f>
        <v>10.08</v>
      </c>
      <c r="AA37" cm="1">
        <f t="array" ref="AA37">+_xll.EQNXTDZ($A$1,$B37,AA$2)</f>
        <v>10.34</v>
      </c>
      <c r="AB37" cm="1">
        <f t="array" ref="AB37">+_xll.EQNXTDZ($A$1,$B37,AB$2)</f>
        <v>11.41</v>
      </c>
      <c r="AC37" cm="1">
        <f t="array" ref="AC37">+_xll.EQNXTDZ($A$1,$B37,AC$2)</f>
        <v>11.58</v>
      </c>
      <c r="AD37" cm="1">
        <f t="array" ref="AD37">+_xll.EQNXTDZ($A$1,$B37,AD$2)</f>
        <v>11.91</v>
      </c>
      <c r="AE37" cm="1">
        <f t="array" ref="AE37">+_xll.EQNXTDZ($A$1,$B37,AE$2)</f>
        <v>12.13</v>
      </c>
      <c r="AF37" cm="1">
        <f t="array" ref="AF37">+_xll.EQNXTDZ($A$1,$B37,AF$2)</f>
        <v>13.4</v>
      </c>
      <c r="AG37" cm="1">
        <f t="array" ref="AG37">+_xll.EQNXTDZ($A$1,$B37,AG$2)</f>
        <v>13.68</v>
      </c>
      <c r="AH37" cm="1">
        <f t="array" ref="AH37">+_xll.EQNXTDZ($A$1,$B37,AH$2)</f>
        <v>13.78</v>
      </c>
      <c r="AI37" cm="1">
        <f t="array" ref="AI37">+_xll.EQNXTDZ($A$1,$B37,AI$2)</f>
        <v>13.58</v>
      </c>
      <c r="AJ37" cm="1">
        <f t="array" ref="AJ37">+_xll.EQNXTDZ($A$1,$B37,AJ$2)</f>
        <v>13.6</v>
      </c>
      <c r="AK37" cm="1">
        <f t="array" ref="AK37">+_xll.EQNXTDZ($A$1,$B37,AK$2)</f>
        <v>13.38</v>
      </c>
      <c r="AL37" cm="1">
        <f t="array" ref="AL37">+_xll.EQNXTDZ($A$1,$B37,AL$2)</f>
        <v>13.95</v>
      </c>
      <c r="AM37" cm="1">
        <f t="array" ref="AM37">+_xll.EQNXTDZ($A$1,$B37,AM$2)</f>
        <v>14.37</v>
      </c>
      <c r="AN37" cm="1">
        <f t="array" ref="AN37">+_xll.EQNXTDZ($A$1,$B37,AN$2)</f>
        <v>14.64</v>
      </c>
      <c r="AO37" cm="1">
        <f t="array" ref="AO37">+_xll.EQNXTDZ($A$1,$B37,AO$2)</f>
        <v>14.55</v>
      </c>
      <c r="AP37" cm="1">
        <f t="array" ref="AP37">+_xll.EQNXTDZ($A$1,$B37,AP$2)</f>
        <v>14.37</v>
      </c>
      <c r="AQ37" cm="1">
        <f t="array" ref="AQ37">+_xll.EQNXTDZ($A$1,$B37,AQ$2)</f>
        <v>14.58</v>
      </c>
      <c r="AR37" cm="1">
        <f t="array" ref="AR37">+_xll.EQNXTDZ($A$1,$B37,AR$2)</f>
        <v>14.28</v>
      </c>
      <c r="AS37" cm="1">
        <f t="array" ref="AS37">+_xll.EQNXTDZ($A$1,$B37,AS$2)</f>
        <v>14.6</v>
      </c>
      <c r="AT37" cm="1">
        <f t="array" ref="AT37">+_xll.EQNXTDZ($A$1,$B37,AT$2)</f>
        <v>14.59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236</v>
      </c>
      <c r="B38" t="s">
        <v>277</v>
      </c>
      <c r="C38" cm="1">
        <f t="array" ref="C38">+_xll.EQNXTDZ($A$1,$B38,C$2)</f>
        <v>2.4700000000000002</v>
      </c>
      <c r="D38" cm="1">
        <f t="array" ref="D38">+_xll.EQNXTDZ($A$1,$B38,D$2)</f>
        <v>2.41</v>
      </c>
      <c r="E38" cm="1">
        <f t="array" ref="E38">+_xll.EQNXTDZ($A$1,$B38,E$2)</f>
        <v>2.86</v>
      </c>
      <c r="F38" cm="1">
        <f t="array" ref="F38">+_xll.EQNXTDZ($A$1,$B38,F$2)</f>
        <v>2.2799999999999998</v>
      </c>
      <c r="G38" cm="1">
        <f t="array" ref="G38">+_xll.EQNXTDZ($A$1,$B38,G$2)</f>
        <v>3.28</v>
      </c>
      <c r="H38" cm="1">
        <f t="array" ref="H38">+_xll.EQNXTDZ($A$1,$B38,H$2)</f>
        <v>3.32</v>
      </c>
      <c r="I38" cm="1">
        <f t="array" ref="I38">+_xll.EQNXTDZ($A$1,$B38,I$2)</f>
        <v>3.27</v>
      </c>
      <c r="J38" cm="1">
        <f t="array" ref="J38">+_xll.EQNXTDZ($A$1,$B38,J$2)</f>
        <v>3.09</v>
      </c>
      <c r="K38" cm="1">
        <f t="array" ref="K38">+_xll.EQNXTDZ($A$1,$B38,K$2)</f>
        <v>3.04</v>
      </c>
      <c r="L38" cm="1">
        <f t="array" ref="L38">+_xll.EQNXTDZ($A$1,$B38,L$2)</f>
        <v>2.95</v>
      </c>
      <c r="M38" cm="1">
        <f t="array" ref="M38">+_xll.EQNXTDZ($A$1,$B38,M$2)</f>
        <v>2.92</v>
      </c>
      <c r="N38" cm="1">
        <f t="array" ref="N38">+_xll.EQNXTDZ($A$1,$B38,N$2)</f>
        <v>2.92</v>
      </c>
      <c r="O38" cm="1">
        <f t="array" ref="O38">+_xll.EQNXTDZ($A$1,$B38,O$2)</f>
        <v>2.88</v>
      </c>
      <c r="P38" cm="1">
        <f t="array" ref="P38">+_xll.EQNXTDZ($A$1,$B38,P$2)</f>
        <v>2.76</v>
      </c>
      <c r="Q38" cm="1">
        <f t="array" ref="Q38">+_xll.EQNXTDZ($A$1,$B38,Q$2)</f>
        <v>2.67</v>
      </c>
      <c r="R38" cm="1">
        <f t="array" ref="R38">+_xll.EQNXTDZ($A$1,$B38,R$2)</f>
        <v>2.87</v>
      </c>
      <c r="S38" cm="1">
        <f t="array" ref="S38">+_xll.EQNXTDZ($A$1,$B38,S$2)</f>
        <v>2.78</v>
      </c>
      <c r="T38" cm="1">
        <f t="array" ref="T38">+_xll.EQNXTDZ($A$1,$B38,T$2)</f>
        <v>2.87</v>
      </c>
      <c r="U38" cm="1">
        <f t="array" ref="U38">+_xll.EQNXTDZ($A$1,$B38,U$2)</f>
        <v>2.81</v>
      </c>
      <c r="V38" cm="1">
        <f t="array" ref="V38">+_xll.EQNXTDZ($A$1,$B38,V$2)</f>
        <v>3.53</v>
      </c>
      <c r="W38" cm="1">
        <f t="array" ref="W38">+_xll.EQNXTDZ($A$1,$B38,W$2)</f>
        <v>3.48</v>
      </c>
      <c r="X38" cm="1">
        <f t="array" ref="X38">+_xll.EQNXTDZ($A$1,$B38,X$2)</f>
        <v>3.23</v>
      </c>
      <c r="Y38" cm="1">
        <f t="array" ref="Y38">+_xll.EQNXTDZ($A$1,$B38,Y$2)</f>
        <v>3.24</v>
      </c>
      <c r="Z38" cm="1">
        <f t="array" ref="Z38">+_xll.EQNXTDZ($A$1,$B38,Z$2)</f>
        <v>3.1</v>
      </c>
      <c r="AA38" cm="1">
        <f t="array" ref="AA38">+_xll.EQNXTDZ($A$1,$B38,AA$2)</f>
        <v>3.02</v>
      </c>
      <c r="AB38" cm="1">
        <f t="array" ref="AB38">+_xll.EQNXTDZ($A$1,$B38,AB$2)</f>
        <v>2.96</v>
      </c>
      <c r="AC38" cm="1">
        <f t="array" ref="AC38">+_xll.EQNXTDZ($A$1,$B38,AC$2)</f>
        <v>3.22</v>
      </c>
      <c r="AD38" cm="1">
        <f t="array" ref="AD38">+_xll.EQNXTDZ($A$1,$B38,AD$2)</f>
        <v>2.99</v>
      </c>
      <c r="AE38" cm="1">
        <f t="array" ref="AE38">+_xll.EQNXTDZ($A$1,$B38,AE$2)</f>
        <v>2.78</v>
      </c>
      <c r="AF38" cm="1">
        <f t="array" ref="AF38">+_xll.EQNXTDZ($A$1,$B38,AF$2)</f>
        <v>3.11</v>
      </c>
      <c r="AG38" cm="1">
        <f t="array" ref="AG38">+_xll.EQNXTDZ($A$1,$B38,AG$2)</f>
        <v>3.04</v>
      </c>
      <c r="AH38" cm="1">
        <f t="array" ref="AH38">+_xll.EQNXTDZ($A$1,$B38,AH$2)</f>
        <v>2.9</v>
      </c>
      <c r="AI38" cm="1">
        <f t="array" ref="AI38">+_xll.EQNXTDZ($A$1,$B38,AI$2)</f>
        <v>2.66</v>
      </c>
      <c r="AJ38" cm="1">
        <f t="array" ref="AJ38">+_xll.EQNXTDZ($A$1,$B38,AJ$2)</f>
        <v>2.6</v>
      </c>
      <c r="AK38" cm="1">
        <f t="array" ref="AK38">+_xll.EQNXTDZ($A$1,$B38,AK$2)</f>
        <v>2.4</v>
      </c>
      <c r="AL38" cm="1">
        <f t="array" ref="AL38">+_xll.EQNXTDZ($A$1,$B38,AL$2)</f>
        <v>2.33</v>
      </c>
      <c r="AM38" cm="1">
        <f t="array" ref="AM38">+_xll.EQNXTDZ($A$1,$B38,AM$2)</f>
        <v>2.0099999999999998</v>
      </c>
      <c r="AN38" cm="1">
        <f t="array" ref="AN38">+_xll.EQNXTDZ($A$1,$B38,AN$2)</f>
        <v>1.93</v>
      </c>
      <c r="AO38" cm="1">
        <f t="array" ref="AO38">+_xll.EQNXTDZ($A$1,$B38,AO$2)</f>
        <v>1.89</v>
      </c>
      <c r="AP38" cm="1">
        <f t="array" ref="AP38">+_xll.EQNXTDZ($A$1,$B38,AP$2)</f>
        <v>1.96</v>
      </c>
      <c r="AQ38" cm="1">
        <f t="array" ref="AQ38">+_xll.EQNXTDZ($A$1,$B38,AQ$2)</f>
        <v>1.94</v>
      </c>
      <c r="AR38" cm="1">
        <f t="array" ref="AR38">+_xll.EQNXTDZ($A$1,$B38,AR$2)</f>
        <v>1.92</v>
      </c>
      <c r="AS38" cm="1">
        <f t="array" ref="AS38">+_xll.EQNXTDZ($A$1,$B38,AS$2)</f>
        <v>1.9</v>
      </c>
      <c r="AT38" cm="1">
        <f t="array" ref="AT38">+_xll.EQNXTDZ($A$1,$B38,AT$2)</f>
        <v>2.4500000000000002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237</v>
      </c>
      <c r="B39" t="s">
        <v>278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238</v>
      </c>
      <c r="B40" t="s">
        <v>279</v>
      </c>
      <c r="C40" cm="1">
        <f t="array" ref="C40">+_xll.EQNXTDZ($A$1,$B40,C$2)</f>
        <v>13080.63</v>
      </c>
      <c r="D40" cm="1">
        <f t="array" ref="D40">+_xll.EQNXTDZ($A$1,$B40,D$2)</f>
        <v>14021.34</v>
      </c>
      <c r="E40" cm="1">
        <f t="array" ref="E40">+_xll.EQNXTDZ($A$1,$B40,E$2)</f>
        <v>19813.439999999999</v>
      </c>
      <c r="F40" cm="1">
        <f t="array" ref="F40">+_xll.EQNXTDZ($A$1,$B40,F$2)</f>
        <v>31637.83</v>
      </c>
      <c r="G40" cm="1">
        <f t="array" ref="G40">+_xll.EQNXTDZ($A$1,$B40,G$2)</f>
        <v>32334.07</v>
      </c>
      <c r="H40" cm="1">
        <f t="array" ref="H40">+_xll.EQNXTDZ($A$1,$B40,H$2)</f>
        <v>33315.4</v>
      </c>
      <c r="I40" cm="1">
        <f t="array" ref="I40">+_xll.EQNXTDZ($A$1,$B40,I$2)</f>
        <v>34338.65</v>
      </c>
      <c r="J40" cm="1">
        <f t="array" ref="J40">+_xll.EQNXTDZ($A$1,$B40,J$2)</f>
        <v>34202.04</v>
      </c>
      <c r="K40" cm="1">
        <f t="array" ref="K40">+_xll.EQNXTDZ($A$1,$B40,K$2)</f>
        <v>37657.760000000002</v>
      </c>
      <c r="L40" cm="1">
        <f t="array" ref="L40">+_xll.EQNXTDZ($A$1,$B40,L$2)</f>
        <v>39164.080000000002</v>
      </c>
      <c r="M40" cm="1">
        <f t="array" ref="M40">+_xll.EQNXTDZ($A$1,$B40,M$2)</f>
        <v>40311.980000000003</v>
      </c>
      <c r="N40" cm="1">
        <f t="array" ref="N40">+_xll.EQNXTDZ($A$1,$B40,N$2)</f>
        <v>47468.47</v>
      </c>
      <c r="O40" cm="1">
        <f t="array" ref="O40">+_xll.EQNXTDZ($A$1,$B40,O$2)</f>
        <v>44659.56</v>
      </c>
      <c r="P40" cm="1">
        <f t="array" ref="P40">+_xll.EQNXTDZ($A$1,$B40,P$2)</f>
        <v>45233.22</v>
      </c>
      <c r="Q40" cm="1">
        <f t="array" ref="Q40">+_xll.EQNXTDZ($A$1,$B40,Q$2)</f>
        <v>44621.27</v>
      </c>
      <c r="R40" cm="1">
        <f t="array" ref="R40">+_xll.EQNXTDZ($A$1,$B40,R$2)</f>
        <v>39224.120000000003</v>
      </c>
      <c r="S40" cm="1">
        <f t="array" ref="S40">+_xll.EQNXTDZ($A$1,$B40,S$2)</f>
        <v>39399.019999999997</v>
      </c>
      <c r="T40" cm="1">
        <f t="array" ref="T40">+_xll.EQNXTDZ($A$1,$B40,T$2)</f>
        <v>38711.33</v>
      </c>
      <c r="U40" cm="1">
        <f t="array" ref="U40">+_xll.EQNXTDZ($A$1,$B40,U$2)</f>
        <v>36644.97</v>
      </c>
      <c r="V40" cm="1">
        <f t="array" ref="V40">+_xll.EQNXTDZ($A$1,$B40,V$2)</f>
        <v>37041.15</v>
      </c>
      <c r="W40" cm="1">
        <f t="array" ref="W40">+_xll.EQNXTDZ($A$1,$B40,W$2)</f>
        <v>57525.52</v>
      </c>
      <c r="X40" cm="1">
        <f t="array" ref="X40">+_xll.EQNXTDZ($A$1,$B40,X$2)</f>
        <v>53437.919999999998</v>
      </c>
      <c r="Y40" cm="1">
        <f t="array" ref="Y40">+_xll.EQNXTDZ($A$1,$B40,Y$2)</f>
        <v>49788.61</v>
      </c>
      <c r="Z40" cm="1">
        <f t="array" ref="Z40">+_xll.EQNXTDZ($A$1,$B40,Z$2)</f>
        <v>60287.839999999997</v>
      </c>
      <c r="AA40" cm="1">
        <f t="array" ref="AA40">+_xll.EQNXTDZ($A$1,$B40,AA$2)</f>
        <v>58215.46</v>
      </c>
      <c r="AB40" cm="1">
        <f t="array" ref="AB40">+_xll.EQNXTDZ($A$1,$B40,AB$2)</f>
        <v>57853.09</v>
      </c>
      <c r="AC40" cm="1">
        <f t="array" ref="AC40">+_xll.EQNXTDZ($A$1,$B40,AC$2)</f>
        <v>56893.3</v>
      </c>
      <c r="AD40" cm="1">
        <f t="array" ref="AD40">+_xll.EQNXTDZ($A$1,$B40,AD$2)</f>
        <v>55651.58</v>
      </c>
      <c r="AE40" cm="1">
        <f t="array" ref="AE40">+_xll.EQNXTDZ($A$1,$B40,AE$2)</f>
        <v>54733.88</v>
      </c>
      <c r="AF40" cm="1">
        <f t="array" ref="AF40">+_xll.EQNXTDZ($A$1,$B40,AF$2)</f>
        <v>52485.14</v>
      </c>
      <c r="AG40" cm="1">
        <f t="array" ref="AG40">+_xll.EQNXTDZ($A$1,$B40,AG$2)</f>
        <v>50142.77</v>
      </c>
      <c r="AH40" cm="1">
        <f t="array" ref="AH40">+_xll.EQNXTDZ($A$1,$B40,AH$2)</f>
        <v>46159.51</v>
      </c>
      <c r="AI40" cm="1">
        <f t="array" ref="AI40">+_xll.EQNXTDZ($A$1,$B40,AI$2)</f>
        <v>45727.37</v>
      </c>
      <c r="AJ40" cm="1">
        <f t="array" ref="AJ40">+_xll.EQNXTDZ($A$1,$B40,AJ$2)</f>
        <v>43955.59</v>
      </c>
      <c r="AK40" cm="1">
        <f t="array" ref="AK40">+_xll.EQNXTDZ($A$1,$B40,AK$2)</f>
        <v>41721.9</v>
      </c>
      <c r="AL40" cm="1">
        <f t="array" ref="AL40">+_xll.EQNXTDZ($A$1,$B40,AL$2)</f>
        <v>40604.57</v>
      </c>
      <c r="AM40" cm="1">
        <f t="array" ref="AM40">+_xll.EQNXTDZ($A$1,$B40,AM$2)</f>
        <v>40356.379999999997</v>
      </c>
      <c r="AN40" cm="1">
        <f t="array" ref="AN40">+_xll.EQNXTDZ($A$1,$B40,AN$2)</f>
        <v>37733.300000000003</v>
      </c>
      <c r="AO40" cm="1">
        <f t="array" ref="AO40">+_xll.EQNXTDZ($A$1,$B40,AO$2)</f>
        <v>35060.639999999999</v>
      </c>
      <c r="AP40" cm="1">
        <f t="array" ref="AP40">+_xll.EQNXTDZ($A$1,$B40,AP$2)</f>
        <v>31530.03</v>
      </c>
      <c r="AQ40" cm="1">
        <f t="array" ref="AQ40">+_xll.EQNXTDZ($A$1,$B40,AQ$2)</f>
        <v>29518.43</v>
      </c>
      <c r="AR40" cm="1">
        <f t="array" ref="AR40">+_xll.EQNXTDZ($A$1,$B40,AR$2)</f>
        <v>27040.27</v>
      </c>
      <c r="AS40" cm="1">
        <f t="array" ref="AS40">+_xll.EQNXTDZ($A$1,$B40,AS$2)</f>
        <v>24832.58</v>
      </c>
      <c r="AT40" cm="1">
        <f t="array" ref="AT40">+_xll.EQNXTDZ($A$1,$B40,AT$2)</f>
        <v>22740.01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239</v>
      </c>
      <c r="B41" t="s">
        <v>280</v>
      </c>
      <c r="C41" cm="1">
        <f t="array" ref="C41">+_xll.EQNXTDZ($A$1,$B41,C$2)</f>
        <v>8888.14</v>
      </c>
      <c r="D41" cm="1">
        <f t="array" ref="D41">+_xll.EQNXTDZ($A$1,$B41,D$2)</f>
        <v>9382.5300000000007</v>
      </c>
      <c r="E41" cm="1">
        <f t="array" ref="E41">+_xll.EQNXTDZ($A$1,$B41,E$2)</f>
        <v>12940.1</v>
      </c>
      <c r="F41" cm="1">
        <f t="array" ref="F41">+_xll.EQNXTDZ($A$1,$B41,F$2)</f>
        <v>20832.91</v>
      </c>
      <c r="G41" cm="1">
        <f t="array" ref="G41">+_xll.EQNXTDZ($A$1,$B41,G$2)</f>
        <v>21493.919999999998</v>
      </c>
      <c r="H41" cm="1">
        <f t="array" ref="H41">+_xll.EQNXTDZ($A$1,$B41,H$2)</f>
        <v>21887.09</v>
      </c>
      <c r="I41" cm="1">
        <f t="array" ref="I41">+_xll.EQNXTDZ($A$1,$B41,I$2)</f>
        <v>22295.79</v>
      </c>
      <c r="J41" cm="1">
        <f t="array" ref="J41">+_xll.EQNXTDZ($A$1,$B41,J$2)</f>
        <v>21648.98</v>
      </c>
      <c r="K41" cm="1">
        <f t="array" ref="K41">+_xll.EQNXTDZ($A$1,$B41,K$2)</f>
        <v>24300.63</v>
      </c>
      <c r="L41" cm="1">
        <f t="array" ref="L41">+_xll.EQNXTDZ($A$1,$B41,L$2)</f>
        <v>25165.57</v>
      </c>
      <c r="M41" cm="1">
        <f t="array" ref="M41">+_xll.EQNXTDZ($A$1,$B41,M$2)</f>
        <v>25295.26</v>
      </c>
      <c r="N41" cm="1">
        <f t="array" ref="N41">+_xll.EQNXTDZ($A$1,$B41,N$2)</f>
        <v>28542.400000000001</v>
      </c>
      <c r="O41" cm="1">
        <f t="array" ref="O41">+_xll.EQNXTDZ($A$1,$B41,O$2)</f>
        <v>26693.5</v>
      </c>
      <c r="P41" cm="1">
        <f t="array" ref="P41">+_xll.EQNXTDZ($A$1,$B41,P$2)</f>
        <v>26777.64</v>
      </c>
      <c r="Q41" cm="1">
        <f t="array" ref="Q41">+_xll.EQNXTDZ($A$1,$B41,Q$2)</f>
        <v>26591.07</v>
      </c>
      <c r="R41" cm="1">
        <f t="array" ref="R41">+_xll.EQNXTDZ($A$1,$B41,R$2)</f>
        <v>22955.11</v>
      </c>
      <c r="S41" cm="1">
        <f t="array" ref="S41">+_xll.EQNXTDZ($A$1,$B41,S$2)</f>
        <v>23149.62</v>
      </c>
      <c r="T41" cm="1">
        <f t="array" ref="T41">+_xll.EQNXTDZ($A$1,$B41,T$2)</f>
        <v>22090.04</v>
      </c>
      <c r="U41" cm="1">
        <f t="array" ref="U41">+_xll.EQNXTDZ($A$1,$B41,U$2)</f>
        <v>21337.74</v>
      </c>
      <c r="V41" cm="1">
        <f t="array" ref="V41">+_xll.EQNXTDZ($A$1,$B41,V$2)</f>
        <v>18250.95</v>
      </c>
      <c r="W41" cm="1">
        <f t="array" ref="W41">+_xll.EQNXTDZ($A$1,$B41,W$2)</f>
        <v>24355.23</v>
      </c>
      <c r="X41" cm="1">
        <f t="array" ref="X41">+_xll.EQNXTDZ($A$1,$B41,X$2)</f>
        <v>21063.279999999999</v>
      </c>
      <c r="Y41" cm="1">
        <f t="array" ref="Y41">+_xll.EQNXTDZ($A$1,$B41,Y$2)</f>
        <v>16773.54</v>
      </c>
      <c r="Z41" cm="1">
        <f t="array" ref="Z41">+_xll.EQNXTDZ($A$1,$B41,Z$2)</f>
        <v>24442.07</v>
      </c>
      <c r="AA41" cm="1">
        <f t="array" ref="AA41">+_xll.EQNXTDZ($A$1,$B41,AA$2)</f>
        <v>22434.06</v>
      </c>
      <c r="AB41" cm="1">
        <f t="array" ref="AB41">+_xll.EQNXTDZ($A$1,$B41,AB$2)</f>
        <v>20861.990000000002</v>
      </c>
      <c r="AC41" cm="1">
        <f t="array" ref="AC41">+_xll.EQNXTDZ($A$1,$B41,AC$2)</f>
        <v>19819.28</v>
      </c>
      <c r="AD41" cm="1">
        <f t="array" ref="AD41">+_xll.EQNXTDZ($A$1,$B41,AD$2)</f>
        <v>18668.02</v>
      </c>
      <c r="AE41" cm="1">
        <f t="array" ref="AE41">+_xll.EQNXTDZ($A$1,$B41,AE$2)</f>
        <v>18504.93</v>
      </c>
      <c r="AF41" cm="1">
        <f t="array" ref="AF41">+_xll.EQNXTDZ($A$1,$B41,AF$2)</f>
        <v>17286.13</v>
      </c>
      <c r="AG41" cm="1">
        <f t="array" ref="AG41">+_xll.EQNXTDZ($A$1,$B41,AG$2)</f>
        <v>15981.74</v>
      </c>
      <c r="AH41" cm="1">
        <f t="array" ref="AH41">+_xll.EQNXTDZ($A$1,$B41,AH$2)</f>
        <v>14349.33</v>
      </c>
      <c r="AI41" cm="1">
        <f t="array" ref="AI41">+_xll.EQNXTDZ($A$1,$B41,AI$2)</f>
        <v>13461.43</v>
      </c>
      <c r="AJ41" cm="1">
        <f t="array" ref="AJ41">+_xll.EQNXTDZ($A$1,$B41,AJ$2)</f>
        <v>12554</v>
      </c>
      <c r="AK41" cm="1">
        <f t="array" ref="AK41">+_xll.EQNXTDZ($A$1,$B41,AK$2)</f>
        <v>12175.9</v>
      </c>
      <c r="AL41" cm="1">
        <f t="array" ref="AL41">+_xll.EQNXTDZ($A$1,$B41,AL$2)</f>
        <v>11822.83</v>
      </c>
      <c r="AM41" cm="1">
        <f t="array" ref="AM41">+_xll.EQNXTDZ($A$1,$B41,AM$2)</f>
        <v>11701.77</v>
      </c>
      <c r="AN41" cm="1">
        <f t="array" ref="AN41">+_xll.EQNXTDZ($A$1,$B41,AN$2)</f>
        <v>9777.44</v>
      </c>
      <c r="AO41" cm="1">
        <f t="array" ref="AO41">+_xll.EQNXTDZ($A$1,$B41,AO$2)</f>
        <v>9081.1</v>
      </c>
      <c r="AP41" cm="1">
        <f t="array" ref="AP41">+_xll.EQNXTDZ($A$1,$B41,AP$2)</f>
        <v>7353.31</v>
      </c>
      <c r="AQ41" cm="1">
        <f t="array" ref="AQ41">+_xll.EQNXTDZ($A$1,$B41,AQ$2)</f>
        <v>6765.24</v>
      </c>
      <c r="AR41" cm="1">
        <f t="array" ref="AR41">+_xll.EQNXTDZ($A$1,$B41,AR$2)</f>
        <v>6113.22</v>
      </c>
      <c r="AS41" cm="1">
        <f t="array" ref="AS41">+_xll.EQNXTDZ($A$1,$B41,AS$2)</f>
        <v>5322.3</v>
      </c>
      <c r="AT41" cm="1">
        <f t="array" ref="AT41">+_xll.EQNXTDZ($A$1,$B41,AT$2)</f>
        <v>5209.37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240</v>
      </c>
      <c r="B42" t="s">
        <v>281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241</v>
      </c>
      <c r="B43" t="s">
        <v>282</v>
      </c>
      <c r="C43" cm="1">
        <f t="array" ref="C43">+_xll.EQNXTDZ($A$1,$B43,C$2)</f>
        <v>2.74</v>
      </c>
      <c r="D43" cm="1">
        <f t="array" ref="D43">+_xll.EQNXTDZ($A$1,$B43,D$2)</f>
        <v>2.9</v>
      </c>
      <c r="E43" cm="1">
        <f t="array" ref="E43">+_xll.EQNXTDZ($A$1,$B43,E$2)</f>
        <v>3.9</v>
      </c>
      <c r="F43" cm="1">
        <f t="array" ref="F43">+_xll.EQNXTDZ($A$1,$B43,F$2)</f>
        <v>6.42</v>
      </c>
      <c r="G43" cm="1">
        <f t="array" ref="G43">+_xll.EQNXTDZ($A$1,$B43,G$2)</f>
        <v>6.69</v>
      </c>
      <c r="H43" cm="1">
        <f t="array" ref="H43">+_xll.EQNXTDZ($A$1,$B43,H$2)</f>
        <v>6.69</v>
      </c>
      <c r="I43" cm="1">
        <f t="array" ref="I43">+_xll.EQNXTDZ($A$1,$B43,I$2)</f>
        <v>6.72</v>
      </c>
      <c r="J43" cm="1">
        <f t="array" ref="J43">+_xll.EQNXTDZ($A$1,$B43,J$2)</f>
        <v>6.33</v>
      </c>
      <c r="K43" cm="1">
        <f t="array" ref="K43">+_xll.EQNXTDZ($A$1,$B43,K$2)</f>
        <v>7.09</v>
      </c>
      <c r="L43" cm="1">
        <f t="array" ref="L43">+_xll.EQNXTDZ($A$1,$B43,L$2)</f>
        <v>7.02</v>
      </c>
      <c r="M43" cm="1">
        <f t="array" ref="M43">+_xll.EQNXTDZ($A$1,$B43,M$2)</f>
        <v>6.78</v>
      </c>
      <c r="N43" cm="1">
        <f t="array" ref="N43">+_xll.EQNXTDZ($A$1,$B43,N$2)</f>
        <v>7.48</v>
      </c>
      <c r="O43" cm="1">
        <f t="array" ref="O43">+_xll.EQNXTDZ($A$1,$B43,O$2)</f>
        <v>6.91</v>
      </c>
      <c r="P43" cm="1">
        <f t="array" ref="P43">+_xll.EQNXTDZ($A$1,$B43,P$2)</f>
        <v>6.54</v>
      </c>
      <c r="Q43" cm="1">
        <f t="array" ref="Q43">+_xll.EQNXTDZ($A$1,$B43,Q$2)</f>
        <v>6.37</v>
      </c>
      <c r="R43" cm="1">
        <f t="array" ref="R43">+_xll.EQNXTDZ($A$1,$B43,R$2)</f>
        <v>5.37</v>
      </c>
      <c r="S43" cm="1">
        <f t="array" ref="S43">+_xll.EQNXTDZ($A$1,$B43,S$2)</f>
        <v>5.35</v>
      </c>
      <c r="T43" cm="1">
        <f t="array" ref="T43">+_xll.EQNXTDZ($A$1,$B43,T$2)</f>
        <v>5.15</v>
      </c>
      <c r="U43" cm="1">
        <f t="array" ref="U43">+_xll.EQNXTDZ($A$1,$B43,U$2)</f>
        <v>5.05</v>
      </c>
      <c r="V43" cm="1">
        <f t="array" ref="V43">+_xll.EQNXTDZ($A$1,$B43,V$2)</f>
        <v>4.22</v>
      </c>
      <c r="W43" cm="1">
        <f t="array" ref="W43">+_xll.EQNXTDZ($A$1,$B43,W$2)</f>
        <v>3.95</v>
      </c>
      <c r="X43" cm="1">
        <f t="array" ref="X43">+_xll.EQNXTDZ($A$1,$B43,X$2)</f>
        <v>3.42</v>
      </c>
      <c r="Y43" cm="1">
        <f t="array" ref="Y43">+_xll.EQNXTDZ($A$1,$B43,Y$2)</f>
        <v>2.64</v>
      </c>
      <c r="Z43" cm="1">
        <f t="array" ref="Z43">+_xll.EQNXTDZ($A$1,$B43,Z$2)</f>
        <v>3.82</v>
      </c>
      <c r="AA43" cm="1">
        <f t="array" ref="AA43">+_xll.EQNXTDZ($A$1,$B43,AA$2)</f>
        <v>3.46</v>
      </c>
      <c r="AB43" cm="1">
        <f t="array" ref="AB43">+_xll.EQNXTDZ($A$1,$B43,AB$2)</f>
        <v>3.21</v>
      </c>
      <c r="AC43" cm="1">
        <f t="array" ref="AC43">+_xll.EQNXTDZ($A$1,$B43,AC$2)</f>
        <v>2.86</v>
      </c>
      <c r="AD43" cm="1">
        <f t="array" ref="AD43">+_xll.EQNXTDZ($A$1,$B43,AD$2)</f>
        <v>2.65</v>
      </c>
      <c r="AE43" cm="1">
        <f t="array" ref="AE43">+_xll.EQNXTDZ($A$1,$B43,AE$2)</f>
        <v>2.48</v>
      </c>
      <c r="AF43" cm="1">
        <f t="array" ref="AF43">+_xll.EQNXTDZ($A$1,$B43,AF$2)</f>
        <v>2.19</v>
      </c>
      <c r="AG43" cm="1">
        <f t="array" ref="AG43">+_xll.EQNXTDZ($A$1,$B43,AG$2)</f>
        <v>1.96</v>
      </c>
      <c r="AH43" cm="1">
        <f t="array" ref="AH43">+_xll.EQNXTDZ($A$1,$B43,AH$2)</f>
        <v>1.73</v>
      </c>
      <c r="AI43" cm="1">
        <f t="array" ref="AI43">+_xll.EQNXTDZ($A$1,$B43,AI$2)</f>
        <v>1.57</v>
      </c>
      <c r="AJ43" cm="1">
        <f t="array" ref="AJ43">+_xll.EQNXTDZ($A$1,$B43,AJ$2)</f>
        <v>1.41</v>
      </c>
      <c r="AK43" cm="1">
        <f t="array" ref="AK43">+_xll.EQNXTDZ($A$1,$B43,AK$2)</f>
        <v>1.32</v>
      </c>
      <c r="AL43" cm="1">
        <f t="array" ref="AL43">+_xll.EQNXTDZ($A$1,$B43,AL$2)</f>
        <v>1.27</v>
      </c>
      <c r="AM43" cm="1">
        <f t="array" ref="AM43">+_xll.EQNXTDZ($A$1,$B43,AM$2)</f>
        <v>1.24</v>
      </c>
      <c r="AN43" cm="1">
        <f t="array" ref="AN43">+_xll.EQNXTDZ($A$1,$B43,AN$2)</f>
        <v>0.99</v>
      </c>
      <c r="AO43" cm="1">
        <f t="array" ref="AO43">+_xll.EQNXTDZ($A$1,$B43,AO$2)</f>
        <v>0.89</v>
      </c>
      <c r="AP43" cm="1">
        <f t="array" ref="AP43">+_xll.EQNXTDZ($A$1,$B43,AP$2)</f>
        <v>0.7</v>
      </c>
      <c r="AQ43" cm="1">
        <f t="array" ref="AQ43">+_xll.EQNXTDZ($A$1,$B43,AQ$2)</f>
        <v>0.63</v>
      </c>
      <c r="AR43" cm="1">
        <f t="array" ref="AR43">+_xll.EQNXTDZ($A$1,$B43,AR$2)</f>
        <v>0.54</v>
      </c>
      <c r="AS43" cm="1">
        <f t="array" ref="AS43">+_xll.EQNXTDZ($A$1,$B43,AS$2)</f>
        <v>0.45</v>
      </c>
      <c r="AT43" cm="1">
        <f t="array" ref="AT43">+_xll.EQNXTDZ($A$1,$B43,AT$2)</f>
        <v>0.43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242</v>
      </c>
      <c r="B44" t="s">
        <v>283</v>
      </c>
      <c r="C44" cm="1">
        <f t="array" ref="C44">+_xll.EQNXTDZ($A$1,$B44,C$2)</f>
        <v>3.98</v>
      </c>
      <c r="D44" cm="1">
        <f t="array" ref="D44">+_xll.EQNXTDZ($A$1,$B44,D$2)</f>
        <v>4.2699999999999996</v>
      </c>
      <c r="E44" cm="1">
        <f t="array" ref="E44">+_xll.EQNXTDZ($A$1,$B44,E$2)</f>
        <v>5.84</v>
      </c>
      <c r="F44" cm="1">
        <f t="array" ref="F44">+_xll.EQNXTDZ($A$1,$B44,F$2)</f>
        <v>9.4</v>
      </c>
      <c r="G44" cm="1">
        <f t="array" ref="G44">+_xll.EQNXTDZ($A$1,$B44,G$2)</f>
        <v>9.7100000000000009</v>
      </c>
      <c r="H44" cm="1">
        <f t="array" ref="H44">+_xll.EQNXTDZ($A$1,$B44,H$2)</f>
        <v>9.81</v>
      </c>
      <c r="I44" cm="1">
        <f t="array" ref="I44">+_xll.EQNXTDZ($A$1,$B44,I$2)</f>
        <v>9.9700000000000006</v>
      </c>
      <c r="J44" cm="1">
        <f t="array" ref="J44">+_xll.EQNXTDZ($A$1,$B44,J$2)</f>
        <v>9.6300000000000008</v>
      </c>
      <c r="K44" cm="1">
        <f t="array" ref="K44">+_xll.EQNXTDZ($A$1,$B44,K$2)</f>
        <v>10.56</v>
      </c>
      <c r="L44" cm="1">
        <f t="array" ref="L44">+_xll.EQNXTDZ($A$1,$B44,L$2)</f>
        <v>10.51</v>
      </c>
      <c r="M44" cm="1">
        <f t="array" ref="M44">+_xll.EQNXTDZ($A$1,$B44,M$2)</f>
        <v>10.38</v>
      </c>
      <c r="N44" cm="1">
        <f t="array" ref="N44">+_xll.EQNXTDZ($A$1,$B44,N$2)</f>
        <v>11.84</v>
      </c>
      <c r="O44" cm="1">
        <f t="array" ref="O44">+_xll.EQNXTDZ($A$1,$B44,O$2)</f>
        <v>11.05</v>
      </c>
      <c r="P44" cm="1">
        <f t="array" ref="P44">+_xll.EQNXTDZ($A$1,$B44,P$2)</f>
        <v>10.56</v>
      </c>
      <c r="Q44" cm="1">
        <f t="array" ref="Q44">+_xll.EQNXTDZ($A$1,$B44,Q$2)</f>
        <v>10.25</v>
      </c>
      <c r="R44" cm="1">
        <f t="array" ref="R44">+_xll.EQNXTDZ($A$1,$B44,R$2)</f>
        <v>8.83</v>
      </c>
      <c r="S44" cm="1">
        <f t="array" ref="S44">+_xll.EQNXTDZ($A$1,$B44,S$2)</f>
        <v>8.77</v>
      </c>
      <c r="T44" cm="1">
        <f t="array" ref="T44">+_xll.EQNXTDZ($A$1,$B44,T$2)</f>
        <v>8.68</v>
      </c>
      <c r="U44" cm="1">
        <f t="array" ref="U44">+_xll.EQNXTDZ($A$1,$B44,U$2)</f>
        <v>8.36</v>
      </c>
      <c r="V44" cm="1">
        <f t="array" ref="V44">+_xll.EQNXTDZ($A$1,$B44,V$2)</f>
        <v>8.2100000000000009</v>
      </c>
      <c r="W44" cm="1">
        <f t="array" ref="W44">+_xll.EQNXTDZ($A$1,$B44,W$2)</f>
        <v>8.84</v>
      </c>
      <c r="X44" cm="1">
        <f t="array" ref="X44">+_xll.EQNXTDZ($A$1,$B44,X$2)</f>
        <v>8.23</v>
      </c>
      <c r="Y44" cm="1">
        <f t="array" ref="Y44">+_xll.EQNXTDZ($A$1,$B44,Y$2)</f>
        <v>7.46</v>
      </c>
      <c r="Z44" cm="1">
        <f t="array" ref="Z44">+_xll.EQNXTDZ($A$1,$B44,Z$2)</f>
        <v>8.93</v>
      </c>
      <c r="AA44" cm="1">
        <f t="array" ref="AA44">+_xll.EQNXTDZ($A$1,$B44,AA$2)</f>
        <v>8.5</v>
      </c>
      <c r="AB44" cm="1">
        <f t="array" ref="AB44">+_xll.EQNXTDZ($A$1,$B44,AB$2)</f>
        <v>8.42</v>
      </c>
      <c r="AC44" cm="1">
        <f t="array" ref="AC44">+_xll.EQNXTDZ($A$1,$B44,AC$2)</f>
        <v>7.8</v>
      </c>
      <c r="AD44" cm="1">
        <f t="array" ref="AD44">+_xll.EQNXTDZ($A$1,$B44,AD$2)</f>
        <v>7.51</v>
      </c>
      <c r="AE44" cm="1">
        <f t="array" ref="AE44">+_xll.EQNXTDZ($A$1,$B44,AE$2)</f>
        <v>6.98</v>
      </c>
      <c r="AF44" cm="1">
        <f t="array" ref="AF44">+_xll.EQNXTDZ($A$1,$B44,AF$2)</f>
        <v>6.37</v>
      </c>
      <c r="AG44" cm="1">
        <f t="array" ref="AG44">+_xll.EQNXTDZ($A$1,$B44,AG$2)</f>
        <v>5.89</v>
      </c>
      <c r="AH44" cm="1">
        <f t="array" ref="AH44">+_xll.EQNXTDZ($A$1,$B44,AH$2)</f>
        <v>5.35</v>
      </c>
      <c r="AI44" cm="1">
        <f t="array" ref="AI44">+_xll.EQNXTDZ($A$1,$B44,AI$2)</f>
        <v>5.15</v>
      </c>
      <c r="AJ44" cm="1">
        <f t="array" ref="AJ44">+_xll.EQNXTDZ($A$1,$B44,AJ$2)</f>
        <v>4.76</v>
      </c>
      <c r="AK44" cm="1">
        <f t="array" ref="AK44">+_xll.EQNXTDZ($A$1,$B44,AK$2)</f>
        <v>4.3899999999999997</v>
      </c>
      <c r="AL44" cm="1">
        <f t="array" ref="AL44">+_xll.EQNXTDZ($A$1,$B44,AL$2)</f>
        <v>4.2300000000000004</v>
      </c>
      <c r="AM44" cm="1">
        <f t="array" ref="AM44">+_xll.EQNXTDZ($A$1,$B44,AM$2)</f>
        <v>4.1399999999999997</v>
      </c>
      <c r="AN44" cm="1">
        <f t="array" ref="AN44">+_xll.EQNXTDZ($A$1,$B44,AN$2)</f>
        <v>3.73</v>
      </c>
      <c r="AO44" cm="1">
        <f t="array" ref="AO44">+_xll.EQNXTDZ($A$1,$B44,AO$2)</f>
        <v>3.34</v>
      </c>
      <c r="AP44" cm="1">
        <f t="array" ref="AP44">+_xll.EQNXTDZ($A$1,$B44,AP$2)</f>
        <v>2.94</v>
      </c>
      <c r="AQ44" cm="1">
        <f t="array" ref="AQ44">+_xll.EQNXTDZ($A$1,$B44,AQ$2)</f>
        <v>2.69</v>
      </c>
      <c r="AR44" cm="1">
        <f t="array" ref="AR44">+_xll.EQNXTDZ($A$1,$B44,AR$2)</f>
        <v>2.35</v>
      </c>
      <c r="AS44" cm="1">
        <f t="array" ref="AS44">+_xll.EQNXTDZ($A$1,$B44,AS$2)</f>
        <v>2.08</v>
      </c>
      <c r="AT44" cm="1">
        <f t="array" ref="AT44">+_xll.EQNXTDZ($A$1,$B44,AT$2)</f>
        <v>1.84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243</v>
      </c>
      <c r="B45" t="s">
        <v>284</v>
      </c>
      <c r="C45" cm="1">
        <f t="array" ref="C45">+_xll.EQNXTDZ($A$1,$B45,C$2)</f>
        <v>0.36</v>
      </c>
      <c r="D45" cm="1">
        <f t="array" ref="D45">+_xll.EQNXTDZ($A$1,$B45,D$2)</f>
        <v>0.39</v>
      </c>
      <c r="E45" cm="1">
        <f t="array" ref="E45">+_xll.EQNXTDZ($A$1,$B45,E$2)</f>
        <v>0.06</v>
      </c>
      <c r="F45" cm="1">
        <f t="array" ref="F45">+_xll.EQNXTDZ($A$1,$B45,F$2)</f>
        <v>-2.88</v>
      </c>
      <c r="G45" cm="1">
        <f t="array" ref="G45">+_xll.EQNXTDZ($A$1,$B45,G$2)</f>
        <v>0.17</v>
      </c>
      <c r="H45" cm="1">
        <f t="array" ref="H45">+_xll.EQNXTDZ($A$1,$B45,H$2)</f>
        <v>0.26</v>
      </c>
      <c r="I45" cm="1">
        <f t="array" ref="I45">+_xll.EQNXTDZ($A$1,$B45,I$2)</f>
        <v>0.23</v>
      </c>
      <c r="J45" cm="1">
        <f t="array" ref="J45">+_xll.EQNXTDZ($A$1,$B45,J$2)</f>
        <v>0.15</v>
      </c>
      <c r="K45" cm="1">
        <f t="array" ref="K45">+_xll.EQNXTDZ($A$1,$B45,K$2)</f>
        <v>0.18</v>
      </c>
      <c r="L45" cm="1">
        <f t="array" ref="L45">+_xll.EQNXTDZ($A$1,$B45,L$2)</f>
        <v>0.19</v>
      </c>
      <c r="M45" cm="1">
        <f t="array" ref="M45">+_xll.EQNXTDZ($A$1,$B45,M$2)</f>
        <v>0.09</v>
      </c>
      <c r="N45" cm="1">
        <f t="array" ref="N45">+_xll.EQNXTDZ($A$1,$B45,N$2)</f>
        <v>-3.46</v>
      </c>
      <c r="O45" cm="1">
        <f t="array" ref="O45">+_xll.EQNXTDZ($A$1,$B45,O$2)</f>
        <v>0.19</v>
      </c>
      <c r="P45" cm="1">
        <f t="array" ref="P45">+_xll.EQNXTDZ($A$1,$B45,P$2)</f>
        <v>0.2</v>
      </c>
      <c r="Q45" cm="1">
        <f t="array" ref="Q45">+_xll.EQNXTDZ($A$1,$B45,Q$2)</f>
        <v>0.21</v>
      </c>
      <c r="R45" cm="1">
        <f t="array" ref="R45">+_xll.EQNXTDZ($A$1,$B45,R$2)</f>
        <v>-0.36</v>
      </c>
      <c r="S45" cm="1">
        <f t="array" ref="S45">+_xll.EQNXTDZ($A$1,$B45,S$2)</f>
        <v>0.19</v>
      </c>
      <c r="T45" cm="1">
        <f t="array" ref="T45">+_xll.EQNXTDZ($A$1,$B45,T$2)</f>
        <v>0.21</v>
      </c>
      <c r="U45" cm="1">
        <f t="array" ref="U45">+_xll.EQNXTDZ($A$1,$B45,U$2)</f>
        <v>0.19</v>
      </c>
      <c r="V45" cm="1">
        <f t="array" ref="V45">+_xll.EQNXTDZ($A$1,$B45,V$2)</f>
        <v>-1.85</v>
      </c>
      <c r="W45" cm="1">
        <f t="array" ref="W45">+_xll.EQNXTDZ($A$1,$B45,W$2)</f>
        <v>0.16</v>
      </c>
      <c r="X45" cm="1">
        <f t="array" ref="X45">+_xll.EQNXTDZ($A$1,$B45,X$2)</f>
        <v>0.16</v>
      </c>
      <c r="Y45" cm="1">
        <f t="array" ref="Y45">+_xll.EQNXTDZ($A$1,$B45,Y$2)</f>
        <v>0.24</v>
      </c>
      <c r="Z45" cm="1">
        <f t="array" ref="Z45">+_xll.EQNXTDZ($A$1,$B45,Z$2)</f>
        <v>0.36</v>
      </c>
      <c r="AA45" cm="1">
        <f t="array" ref="AA45">+_xll.EQNXTDZ($A$1,$B45,AA$2)</f>
        <v>0.41</v>
      </c>
      <c r="AB45" cm="1">
        <f t="array" ref="AB45">+_xll.EQNXTDZ($A$1,$B45,AB$2)</f>
        <v>0.46</v>
      </c>
      <c r="AC45" cm="1">
        <f t="array" ref="AC45">+_xll.EQNXTDZ($A$1,$B45,AC$2)</f>
        <v>0.52</v>
      </c>
      <c r="AD45" cm="1">
        <f t="array" ref="AD45">+_xll.EQNXTDZ($A$1,$B45,AD$2)</f>
        <v>0.56999999999999995</v>
      </c>
      <c r="AE45" cm="1">
        <f t="array" ref="AE45">+_xll.EQNXTDZ($A$1,$B45,AE$2)</f>
        <v>0.65</v>
      </c>
      <c r="AF45" cm="1">
        <f t="array" ref="AF45">+_xll.EQNXTDZ($A$1,$B45,AF$2)</f>
        <v>0.79</v>
      </c>
      <c r="AG45" cm="1">
        <f t="array" ref="AG45">+_xll.EQNXTDZ($A$1,$B45,AG$2)</f>
        <v>0.88</v>
      </c>
      <c r="AH45" cm="1">
        <f t="array" ref="AH45">+_xll.EQNXTDZ($A$1,$B45,AH$2)</f>
        <v>0.95</v>
      </c>
      <c r="AI45" cm="1">
        <f t="array" ref="AI45">+_xll.EQNXTDZ($A$1,$B45,AI$2)</f>
        <v>0.99</v>
      </c>
      <c r="AJ45" cm="1">
        <f t="array" ref="AJ45">+_xll.EQNXTDZ($A$1,$B45,AJ$2)</f>
        <v>1.02</v>
      </c>
      <c r="AK45" cm="1">
        <f t="array" ref="AK45">+_xll.EQNXTDZ($A$1,$B45,AK$2)</f>
        <v>1.01</v>
      </c>
      <c r="AL45" cm="1">
        <f t="array" ref="AL45">+_xll.EQNXTDZ($A$1,$B45,AL$2)</f>
        <v>1.03</v>
      </c>
      <c r="AM45" cm="1">
        <f t="array" ref="AM45">+_xll.EQNXTDZ($A$1,$B45,AM$2)</f>
        <v>1.05</v>
      </c>
      <c r="AN45" cm="1">
        <f t="array" ref="AN45">+_xll.EQNXTDZ($A$1,$B45,AN$2)</f>
        <v>1.05</v>
      </c>
      <c r="AO45" cm="1">
        <f t="array" ref="AO45">+_xll.EQNXTDZ($A$1,$B45,AO$2)</f>
        <v>1.03</v>
      </c>
      <c r="AP45" cm="1">
        <f t="array" ref="AP45">+_xll.EQNXTDZ($A$1,$B45,AP$2)</f>
        <v>1.25</v>
      </c>
      <c r="AQ45" cm="1">
        <f t="array" ref="AQ45">+_xll.EQNXTDZ($A$1,$B45,AQ$2)</f>
        <v>1.1399999999999999</v>
      </c>
      <c r="AR45" cm="1">
        <f t="array" ref="AR45">+_xll.EQNXTDZ($A$1,$B45,AR$2)</f>
        <v>1.1000000000000001</v>
      </c>
      <c r="AS45" cm="1">
        <f t="array" ref="AS45">+_xll.EQNXTDZ($A$1,$B45,AS$2)</f>
        <v>1.1599999999999999</v>
      </c>
      <c r="AT45" cm="1">
        <f t="array" ref="AT45">+_xll.EQNXTDZ($A$1,$B45,AT$2)</f>
        <v>1.01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244</v>
      </c>
      <c r="B46" t="s">
        <v>285</v>
      </c>
      <c r="C46" cm="1">
        <f t="array" ref="C46">+_xll.EQNXTDZ($A$1,$B46,C$2)</f>
        <v>183000000</v>
      </c>
      <c r="D46" cm="1">
        <f t="array" ref="D46">+_xll.EQNXTDZ($A$1,$B46,D$2)</f>
        <v>183000000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245</v>
      </c>
      <c r="B47" t="s">
        <v>286</v>
      </c>
      <c r="C47" cm="1">
        <f t="array" ref="C47">+_xll.EQNXTDZ($A$1,$B47,C$2)</f>
        <v>35.520000000000003</v>
      </c>
      <c r="D47" cm="1">
        <f t="array" ref="D47">+_xll.EQNXTDZ($A$1,$B47,D$2)</f>
        <v>33.700000000000003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213</v>
      </c>
      <c r="B48" t="s">
        <v>344</v>
      </c>
      <c r="C48" cm="1">
        <f t="array" ref="C48">+_xll.EQNXTDZ($A$1,$B48,C$2)</f>
        <v>2.21</v>
      </c>
      <c r="D48" cm="1">
        <f t="array" ref="D48">+_xll.EQNXTDZ($A$1,$B48,D$2)</f>
        <v>2.38</v>
      </c>
      <c r="E48" cm="1">
        <f t="array" ref="E48">+_xll.EQNXTDZ($A$1,$B48,E$2)</f>
        <v>2.29</v>
      </c>
      <c r="F48" cm="1">
        <f t="array" ref="F48">+_xll.EQNXTDZ($A$1,$B48,F$2)</f>
        <v>2.34</v>
      </c>
      <c r="G48" cm="1">
        <f t="array" ref="G48">+_xll.EQNXTDZ($A$1,$B48,G$2)</f>
        <v>2.29</v>
      </c>
      <c r="H48" cm="1">
        <f t="array" ref="H48">+_xll.EQNXTDZ($A$1,$B48,H$2)</f>
        <v>2.35</v>
      </c>
      <c r="I48" cm="1">
        <f t="array" ref="I48">+_xll.EQNXTDZ($A$1,$B48,I$2)</f>
        <v>2.34</v>
      </c>
      <c r="J48" cm="1">
        <f t="array" ref="J48">+_xll.EQNXTDZ($A$1,$B48,J$2)</f>
        <v>2.39</v>
      </c>
      <c r="K48" cm="1">
        <f t="array" ref="K48">+_xll.EQNXTDZ($A$1,$B48,K$2)</f>
        <v>2.56</v>
      </c>
      <c r="L48" cm="1">
        <f t="array" ref="L48">+_xll.EQNXTDZ($A$1,$B48,L$2)</f>
        <v>2.6</v>
      </c>
      <c r="M48" cm="1">
        <f t="array" ref="M48">+_xll.EQNXTDZ($A$1,$B48,M$2)</f>
        <v>2.64</v>
      </c>
      <c r="N48" cm="1">
        <f t="array" ref="N48">+_xll.EQNXTDZ($A$1,$B48,N$2)</f>
        <v>2.65</v>
      </c>
      <c r="O48" cm="1">
        <f t="array" ref="O48">+_xll.EQNXTDZ($A$1,$B48,O$2)</f>
        <v>2.75</v>
      </c>
      <c r="P48" cm="1">
        <f t="array" ref="P48">+_xll.EQNXTDZ($A$1,$B48,P$2)</f>
        <v>2.74</v>
      </c>
      <c r="Q48" cm="1">
        <f t="array" ref="Q48">+_xll.EQNXTDZ($A$1,$B48,Q$2)</f>
        <v>2.85</v>
      </c>
      <c r="R48" cm="1">
        <f t="array" ref="R48">+_xll.EQNXTDZ($A$1,$B48,R$2)</f>
        <v>2.76</v>
      </c>
      <c r="S48" cm="1">
        <f t="array" ref="S48">+_xll.EQNXTDZ($A$1,$B48,S$2)</f>
        <v>2.29</v>
      </c>
      <c r="T48" cm="1">
        <f t="array" ref="T48">+_xll.EQNXTDZ($A$1,$B48,T$2)</f>
        <v>2.4700000000000002</v>
      </c>
      <c r="U48" cm="1">
        <f t="array" ref="U48">+_xll.EQNXTDZ($A$1,$B48,U$2)</f>
        <v>2.5</v>
      </c>
      <c r="V48" cm="1">
        <f t="array" ref="V48">+_xll.EQNXTDZ($A$1,$B48,V$2)</f>
        <v>2.5099999999999998</v>
      </c>
      <c r="W48" cm="1">
        <f t="array" ref="W48">+_xll.EQNXTDZ($A$1,$B48,W$2)</f>
        <v>2.84</v>
      </c>
      <c r="X48" cm="1">
        <f t="array" ref="X48">+_xll.EQNXTDZ($A$1,$B48,X$2)</f>
        <v>2.82</v>
      </c>
      <c r="Y48" cm="1">
        <f t="array" ref="Y48">+_xll.EQNXTDZ($A$1,$B48,Y$2)</f>
        <v>2.8</v>
      </c>
      <c r="Z48" cm="1">
        <f t="array" ref="Z48">+_xll.EQNXTDZ($A$1,$B48,Z$2)</f>
        <v>2.5099999999999998</v>
      </c>
      <c r="AA48" cm="1">
        <f t="array" ref="AA48">+_xll.EQNXTDZ($A$1,$B48,AA$2)</f>
        <v>2.71</v>
      </c>
      <c r="AB48" cm="1">
        <f t="array" ref="AB48">+_xll.EQNXTDZ($A$1,$B48,AB$2)</f>
        <v>2.72</v>
      </c>
      <c r="AC48" cm="1">
        <f t="array" ref="AC48">+_xll.EQNXTDZ($A$1,$B48,AC$2)</f>
        <v>2.83</v>
      </c>
      <c r="AD48" cm="1">
        <f t="array" ref="AD48">+_xll.EQNXTDZ($A$1,$B48,AD$2)</f>
        <v>2.93</v>
      </c>
      <c r="AE48" cm="1">
        <f t="array" ref="AE48">+_xll.EQNXTDZ($A$1,$B48,AE$2)</f>
        <v>2.78</v>
      </c>
      <c r="AF48" cm="1">
        <f t="array" ref="AF48">+_xll.EQNXTDZ($A$1,$B48,AF$2)</f>
        <v>2.83</v>
      </c>
      <c r="AG48" cm="1">
        <f t="array" ref="AG48">+_xll.EQNXTDZ($A$1,$B48,AG$2)</f>
        <v>2.93</v>
      </c>
      <c r="AH48" cm="1">
        <f t="array" ref="AH48">+_xll.EQNXTDZ($A$1,$B48,AH$2)</f>
        <v>3.07</v>
      </c>
      <c r="AI48" cm="1">
        <f t="array" ref="AI48">+_xll.EQNXTDZ($A$1,$B48,AI$2)</f>
        <v>3.05</v>
      </c>
      <c r="AJ48" cm="1">
        <f t="array" ref="AJ48">+_xll.EQNXTDZ($A$1,$B48,AJ$2)</f>
        <v>3</v>
      </c>
      <c r="AK48" cm="1">
        <f t="array" ref="AK48">+_xll.EQNXTDZ($A$1,$B48,AK$2)</f>
        <v>3.03</v>
      </c>
      <c r="AL48" cm="1">
        <f t="array" ref="AL48">+_xll.EQNXTDZ($A$1,$B48,AL$2)</f>
        <v>3.07</v>
      </c>
      <c r="AM48" cm="1">
        <f t="array" ref="AM48">+_xll.EQNXTDZ($A$1,$B48,AM$2)</f>
        <v>2.9</v>
      </c>
      <c r="AN48" cm="1">
        <f t="array" ref="AN48">+_xll.EQNXTDZ($A$1,$B48,AN$2)</f>
        <v>2.86</v>
      </c>
      <c r="AO48" cm="1">
        <f t="array" ref="AO48">+_xll.EQNXTDZ($A$1,$B48,AO$2)</f>
        <v>2.83</v>
      </c>
      <c r="AP48" cm="1">
        <f t="array" ref="AP48">+_xll.EQNXTDZ($A$1,$B48,AP$2)</f>
        <v>2.73</v>
      </c>
      <c r="AQ48" cm="1">
        <f t="array" ref="AQ48">+_xll.EQNXTDZ($A$1,$B48,AQ$2)</f>
        <v>2.5499999999999998</v>
      </c>
      <c r="AR48" cm="1">
        <f t="array" ref="AR48">+_xll.EQNXTDZ($A$1,$B48,AR$2)</f>
        <v>2.5</v>
      </c>
      <c r="AS48" cm="1">
        <f t="array" ref="AS48">+_xll.EQNXTDZ($A$1,$B48,AS$2)</f>
        <v>2.4500000000000002</v>
      </c>
      <c r="AT48" cm="1">
        <f t="array" ref="AT48">+_xll.EQNXTDZ($A$1,$B48,AT$2)</f>
        <v>2.54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cm="1">
        <f t="array" ref="C53">+_xll.EQNXTDZ($A$1,$B53,C$51)</f>
        <v>201506</v>
      </c>
      <c r="D53" cm="1">
        <f t="array" ref="D53">+_xll.EQNXTDZ($A$1,$B53,D$51)</f>
        <v>201509</v>
      </c>
      <c r="E53" cm="1">
        <f t="array" ref="E53">+_xll.EQNXTDZ($A$1,$B53,E$51)</f>
        <v>201512</v>
      </c>
      <c r="F53" cm="1">
        <f t="array" ref="F53">+_xll.EQNXTDZ($A$1,$B53,F$51)</f>
        <v>201603</v>
      </c>
      <c r="G53" cm="1">
        <f t="array" ref="G53">+_xll.EQNXTDZ($A$1,$B53,G$51)</f>
        <v>201606</v>
      </c>
      <c r="H53" cm="1">
        <f t="array" ref="H53">+_xll.EQNXTDZ($A$1,$B53,H$51)</f>
        <v>201609</v>
      </c>
      <c r="I53" cm="1">
        <f t="array" ref="I53">+_xll.EQNXTDZ($A$1,$B53,I$51)</f>
        <v>201612</v>
      </c>
      <c r="J53" cm="1">
        <f t="array" ref="J53">+_xll.EQNXTDZ($A$1,$B53,J$51)</f>
        <v>201703</v>
      </c>
      <c r="K53" cm="1">
        <f t="array" ref="K53">+_xll.EQNXTDZ($A$1,$B53,K$51)</f>
        <v>201706</v>
      </c>
      <c r="L53" cm="1">
        <f t="array" ref="L53">+_xll.EQNXTDZ($A$1,$B53,L$51)</f>
        <v>201709</v>
      </c>
      <c r="M53" cm="1">
        <f t="array" ref="M53">+_xll.EQNXTDZ($A$1,$B53,M$51)</f>
        <v>201712</v>
      </c>
      <c r="N53" cm="1">
        <f t="array" ref="N53">+_xll.EQNXTDZ($A$1,$B53,N$51)</f>
        <v>201803</v>
      </c>
      <c r="O53" cm="1">
        <f t="array" ref="O53">+_xll.EQNXTDZ($A$1,$B53,O$51)</f>
        <v>201806</v>
      </c>
      <c r="P53" cm="1">
        <f t="array" ref="P53">+_xll.EQNXTDZ($A$1,$B53,P$51)</f>
        <v>201809</v>
      </c>
      <c r="Q53" cm="1">
        <f t="array" ref="Q53">+_xll.EQNXTDZ($A$1,$B53,Q$51)</f>
        <v>201812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201912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202012</v>
      </c>
      <c r="Z53" cm="1">
        <f t="array" ref="Z53">+_xll.EQNXTDZ($A$1,$B53,Z$51)</f>
        <v>202103</v>
      </c>
      <c r="AA53" cm="1">
        <f t="array" ref="AA53">+_xll.EQNXTDZ($A$1,$B53,AA$51)</f>
        <v>202106</v>
      </c>
      <c r="AB53" cm="1">
        <f t="array" ref="AB53">+_xll.EQNXTDZ($A$1,$B53,AB$51)</f>
        <v>202109</v>
      </c>
      <c r="AC53" cm="1">
        <f t="array" ref="AC53">+_xll.EQNXTDZ($A$1,$B53,AC$51)</f>
        <v>202112</v>
      </c>
      <c r="AD53" cm="1">
        <f t="array" ref="AD53">+_xll.EQNXTDZ($A$1,$B53,AD$51)</f>
        <v>202203</v>
      </c>
      <c r="AE53" cm="1">
        <f t="array" ref="AE53">+_xll.EQNXTDZ($A$1,$B53,AE$51)</f>
        <v>202206</v>
      </c>
      <c r="AF53" cm="1">
        <f t="array" ref="AF53">+_xll.EQNXTDZ($A$1,$B53,AF$51)</f>
        <v>202209</v>
      </c>
      <c r="AG53" cm="1">
        <f t="array" ref="AG53">+_xll.EQNXTDZ($A$1,$B53,AG$51)</f>
        <v>202212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301</v>
      </c>
      <c r="C54" cm="1">
        <f t="array" ref="C54">+_xll.EQNXTDZ($A$1,$B54,C$51)</f>
        <v>515.20000000000005</v>
      </c>
      <c r="D54" cm="1">
        <f t="array" ref="D54">+_xll.EQNXTDZ($A$1,$B54,D$51)</f>
        <v>542.99</v>
      </c>
      <c r="E54" cm="1">
        <f t="array" ref="E54">+_xll.EQNXTDZ($A$1,$B54,E$51)</f>
        <v>542.99</v>
      </c>
      <c r="F54" cm="1">
        <f t="array" ref="F54">+_xll.EQNXTDZ($A$1,$B54,F$51)</f>
        <v>542.99</v>
      </c>
      <c r="G54" cm="1">
        <f t="array" ref="G54">+_xll.EQNXTDZ($A$1,$B54,G$51)</f>
        <v>542.99</v>
      </c>
      <c r="H54" cm="1">
        <f t="array" ref="H54">+_xll.EQNXTDZ($A$1,$B54,H$51)</f>
        <v>542.99</v>
      </c>
      <c r="I54" cm="1">
        <f t="array" ref="I54">+_xll.EQNXTDZ($A$1,$B54,I$51)</f>
        <v>542.99</v>
      </c>
      <c r="J54" cm="1">
        <f t="array" ref="J54">+_xll.EQNXTDZ($A$1,$B54,J$51)</f>
        <v>597.29</v>
      </c>
      <c r="K54" cm="1">
        <f t="array" ref="K54">+_xll.EQNXTDZ($A$1,$B54,K$51)</f>
        <v>597.29</v>
      </c>
      <c r="L54" cm="1">
        <f t="array" ref="L54">+_xll.EQNXTDZ($A$1,$B54,L$51)</f>
        <v>597.29</v>
      </c>
      <c r="M54" cm="1">
        <f t="array" ref="M54">+_xll.EQNXTDZ($A$1,$B54,M$51)</f>
        <v>597.29</v>
      </c>
      <c r="N54" cm="1">
        <f t="array" ref="N54">+_xll.EQNXTDZ($A$1,$B54,N$51)</f>
        <v>733.24</v>
      </c>
      <c r="O54" cm="1">
        <f t="array" ref="O54">+_xll.EQNXTDZ($A$1,$B54,O$51)</f>
        <v>733.24</v>
      </c>
      <c r="P54" cm="1">
        <f t="array" ref="P54">+_xll.EQNXTDZ($A$1,$B54,P$51)</f>
        <v>733.24</v>
      </c>
      <c r="Q54" cm="1">
        <f t="array" ref="Q54">+_xll.EQNXTDZ($A$1,$B54,Q$51)</f>
        <v>733.24</v>
      </c>
      <c r="R54" cm="1">
        <f t="array" ref="R54">+_xll.EQNXTDZ($A$1,$B54,R$51)</f>
        <v>753.24</v>
      </c>
      <c r="S54" cm="1">
        <f t="array" ref="S54">+_xll.EQNXTDZ($A$1,$B54,S$51)</f>
        <v>753.24</v>
      </c>
      <c r="T54" cm="1">
        <f t="array" ref="T54">+_xll.EQNXTDZ($A$1,$B54,T$51)</f>
        <v>753.24</v>
      </c>
      <c r="U54" cm="1">
        <f t="array" ref="U54">+_xll.EQNXTDZ($A$1,$B54,U$51)</f>
        <v>1030.23</v>
      </c>
      <c r="V54" cm="1">
        <f t="array" ref="V54">+_xll.EQNXTDZ($A$1,$B54,V$51)</f>
        <v>1030.23</v>
      </c>
      <c r="W54" cm="1">
        <f t="array" ref="W54">+_xll.EQNXTDZ($A$1,$B54,W$51)</f>
        <v>1453.5</v>
      </c>
      <c r="X54" cm="1">
        <f t="array" ref="X54">+_xll.EQNXTDZ($A$1,$B54,X$51)</f>
        <v>1453.5</v>
      </c>
      <c r="Y54" cm="1">
        <f t="array" ref="Y54">+_xll.EQNXTDZ($A$1,$B54,Y$51)</f>
        <v>1646.74</v>
      </c>
      <c r="Z54" cm="1">
        <f t="array" ref="Z54">+_xll.EQNXTDZ($A$1,$B54,Z$51)</f>
        <v>1646.74</v>
      </c>
      <c r="AA54" cm="1">
        <f t="array" ref="AA54">+_xll.EQNXTDZ($A$1,$B54,AA$51)</f>
        <v>1646.74</v>
      </c>
      <c r="AB54" cm="1">
        <f t="array" ref="AB54">+_xll.EQNXTDZ($A$1,$B54,AB$51)</f>
        <v>1814.13</v>
      </c>
      <c r="AC54" cm="1">
        <f t="array" ref="AC54">+_xll.EQNXTDZ($A$1,$B54,AC$51)</f>
        <v>1814.13</v>
      </c>
      <c r="AD54" cm="1">
        <f t="array" ref="AD54">+_xll.EQNXTDZ($A$1,$B54,AD$51)</f>
        <v>1814.13</v>
      </c>
      <c r="AE54" cm="1">
        <f t="array" ref="AE54">+_xll.EQNXTDZ($A$1,$B54,AE$51)</f>
        <v>1814.13</v>
      </c>
      <c r="AF54" cm="1">
        <f t="array" ref="AF54">+_xll.EQNXTDZ($A$1,$B54,AF$51)</f>
        <v>1814.13</v>
      </c>
      <c r="AG54" cm="1">
        <f t="array" ref="AG54">+_xll.EQNXTDZ($A$1,$B54,AG$51)</f>
        <v>1814.13</v>
      </c>
      <c r="AH54" cm="1">
        <f t="array" ref="AH54">+_xll.EQNXTDZ($A$1,$B54,AH$51)</f>
        <v>1814.13</v>
      </c>
      <c r="AI54" cm="1">
        <f t="array" ref="AI54">+_xll.EQNXTDZ($A$1,$B54,AI$51)</f>
        <v>1814.13</v>
      </c>
      <c r="AJ54" cm="1">
        <f t="array" ref="AJ54">+_xll.EQNXTDZ($A$1,$B54,AJ$51)</f>
        <v>1814.13</v>
      </c>
      <c r="AK54" cm="1">
        <f t="array" ref="AK54">+_xll.EQNXTDZ($A$1,$B54,AK$51)</f>
        <v>1814.13</v>
      </c>
      <c r="AL54" cm="1">
        <f t="array" ref="AL54">+_xll.EQNXTDZ($A$1,$B54,AL$51)</f>
        <v>1814.13</v>
      </c>
      <c r="AM54" cm="1">
        <f t="array" ref="AM54">+_xll.EQNXTDZ($A$1,$B54,AM$51)</f>
        <v>1814.13</v>
      </c>
      <c r="AN54" cm="1">
        <f t="array" ref="AN54">+_xll.EQNXTDZ($A$1,$B54,AN$51)</f>
        <v>1814.13</v>
      </c>
      <c r="AO54" cm="1">
        <f t="array" ref="AO54">+_xll.EQNXTDZ($A$1,$B54,AO$51)</f>
        <v>1814.13</v>
      </c>
      <c r="AP54" cm="1">
        <f t="array" ref="AP54">+_xll.EQNXTDZ($A$1,$B54,AP$51)</f>
        <v>1814.13</v>
      </c>
      <c r="AQ54" cm="1">
        <f t="array" ref="AQ54">+_xll.EQNXTDZ($A$1,$B54,AQ$51)</f>
        <v>1814.13</v>
      </c>
      <c r="AR54" cm="1">
        <f t="array" ref="AR54">+_xll.EQNXTDZ($A$1,$B54,AR$51)</f>
        <v>1814.13</v>
      </c>
      <c r="AS54" cm="1">
        <f t="array" ref="AS54">+_xll.EQNXTDZ($A$1,$B54,AS$51)</f>
        <v>1814.13</v>
      </c>
      <c r="AT54" cm="1">
        <f t="array" ref="AT54">+_xll.EQNXTDZ($A$1,$B54,AT$51)</f>
        <v>1814.13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287</v>
      </c>
      <c r="B55" t="s">
        <v>302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0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0</v>
      </c>
      <c r="K55" cm="1">
        <f t="array" ref="K55">+_xll.EQNXTDZ($A$1,$B55,K$51)</f>
        <v>0</v>
      </c>
      <c r="L55" cm="1">
        <f t="array" ref="L55">+_xll.EQNXTDZ($A$1,$B55,L$51)</f>
        <v>0</v>
      </c>
      <c r="M55" cm="1">
        <f t="array" ref="M55">+_xll.EQNXTDZ($A$1,$B55,M$51)</f>
        <v>0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0</v>
      </c>
      <c r="R55" cm="1">
        <f t="array" ref="R55">+_xll.EQNXTDZ($A$1,$B55,R$51)</f>
        <v>0</v>
      </c>
      <c r="S55" cm="1">
        <f t="array" ref="S55">+_xll.EQNXTDZ($A$1,$B55,S$51)</f>
        <v>0</v>
      </c>
      <c r="T55" cm="1">
        <f t="array" ref="T55">+_xll.EQNXTDZ($A$1,$B55,T$51)</f>
        <v>6571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174</v>
      </c>
      <c r="B56" t="s">
        <v>303</v>
      </c>
      <c r="C56" cm="1">
        <f t="array" ref="C56">+_xll.EQNXTDZ($A$1,$B56,C$51)</f>
        <v>33377.589999999997</v>
      </c>
      <c r="D56" cm="1">
        <f t="array" ref="D56">+_xll.EQNXTDZ($A$1,$B56,D$51)</f>
        <v>34937.14</v>
      </c>
      <c r="E56" cm="1">
        <f t="array" ref="E56">+_xll.EQNXTDZ($A$1,$B56,E$51)</f>
        <v>34989.230000000003</v>
      </c>
      <c r="F56" cm="1">
        <f t="array" ref="F56">+_xll.EQNXTDZ($A$1,$B56,F$51)</f>
        <v>31060.21</v>
      </c>
      <c r="G56" cm="1">
        <f t="array" ref="G56">+_xll.EQNXTDZ($A$1,$B56,G$51)</f>
        <v>31265.61</v>
      </c>
      <c r="H56" cm="1">
        <f t="array" ref="H56">+_xll.EQNXTDZ($A$1,$B56,H$51)</f>
        <v>31573.82</v>
      </c>
      <c r="I56" cm="1">
        <f t="array" ref="I56">+_xll.EQNXTDZ($A$1,$B56,I$51)</f>
        <v>31885.71</v>
      </c>
      <c r="J56" cm="1">
        <f t="array" ref="J56">+_xll.EQNXTDZ($A$1,$B56,J$51)</f>
        <v>33088.25</v>
      </c>
      <c r="K56" cm="1">
        <f t="array" ref="K56">+_xll.EQNXTDZ($A$1,$B56,K$51)</f>
        <v>33267.440000000002</v>
      </c>
      <c r="L56" cm="1">
        <f t="array" ref="L56">+_xll.EQNXTDZ($A$1,$B56,L$51)</f>
        <v>33531.050000000003</v>
      </c>
      <c r="M56" cm="1">
        <f t="array" ref="M56">+_xll.EQNXTDZ($A$1,$B56,M$51)</f>
        <v>33622.93</v>
      </c>
      <c r="N56" cm="1">
        <f t="array" ref="N56">+_xll.EQNXTDZ($A$1,$B56,N$51)</f>
        <v>34871.589999999997</v>
      </c>
      <c r="O56" cm="1">
        <f t="array" ref="O56">+_xll.EQNXTDZ($A$1,$B56,O$51)</f>
        <v>35181.949999999997</v>
      </c>
      <c r="P56" cm="1">
        <f t="array" ref="P56">+_xll.EQNXTDZ($A$1,$B56,P$51)</f>
        <v>35567.089999999997</v>
      </c>
      <c r="Q56" cm="1">
        <f t="array" ref="Q56">+_xll.EQNXTDZ($A$1,$B56,Q$51)</f>
        <v>35801.519999999997</v>
      </c>
      <c r="R56" cm="1">
        <f t="array" ref="R56">+_xll.EQNXTDZ($A$1,$B56,R$51)</f>
        <v>35423.99</v>
      </c>
      <c r="S56" cm="1">
        <f t="array" ref="S56">+_xll.EQNXTDZ($A$1,$B56,S$51)</f>
        <v>35852.400000000001</v>
      </c>
      <c r="T56" cm="1">
        <f t="array" ref="T56">+_xll.EQNXTDZ($A$1,$B56,T$51)</f>
        <v>36260.74</v>
      </c>
      <c r="U56" cm="1">
        <f t="array" ref="U56">+_xll.EQNXTDZ($A$1,$B56,U$51)</f>
        <v>43030.97</v>
      </c>
      <c r="V56" cm="1">
        <f t="array" ref="V56">+_xll.EQNXTDZ($A$1,$B56,V$51)</f>
        <v>38262.730000000003</v>
      </c>
      <c r="W56" cm="1">
        <f t="array" ref="W56">+_xll.EQNXTDZ($A$1,$B56,W$51)</f>
        <v>51272.06</v>
      </c>
      <c r="X56" cm="1">
        <f t="array" ref="X56">+_xll.EQNXTDZ($A$1,$B56,X$51)</f>
        <v>52994.400000000001</v>
      </c>
      <c r="Y56" cm="1">
        <f t="array" ref="Y56">+_xll.EQNXTDZ($A$1,$B56,Y$51)</f>
        <v>55094.559999999998</v>
      </c>
      <c r="Z56" cm="1">
        <f t="array" ref="Z56">+_xll.EQNXTDZ($A$1,$B56,Z$51)</f>
        <v>57238.19</v>
      </c>
      <c r="AA56" cm="1">
        <f t="array" ref="AA56">+_xll.EQNXTDZ($A$1,$B56,AA$51)</f>
        <v>58370.15</v>
      </c>
      <c r="AB56" cm="1">
        <f t="array" ref="AB56">+_xll.EQNXTDZ($A$1,$B56,AB$51)</f>
        <v>62082.59</v>
      </c>
      <c r="AC56" cm="1">
        <f t="array" ref="AC56">+_xll.EQNXTDZ($A$1,$B56,AC$51)</f>
        <v>63546.43</v>
      </c>
      <c r="AD56" cm="1">
        <f t="array" ref="AD56">+_xll.EQNXTDZ($A$1,$B56,AD$51)</f>
        <v>64297.18</v>
      </c>
      <c r="AE56" cm="1">
        <f t="array" ref="AE56">+_xll.EQNXTDZ($A$1,$B56,AE$51)</f>
        <v>66276.649999999994</v>
      </c>
      <c r="AF56" cm="1">
        <f t="array" ref="AF56">+_xll.EQNXTDZ($A$1,$B56,AF$51)</f>
        <v>68722.5</v>
      </c>
      <c r="AG56" cm="1">
        <f t="array" ref="AG56">+_xll.EQNXTDZ($A$1,$B56,AG$51)</f>
        <v>70828.25</v>
      </c>
      <c r="AH56" cm="1">
        <f t="array" ref="AH56">+_xll.EQNXTDZ($A$1,$B56,AH$51)</f>
        <v>71793.05</v>
      </c>
      <c r="AI56" cm="1">
        <f t="array" ref="AI56">+_xll.EQNXTDZ($A$1,$B56,AI$51)</f>
        <v>75302.44</v>
      </c>
      <c r="AJ56" cm="1">
        <f t="array" ref="AJ56">+_xll.EQNXTDZ($A$1,$B56,AJ$51)</f>
        <v>78909.710000000006</v>
      </c>
      <c r="AK56" cm="1">
        <f t="array" ref="AK56">+_xll.EQNXTDZ($A$1,$B56,AK$51)</f>
        <v>82565.679999999993</v>
      </c>
      <c r="AL56" cm="1">
        <f t="array" ref="AL56">+_xll.EQNXTDZ($A$1,$B56,AL$51)</f>
        <v>85140.46</v>
      </c>
      <c r="AM56" cm="1">
        <f t="array" ref="AM56">+_xll.EQNXTDZ($A$1,$B56,AM$51)</f>
        <v>90851.4</v>
      </c>
      <c r="AN56" cm="1">
        <f t="array" ref="AN56">+_xll.EQNXTDZ($A$1,$B56,AN$51)</f>
        <v>95262.12</v>
      </c>
      <c r="AO56" cm="1">
        <f t="array" ref="AO56">+_xll.EQNXTDZ($A$1,$B56,AO$51)</f>
        <v>96407.73</v>
      </c>
      <c r="AP56" cm="1">
        <f t="array" ref="AP56">+_xll.EQNXTDZ($A$1,$B56,AP$51)</f>
        <v>98085.98</v>
      </c>
      <c r="AQ56" cm="1">
        <f t="array" ref="AQ56">+_xll.EQNXTDZ($A$1,$B56,AQ$51)</f>
        <v>102640.63</v>
      </c>
      <c r="AR56" cm="1">
        <f t="array" ref="AR56">+_xll.EQNXTDZ($A$1,$B56,AR$51)</f>
        <v>106476.68</v>
      </c>
      <c r="AS56" cm="1">
        <f t="array" ref="AS56">+_xll.EQNXTDZ($A$1,$B56,AS$51)</f>
        <v>111425.09</v>
      </c>
      <c r="AT56" cm="1">
        <f t="array" ref="AT56">+_xll.EQNXTDZ($A$1,$B56,AT$51)</f>
        <v>111568.48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304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120</v>
      </c>
      <c r="B58" t="s">
        <v>305</v>
      </c>
      <c r="C58" cm="1">
        <f t="array" ref="C58">+_xll.EQNXTDZ($A$1,$B58,C$51)</f>
        <v>471876.73</v>
      </c>
      <c r="D58" cm="1">
        <f t="array" ref="D58">+_xll.EQNXTDZ($A$1,$B58,D$51)</f>
        <v>485205.52</v>
      </c>
      <c r="E58" cm="1">
        <f t="array" ref="E58">+_xll.EQNXTDZ($A$1,$B58,E$51)</f>
        <v>490598.87</v>
      </c>
      <c r="F58" cm="1">
        <f t="array" ref="F58">+_xll.EQNXTDZ($A$1,$B58,F$51)</f>
        <v>479791.56</v>
      </c>
      <c r="G58" cm="1">
        <f t="array" ref="G58">+_xll.EQNXTDZ($A$1,$B58,G$51)</f>
        <v>465314.16</v>
      </c>
      <c r="H58" cm="1">
        <f t="array" ref="H58">+_xll.EQNXTDZ($A$1,$B58,H$51)</f>
        <v>484321.25</v>
      </c>
      <c r="I58" cm="1">
        <f t="array" ref="I58">+_xll.EQNXTDZ($A$1,$B58,I$51)</f>
        <v>510327.47</v>
      </c>
      <c r="J58" cm="1">
        <f t="array" ref="J58">+_xll.EQNXTDZ($A$1,$B58,J$51)</f>
        <v>495275.24</v>
      </c>
      <c r="K58" cm="1">
        <f t="array" ref="K58">+_xll.EQNXTDZ($A$1,$B58,K$51)</f>
        <v>485905.22</v>
      </c>
      <c r="L58" cm="1">
        <f t="array" ref="L58">+_xll.EQNXTDZ($A$1,$B58,L$51)</f>
        <v>496439.79</v>
      </c>
      <c r="M58" cm="1">
        <f t="array" ref="M58">+_xll.EQNXTDZ($A$1,$B58,M$51)</f>
        <v>503887.8</v>
      </c>
      <c r="N58" cm="1">
        <f t="array" ref="N58">+_xll.EQNXTDZ($A$1,$B58,N$51)</f>
        <v>524771.86</v>
      </c>
      <c r="O58" cm="1">
        <f t="array" ref="O58">+_xll.EQNXTDZ($A$1,$B58,O$51)</f>
        <v>533273.68000000005</v>
      </c>
      <c r="P58" cm="1">
        <f t="array" ref="P58">+_xll.EQNXTDZ($A$1,$B58,P$51)</f>
        <v>551926.03</v>
      </c>
      <c r="Q58" cm="1">
        <f t="array" ref="Q58">+_xll.EQNXTDZ($A$1,$B58,Q$51)</f>
        <v>575524.74</v>
      </c>
      <c r="R58" cm="1">
        <f t="array" ref="R58">+_xll.EQNXTDZ($A$1,$B58,R$51)</f>
        <v>599033.28</v>
      </c>
      <c r="S58" cm="1">
        <f t="array" ref="S58">+_xll.EQNXTDZ($A$1,$B58,S$51)</f>
        <v>610673.79</v>
      </c>
      <c r="T58" cm="1">
        <f t="array" ref="T58">+_xll.EQNXTDZ($A$1,$B58,T$51)</f>
        <v>609436.48</v>
      </c>
      <c r="U58" cm="1">
        <f t="array" ref="U58">+_xll.EQNXTDZ($A$1,$B58,U$51)</f>
        <v>625240.4</v>
      </c>
      <c r="V58" cm="1">
        <f t="array" ref="V58">+_xll.EQNXTDZ($A$1,$B58,V$51)</f>
        <v>625351.18000000005</v>
      </c>
      <c r="W58" cm="1">
        <f t="array" ref="W58">+_xll.EQNXTDZ($A$1,$B58,W$51)</f>
        <v>909569.56</v>
      </c>
      <c r="X58" cm="1">
        <f t="array" ref="X58">+_xll.EQNXTDZ($A$1,$B58,X$51)</f>
        <v>948767.14</v>
      </c>
      <c r="Y58" cm="1">
        <f t="array" ref="Y58">+_xll.EQNXTDZ($A$1,$B58,Y$51)</f>
        <v>973021.01</v>
      </c>
      <c r="Z58" cm="1">
        <f t="array" ref="Z58">+_xll.EQNXTDZ($A$1,$B58,Z$51)</f>
        <v>1010874.58</v>
      </c>
      <c r="AA58" cm="1">
        <f t="array" ref="AA58">+_xll.EQNXTDZ($A$1,$B58,AA$51)</f>
        <v>1021836.92</v>
      </c>
      <c r="AB58" cm="1">
        <f t="array" ref="AB58">+_xll.EQNXTDZ($A$1,$B58,AB$51)</f>
        <v>1032536.56</v>
      </c>
      <c r="AC58" cm="1">
        <f t="array" ref="AC58">+_xll.EQNXTDZ($A$1,$B58,AC$51)</f>
        <v>1043350.65</v>
      </c>
      <c r="AD58" cm="1">
        <f t="array" ref="AD58">+_xll.EQNXTDZ($A$1,$B58,AD$51)</f>
        <v>1086409.25</v>
      </c>
      <c r="AE58" cm="1">
        <f t="array" ref="AE58">+_xll.EQNXTDZ($A$1,$B58,AE$51)</f>
        <v>1118121.73</v>
      </c>
      <c r="AF58" cm="1">
        <f t="array" ref="AF58">+_xll.EQNXTDZ($A$1,$B58,AF$51)</f>
        <v>1133964.1599999999</v>
      </c>
      <c r="AG58" cm="1">
        <f t="array" ref="AG58">+_xll.EQNXTDZ($A$1,$B58,AG$51)</f>
        <v>1163470.21</v>
      </c>
      <c r="AH58" cm="1">
        <f t="array" ref="AH58">+_xll.EQNXTDZ($A$1,$B58,AH$51)</f>
        <v>1179218.6100000001</v>
      </c>
      <c r="AI58" cm="1">
        <f t="array" ref="AI58">+_xll.EQNXTDZ($A$1,$B58,AI$51)</f>
        <v>1192469.94</v>
      </c>
      <c r="AJ58" cm="1">
        <f t="array" ref="AJ58">+_xll.EQNXTDZ($A$1,$B58,AJ$51)</f>
        <v>1232215.06</v>
      </c>
      <c r="AK58" cm="1">
        <f t="array" ref="AK58">+_xll.EQNXTDZ($A$1,$B58,AK$51)</f>
        <v>1262930.6100000001</v>
      </c>
      <c r="AL58" cm="1">
        <f t="array" ref="AL58">+_xll.EQNXTDZ($A$1,$B58,AL$51)</f>
        <v>1312366.6100000001</v>
      </c>
      <c r="AM58" cm="1">
        <f t="array" ref="AM58">+_xll.EQNXTDZ($A$1,$B58,AM$51)</f>
        <v>1335166.8799999999</v>
      </c>
      <c r="AN58" cm="1">
        <f t="array" ref="AN58">+_xll.EQNXTDZ($A$1,$B58,AN$51)</f>
        <v>1347346.65</v>
      </c>
      <c r="AO58" cm="1">
        <f t="array" ref="AO58">+_xll.EQNXTDZ($A$1,$B58,AO$51)</f>
        <v>1346903.68</v>
      </c>
      <c r="AP58" cm="1">
        <f t="array" ref="AP58">+_xll.EQNXTDZ($A$1,$B58,AP$51)</f>
        <v>1429862.18</v>
      </c>
      <c r="AQ58" cm="1">
        <f t="array" ref="AQ58">+_xll.EQNXTDZ($A$1,$B58,AQ$51)</f>
        <v>1467655.32</v>
      </c>
      <c r="AR58" cm="1">
        <f t="array" ref="AR58">+_xll.EQNXTDZ($A$1,$B58,AR$51)</f>
        <v>1527921.89</v>
      </c>
      <c r="AS58" cm="1">
        <f t="array" ref="AS58">+_xll.EQNXTDZ($A$1,$B58,AS$51)</f>
        <v>1521268.31</v>
      </c>
      <c r="AT58" cm="1">
        <f t="array" ref="AT58">+_xll.EQNXTDZ($A$1,$B58,AT$51)</f>
        <v>1568678.15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288</v>
      </c>
      <c r="B59" t="s">
        <v>306</v>
      </c>
      <c r="C59" cm="1">
        <f t="array" ref="C59">+_xll.EQNXTDZ($A$1,$B59,C$51)</f>
        <v>92149</v>
      </c>
      <c r="D59" cm="1">
        <f t="array" ref="D59">+_xll.EQNXTDZ($A$1,$B59,D$51)</f>
        <v>96745</v>
      </c>
      <c r="E59" cm="1">
        <f t="array" ref="E59">+_xll.EQNXTDZ($A$1,$B59,E$51)</f>
        <v>98878</v>
      </c>
      <c r="F59" cm="1">
        <f t="array" ref="F59">+_xll.EQNXTDZ($A$1,$B59,F$51)</f>
        <v>103715</v>
      </c>
      <c r="G59" cm="1">
        <f t="array" ref="G59">+_xll.EQNXTDZ($A$1,$B59,G$51)</f>
        <v>107839</v>
      </c>
      <c r="H59" cm="1">
        <f t="array" ref="H59">+_xll.EQNXTDZ($A$1,$B59,H$51)</f>
        <v>111075</v>
      </c>
      <c r="I59" cm="1">
        <f t="array" ref="I59">+_xll.EQNXTDZ($A$1,$B59,I$51)</f>
        <v>132087</v>
      </c>
      <c r="J59" cm="1">
        <f t="array" ref="J59">+_xll.EQNXTDZ($A$1,$B59,J$51)</f>
        <v>127168</v>
      </c>
      <c r="K59" cm="1">
        <f t="array" ref="K59">+_xll.EQNXTDZ($A$1,$B59,K$51)</f>
        <v>126586</v>
      </c>
      <c r="L59" cm="1">
        <f t="array" ref="L59">+_xll.EQNXTDZ($A$1,$B59,L$51)</f>
        <v>131456</v>
      </c>
      <c r="M59" cm="1">
        <f t="array" ref="M59">+_xll.EQNXTDZ($A$1,$B59,M$51)</f>
        <v>134341</v>
      </c>
      <c r="N59" cm="1">
        <f t="array" ref="N59">+_xll.EQNXTDZ($A$1,$B59,N$51)</f>
        <v>142051</v>
      </c>
      <c r="O59" cm="1">
        <f t="array" ref="O59">+_xll.EQNXTDZ($A$1,$B59,O$51)</f>
        <v>141466</v>
      </c>
      <c r="P59" cm="1">
        <f t="array" ref="P59">+_xll.EQNXTDZ($A$1,$B59,P$51)</f>
        <v>146446</v>
      </c>
      <c r="Q59" cm="1">
        <f t="array" ref="Q59">+_xll.EQNXTDZ($A$1,$B59,Q$51)</f>
        <v>149689</v>
      </c>
      <c r="R59" cm="1">
        <f t="array" ref="R59">+_xll.EQNXTDZ($A$1,$B59,R$51)</f>
        <v>151535</v>
      </c>
      <c r="S59" cm="1">
        <f t="array" ref="S59">+_xll.EQNXTDZ($A$1,$B59,S$51)</f>
        <v>222363</v>
      </c>
      <c r="T59" cm="1">
        <f t="array" ref="T59">+_xll.EQNXTDZ($A$1,$B59,T$51)</f>
        <v>153235</v>
      </c>
      <c r="U59" cm="1">
        <f t="array" ref="U59">+_xll.EQNXTDZ($A$1,$B59,U$51)</f>
        <v>158754</v>
      </c>
      <c r="V59" cm="1">
        <f t="array" ref="V59">+_xll.EQNXTDZ($A$1,$B59,V$51)</f>
        <v>169749</v>
      </c>
      <c r="W59" cm="1">
        <f t="array" ref="W59">+_xll.EQNXTDZ($A$1,$B59,W$51)</f>
        <v>253492</v>
      </c>
      <c r="X59" cm="1">
        <f t="array" ref="X59">+_xll.EQNXTDZ($A$1,$B59,X$51)</f>
        <v>258946</v>
      </c>
      <c r="Y59" cm="1">
        <f t="array" ref="Y59">+_xll.EQNXTDZ($A$1,$B59,Y$51)</f>
        <v>267594</v>
      </c>
      <c r="Z59" cm="1">
        <f t="array" ref="Z59">+_xll.EQNXTDZ($A$1,$B59,Z$51)</f>
        <v>281525</v>
      </c>
      <c r="AA59" cm="1">
        <f t="array" ref="AA59">+_xll.EQNXTDZ($A$1,$B59,AA$51)</f>
        <v>289933</v>
      </c>
      <c r="AB59" cm="1">
        <f t="array" ref="AB59">+_xll.EQNXTDZ($A$1,$B59,AB$51)</f>
        <v>0</v>
      </c>
      <c r="AC59" cm="1">
        <f t="array" ref="AC59">+_xll.EQNXTDZ($A$1,$B59,AC$51)</f>
        <v>292506</v>
      </c>
      <c r="AD59" cm="1">
        <f t="array" ref="AD59">+_xll.EQNXTDZ($A$1,$B59,AD$51)</f>
        <v>315916</v>
      </c>
      <c r="AE59" cm="1">
        <f t="array" ref="AE59">+_xll.EQNXTDZ($A$1,$B59,AE$51)</f>
        <v>0</v>
      </c>
      <c r="AF59" cm="1">
        <f t="array" ref="AF59">+_xll.EQNXTDZ($A$1,$B59,AF$51)</f>
        <v>0</v>
      </c>
      <c r="AG59" cm="1">
        <f t="array" ref="AG59">+_xll.EQNXTDZ($A$1,$B59,AG$51)</f>
        <v>0</v>
      </c>
      <c r="AH59" cm="1">
        <f t="array" ref="AH59">+_xll.EQNXTDZ($A$1,$B59,AH$51)</f>
        <v>318818</v>
      </c>
      <c r="AI59" cm="1">
        <f t="array" ref="AI59">+_xll.EQNXTDZ($A$1,$B59,AI$51)</f>
        <v>320628</v>
      </c>
      <c r="AJ59" cm="1">
        <f t="array" ref="AJ59">+_xll.EQNXTDZ($A$1,$B59,AJ$51)</f>
        <v>323021</v>
      </c>
      <c r="AK59" cm="1">
        <f t="array" ref="AK59">+_xll.EQNXTDZ($A$1,$B59,AK$51)</f>
        <v>324027</v>
      </c>
      <c r="AL59" cm="1">
        <f t="array" ref="AL59">+_xll.EQNXTDZ($A$1,$B59,AL$51)</f>
        <v>328378</v>
      </c>
      <c r="AM59" cm="1">
        <f t="array" ref="AM59">+_xll.EQNXTDZ($A$1,$B59,AM$51)</f>
        <v>332248</v>
      </c>
      <c r="AN59" cm="1">
        <f t="array" ref="AN59">+_xll.EQNXTDZ($A$1,$B59,AN$51)</f>
        <v>340705</v>
      </c>
      <c r="AO59" cm="1">
        <f t="array" ref="AO59">+_xll.EQNXTDZ($A$1,$B59,AO$51)</f>
        <v>329680</v>
      </c>
      <c r="AP59" cm="1">
        <f t="array" ref="AP59">+_xll.EQNXTDZ($A$1,$B59,AP$51)</f>
        <v>337135</v>
      </c>
      <c r="AQ59" cm="1">
        <f t="array" ref="AQ59">+_xll.EQNXTDZ($A$1,$B59,AQ$51)</f>
        <v>341696</v>
      </c>
      <c r="AR59" cm="1">
        <f t="array" ref="AR59">+_xll.EQNXTDZ($A$1,$B59,AR$51)</f>
        <v>352195</v>
      </c>
      <c r="AS59" cm="1">
        <f t="array" ref="AS59">+_xll.EQNXTDZ($A$1,$B59,AS$51)</f>
        <v>357742</v>
      </c>
      <c r="AT59" cm="1">
        <f t="array" ref="AT59">+_xll.EQNXTDZ($A$1,$B59,AT$51)</f>
        <v>366581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289</v>
      </c>
      <c r="B60" t="s">
        <v>307</v>
      </c>
      <c r="C60" cm="1">
        <f t="array" ref="C60">+_xll.EQNXTDZ($A$1,$B60,C$51)</f>
        <v>362193.73</v>
      </c>
      <c r="D60" cm="1">
        <f t="array" ref="D60">+_xll.EQNXTDZ($A$1,$B60,D$51)</f>
        <v>369203.52</v>
      </c>
      <c r="E60" cm="1">
        <f t="array" ref="E60">+_xll.EQNXTDZ($A$1,$B60,E$51)</f>
        <v>372473.87</v>
      </c>
      <c r="F60" cm="1">
        <f t="array" ref="F60">+_xll.EQNXTDZ($A$1,$B60,F$51)</f>
        <v>356249.56</v>
      </c>
      <c r="G60" cm="1">
        <f t="array" ref="G60">+_xll.EQNXTDZ($A$1,$B60,G$51)</f>
        <v>337044.16</v>
      </c>
      <c r="H60" cm="1">
        <f t="array" ref="H60">+_xll.EQNXTDZ($A$1,$B60,H$51)</f>
        <v>352583.25</v>
      </c>
      <c r="I60" cm="1">
        <f t="array" ref="I60">+_xll.EQNXTDZ($A$1,$B60,I$51)</f>
        <v>356622.47</v>
      </c>
      <c r="J60" cm="1">
        <f t="array" ref="J60">+_xll.EQNXTDZ($A$1,$B60,J$51)</f>
        <v>345526.24</v>
      </c>
      <c r="K60" cm="1">
        <f t="array" ref="K60">+_xll.EQNXTDZ($A$1,$B60,K$51)</f>
        <v>336821.22</v>
      </c>
      <c r="L60" cm="1">
        <f t="array" ref="L60">+_xll.EQNXTDZ($A$1,$B60,L$51)</f>
        <v>341360.79</v>
      </c>
      <c r="M60" cm="1">
        <f t="array" ref="M60">+_xll.EQNXTDZ($A$1,$B60,M$51)</f>
        <v>346301.8</v>
      </c>
      <c r="N60" cm="1">
        <f t="array" ref="N60">+_xll.EQNXTDZ($A$1,$B60,N$51)</f>
        <v>357736.86</v>
      </c>
      <c r="O60" cm="1">
        <f t="array" ref="O60">+_xll.EQNXTDZ($A$1,$B60,O$51)</f>
        <v>370622.68</v>
      </c>
      <c r="P60" cm="1">
        <f t="array" ref="P60">+_xll.EQNXTDZ($A$1,$B60,P$51)</f>
        <v>382268.03</v>
      </c>
      <c r="Q60" cm="1">
        <f t="array" ref="Q60">+_xll.EQNXTDZ($A$1,$B60,Q$51)</f>
        <v>401133.74</v>
      </c>
      <c r="R60" cm="1">
        <f t="array" ref="R60">+_xll.EQNXTDZ($A$1,$B60,R$51)</f>
        <v>424224.28</v>
      </c>
      <c r="S60" cm="1">
        <f t="array" ref="S60">+_xll.EQNXTDZ($A$1,$B60,S$51)</f>
        <v>356949.79</v>
      </c>
      <c r="T60" cm="1">
        <f t="array" ref="T60">+_xll.EQNXTDZ($A$1,$B60,T$51)</f>
        <v>423702.48</v>
      </c>
      <c r="U60" cm="1">
        <f t="array" ref="U60">+_xll.EQNXTDZ($A$1,$B60,U$51)</f>
        <v>442377.4</v>
      </c>
      <c r="V60" cm="1">
        <f t="array" ref="V60">+_xll.EQNXTDZ($A$1,$B60,V$51)</f>
        <v>429144.18</v>
      </c>
      <c r="W60" cm="1">
        <f t="array" ref="W60">+_xll.EQNXTDZ($A$1,$B60,W$51)</f>
        <v>615500.56000000006</v>
      </c>
      <c r="X60" cm="1">
        <f t="array" ref="X60">+_xll.EQNXTDZ($A$1,$B60,X$51)</f>
        <v>612455</v>
      </c>
      <c r="Y60" cm="1">
        <f t="array" ref="Y60">+_xll.EQNXTDZ($A$1,$B60,Y$51)</f>
        <v>618169</v>
      </c>
      <c r="Z60" cm="1">
        <f t="array" ref="Z60">+_xll.EQNXTDZ($A$1,$B60,Z$51)</f>
        <v>680218.58</v>
      </c>
      <c r="AA60" cm="1">
        <f t="array" ref="AA60">+_xll.EQNXTDZ($A$1,$B60,AA$51)</f>
        <v>689796.92</v>
      </c>
      <c r="AB60" cm="1">
        <f t="array" ref="AB60">+_xll.EQNXTDZ($A$1,$B60,AB$51)</f>
        <v>0</v>
      </c>
      <c r="AC60" cm="1">
        <f t="array" ref="AC60">+_xll.EQNXTDZ($A$1,$B60,AC$51)</f>
        <v>646624</v>
      </c>
      <c r="AD60" cm="1">
        <f t="array" ref="AD60">+_xll.EQNXTDZ($A$1,$B60,AD$51)</f>
        <v>717677.25</v>
      </c>
      <c r="AE60" cm="1">
        <f t="array" ref="AE60">+_xll.EQNXTDZ($A$1,$B60,AE$51)</f>
        <v>0</v>
      </c>
      <c r="AF60" cm="1">
        <f t="array" ref="AF60">+_xll.EQNXTDZ($A$1,$B60,AF$51)</f>
        <v>0</v>
      </c>
      <c r="AG60" cm="1">
        <f t="array" ref="AG60">+_xll.EQNXTDZ($A$1,$B60,AG$51)</f>
        <v>0</v>
      </c>
      <c r="AH60" cm="1">
        <f t="array" ref="AH60">+_xll.EQNXTDZ($A$1,$B60,AH$51)</f>
        <v>728274</v>
      </c>
      <c r="AI60" cm="1">
        <f t="array" ref="AI60">+_xll.EQNXTDZ($A$1,$B60,AI$51)</f>
        <v>740042</v>
      </c>
      <c r="AJ60" cm="1">
        <f t="array" ref="AJ60">+_xll.EQNXTDZ($A$1,$B60,AJ$51)</f>
        <v>775780</v>
      </c>
      <c r="AK60" cm="1">
        <f t="array" ref="AK60">+_xll.EQNXTDZ($A$1,$B60,AK$51)</f>
        <v>797592</v>
      </c>
      <c r="AL60" cm="1">
        <f t="array" ref="AL60">+_xll.EQNXTDZ($A$1,$B60,AL$51)</f>
        <v>822624</v>
      </c>
      <c r="AM60" cm="1">
        <f t="array" ref="AM60">+_xll.EQNXTDZ($A$1,$B60,AM$51)</f>
        <v>849736</v>
      </c>
      <c r="AN60" cm="1">
        <f t="array" ref="AN60">+_xll.EQNXTDZ($A$1,$B60,AN$51)</f>
        <v>851386</v>
      </c>
      <c r="AO60" cm="1">
        <f t="array" ref="AO60">+_xll.EQNXTDZ($A$1,$B60,AO$51)</f>
        <v>880219</v>
      </c>
      <c r="AP60" cm="1">
        <f t="array" ref="AP60">+_xll.EQNXTDZ($A$1,$B60,AP$51)</f>
        <v>916161</v>
      </c>
      <c r="AQ60" cm="1">
        <f t="array" ref="AQ60">+_xll.EQNXTDZ($A$1,$B60,AQ$51)</f>
        <v>943001</v>
      </c>
      <c r="AR60" cm="1">
        <f t="array" ref="AR60">+_xll.EQNXTDZ($A$1,$B60,AR$51)</f>
        <v>966884</v>
      </c>
      <c r="AS60" cm="1">
        <f t="array" ref="AS60">+_xll.EQNXTDZ($A$1,$B60,AS$51)</f>
        <v>984686</v>
      </c>
      <c r="AT60" cm="1">
        <f t="array" ref="AT60">+_xll.EQNXTDZ($A$1,$B60,AT$51)</f>
        <v>1008101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290</v>
      </c>
      <c r="B61" t="s">
        <v>308</v>
      </c>
      <c r="C61" cm="1">
        <f t="array" ref="C61">+_xll.EQNXTDZ($A$1,$B61,C$51)</f>
        <v>17534</v>
      </c>
      <c r="D61" cm="1">
        <f t="array" ref="D61">+_xll.EQNXTDZ($A$1,$B61,D$51)</f>
        <v>19257</v>
      </c>
      <c r="E61" cm="1">
        <f t="array" ref="E61">+_xll.EQNXTDZ($A$1,$B61,E$51)</f>
        <v>19247</v>
      </c>
      <c r="F61" cm="1">
        <f t="array" ref="F61">+_xll.EQNXTDZ($A$1,$B61,F$51)</f>
        <v>19827</v>
      </c>
      <c r="G61" cm="1">
        <f t="array" ref="G61">+_xll.EQNXTDZ($A$1,$B61,G$51)</f>
        <v>20431</v>
      </c>
      <c r="H61" cm="1">
        <f t="array" ref="H61">+_xll.EQNXTDZ($A$1,$B61,H$51)</f>
        <v>20663</v>
      </c>
      <c r="I61" cm="1">
        <f t="array" ref="I61">+_xll.EQNXTDZ($A$1,$B61,I$51)</f>
        <v>21618</v>
      </c>
      <c r="J61" cm="1">
        <f t="array" ref="J61">+_xll.EQNXTDZ($A$1,$B61,J$51)</f>
        <v>22581</v>
      </c>
      <c r="K61" cm="1">
        <f t="array" ref="K61">+_xll.EQNXTDZ($A$1,$B61,K$51)</f>
        <v>22498</v>
      </c>
      <c r="L61" cm="1">
        <f t="array" ref="L61">+_xll.EQNXTDZ($A$1,$B61,L$51)</f>
        <v>23623</v>
      </c>
      <c r="M61" cm="1">
        <f t="array" ref="M61">+_xll.EQNXTDZ($A$1,$B61,M$51)</f>
        <v>23245</v>
      </c>
      <c r="N61" cm="1">
        <f t="array" ref="N61">+_xll.EQNXTDZ($A$1,$B61,N$51)</f>
        <v>24984</v>
      </c>
      <c r="O61" cm="1">
        <f t="array" ref="O61">+_xll.EQNXTDZ($A$1,$B61,O$51)</f>
        <v>21185</v>
      </c>
      <c r="P61" cm="1">
        <f t="array" ref="P61">+_xll.EQNXTDZ($A$1,$B61,P$51)</f>
        <v>23212</v>
      </c>
      <c r="Q61" cm="1">
        <f t="array" ref="Q61">+_xll.EQNXTDZ($A$1,$B61,Q$51)</f>
        <v>24702</v>
      </c>
      <c r="R61" cm="1">
        <f t="array" ref="R61">+_xll.EQNXTDZ($A$1,$B61,R$51)</f>
        <v>23274</v>
      </c>
      <c r="S61" cm="1">
        <f t="array" ref="S61">+_xll.EQNXTDZ($A$1,$B61,S$51)</f>
        <v>31361</v>
      </c>
      <c r="T61" cm="1">
        <f t="array" ref="T61">+_xll.EQNXTDZ($A$1,$B61,T$51)</f>
        <v>32499</v>
      </c>
      <c r="U61" cm="1">
        <f t="array" ref="U61">+_xll.EQNXTDZ($A$1,$B61,U$51)</f>
        <v>24109</v>
      </c>
      <c r="V61" cm="1">
        <f t="array" ref="V61">+_xll.EQNXTDZ($A$1,$B61,V$51)</f>
        <v>26458</v>
      </c>
      <c r="W61" cm="1">
        <f t="array" ref="W61">+_xll.EQNXTDZ($A$1,$B61,W$51)</f>
        <v>40577</v>
      </c>
      <c r="X61" cm="1">
        <f t="array" ref="X61">+_xll.EQNXTDZ($A$1,$B61,X$51)</f>
        <v>39583</v>
      </c>
      <c r="Y61" cm="1">
        <f t="array" ref="Y61">+_xll.EQNXTDZ($A$1,$B61,Y$51)</f>
        <v>42562</v>
      </c>
      <c r="Z61" cm="1">
        <f t="array" ref="Z61">+_xll.EQNXTDZ($A$1,$B61,Z$51)</f>
        <v>49131</v>
      </c>
      <c r="AA61" cm="1">
        <f t="array" ref="AA61">+_xll.EQNXTDZ($A$1,$B61,AA$51)</f>
        <v>42107</v>
      </c>
      <c r="AB61" cm="1">
        <f t="array" ref="AB61">+_xll.EQNXTDZ($A$1,$B61,AB$51)</f>
        <v>0</v>
      </c>
      <c r="AC61" cm="1">
        <f t="array" ref="AC61">+_xll.EQNXTDZ($A$1,$B61,AC$51)</f>
        <v>49529</v>
      </c>
      <c r="AD61" cm="1">
        <f t="array" ref="AD61">+_xll.EQNXTDZ($A$1,$B61,AD$51)</f>
        <v>52816</v>
      </c>
      <c r="AE61" cm="1">
        <f t="array" ref="AE61">+_xll.EQNXTDZ($A$1,$B61,AE$51)</f>
        <v>0</v>
      </c>
      <c r="AF61" cm="1">
        <f t="array" ref="AF61">+_xll.EQNXTDZ($A$1,$B61,AF$51)</f>
        <v>0</v>
      </c>
      <c r="AG61" cm="1">
        <f t="array" ref="AG61">+_xll.EQNXTDZ($A$1,$B61,AG$51)</f>
        <v>0</v>
      </c>
      <c r="AH61" cm="1">
        <f t="array" ref="AH61">+_xll.EQNXTDZ($A$1,$B61,AH$51)</f>
        <v>47654</v>
      </c>
      <c r="AI61" cm="1">
        <f t="array" ref="AI61">+_xll.EQNXTDZ($A$1,$B61,AI$51)</f>
        <v>43836</v>
      </c>
      <c r="AJ61" cm="1">
        <f t="array" ref="AJ61">+_xll.EQNXTDZ($A$1,$B61,AJ$51)</f>
        <v>44593</v>
      </c>
      <c r="AK61" cm="1">
        <f t="array" ref="AK61">+_xll.EQNXTDZ($A$1,$B61,AK$51)</f>
        <v>45229</v>
      </c>
      <c r="AL61" cm="1">
        <f t="array" ref="AL61">+_xll.EQNXTDZ($A$1,$B61,AL$51)</f>
        <v>63949</v>
      </c>
      <c r="AM61" cm="1">
        <f t="array" ref="AM61">+_xll.EQNXTDZ($A$1,$B61,AM$51)</f>
        <v>49200</v>
      </c>
      <c r="AN61" cm="1">
        <f t="array" ref="AN61">+_xll.EQNXTDZ($A$1,$B61,AN$51)</f>
        <v>46622</v>
      </c>
      <c r="AO61" cm="1">
        <f t="array" ref="AO61">+_xll.EQNXTDZ($A$1,$B61,AO$51)</f>
        <v>47527</v>
      </c>
      <c r="AP61" cm="1">
        <f t="array" ref="AP61">+_xll.EQNXTDZ($A$1,$B61,AP$51)</f>
        <v>77841</v>
      </c>
      <c r="AQ61" cm="1">
        <f t="array" ref="AQ61">+_xll.EQNXTDZ($A$1,$B61,AQ$51)</f>
        <v>54045</v>
      </c>
      <c r="AR61" cm="1">
        <f t="array" ref="AR61">+_xll.EQNXTDZ($A$1,$B61,AR$51)</f>
        <v>75920</v>
      </c>
      <c r="AS61" cm="1">
        <f t="array" ref="AS61">+_xll.EQNXTDZ($A$1,$B61,AS$51)</f>
        <v>54617</v>
      </c>
      <c r="AT61" cm="1">
        <f t="array" ref="AT61">+_xll.EQNXTDZ($A$1,$B61,AT$51)</f>
        <v>62223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291</v>
      </c>
      <c r="B62" t="s">
        <v>309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0</v>
      </c>
      <c r="S62" cm="1">
        <f t="array" ref="S62">+_xll.EQNXTDZ($A$1,$B62,S$51)</f>
        <v>0</v>
      </c>
      <c r="T62" cm="1">
        <f t="array" ref="T62">+_xll.EQNXTDZ($A$1,$B62,T$51)</f>
        <v>0</v>
      </c>
      <c r="U62" cm="1">
        <f t="array" ref="U62">+_xll.EQNXTDZ($A$1,$B62,U$51)</f>
        <v>0</v>
      </c>
      <c r="V62" cm="1">
        <f t="array" ref="V62">+_xll.EQNXTDZ($A$1,$B62,V$51)</f>
        <v>0</v>
      </c>
      <c r="W62" cm="1">
        <f t="array" ref="W62">+_xll.EQNXTDZ($A$1,$B62,W$51)</f>
        <v>0</v>
      </c>
      <c r="X62" cm="1">
        <f t="array" ref="X62">+_xll.EQNXTDZ($A$1,$B62,X$51)</f>
        <v>37783.14</v>
      </c>
      <c r="Y62" cm="1">
        <f t="array" ref="Y62">+_xll.EQNXTDZ($A$1,$B62,Y$51)</f>
        <v>44696.01</v>
      </c>
      <c r="Z62" cm="1">
        <f t="array" ref="Z62">+_xll.EQNXTDZ($A$1,$B62,Z$51)</f>
        <v>0</v>
      </c>
      <c r="AA62" cm="1">
        <f t="array" ref="AA62">+_xll.EQNXTDZ($A$1,$B62,AA$51)</f>
        <v>0</v>
      </c>
      <c r="AB62" cm="1">
        <f t="array" ref="AB62">+_xll.EQNXTDZ($A$1,$B62,AB$51)</f>
        <v>1032536.56</v>
      </c>
      <c r="AC62" cm="1">
        <f t="array" ref="AC62">+_xll.EQNXTDZ($A$1,$B62,AC$51)</f>
        <v>54691.65</v>
      </c>
      <c r="AD62" cm="1">
        <f t="array" ref="AD62">+_xll.EQNXTDZ($A$1,$B62,AD$51)</f>
        <v>0</v>
      </c>
      <c r="AE62" cm="1">
        <f t="array" ref="AE62">+_xll.EQNXTDZ($A$1,$B62,AE$51)</f>
        <v>1118121.73</v>
      </c>
      <c r="AF62" cm="1">
        <f t="array" ref="AF62">+_xll.EQNXTDZ($A$1,$B62,AF$51)</f>
        <v>1133964.1599999999</v>
      </c>
      <c r="AG62" cm="1">
        <f t="array" ref="AG62">+_xll.EQNXTDZ($A$1,$B62,AG$51)</f>
        <v>1163470.21</v>
      </c>
      <c r="AH62" cm="1">
        <f t="array" ref="AH62">+_xll.EQNXTDZ($A$1,$B62,AH$51)</f>
        <v>84472.61</v>
      </c>
      <c r="AI62" cm="1">
        <f t="array" ref="AI62">+_xll.EQNXTDZ($A$1,$B62,AI$51)</f>
        <v>87963.94</v>
      </c>
      <c r="AJ62" cm="1">
        <f t="array" ref="AJ62">+_xll.EQNXTDZ($A$1,$B62,AJ$51)</f>
        <v>88821.06</v>
      </c>
      <c r="AK62" cm="1">
        <f t="array" ref="AK62">+_xll.EQNXTDZ($A$1,$B62,AK$51)</f>
        <v>96082.61</v>
      </c>
      <c r="AL62" cm="1">
        <f t="array" ref="AL62">+_xll.EQNXTDZ($A$1,$B62,AL$51)</f>
        <v>97415.61</v>
      </c>
      <c r="AM62" cm="1">
        <f t="array" ref="AM62">+_xll.EQNXTDZ($A$1,$B62,AM$51)</f>
        <v>103982.88</v>
      </c>
      <c r="AN62" cm="1">
        <f t="array" ref="AN62">+_xll.EQNXTDZ($A$1,$B62,AN$51)</f>
        <v>108633.65</v>
      </c>
      <c r="AO62" cm="1">
        <f t="array" ref="AO62">+_xll.EQNXTDZ($A$1,$B62,AO$51)</f>
        <v>89477.68</v>
      </c>
      <c r="AP62" cm="1">
        <f t="array" ref="AP62">+_xll.EQNXTDZ($A$1,$B62,AP$51)</f>
        <v>98725.18</v>
      </c>
      <c r="AQ62" cm="1">
        <f t="array" ref="AQ62">+_xll.EQNXTDZ($A$1,$B62,AQ$51)</f>
        <v>128913.32</v>
      </c>
      <c r="AR62" cm="1">
        <f t="array" ref="AR62">+_xll.EQNXTDZ($A$1,$B62,AR$51)</f>
        <v>132922.89000000001</v>
      </c>
      <c r="AS62" cm="1">
        <f t="array" ref="AS62">+_xll.EQNXTDZ($A$1,$B62,AS$51)</f>
        <v>124223.31</v>
      </c>
      <c r="AT62" cm="1">
        <f t="array" ref="AT62">+_xll.EQNXTDZ($A$1,$B62,AT$51)</f>
        <v>131773.15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126</v>
      </c>
      <c r="B63" t="s">
        <v>310</v>
      </c>
      <c r="C63" cm="1">
        <f t="array" ref="C63">+_xll.EQNXTDZ($A$1,$B63,C$51)</f>
        <v>23904.81</v>
      </c>
      <c r="D63" cm="1">
        <f t="array" ref="D63">+_xll.EQNXTDZ($A$1,$B63,D$51)</f>
        <v>24164.87</v>
      </c>
      <c r="E63" cm="1">
        <f t="array" ref="E63">+_xll.EQNXTDZ($A$1,$B63,E$51)</f>
        <v>25359.96</v>
      </c>
      <c r="F63" cm="1">
        <f t="array" ref="F63">+_xll.EQNXTDZ($A$1,$B63,F$51)</f>
        <v>26873.32</v>
      </c>
      <c r="G63" cm="1">
        <f t="array" ref="G63">+_xll.EQNXTDZ($A$1,$B63,G$51)</f>
        <v>28544.86</v>
      </c>
      <c r="H63" cm="1">
        <f t="array" ref="H63">+_xll.EQNXTDZ($A$1,$B63,H$51)</f>
        <v>25496.22</v>
      </c>
      <c r="I63" cm="1">
        <f t="array" ref="I63">+_xll.EQNXTDZ($A$1,$B63,I$51)</f>
        <v>31311.61</v>
      </c>
      <c r="J63" cm="1">
        <f t="array" ref="J63">+_xll.EQNXTDZ($A$1,$B63,J$51)</f>
        <v>39503.56</v>
      </c>
      <c r="K63" cm="1">
        <f t="array" ref="K63">+_xll.EQNXTDZ($A$1,$B63,K$51)</f>
        <v>43965.85</v>
      </c>
      <c r="L63" cm="1">
        <f t="array" ref="L63">+_xll.EQNXTDZ($A$1,$B63,L$51)</f>
        <v>30291.1</v>
      </c>
      <c r="M63" cm="1">
        <f t="array" ref="M63">+_xll.EQNXTDZ($A$1,$B63,M$51)</f>
        <v>47137.97</v>
      </c>
      <c r="N63" cm="1">
        <f t="array" ref="N63">+_xll.EQNXTDZ($A$1,$B63,N$51)</f>
        <v>38808.51</v>
      </c>
      <c r="O63" cm="1">
        <f t="array" ref="O63">+_xll.EQNXTDZ($A$1,$B63,O$51)</f>
        <v>34513.43</v>
      </c>
      <c r="P63" cm="1">
        <f t="array" ref="P63">+_xll.EQNXTDZ($A$1,$B63,P$51)</f>
        <v>49289.74</v>
      </c>
      <c r="Q63" cm="1">
        <f t="array" ref="Q63">+_xll.EQNXTDZ($A$1,$B63,Q$51)</f>
        <v>41906.75</v>
      </c>
      <c r="R63" cm="1">
        <f t="array" ref="R63">+_xll.EQNXTDZ($A$1,$B63,R$51)</f>
        <v>40992.29</v>
      </c>
      <c r="S63" cm="1">
        <f t="array" ref="S63">+_xll.EQNXTDZ($A$1,$B63,S$51)</f>
        <v>38655.839999999997</v>
      </c>
      <c r="T63" cm="1">
        <f t="array" ref="T63">+_xll.EQNXTDZ($A$1,$B63,T$51)</f>
        <v>35624.43</v>
      </c>
      <c r="U63" cm="1">
        <f t="array" ref="U63">+_xll.EQNXTDZ($A$1,$B63,U$51)</f>
        <v>33721.58</v>
      </c>
      <c r="V63" cm="1">
        <f t="array" ref="V63">+_xll.EQNXTDZ($A$1,$B63,V$51)</f>
        <v>42761.77</v>
      </c>
      <c r="W63" cm="1">
        <f t="array" ref="W63">+_xll.EQNXTDZ($A$1,$B63,W$51)</f>
        <v>56244.81</v>
      </c>
      <c r="X63" cm="1">
        <f t="array" ref="X63">+_xll.EQNXTDZ($A$1,$B63,X$51)</f>
        <v>50800.4</v>
      </c>
      <c r="Y63" cm="1">
        <f t="array" ref="Y63">+_xll.EQNXTDZ($A$1,$B63,Y$51)</f>
        <v>56870.17</v>
      </c>
      <c r="Z63" cm="1">
        <f t="array" ref="Z63">+_xll.EQNXTDZ($A$1,$B63,Z$51)</f>
        <v>49983.56</v>
      </c>
      <c r="AA63" cm="1">
        <f t="array" ref="AA63">+_xll.EQNXTDZ($A$1,$B63,AA$51)</f>
        <v>51703.839999999997</v>
      </c>
      <c r="AB63" cm="1">
        <f t="array" ref="AB63">+_xll.EQNXTDZ($A$1,$B63,AB$51)</f>
        <v>75113.259999999995</v>
      </c>
      <c r="AC63" cm="1">
        <f t="array" ref="AC63">+_xll.EQNXTDZ($A$1,$B63,AC$51)</f>
        <v>54015.42</v>
      </c>
      <c r="AD63" cm="1">
        <f t="array" ref="AD63">+_xll.EQNXTDZ($A$1,$B63,AD$51)</f>
        <v>46284.959999999999</v>
      </c>
      <c r="AE63" cm="1">
        <f t="array" ref="AE63">+_xll.EQNXTDZ($A$1,$B63,AE$51)</f>
        <v>55175.86</v>
      </c>
      <c r="AF63" cm="1">
        <f t="array" ref="AF63">+_xll.EQNXTDZ($A$1,$B63,AF$51)</f>
        <v>62505.19</v>
      </c>
      <c r="AG63" cm="1">
        <f t="array" ref="AG63">+_xll.EQNXTDZ($A$1,$B63,AG$51)</f>
        <v>55447.51</v>
      </c>
      <c r="AH63" cm="1">
        <f t="array" ref="AH63">+_xll.EQNXTDZ($A$1,$B63,AH$51)</f>
        <v>58089.79</v>
      </c>
      <c r="AI63" cm="1">
        <f t="array" ref="AI63">+_xll.EQNXTDZ($A$1,$B63,AI$51)</f>
        <v>84914.36</v>
      </c>
      <c r="AJ63" cm="1">
        <f t="array" ref="AJ63">+_xll.EQNXTDZ($A$1,$B63,AJ$51)</f>
        <v>81065.39</v>
      </c>
      <c r="AK63" cm="1">
        <f t="array" ref="AK63">+_xll.EQNXTDZ($A$1,$B63,AK$51)</f>
        <v>88490.11</v>
      </c>
      <c r="AL63" cm="1">
        <f t="array" ref="AL63">+_xll.EQNXTDZ($A$1,$B63,AL$51)</f>
        <v>57592.28</v>
      </c>
      <c r="AM63" cm="1">
        <f t="array" ref="AM63">+_xll.EQNXTDZ($A$1,$B63,AM$51)</f>
        <v>72554.740000000005</v>
      </c>
      <c r="AN63" cm="1">
        <f t="array" ref="AN63">+_xll.EQNXTDZ($A$1,$B63,AN$51)</f>
        <v>94782.18</v>
      </c>
      <c r="AO63" cm="1">
        <f t="array" ref="AO63">+_xll.EQNXTDZ($A$1,$B63,AO$51)</f>
        <v>115053.81</v>
      </c>
      <c r="AP63" cm="1">
        <f t="array" ref="AP63">+_xll.EQNXTDZ($A$1,$B63,AP$51)</f>
        <v>116686.12</v>
      </c>
      <c r="AQ63" cm="1">
        <f t="array" ref="AQ63">+_xll.EQNXTDZ($A$1,$B63,AQ$51)</f>
        <v>119668.92</v>
      </c>
      <c r="AR63" cm="1">
        <f t="array" ref="AR63">+_xll.EQNXTDZ($A$1,$B63,AR$51)</f>
        <v>91130.57</v>
      </c>
      <c r="AS63" cm="1">
        <f t="array" ref="AS63">+_xll.EQNXTDZ($A$1,$B63,AS$51)</f>
        <v>147902.37</v>
      </c>
      <c r="AT63" cm="1">
        <f t="array" ref="AT63">+_xll.EQNXTDZ($A$1,$B63,AT$51)</f>
        <v>155287.67999999999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127</v>
      </c>
      <c r="B64" t="s">
        <v>311</v>
      </c>
      <c r="C64" cm="1">
        <f t="array" ref="C64">+_xll.EQNXTDZ($A$1,$B64,C$51)</f>
        <v>14994.32</v>
      </c>
      <c r="D64" cm="1">
        <f t="array" ref="D64">+_xll.EQNXTDZ($A$1,$B64,D$51)</f>
        <v>13997.93</v>
      </c>
      <c r="E64" cm="1">
        <f t="array" ref="E64">+_xll.EQNXTDZ($A$1,$B64,E$51)</f>
        <v>15194.92</v>
      </c>
      <c r="F64" cm="1">
        <f t="array" ref="F64">+_xll.EQNXTDZ($A$1,$B64,F$51)</f>
        <v>14692.7</v>
      </c>
      <c r="G64" cm="1">
        <f t="array" ref="G64">+_xll.EQNXTDZ($A$1,$B64,G$51)</f>
        <v>14099.59</v>
      </c>
      <c r="H64" cm="1">
        <f t="array" ref="H64">+_xll.EQNXTDZ($A$1,$B64,H$51)</f>
        <v>20198.41</v>
      </c>
      <c r="I64" cm="1">
        <f t="array" ref="I64">+_xll.EQNXTDZ($A$1,$B64,I$51)</f>
        <v>16948.169999999998</v>
      </c>
      <c r="J64" cm="1">
        <f t="array" ref="J64">+_xll.EQNXTDZ($A$1,$B64,J$51)</f>
        <v>15055.1</v>
      </c>
      <c r="K64" cm="1">
        <f t="array" ref="K64">+_xll.EQNXTDZ($A$1,$B64,K$51)</f>
        <v>16139.52</v>
      </c>
      <c r="L64" cm="1">
        <f t="array" ref="L64">+_xll.EQNXTDZ($A$1,$B64,L$51)</f>
        <v>14301.6</v>
      </c>
      <c r="M64" cm="1">
        <f t="array" ref="M64">+_xll.EQNXTDZ($A$1,$B64,M$51)</f>
        <v>14527.11</v>
      </c>
      <c r="N64" cm="1">
        <f t="array" ref="N64">+_xll.EQNXTDZ($A$1,$B64,N$51)</f>
        <v>17700.900000000001</v>
      </c>
      <c r="O64" cm="1">
        <f t="array" ref="O64">+_xll.EQNXTDZ($A$1,$B64,O$51)</f>
        <v>16595.669999999998</v>
      </c>
      <c r="P64" cm="1">
        <f t="array" ref="P64">+_xll.EQNXTDZ($A$1,$B64,P$51)</f>
        <v>13306.01</v>
      </c>
      <c r="Q64" cm="1">
        <f t="array" ref="Q64">+_xll.EQNXTDZ($A$1,$B64,Q$51)</f>
        <v>18164.150000000001</v>
      </c>
      <c r="R64" cm="1">
        <f t="array" ref="R64">+_xll.EQNXTDZ($A$1,$B64,R$51)</f>
        <v>18563.89</v>
      </c>
      <c r="S64" cm="1">
        <f t="array" ref="S64">+_xll.EQNXTDZ($A$1,$B64,S$51)</f>
        <v>14387.28</v>
      </c>
      <c r="T64" cm="1">
        <f t="array" ref="T64">+_xll.EQNXTDZ($A$1,$B64,T$51)</f>
        <v>18777.7</v>
      </c>
      <c r="U64" cm="1">
        <f t="array" ref="U64">+_xll.EQNXTDZ($A$1,$B64,U$51)</f>
        <v>15069.63</v>
      </c>
      <c r="V64" cm="1">
        <f t="array" ref="V64">+_xll.EQNXTDZ($A$1,$B64,V$51)</f>
        <v>16468.84</v>
      </c>
      <c r="W64" cm="1">
        <f t="array" ref="W64">+_xll.EQNXTDZ($A$1,$B64,W$51)</f>
        <v>27632.560000000001</v>
      </c>
      <c r="X64" cm="1">
        <f t="array" ref="X64">+_xll.EQNXTDZ($A$1,$B64,X$51)</f>
        <v>34986.76</v>
      </c>
      <c r="Y64" cm="1">
        <f t="array" ref="Y64">+_xll.EQNXTDZ($A$1,$B64,Y$51)</f>
        <v>31059.49</v>
      </c>
      <c r="Z64" cm="1">
        <f t="array" ref="Z64">+_xll.EQNXTDZ($A$1,$B64,Z$51)</f>
        <v>33931.96</v>
      </c>
      <c r="AA64" cm="1">
        <f t="array" ref="AA64">+_xll.EQNXTDZ($A$1,$B64,AA$51)</f>
        <v>24666.45</v>
      </c>
      <c r="AB64" cm="1">
        <f t="array" ref="AB64">+_xll.EQNXTDZ($A$1,$B64,AB$51)</f>
        <v>27586.11</v>
      </c>
      <c r="AC64" cm="1">
        <f t="array" ref="AC64">+_xll.EQNXTDZ($A$1,$B64,AC$51)</f>
        <v>32000.080000000002</v>
      </c>
      <c r="AD64" cm="1">
        <f t="array" ref="AD64">+_xll.EQNXTDZ($A$1,$B64,AD$51)</f>
        <v>29299.360000000001</v>
      </c>
      <c r="AE64" cm="1">
        <f t="array" ref="AE64">+_xll.EQNXTDZ($A$1,$B64,AE$51)</f>
        <v>27517.34</v>
      </c>
      <c r="AF64" cm="1">
        <f t="array" ref="AF64">+_xll.EQNXTDZ($A$1,$B64,AF$51)</f>
        <v>30651.48</v>
      </c>
      <c r="AG64" cm="1">
        <f t="array" ref="AG64">+_xll.EQNXTDZ($A$1,$B64,AG$51)</f>
        <v>28023.99</v>
      </c>
      <c r="AH64" cm="1">
        <f t="array" ref="AH64">+_xll.EQNXTDZ($A$1,$B64,AH$51)</f>
        <v>34816.67</v>
      </c>
      <c r="AI64" cm="1">
        <f t="array" ref="AI64">+_xll.EQNXTDZ($A$1,$B64,AI$51)</f>
        <v>30971.75</v>
      </c>
      <c r="AJ64" cm="1">
        <f t="array" ref="AJ64">+_xll.EQNXTDZ($A$1,$B64,AJ$51)</f>
        <v>32057.85</v>
      </c>
      <c r="AK64" cm="1">
        <f t="array" ref="AK64">+_xll.EQNXTDZ($A$1,$B64,AK$51)</f>
        <v>33284.97</v>
      </c>
      <c r="AL64" cm="1">
        <f t="array" ref="AL64">+_xll.EQNXTDZ($A$1,$B64,AL$51)</f>
        <v>34627.24</v>
      </c>
      <c r="AM64" cm="1">
        <f t="array" ref="AM64">+_xll.EQNXTDZ($A$1,$B64,AM$51)</f>
        <v>31806.31</v>
      </c>
      <c r="AN64" cm="1">
        <f t="array" ref="AN64">+_xll.EQNXTDZ($A$1,$B64,AN$51)</f>
        <v>36502.839999999997</v>
      </c>
      <c r="AO64" cm="1">
        <f t="array" ref="AO64">+_xll.EQNXTDZ($A$1,$B64,AO$51)</f>
        <v>32468.99</v>
      </c>
      <c r="AP64" cm="1">
        <f t="array" ref="AP64">+_xll.EQNXTDZ($A$1,$B64,AP$51)</f>
        <v>38237.17</v>
      </c>
      <c r="AQ64" cm="1">
        <f t="array" ref="AQ64">+_xll.EQNXTDZ($A$1,$B64,AQ$51)</f>
        <v>35854.400000000001</v>
      </c>
      <c r="AR64" cm="1">
        <f t="array" ref="AR64">+_xll.EQNXTDZ($A$1,$B64,AR$51)</f>
        <v>37541.620000000003</v>
      </c>
      <c r="AS64" cm="1">
        <f t="array" ref="AS64">+_xll.EQNXTDZ($A$1,$B64,AS$51)</f>
        <v>39946.870000000003</v>
      </c>
      <c r="AT64" cm="1">
        <f t="array" ref="AT64">+_xll.EQNXTDZ($A$1,$B64,AT$51)</f>
        <v>45853.45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128</v>
      </c>
      <c r="B65" t="s">
        <v>312</v>
      </c>
      <c r="C65" cm="1">
        <f t="array" ref="C65">+_xll.EQNXTDZ($A$1,$B65,C$51)</f>
        <v>544668.65</v>
      </c>
      <c r="D65" cm="1">
        <f t="array" ref="D65">+_xll.EQNXTDZ($A$1,$B65,D$51)</f>
        <v>558848.44999999995</v>
      </c>
      <c r="E65" cm="1">
        <f t="array" ref="E65">+_xll.EQNXTDZ($A$1,$B65,E$51)</f>
        <v>566685.97</v>
      </c>
      <c r="F65" cm="1">
        <f t="array" ref="F65">+_xll.EQNXTDZ($A$1,$B65,F$51)</f>
        <v>552960.78</v>
      </c>
      <c r="G65" cm="1">
        <f t="array" ref="G65">+_xll.EQNXTDZ($A$1,$B65,G$51)</f>
        <v>539767.21</v>
      </c>
      <c r="H65" cm="1">
        <f t="array" ref="H65">+_xll.EQNXTDZ($A$1,$B65,H$51)</f>
        <v>562132.68999999994</v>
      </c>
      <c r="I65" cm="1">
        <f t="array" ref="I65">+_xll.EQNXTDZ($A$1,$B65,I$51)</f>
        <v>591015.94999999995</v>
      </c>
      <c r="J65" cm="1">
        <f t="array" ref="J65">+_xll.EQNXTDZ($A$1,$B65,J$51)</f>
        <v>583519.43999999994</v>
      </c>
      <c r="K65" cm="1">
        <f t="array" ref="K65">+_xll.EQNXTDZ($A$1,$B65,K$51)</f>
        <v>579875.31999999995</v>
      </c>
      <c r="L65" cm="1">
        <f t="array" ref="L65">+_xll.EQNXTDZ($A$1,$B65,L$51)</f>
        <v>575160.82999999996</v>
      </c>
      <c r="M65" cm="1">
        <f t="array" ref="M65">+_xll.EQNXTDZ($A$1,$B65,M$51)</f>
        <v>599773.1</v>
      </c>
      <c r="N65" cm="1">
        <f t="array" ref="N65">+_xll.EQNXTDZ($A$1,$B65,N$51)</f>
        <v>616886.1</v>
      </c>
      <c r="O65" cm="1">
        <f t="array" ref="O65">+_xll.EQNXTDZ($A$1,$B65,O$51)</f>
        <v>620297.97</v>
      </c>
      <c r="P65" cm="1">
        <f t="array" ref="P65">+_xll.EQNXTDZ($A$1,$B65,P$51)</f>
        <v>650822.11</v>
      </c>
      <c r="Q65" cm="1">
        <f t="array" ref="Q65">+_xll.EQNXTDZ($A$1,$B65,Q$51)</f>
        <v>672130.4</v>
      </c>
      <c r="R65" cm="1">
        <f t="array" ref="R65">+_xll.EQNXTDZ($A$1,$B65,R$51)</f>
        <v>694766.69</v>
      </c>
      <c r="S65" cm="1">
        <f t="array" ref="S65">+_xll.EQNXTDZ($A$1,$B65,S$51)</f>
        <v>700322.55</v>
      </c>
      <c r="T65" cm="1">
        <f t="array" ref="T65">+_xll.EQNXTDZ($A$1,$B65,T$51)</f>
        <v>707423.59</v>
      </c>
      <c r="U65" cm="1">
        <f t="array" ref="U65">+_xll.EQNXTDZ($A$1,$B65,U$51)</f>
        <v>718092.81</v>
      </c>
      <c r="V65" cm="1">
        <f t="array" ref="V65">+_xll.EQNXTDZ($A$1,$B65,V$51)</f>
        <v>723874.75</v>
      </c>
      <c r="W65" cm="1">
        <f t="array" ref="W65">+_xll.EQNXTDZ($A$1,$B65,W$51)</f>
        <v>1046172.49</v>
      </c>
      <c r="X65" cm="1">
        <f t="array" ref="X65">+_xll.EQNXTDZ($A$1,$B65,X$51)</f>
        <v>1089002.2</v>
      </c>
      <c r="Y65" cm="1">
        <f t="array" ref="Y65">+_xll.EQNXTDZ($A$1,$B65,Y$51)</f>
        <v>1117691.97</v>
      </c>
      <c r="Z65" cm="1">
        <f t="array" ref="Z65">+_xll.EQNXTDZ($A$1,$B65,Z$51)</f>
        <v>1153675.03</v>
      </c>
      <c r="AA65" cm="1">
        <f t="array" ref="AA65">+_xll.EQNXTDZ($A$1,$B65,AA$51)</f>
        <v>1158224.1000000001</v>
      </c>
      <c r="AB65" cm="1">
        <f t="array" ref="AB65">+_xll.EQNXTDZ($A$1,$B65,AB$51)</f>
        <v>1199132.6499999999</v>
      </c>
      <c r="AC65" cm="1">
        <f t="array" ref="AC65">+_xll.EQNXTDZ($A$1,$B65,AC$51)</f>
        <v>1194726.71</v>
      </c>
      <c r="AD65" cm="1">
        <f t="array" ref="AD65">+_xll.EQNXTDZ($A$1,$B65,AD$51)</f>
        <v>1228104.8799999999</v>
      </c>
      <c r="AE65" cm="1">
        <f t="array" ref="AE65">+_xll.EQNXTDZ($A$1,$B65,AE$51)</f>
        <v>1268905.71</v>
      </c>
      <c r="AF65" cm="1">
        <f t="array" ref="AF65">+_xll.EQNXTDZ($A$1,$B65,AF$51)</f>
        <v>1297657.46</v>
      </c>
      <c r="AG65" cm="1">
        <f t="array" ref="AG65">+_xll.EQNXTDZ($A$1,$B65,AG$51)</f>
        <v>1319584.0900000001</v>
      </c>
      <c r="AH65" cm="1">
        <f t="array" ref="AH65">+_xll.EQNXTDZ($A$1,$B65,AH$51)</f>
        <v>1345732.25</v>
      </c>
      <c r="AI65" cm="1">
        <f t="array" ref="AI65">+_xll.EQNXTDZ($A$1,$B65,AI$51)</f>
        <v>1385472.62</v>
      </c>
      <c r="AJ65" cm="1">
        <f t="array" ref="AJ65">+_xll.EQNXTDZ($A$1,$B65,AJ$51)</f>
        <v>1426062.14</v>
      </c>
      <c r="AK65" cm="1">
        <f t="array" ref="AK65">+_xll.EQNXTDZ($A$1,$B65,AK$51)</f>
        <v>1469085.5</v>
      </c>
      <c r="AL65" cm="1">
        <f t="array" ref="AL65">+_xll.EQNXTDZ($A$1,$B65,AL$51)</f>
        <v>1491540.72</v>
      </c>
      <c r="AM65" cm="1">
        <f t="array" ref="AM65">+_xll.EQNXTDZ($A$1,$B65,AM$51)</f>
        <v>1532193.46</v>
      </c>
      <c r="AN65" cm="1">
        <f t="array" ref="AN65">+_xll.EQNXTDZ($A$1,$B65,AN$51)</f>
        <v>1575707.92</v>
      </c>
      <c r="AO65" cm="1">
        <f t="array" ref="AO65">+_xll.EQNXTDZ($A$1,$B65,AO$51)</f>
        <v>1592648.34</v>
      </c>
      <c r="AP65" cm="1">
        <f t="array" ref="AP65">+_xll.EQNXTDZ($A$1,$B65,AP$51)</f>
        <v>1684685.58</v>
      </c>
      <c r="AQ65" cm="1">
        <f t="array" ref="AQ65">+_xll.EQNXTDZ($A$1,$B65,AQ$51)</f>
        <v>1727633.4</v>
      </c>
      <c r="AR65" cm="1">
        <f t="array" ref="AR65">+_xll.EQNXTDZ($A$1,$B65,AR$51)</f>
        <v>1764884.89</v>
      </c>
      <c r="AS65" cm="1">
        <f t="array" ref="AS65">+_xll.EQNXTDZ($A$1,$B65,AS$51)</f>
        <v>1822356.77</v>
      </c>
      <c r="AT65" cm="1">
        <f t="array" ref="AT65">+_xll.EQNXTDZ($A$1,$B65,AT$51)</f>
        <v>1883201.89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129</v>
      </c>
      <c r="B66" t="s">
        <v>313</v>
      </c>
      <c r="C66" cm="1">
        <f t="array" ref="C66">+_xll.EQNXTDZ($A$1,$B66,C$51)</f>
        <v>20446.36</v>
      </c>
      <c r="D66" cm="1">
        <f t="array" ref="D66">+_xll.EQNXTDZ($A$1,$B66,D$51)</f>
        <v>20052.740000000002</v>
      </c>
      <c r="E66" cm="1">
        <f t="array" ref="E66">+_xll.EQNXTDZ($A$1,$B66,E$51)</f>
        <v>22928.49</v>
      </c>
      <c r="F66" cm="1">
        <f t="array" ref="F66">+_xll.EQNXTDZ($A$1,$B66,F$51)</f>
        <v>20664.05</v>
      </c>
      <c r="G66" cm="1">
        <f t="array" ref="G66">+_xll.EQNXTDZ($A$1,$B66,G$51)</f>
        <v>21612.92</v>
      </c>
      <c r="H66" cm="1">
        <f t="array" ref="H66">+_xll.EQNXTDZ($A$1,$B66,H$51)</f>
        <v>20533.34</v>
      </c>
      <c r="I66" cm="1">
        <f t="array" ref="I66">+_xll.EQNXTDZ($A$1,$B66,I$51)</f>
        <v>23972.11</v>
      </c>
      <c r="J66" cm="1">
        <f t="array" ref="J66">+_xll.EQNXTDZ($A$1,$B66,J$51)</f>
        <v>19922.5</v>
      </c>
      <c r="K66" cm="1">
        <f t="array" ref="K66">+_xll.EQNXTDZ($A$1,$B66,K$51)</f>
        <v>24131.69</v>
      </c>
      <c r="L66" cm="1">
        <f t="array" ref="L66">+_xll.EQNXTDZ($A$1,$B66,L$51)</f>
        <v>23510.12</v>
      </c>
      <c r="M66" cm="1">
        <f t="array" ref="M66">+_xll.EQNXTDZ($A$1,$B66,M$51)</f>
        <v>22720.99</v>
      </c>
      <c r="N66" cm="1">
        <f t="array" ref="N66">+_xll.EQNXTDZ($A$1,$B66,N$51)</f>
        <v>22100.04</v>
      </c>
      <c r="O66" cm="1">
        <f t="array" ref="O66">+_xll.EQNXTDZ($A$1,$B66,O$51)</f>
        <v>23651.19</v>
      </c>
      <c r="P66" cm="1">
        <f t="array" ref="P66">+_xll.EQNXTDZ($A$1,$B66,P$51)</f>
        <v>26097.3</v>
      </c>
      <c r="Q66" cm="1">
        <f t="array" ref="Q66">+_xll.EQNXTDZ($A$1,$B66,Q$51)</f>
        <v>27077.02</v>
      </c>
      <c r="R66" cm="1">
        <f t="array" ref="R66">+_xll.EQNXTDZ($A$1,$B66,R$51)</f>
        <v>29919.02</v>
      </c>
      <c r="S66" cm="1">
        <f t="array" ref="S66">+_xll.EQNXTDZ($A$1,$B66,S$51)</f>
        <v>30541.67</v>
      </c>
      <c r="T66" cm="1">
        <f t="array" ref="T66">+_xll.EQNXTDZ($A$1,$B66,T$51)</f>
        <v>32788.69</v>
      </c>
      <c r="U66" cm="1">
        <f t="array" ref="U66">+_xll.EQNXTDZ($A$1,$B66,U$51)</f>
        <v>27234.31</v>
      </c>
      <c r="V66" cm="1">
        <f t="array" ref="V66">+_xll.EQNXTDZ($A$1,$B66,V$51)</f>
        <v>22570.14</v>
      </c>
      <c r="W66" cm="1">
        <f t="array" ref="W66">+_xll.EQNXTDZ($A$1,$B66,W$51)</f>
        <v>36731.620000000003</v>
      </c>
      <c r="X66" cm="1">
        <f t="array" ref="X66">+_xll.EQNXTDZ($A$1,$B66,X$51)</f>
        <v>36357.65</v>
      </c>
      <c r="Y66" cm="1">
        <f t="array" ref="Y66">+_xll.EQNXTDZ($A$1,$B66,Y$51)</f>
        <v>34524.080000000002</v>
      </c>
      <c r="Z66" cm="1">
        <f t="array" ref="Z66">+_xll.EQNXTDZ($A$1,$B66,Z$51)</f>
        <v>43111.62</v>
      </c>
      <c r="AA66" cm="1">
        <f t="array" ref="AA66">+_xll.EQNXTDZ($A$1,$B66,AA$51)</f>
        <v>42719.54</v>
      </c>
      <c r="AB66" cm="1">
        <f t="array" ref="AB66">+_xll.EQNXTDZ($A$1,$B66,AB$51)</f>
        <v>46927.07</v>
      </c>
      <c r="AC66" cm="1">
        <f t="array" ref="AC66">+_xll.EQNXTDZ($A$1,$B66,AC$51)</f>
        <v>68376.3</v>
      </c>
      <c r="AD66" cm="1">
        <f t="array" ref="AD66">+_xll.EQNXTDZ($A$1,$B66,AD$51)</f>
        <v>73204.91</v>
      </c>
      <c r="AE66" cm="1">
        <f t="array" ref="AE66">+_xll.EQNXTDZ($A$1,$B66,AE$51)</f>
        <v>63455.11</v>
      </c>
      <c r="AF66" cm="1">
        <f t="array" ref="AF66">+_xll.EQNXTDZ($A$1,$B66,AF$51)</f>
        <v>55357.99</v>
      </c>
      <c r="AG66" cm="1">
        <f t="array" ref="AG66">+_xll.EQNXTDZ($A$1,$B66,AG$51)</f>
        <v>56598.77</v>
      </c>
      <c r="AH66" cm="1">
        <f t="array" ref="AH66">+_xll.EQNXTDZ($A$1,$B66,AH$51)</f>
        <v>54988.45</v>
      </c>
      <c r="AI66" cm="1">
        <f t="array" ref="AI66">+_xll.EQNXTDZ($A$1,$B66,AI$51)</f>
        <v>55253.46</v>
      </c>
      <c r="AJ66" cm="1">
        <f t="array" ref="AJ66">+_xll.EQNXTDZ($A$1,$B66,AJ$51)</f>
        <v>60346.33</v>
      </c>
      <c r="AK66" cm="1">
        <f t="array" ref="AK66">+_xll.EQNXTDZ($A$1,$B66,AK$51)</f>
        <v>66239.37</v>
      </c>
      <c r="AL66" cm="1">
        <f t="array" ref="AL66">+_xll.EQNXTDZ($A$1,$B66,AL$51)</f>
        <v>71068.179999999993</v>
      </c>
      <c r="AM66" cm="1">
        <f t="array" ref="AM66">+_xll.EQNXTDZ($A$1,$B66,AM$51)</f>
        <v>63328.34</v>
      </c>
      <c r="AN66" cm="1">
        <f t="array" ref="AN66">+_xll.EQNXTDZ($A$1,$B66,AN$51)</f>
        <v>59595.41</v>
      </c>
      <c r="AO66" cm="1">
        <f t="array" ref="AO66">+_xll.EQNXTDZ($A$1,$B66,AO$51)</f>
        <v>58803.66</v>
      </c>
      <c r="AP66" cm="1">
        <f t="array" ref="AP66">+_xll.EQNXTDZ($A$1,$B66,AP$51)</f>
        <v>89998.57</v>
      </c>
      <c r="AQ66" cm="1">
        <f t="array" ref="AQ66">+_xll.EQNXTDZ($A$1,$B66,AQ$51)</f>
        <v>63118.19</v>
      </c>
      <c r="AR66" cm="1">
        <f t="array" ref="AR66">+_xll.EQNXTDZ($A$1,$B66,AR$51)</f>
        <v>68903.990000000005</v>
      </c>
      <c r="AS66" cm="1">
        <f t="array" ref="AS66">+_xll.EQNXTDZ($A$1,$B66,AS$51)</f>
        <v>49715.83</v>
      </c>
      <c r="AT66" cm="1">
        <f t="array" ref="AT66">+_xll.EQNXTDZ($A$1,$B66,AT$51)</f>
        <v>54053.9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292</v>
      </c>
      <c r="B67" t="s">
        <v>314</v>
      </c>
      <c r="C67" cm="1">
        <f t="array" ref="C67">+_xll.EQNXTDZ($A$1,$B67,C$51)</f>
        <v>25717.53</v>
      </c>
      <c r="D67" cm="1">
        <f t="array" ref="D67">+_xll.EQNXTDZ($A$1,$B67,D$51)</f>
        <v>33342.129999999997</v>
      </c>
      <c r="E67" cm="1">
        <f t="array" ref="E67">+_xll.EQNXTDZ($A$1,$B67,E$51)</f>
        <v>25197.94</v>
      </c>
      <c r="F67" cm="1">
        <f t="array" ref="F67">+_xll.EQNXTDZ($A$1,$B67,F$51)</f>
        <v>36069.61</v>
      </c>
      <c r="G67" cm="1">
        <f t="array" ref="G67">+_xll.EQNXTDZ($A$1,$B67,G$51)</f>
        <v>33558.9</v>
      </c>
      <c r="H67" cm="1">
        <f t="array" ref="H67">+_xll.EQNXTDZ($A$1,$B67,H$51)</f>
        <v>42680.1</v>
      </c>
      <c r="I67" cm="1">
        <f t="array" ref="I67">+_xll.EQNXTDZ($A$1,$B67,I$51)</f>
        <v>34508.67</v>
      </c>
      <c r="J67" cm="1">
        <f t="array" ref="J67">+_xll.EQNXTDZ($A$1,$B67,J$51)</f>
        <v>38902.959999999999</v>
      </c>
      <c r="K67" cm="1">
        <f t="array" ref="K67">+_xll.EQNXTDZ($A$1,$B67,K$51)</f>
        <v>28445.69</v>
      </c>
      <c r="L67" cm="1">
        <f t="array" ref="L67">+_xll.EQNXTDZ($A$1,$B67,L$51)</f>
        <v>27545.35</v>
      </c>
      <c r="M67" cm="1">
        <f t="array" ref="M67">+_xll.EQNXTDZ($A$1,$B67,M$51)</f>
        <v>28853.72</v>
      </c>
      <c r="N67" cm="1">
        <f t="array" ref="N67">+_xll.EQNXTDZ($A$1,$B67,N$51)</f>
        <v>27812.29</v>
      </c>
      <c r="O67" cm="1">
        <f t="array" ref="O67">+_xll.EQNXTDZ($A$1,$B67,O$51)</f>
        <v>28534.240000000002</v>
      </c>
      <c r="P67" cm="1">
        <f t="array" ref="P67">+_xll.EQNXTDZ($A$1,$B67,P$51)</f>
        <v>25336.05</v>
      </c>
      <c r="Q67" cm="1">
        <f t="array" ref="Q67">+_xll.EQNXTDZ($A$1,$B67,Q$51)</f>
        <v>31014.67</v>
      </c>
      <c r="R67" cm="1">
        <f t="array" ref="R67">+_xll.EQNXTDZ($A$1,$B67,R$51)</f>
        <v>36233.67</v>
      </c>
      <c r="S67" cm="1">
        <f t="array" ref="S67">+_xll.EQNXTDZ($A$1,$B67,S$51)</f>
        <v>40627.370000000003</v>
      </c>
      <c r="T67" cm="1">
        <f t="array" ref="T67">+_xll.EQNXTDZ($A$1,$B67,T$51)</f>
        <v>37981.35</v>
      </c>
      <c r="U67" cm="1">
        <f t="array" ref="U67">+_xll.EQNXTDZ($A$1,$B67,U$51)</f>
        <v>56744.65</v>
      </c>
      <c r="V67" cm="1">
        <f t="array" ref="V67">+_xll.EQNXTDZ($A$1,$B67,V$51)</f>
        <v>45701.33</v>
      </c>
      <c r="W67" cm="1">
        <f t="array" ref="W67">+_xll.EQNXTDZ($A$1,$B67,W$51)</f>
        <v>75370.64</v>
      </c>
      <c r="X67" cm="1">
        <f t="array" ref="X67">+_xll.EQNXTDZ($A$1,$B67,X$51)</f>
        <v>98423.4</v>
      </c>
      <c r="Y67" cm="1">
        <f t="array" ref="Y67">+_xll.EQNXTDZ($A$1,$B67,Y$51)</f>
        <v>106109.75999999999</v>
      </c>
      <c r="Z67" cm="1">
        <f t="array" ref="Z67">+_xll.EQNXTDZ($A$1,$B67,Z$51)</f>
        <v>135296.41</v>
      </c>
      <c r="AA67" cm="1">
        <f t="array" ref="AA67">+_xll.EQNXTDZ($A$1,$B67,AA$51)</f>
        <v>131018.34</v>
      </c>
      <c r="AB67" cm="1">
        <f t="array" ref="AB67">+_xll.EQNXTDZ($A$1,$B67,AB$51)</f>
        <v>155675.9</v>
      </c>
      <c r="AC67" cm="1">
        <f t="array" ref="AC67">+_xll.EQNXTDZ($A$1,$B67,AC$51)</f>
        <v>100038.05</v>
      </c>
      <c r="AD67" cm="1">
        <f t="array" ref="AD67">+_xll.EQNXTDZ($A$1,$B67,AD$51)</f>
        <v>108849.39</v>
      </c>
      <c r="AE67" cm="1">
        <f t="array" ref="AE67">+_xll.EQNXTDZ($A$1,$B67,AE$51)</f>
        <v>95282.2</v>
      </c>
      <c r="AF67" cm="1">
        <f t="array" ref="AF67">+_xll.EQNXTDZ($A$1,$B67,AF$51)</f>
        <v>85026.06</v>
      </c>
      <c r="AG67" cm="1">
        <f t="array" ref="AG67">+_xll.EQNXTDZ($A$1,$B67,AG$51)</f>
        <v>75489.7</v>
      </c>
      <c r="AH67" cm="1">
        <f t="array" ref="AH67">+_xll.EQNXTDZ($A$1,$B67,AH$51)</f>
        <v>86434.75</v>
      </c>
      <c r="AI67" cm="1">
        <f t="array" ref="AI67">+_xll.EQNXTDZ($A$1,$B67,AI$51)</f>
        <v>85920.65</v>
      </c>
      <c r="AJ67" cm="1">
        <f t="array" ref="AJ67">+_xll.EQNXTDZ($A$1,$B67,AJ$51)</f>
        <v>73733.37</v>
      </c>
      <c r="AK67" cm="1">
        <f t="array" ref="AK67">+_xll.EQNXTDZ($A$1,$B67,AK$51)</f>
        <v>77878.63</v>
      </c>
      <c r="AL67" cm="1">
        <f t="array" ref="AL67">+_xll.EQNXTDZ($A$1,$B67,AL$51)</f>
        <v>79691.539999999994</v>
      </c>
      <c r="AM67" cm="1">
        <f t="array" ref="AM67">+_xll.EQNXTDZ($A$1,$B67,AM$51)</f>
        <v>97899.78</v>
      </c>
      <c r="AN67" cm="1">
        <f t="array" ref="AN67">+_xll.EQNXTDZ($A$1,$B67,AN$51)</f>
        <v>103036.54</v>
      </c>
      <c r="AO67" cm="1">
        <f t="array" ref="AO67">+_xll.EQNXTDZ($A$1,$B67,AO$51)</f>
        <v>81626.47</v>
      </c>
      <c r="AP67" cm="1">
        <f t="array" ref="AP67">+_xll.EQNXTDZ($A$1,$B67,AP$51)</f>
        <v>115341.61</v>
      </c>
      <c r="AQ67" cm="1">
        <f t="array" ref="AQ67">+_xll.EQNXTDZ($A$1,$B67,AQ$51)</f>
        <v>141953.35999999999</v>
      </c>
      <c r="AR67" cm="1">
        <f t="array" ref="AR67">+_xll.EQNXTDZ($A$1,$B67,AR$51)</f>
        <v>122291.99</v>
      </c>
      <c r="AS67" cm="1">
        <f t="array" ref="AS67">+_xll.EQNXTDZ($A$1,$B67,AS$51)</f>
        <v>152708.42000000001</v>
      </c>
      <c r="AT67" cm="1">
        <f t="array" ref="AT67">+_xll.EQNXTDZ($A$1,$B67,AT$51)</f>
        <v>152249.44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131</v>
      </c>
      <c r="B68" t="s">
        <v>315</v>
      </c>
      <c r="C68" cm="1">
        <f t="array" ref="C68">+_xll.EQNXTDZ($A$1,$B68,C$51)</f>
        <v>149576.93</v>
      </c>
      <c r="D68" cm="1">
        <f t="array" ref="D68">+_xll.EQNXTDZ($A$1,$B68,D$51)</f>
        <v>153230.45000000001</v>
      </c>
      <c r="E68" cm="1">
        <f t="array" ref="E68">+_xll.EQNXTDZ($A$1,$B68,E$51)</f>
        <v>155887.85</v>
      </c>
      <c r="F68" cm="1">
        <f t="array" ref="F68">+_xll.EQNXTDZ($A$1,$B68,F$51)</f>
        <v>142309.29999999999</v>
      </c>
      <c r="G68" cm="1">
        <f t="array" ref="G68">+_xll.EQNXTDZ($A$1,$B68,G$51)</f>
        <v>130655.49</v>
      </c>
      <c r="H68" cm="1">
        <f t="array" ref="H68">+_xll.EQNXTDZ($A$1,$B68,H$51)</f>
        <v>141389.48000000001</v>
      </c>
      <c r="I68" cm="1">
        <f t="array" ref="I68">+_xll.EQNXTDZ($A$1,$B68,I$51)</f>
        <v>169034.59</v>
      </c>
      <c r="J68" cm="1">
        <f t="array" ref="J68">+_xll.EQNXTDZ($A$1,$B68,J$51)</f>
        <v>150265.89000000001</v>
      </c>
      <c r="K68" cm="1">
        <f t="array" ref="K68">+_xll.EQNXTDZ($A$1,$B68,K$51)</f>
        <v>147894.51999999999</v>
      </c>
      <c r="L68" cm="1">
        <f t="array" ref="L68">+_xll.EQNXTDZ($A$1,$B68,L$51)</f>
        <v>137025.91</v>
      </c>
      <c r="M68" cm="1">
        <f t="array" ref="M68">+_xll.EQNXTDZ($A$1,$B68,M$51)</f>
        <v>141826.03</v>
      </c>
      <c r="N68" cm="1">
        <f t="array" ref="N68">+_xll.EQNXTDZ($A$1,$B68,N$51)</f>
        <v>144053.67000000001</v>
      </c>
      <c r="O68" cm="1">
        <f t="array" ref="O68">+_xll.EQNXTDZ($A$1,$B68,O$51)</f>
        <v>144463.18</v>
      </c>
      <c r="P68" cm="1">
        <f t="array" ref="P68">+_xll.EQNXTDZ($A$1,$B68,P$51)</f>
        <v>151688.16</v>
      </c>
      <c r="Q68" cm="1">
        <f t="array" ref="Q68">+_xll.EQNXTDZ($A$1,$B68,Q$51)</f>
        <v>152694.51999999999</v>
      </c>
      <c r="R68" cm="1">
        <f t="array" ref="R68">+_xll.EQNXTDZ($A$1,$B68,R$51)</f>
        <v>152985.29999999999</v>
      </c>
      <c r="S68" cm="1">
        <f t="array" ref="S68">+_xll.EQNXTDZ($A$1,$B68,S$51)</f>
        <v>153923.28</v>
      </c>
      <c r="T68" cm="1">
        <f t="array" ref="T68">+_xll.EQNXTDZ($A$1,$B68,T$51)</f>
        <v>161233.54</v>
      </c>
      <c r="U68" cm="1">
        <f t="array" ref="U68">+_xll.EQNXTDZ($A$1,$B68,U$51)</f>
        <v>165050.84</v>
      </c>
      <c r="V68" cm="1">
        <f t="array" ref="V68">+_xll.EQNXTDZ($A$1,$B68,V$51)</f>
        <v>176244.94</v>
      </c>
      <c r="W68" cm="1">
        <f t="array" ref="W68">+_xll.EQNXTDZ($A$1,$B68,W$51)</f>
        <v>250907.94</v>
      </c>
      <c r="X68" cm="1">
        <f t="array" ref="X68">+_xll.EQNXTDZ($A$1,$B68,X$51)</f>
        <v>265246.05</v>
      </c>
      <c r="Y68" cm="1">
        <f t="array" ref="Y68">+_xll.EQNXTDZ($A$1,$B68,Y$51)</f>
        <v>271597.40000000002</v>
      </c>
      <c r="Z68" cm="1">
        <f t="array" ref="Z68">+_xll.EQNXTDZ($A$1,$B68,Z$51)</f>
        <v>261690.39</v>
      </c>
      <c r="AA68" cm="1">
        <f t="array" ref="AA68">+_xll.EQNXTDZ($A$1,$B68,AA$51)</f>
        <v>273066.82</v>
      </c>
      <c r="AB68" cm="1">
        <f t="array" ref="AB68">+_xll.EQNXTDZ($A$1,$B68,AB$51)</f>
        <v>283506.33</v>
      </c>
      <c r="AC68" cm="1">
        <f t="array" ref="AC68">+_xll.EQNXTDZ($A$1,$B68,AC$51)</f>
        <v>274803.33</v>
      </c>
      <c r="AD68" cm="1">
        <f t="array" ref="AD68">+_xll.EQNXTDZ($A$1,$B68,AD$51)</f>
        <v>282012.90000000002</v>
      </c>
      <c r="AE68" cm="1">
        <f t="array" ref="AE68">+_xll.EQNXTDZ($A$1,$B68,AE$51)</f>
        <v>307778.78000000003</v>
      </c>
      <c r="AF68" cm="1">
        <f t="array" ref="AF68">+_xll.EQNXTDZ($A$1,$B68,AF$51)</f>
        <v>308750.14</v>
      </c>
      <c r="AG68" cm="1">
        <f t="array" ref="AG68">+_xll.EQNXTDZ($A$1,$B68,AG$51)</f>
        <v>311475.95</v>
      </c>
      <c r="AH68" cm="1">
        <f t="array" ref="AH68">+_xll.EQNXTDZ($A$1,$B68,AH$51)</f>
        <v>319038.45</v>
      </c>
      <c r="AI68" cm="1">
        <f t="array" ref="AI68">+_xll.EQNXTDZ($A$1,$B68,AI$51)</f>
        <v>331809.5</v>
      </c>
      <c r="AJ68" cm="1">
        <f t="array" ref="AJ68">+_xll.EQNXTDZ($A$1,$B68,AJ$51)</f>
        <v>344337.58</v>
      </c>
      <c r="AK68" cm="1">
        <f t="array" ref="AK68">+_xll.EQNXTDZ($A$1,$B68,AK$51)</f>
        <v>343376.26</v>
      </c>
      <c r="AL68" cm="1">
        <f t="array" ref="AL68">+_xll.EQNXTDZ($A$1,$B68,AL$51)</f>
        <v>357454.42</v>
      </c>
      <c r="AM68" cm="1">
        <f t="array" ref="AM68">+_xll.EQNXTDZ($A$1,$B68,AM$51)</f>
        <v>370024.55</v>
      </c>
      <c r="AN68" cm="1">
        <f t="array" ref="AN68">+_xll.EQNXTDZ($A$1,$B68,AN$51)</f>
        <v>372944.96</v>
      </c>
      <c r="AO68" cm="1">
        <f t="array" ref="AO68">+_xll.EQNXTDZ($A$1,$B68,AO$51)</f>
        <v>379372.06</v>
      </c>
      <c r="AP68" cm="1">
        <f t="array" ref="AP68">+_xll.EQNXTDZ($A$1,$B68,AP$51)</f>
        <v>382179.38</v>
      </c>
      <c r="AQ68" cm="1">
        <f t="array" ref="AQ68">+_xll.EQNXTDZ($A$1,$B68,AQ$51)</f>
        <v>397323.44</v>
      </c>
      <c r="AR68" cm="1">
        <f t="array" ref="AR68">+_xll.EQNXTDZ($A$1,$B68,AR$51)</f>
        <v>394610.93</v>
      </c>
      <c r="AS68" cm="1">
        <f t="array" ref="AS68">+_xll.EQNXTDZ($A$1,$B68,AS$51)</f>
        <v>394736.39</v>
      </c>
      <c r="AT68" cm="1">
        <f t="array" ref="AT68">+_xll.EQNXTDZ($A$1,$B68,AT$51)</f>
        <v>403414.58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50</v>
      </c>
      <c r="B69" t="s">
        <v>316</v>
      </c>
      <c r="C69" cm="1">
        <f t="array" ref="C69">+_xll.EQNXTDZ($A$1,$B69,C$51)</f>
        <v>324062.92</v>
      </c>
      <c r="D69" cm="1">
        <f t="array" ref="D69">+_xll.EQNXTDZ($A$1,$B69,D$51)</f>
        <v>323077.46000000002</v>
      </c>
      <c r="E69" cm="1">
        <f t="array" ref="E69">+_xll.EQNXTDZ($A$1,$B69,E$51)</f>
        <v>331914.86</v>
      </c>
      <c r="F69" cm="1">
        <f t="array" ref="F69">+_xll.EQNXTDZ($A$1,$B69,F$51)</f>
        <v>324714.83</v>
      </c>
      <c r="G69" cm="1">
        <f t="array" ref="G69">+_xll.EQNXTDZ($A$1,$B69,G$51)</f>
        <v>321283.28000000003</v>
      </c>
      <c r="H69" cm="1">
        <f t="array" ref="H69">+_xll.EQNXTDZ($A$1,$B69,H$51)</f>
        <v>327129.31</v>
      </c>
      <c r="I69" cm="1">
        <f t="array" ref="I69">+_xll.EQNXTDZ($A$1,$B69,I$51)</f>
        <v>331636.38</v>
      </c>
      <c r="J69" cm="1">
        <f t="array" ref="J69">+_xll.EQNXTDZ($A$1,$B69,J$51)</f>
        <v>342008.76</v>
      </c>
      <c r="K69" cm="1">
        <f t="array" ref="K69">+_xll.EQNXTDZ($A$1,$B69,K$51)</f>
        <v>342815.6</v>
      </c>
      <c r="L69" cm="1">
        <f t="array" ref="L69">+_xll.EQNXTDZ($A$1,$B69,L$51)</f>
        <v>358255.19</v>
      </c>
      <c r="M69" cm="1">
        <f t="array" ref="M69">+_xll.EQNXTDZ($A$1,$B69,M$51)</f>
        <v>373122.61</v>
      </c>
      <c r="N69" cm="1">
        <f t="array" ref="N69">+_xll.EQNXTDZ($A$1,$B69,N$51)</f>
        <v>381702.99</v>
      </c>
      <c r="O69" cm="1">
        <f t="array" ref="O69">+_xll.EQNXTDZ($A$1,$B69,O$51)</f>
        <v>386252.65</v>
      </c>
      <c r="P69" cm="1">
        <f t="array" ref="P69">+_xll.EQNXTDZ($A$1,$B69,P$51)</f>
        <v>409528.64</v>
      </c>
      <c r="Q69" cm="1">
        <f t="array" ref="Q69">+_xll.EQNXTDZ($A$1,$B69,Q$51)</f>
        <v>417227.39</v>
      </c>
      <c r="R69" cm="1">
        <f t="array" ref="R69">+_xll.EQNXTDZ($A$1,$B69,R$51)</f>
        <v>427727.27</v>
      </c>
      <c r="S69" cm="1">
        <f t="array" ref="S69">+_xll.EQNXTDZ($A$1,$B69,S$51)</f>
        <v>432768.12</v>
      </c>
      <c r="T69" cm="1">
        <f t="array" ref="T69">+_xll.EQNXTDZ($A$1,$B69,T$51)</f>
        <v>429318.58</v>
      </c>
      <c r="U69" cm="1">
        <f t="array" ref="U69">+_xll.EQNXTDZ($A$1,$B69,U$51)</f>
        <v>422608.02</v>
      </c>
      <c r="V69" cm="1">
        <f t="array" ref="V69">+_xll.EQNXTDZ($A$1,$B69,V$51)</f>
        <v>432175.2</v>
      </c>
      <c r="W69" cm="1">
        <f t="array" ref="W69">+_xll.EQNXTDZ($A$1,$B69,W$51)</f>
        <v>617168.15</v>
      </c>
      <c r="X69" cm="1">
        <f t="array" ref="X69">+_xll.EQNXTDZ($A$1,$B69,X$51)</f>
        <v>616301.69999999995</v>
      </c>
      <c r="Y69" cm="1">
        <f t="array" ref="Y69">+_xll.EQNXTDZ($A$1,$B69,Y$51)</f>
        <v>634246.14</v>
      </c>
      <c r="Z69" cm="1">
        <f t="array" ref="Z69">+_xll.EQNXTDZ($A$1,$B69,Z$51)</f>
        <v>639048.99</v>
      </c>
      <c r="AA69" cm="1">
        <f t="array" ref="AA69">+_xll.EQNXTDZ($A$1,$B69,AA$51)</f>
        <v>648516.18999999994</v>
      </c>
      <c r="AB69" cm="1">
        <f t="array" ref="AB69">+_xll.EQNXTDZ($A$1,$B69,AB$51)</f>
        <v>649584.15</v>
      </c>
      <c r="AC69" cm="1">
        <f t="array" ref="AC69">+_xll.EQNXTDZ($A$1,$B69,AC$51)</f>
        <v>692167.7</v>
      </c>
      <c r="AD69" cm="1">
        <f t="array" ref="AD69">+_xll.EQNXTDZ($A$1,$B69,AD$51)</f>
        <v>703601.82</v>
      </c>
      <c r="AE69" cm="1">
        <f t="array" ref="AE69">+_xll.EQNXTDZ($A$1,$B69,AE$51)</f>
        <v>746945.19</v>
      </c>
      <c r="AF69" cm="1">
        <f t="array" ref="AF69">+_xll.EQNXTDZ($A$1,$B69,AF$51)</f>
        <v>788501.52</v>
      </c>
      <c r="AG69" cm="1">
        <f t="array" ref="AG69">+_xll.EQNXTDZ($A$1,$B69,AG$51)</f>
        <v>816413.69</v>
      </c>
      <c r="AH69" cm="1">
        <f t="array" ref="AH69">+_xll.EQNXTDZ($A$1,$B69,AH$51)</f>
        <v>830672.55</v>
      </c>
      <c r="AI69" cm="1">
        <f t="array" ref="AI69">+_xll.EQNXTDZ($A$1,$B69,AI$51)</f>
        <v>855142.28</v>
      </c>
      <c r="AJ69" cm="1">
        <f t="array" ref="AJ69">+_xll.EQNXTDZ($A$1,$B69,AJ$51)</f>
        <v>892310.13</v>
      </c>
      <c r="AK69" cm="1">
        <f t="array" ref="AK69">+_xll.EQNXTDZ($A$1,$B69,AK$51)</f>
        <v>920646.67</v>
      </c>
      <c r="AL69" cm="1">
        <f t="array" ref="AL69">+_xll.EQNXTDZ($A$1,$B69,AL$51)</f>
        <v>931612.83</v>
      </c>
      <c r="AM69" cm="1">
        <f t="array" ref="AM69">+_xll.EQNXTDZ($A$1,$B69,AM$51)</f>
        <v>946353.05</v>
      </c>
      <c r="AN69" cm="1">
        <f t="array" ref="AN69">+_xll.EQNXTDZ($A$1,$B69,AN$51)</f>
        <v>984041.23</v>
      </c>
      <c r="AO69" cm="1">
        <f t="array" ref="AO69">+_xll.EQNXTDZ($A$1,$B69,AO$51)</f>
        <v>1023726.85</v>
      </c>
      <c r="AP69" cm="1">
        <f t="array" ref="AP69">+_xll.EQNXTDZ($A$1,$B69,AP$51)</f>
        <v>1049155.02</v>
      </c>
      <c r="AQ69" cm="1">
        <f t="array" ref="AQ69">+_xll.EQNXTDZ($A$1,$B69,AQ$51)</f>
        <v>1073576.24</v>
      </c>
      <c r="AR69" cm="1">
        <f t="array" ref="AR69">+_xll.EQNXTDZ($A$1,$B69,AR$51)</f>
        <v>1130113.8899999999</v>
      </c>
      <c r="AS69" cm="1">
        <f t="array" ref="AS69">+_xll.EQNXTDZ($A$1,$B69,AS$51)</f>
        <v>1172815.69</v>
      </c>
      <c r="AT69" cm="1">
        <f t="array" ref="AT69">+_xll.EQNXTDZ($A$1,$B69,AT$51)</f>
        <v>1220017.47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293</v>
      </c>
      <c r="B70" t="s">
        <v>317</v>
      </c>
      <c r="C70" cm="1">
        <f t="array" ref="C70">+_xll.EQNXTDZ($A$1,$B70,C$51)</f>
        <v>7089.9</v>
      </c>
      <c r="D70" cm="1">
        <f t="array" ref="D70">+_xll.EQNXTDZ($A$1,$B70,D$51)</f>
        <v>7212</v>
      </c>
      <c r="E70" cm="1">
        <f t="array" ref="E70">+_xll.EQNXTDZ($A$1,$B70,E$51)</f>
        <v>7183.46</v>
      </c>
      <c r="F70" cm="1">
        <f t="array" ref="F70">+_xll.EQNXTDZ($A$1,$B70,F$51)</f>
        <v>7198.1</v>
      </c>
      <c r="G70" cm="1">
        <f t="array" ref="G70">+_xll.EQNXTDZ($A$1,$B70,G$51)</f>
        <v>7160.95</v>
      </c>
      <c r="H70" cm="1">
        <f t="array" ref="H70">+_xll.EQNXTDZ($A$1,$B70,H$51)</f>
        <v>7151.6</v>
      </c>
      <c r="I70" cm="1">
        <f t="array" ref="I70">+_xll.EQNXTDZ($A$1,$B70,I$51)</f>
        <v>7170.57</v>
      </c>
      <c r="J70" cm="1">
        <f t="array" ref="J70">+_xll.EQNXTDZ($A$1,$B70,J$51)</f>
        <v>7168.31</v>
      </c>
      <c r="K70" cm="1">
        <f t="array" ref="K70">+_xll.EQNXTDZ($A$1,$B70,K$51)</f>
        <v>7131.27</v>
      </c>
      <c r="L70" cm="1">
        <f t="array" ref="L70">+_xll.EQNXTDZ($A$1,$B70,L$51)</f>
        <v>7121.99</v>
      </c>
      <c r="M70" cm="1">
        <f t="array" ref="M70">+_xll.EQNXTDZ($A$1,$B70,M$51)</f>
        <v>7088.34</v>
      </c>
      <c r="N70" cm="1">
        <f t="array" ref="N70">+_xll.EQNXTDZ($A$1,$B70,N$51)</f>
        <v>8318.64</v>
      </c>
      <c r="O70" cm="1">
        <f t="array" ref="O70">+_xll.EQNXTDZ($A$1,$B70,O$51)</f>
        <v>8264.3799999999992</v>
      </c>
      <c r="P70" cm="1">
        <f t="array" ref="P70">+_xll.EQNXTDZ($A$1,$B70,P$51)</f>
        <v>8270.89</v>
      </c>
      <c r="Q70" cm="1">
        <f t="array" ref="Q70">+_xll.EQNXTDZ($A$1,$B70,Q$51)</f>
        <v>8254.0499999999993</v>
      </c>
      <c r="R70" cm="1">
        <f t="array" ref="R70">+_xll.EQNXTDZ($A$1,$B70,R$51)</f>
        <v>8410.23</v>
      </c>
      <c r="S70" cm="1">
        <f t="array" ref="S70">+_xll.EQNXTDZ($A$1,$B70,S$51)</f>
        <v>8343.89</v>
      </c>
      <c r="T70" cm="1">
        <f t="array" ref="T70">+_xll.EQNXTDZ($A$1,$B70,T$51)</f>
        <v>8291.33</v>
      </c>
      <c r="U70" cm="1">
        <f t="array" ref="U70">+_xll.EQNXTDZ($A$1,$B70,U$51)</f>
        <v>8324.83</v>
      </c>
      <c r="V70" cm="1">
        <f t="array" ref="V70">+_xll.EQNXTDZ($A$1,$B70,V$51)</f>
        <v>8276.2900000000009</v>
      </c>
      <c r="W70" cm="1">
        <f t="array" ref="W70">+_xll.EQNXTDZ($A$1,$B70,W$51)</f>
        <v>10776.51</v>
      </c>
      <c r="X70" cm="1">
        <f t="array" ref="X70">+_xll.EQNXTDZ($A$1,$B70,X$51)</f>
        <v>10791.66</v>
      </c>
      <c r="Y70" cm="1">
        <f t="array" ref="Y70">+_xll.EQNXTDZ($A$1,$B70,Y$51)</f>
        <v>10706.32</v>
      </c>
      <c r="Z70" cm="1">
        <f t="array" ref="Z70">+_xll.EQNXTDZ($A$1,$B70,Z$51)</f>
        <v>11206.53</v>
      </c>
      <c r="AA70" cm="1">
        <f t="array" ref="AA70">+_xll.EQNXTDZ($A$1,$B70,AA$51)</f>
        <v>11142.58</v>
      </c>
      <c r="AB70" cm="1">
        <f t="array" ref="AB70">+_xll.EQNXTDZ($A$1,$B70,AB$51)</f>
        <v>11081.65</v>
      </c>
      <c r="AC70" cm="1">
        <f t="array" ref="AC70">+_xll.EQNXTDZ($A$1,$B70,AC$51)</f>
        <v>11054.2</v>
      </c>
      <c r="AD70" cm="1">
        <f t="array" ref="AD70">+_xll.EQNXTDZ($A$1,$B70,AD$51)</f>
        <v>11356.3</v>
      </c>
      <c r="AE70" cm="1">
        <f t="array" ref="AE70">+_xll.EQNXTDZ($A$1,$B70,AE$51)</f>
        <v>11165.26</v>
      </c>
      <c r="AF70" cm="1">
        <f t="array" ref="AF70">+_xll.EQNXTDZ($A$1,$B70,AF$51)</f>
        <v>10905.56</v>
      </c>
      <c r="AG70" cm="1">
        <f t="array" ref="AG70">+_xll.EQNXTDZ($A$1,$B70,AG$51)</f>
        <v>10210.82</v>
      </c>
      <c r="AH70" cm="1">
        <f t="array" ref="AH70">+_xll.EQNXTDZ($A$1,$B70,AH$51)</f>
        <v>10230.67</v>
      </c>
      <c r="AI70" cm="1">
        <f t="array" ref="AI70">+_xll.EQNXTDZ($A$1,$B70,AI$51)</f>
        <v>10189.379999999999</v>
      </c>
      <c r="AJ70" cm="1">
        <f t="array" ref="AJ70">+_xll.EQNXTDZ($A$1,$B70,AJ$51)</f>
        <v>10154.030000000001</v>
      </c>
      <c r="AK70" cm="1">
        <f t="array" ref="AK70">+_xll.EQNXTDZ($A$1,$B70,AK$51)</f>
        <v>10207.219999999999</v>
      </c>
      <c r="AL70" cm="1">
        <f t="array" ref="AL70">+_xll.EQNXTDZ($A$1,$B70,AL$51)</f>
        <v>12228.17</v>
      </c>
      <c r="AM70" cm="1">
        <f t="array" ref="AM70">+_xll.EQNXTDZ($A$1,$B70,AM$51)</f>
        <v>12153.65</v>
      </c>
      <c r="AN70" cm="1">
        <f t="array" ref="AN70">+_xll.EQNXTDZ($A$1,$B70,AN$51)</f>
        <v>12248.77</v>
      </c>
      <c r="AO70" cm="1">
        <f t="array" ref="AO70">+_xll.EQNXTDZ($A$1,$B70,AO$51)</f>
        <v>9847.73</v>
      </c>
      <c r="AP70" cm="1">
        <f t="array" ref="AP70">+_xll.EQNXTDZ($A$1,$B70,AP$51)</f>
        <v>10215.15</v>
      </c>
      <c r="AQ70" cm="1">
        <f t="array" ref="AQ70">+_xll.EQNXTDZ($A$1,$B70,AQ$51)</f>
        <v>10127.09</v>
      </c>
      <c r="AR70" cm="1">
        <f t="array" ref="AR70">+_xll.EQNXTDZ($A$1,$B70,AR$51)</f>
        <v>10147.93</v>
      </c>
      <c r="AS70" cm="1">
        <f t="array" ref="AS70">+_xll.EQNXTDZ($A$1,$B70,AS$51)</f>
        <v>10341.84</v>
      </c>
      <c r="AT70" cm="1">
        <f t="array" ref="AT70">+_xll.EQNXTDZ($A$1,$B70,AT$51)</f>
        <v>10570.44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294</v>
      </c>
      <c r="B71" t="s">
        <v>318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295</v>
      </c>
      <c r="B72" t="s">
        <v>319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320</v>
      </c>
      <c r="C73" cm="1">
        <f t="array" ref="C73">+_xll.EQNXTDZ($A$1,$B73,C$51)</f>
        <v>7089.9</v>
      </c>
      <c r="D73" cm="1">
        <f t="array" ref="D73">+_xll.EQNXTDZ($A$1,$B73,D$51)</f>
        <v>7212</v>
      </c>
      <c r="E73" cm="1">
        <f t="array" ref="E73">+_xll.EQNXTDZ($A$1,$B73,E$51)</f>
        <v>7183.46</v>
      </c>
      <c r="F73" cm="1">
        <f t="array" ref="F73">+_xll.EQNXTDZ($A$1,$B73,F$51)</f>
        <v>7198.1</v>
      </c>
      <c r="G73" cm="1">
        <f t="array" ref="G73">+_xll.EQNXTDZ($A$1,$B73,G$51)</f>
        <v>7160.95</v>
      </c>
      <c r="H73" cm="1">
        <f t="array" ref="H73">+_xll.EQNXTDZ($A$1,$B73,H$51)</f>
        <v>7151.6</v>
      </c>
      <c r="I73" cm="1">
        <f t="array" ref="I73">+_xll.EQNXTDZ($A$1,$B73,I$51)</f>
        <v>7170.57</v>
      </c>
      <c r="J73" cm="1">
        <f t="array" ref="J73">+_xll.EQNXTDZ($A$1,$B73,J$51)</f>
        <v>7168.31</v>
      </c>
      <c r="K73" cm="1">
        <f t="array" ref="K73">+_xll.EQNXTDZ($A$1,$B73,K$51)</f>
        <v>7131.27</v>
      </c>
      <c r="L73" cm="1">
        <f t="array" ref="L73">+_xll.EQNXTDZ($A$1,$B73,L$51)</f>
        <v>7121.99</v>
      </c>
      <c r="M73" cm="1">
        <f t="array" ref="M73">+_xll.EQNXTDZ($A$1,$B73,M$51)</f>
        <v>7088.34</v>
      </c>
      <c r="N73" cm="1">
        <f t="array" ref="N73">+_xll.EQNXTDZ($A$1,$B73,N$51)</f>
        <v>8318.64</v>
      </c>
      <c r="O73" cm="1">
        <f t="array" ref="O73">+_xll.EQNXTDZ($A$1,$B73,O$51)</f>
        <v>8264.3799999999992</v>
      </c>
      <c r="P73" cm="1">
        <f t="array" ref="P73">+_xll.EQNXTDZ($A$1,$B73,P$51)</f>
        <v>8270.89</v>
      </c>
      <c r="Q73" cm="1">
        <f t="array" ref="Q73">+_xll.EQNXTDZ($A$1,$B73,Q$51)</f>
        <v>8254.0499999999993</v>
      </c>
      <c r="R73" cm="1">
        <f t="array" ref="R73">+_xll.EQNXTDZ($A$1,$B73,R$51)</f>
        <v>8410.23</v>
      </c>
      <c r="S73" cm="1">
        <f t="array" ref="S73">+_xll.EQNXTDZ($A$1,$B73,S$51)</f>
        <v>8343.89</v>
      </c>
      <c r="T73" cm="1">
        <f t="array" ref="T73">+_xll.EQNXTDZ($A$1,$B73,T$51)</f>
        <v>8291.33</v>
      </c>
      <c r="U73" cm="1">
        <f t="array" ref="U73">+_xll.EQNXTDZ($A$1,$B73,U$51)</f>
        <v>8324.83</v>
      </c>
      <c r="V73" cm="1">
        <f t="array" ref="V73">+_xll.EQNXTDZ($A$1,$B73,V$51)</f>
        <v>8276.2900000000009</v>
      </c>
      <c r="W73" cm="1">
        <f t="array" ref="W73">+_xll.EQNXTDZ($A$1,$B73,W$51)</f>
        <v>10776.51</v>
      </c>
      <c r="X73" cm="1">
        <f t="array" ref="X73">+_xll.EQNXTDZ($A$1,$B73,X$51)</f>
        <v>10791.66</v>
      </c>
      <c r="Y73" cm="1">
        <f t="array" ref="Y73">+_xll.EQNXTDZ($A$1,$B73,Y$51)</f>
        <v>10706.32</v>
      </c>
      <c r="Z73" cm="1">
        <f t="array" ref="Z73">+_xll.EQNXTDZ($A$1,$B73,Z$51)</f>
        <v>11206.53</v>
      </c>
      <c r="AA73" cm="1">
        <f t="array" ref="AA73">+_xll.EQNXTDZ($A$1,$B73,AA$51)</f>
        <v>11142.58</v>
      </c>
      <c r="AB73" cm="1">
        <f t="array" ref="AB73">+_xll.EQNXTDZ($A$1,$B73,AB$51)</f>
        <v>11081.65</v>
      </c>
      <c r="AC73" cm="1">
        <f t="array" ref="AC73">+_xll.EQNXTDZ($A$1,$B73,AC$51)</f>
        <v>11054.2</v>
      </c>
      <c r="AD73" cm="1">
        <f t="array" ref="AD73">+_xll.EQNXTDZ($A$1,$B73,AD$51)</f>
        <v>11356.3</v>
      </c>
      <c r="AE73" cm="1">
        <f t="array" ref="AE73">+_xll.EQNXTDZ($A$1,$B73,AE$51)</f>
        <v>11165.26</v>
      </c>
      <c r="AF73" cm="1">
        <f t="array" ref="AF73">+_xll.EQNXTDZ($A$1,$B73,AF$51)</f>
        <v>10905.56</v>
      </c>
      <c r="AG73" cm="1">
        <f t="array" ref="AG73">+_xll.EQNXTDZ($A$1,$B73,AG$51)</f>
        <v>10210.82</v>
      </c>
      <c r="AH73" cm="1">
        <f t="array" ref="AH73">+_xll.EQNXTDZ($A$1,$B73,AH$51)</f>
        <v>10230.67</v>
      </c>
      <c r="AI73" cm="1">
        <f t="array" ref="AI73">+_xll.EQNXTDZ($A$1,$B73,AI$51)</f>
        <v>10189.379999999999</v>
      </c>
      <c r="AJ73" cm="1">
        <f t="array" ref="AJ73">+_xll.EQNXTDZ($A$1,$B73,AJ$51)</f>
        <v>10154.030000000001</v>
      </c>
      <c r="AK73" cm="1">
        <f t="array" ref="AK73">+_xll.EQNXTDZ($A$1,$B73,AK$51)</f>
        <v>10207.219999999999</v>
      </c>
      <c r="AL73" cm="1">
        <f t="array" ref="AL73">+_xll.EQNXTDZ($A$1,$B73,AL$51)</f>
        <v>12228.17</v>
      </c>
      <c r="AM73" cm="1">
        <f t="array" ref="AM73">+_xll.EQNXTDZ($A$1,$B73,AM$51)</f>
        <v>12153.65</v>
      </c>
      <c r="AN73" cm="1">
        <f t="array" ref="AN73">+_xll.EQNXTDZ($A$1,$B73,AN$51)</f>
        <v>12248.77</v>
      </c>
      <c r="AO73" cm="1">
        <f t="array" ref="AO73">+_xll.EQNXTDZ($A$1,$B73,AO$51)</f>
        <v>9847.73</v>
      </c>
      <c r="AP73" cm="1">
        <f t="array" ref="AP73">+_xll.EQNXTDZ($A$1,$B73,AP$51)</f>
        <v>10215.15</v>
      </c>
      <c r="AQ73" cm="1">
        <f t="array" ref="AQ73">+_xll.EQNXTDZ($A$1,$B73,AQ$51)</f>
        <v>10127.09</v>
      </c>
      <c r="AR73" cm="1">
        <f t="array" ref="AR73">+_xll.EQNXTDZ($A$1,$B73,AR$51)</f>
        <v>10147.93</v>
      </c>
      <c r="AS73" cm="1">
        <f t="array" ref="AS73">+_xll.EQNXTDZ($A$1,$B73,AS$51)</f>
        <v>10341.84</v>
      </c>
      <c r="AT73" cm="1">
        <f t="array" ref="AT73">+_xll.EQNXTDZ($A$1,$B73,AT$51)</f>
        <v>10570.44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135</v>
      </c>
      <c r="B74" t="s">
        <v>321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136</v>
      </c>
      <c r="B75" t="s">
        <v>322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296</v>
      </c>
      <c r="B76" t="s">
        <v>323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8324.83</v>
      </c>
      <c r="V76" cm="1">
        <f t="array" ref="V76">+_xll.EQNXTDZ($A$1,$B76,V$51)</f>
        <v>8276.2900000000009</v>
      </c>
      <c r="W76" cm="1">
        <f t="array" ref="W76">+_xll.EQNXTDZ($A$1,$B76,W$51)</f>
        <v>10776.51</v>
      </c>
      <c r="X76" cm="1">
        <f t="array" ref="X76">+_xll.EQNXTDZ($A$1,$B76,X$51)</f>
        <v>10791.66</v>
      </c>
      <c r="Y76" cm="1">
        <f t="array" ref="Y76">+_xll.EQNXTDZ($A$1,$B76,Y$51)</f>
        <v>10706.32</v>
      </c>
      <c r="Z76" cm="1">
        <f t="array" ref="Z76">+_xll.EQNXTDZ($A$1,$B76,Z$51)</f>
        <v>11206.53</v>
      </c>
      <c r="AA76" cm="1">
        <f t="array" ref="AA76">+_xll.EQNXTDZ($A$1,$B76,AA$51)</f>
        <v>11142.58</v>
      </c>
      <c r="AB76" cm="1">
        <f t="array" ref="AB76">+_xll.EQNXTDZ($A$1,$B76,AB$51)</f>
        <v>11081.65</v>
      </c>
      <c r="AC76" cm="1">
        <f t="array" ref="AC76">+_xll.EQNXTDZ($A$1,$B76,AC$51)</f>
        <v>11054.2</v>
      </c>
      <c r="AD76" cm="1">
        <f t="array" ref="AD76">+_xll.EQNXTDZ($A$1,$B76,AD$51)</f>
        <v>11356.3</v>
      </c>
      <c r="AE76" cm="1">
        <f t="array" ref="AE76">+_xll.EQNXTDZ($A$1,$B76,AE$51)</f>
        <v>11165.26</v>
      </c>
      <c r="AF76" cm="1">
        <f t="array" ref="AF76">+_xll.EQNXTDZ($A$1,$B76,AF$51)</f>
        <v>10905.56</v>
      </c>
      <c r="AG76" cm="1">
        <f t="array" ref="AG76">+_xll.EQNXTDZ($A$1,$B76,AG$51)</f>
        <v>10210.82</v>
      </c>
      <c r="AH76" cm="1">
        <f t="array" ref="AH76">+_xll.EQNXTDZ($A$1,$B76,AH$51)</f>
        <v>10230.67</v>
      </c>
      <c r="AI76" cm="1">
        <f t="array" ref="AI76">+_xll.EQNXTDZ($A$1,$B76,AI$51)</f>
        <v>10189.379999999999</v>
      </c>
      <c r="AJ76" cm="1">
        <f t="array" ref="AJ76">+_xll.EQNXTDZ($A$1,$B76,AJ$51)</f>
        <v>10154.030000000001</v>
      </c>
      <c r="AK76" cm="1">
        <f t="array" ref="AK76">+_xll.EQNXTDZ($A$1,$B76,AK$51)</f>
        <v>10207.219999999999</v>
      </c>
      <c r="AL76" cm="1">
        <f t="array" ref="AL76">+_xll.EQNXTDZ($A$1,$B76,AL$51)</f>
        <v>12228.17</v>
      </c>
      <c r="AM76" cm="1">
        <f t="array" ref="AM76">+_xll.EQNXTDZ($A$1,$B76,AM$51)</f>
        <v>12153.65</v>
      </c>
      <c r="AN76" cm="1">
        <f t="array" ref="AN76">+_xll.EQNXTDZ($A$1,$B76,AN$51)</f>
        <v>12248.77</v>
      </c>
      <c r="AO76" cm="1">
        <f t="array" ref="AO76">+_xll.EQNXTDZ($A$1,$B76,AO$51)</f>
        <v>9847.73</v>
      </c>
      <c r="AP76" cm="1">
        <f t="array" ref="AP76">+_xll.EQNXTDZ($A$1,$B76,AP$51)</f>
        <v>10215.15</v>
      </c>
      <c r="AQ76" cm="1">
        <f t="array" ref="AQ76">+_xll.EQNXTDZ($A$1,$B76,AQ$51)</f>
        <v>10127.09</v>
      </c>
      <c r="AR76" cm="1">
        <f t="array" ref="AR76">+_xll.EQNXTDZ($A$1,$B76,AR$51)</f>
        <v>10147.93</v>
      </c>
      <c r="AS76" cm="1">
        <f t="array" ref="AS76">+_xll.EQNXTDZ($A$1,$B76,AS$51)</f>
        <v>10341.84</v>
      </c>
      <c r="AT76" cm="1">
        <f t="array" ref="AT76">+_xll.EQNXTDZ($A$1,$B76,AT$51)</f>
        <v>10570.44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137</v>
      </c>
      <c r="B77" t="s">
        <v>324</v>
      </c>
      <c r="C77" cm="1">
        <f t="array" ref="C77">+_xll.EQNXTDZ($A$1,$B77,C$51)</f>
        <v>17775.009999999998</v>
      </c>
      <c r="D77" cm="1">
        <f t="array" ref="D77">+_xll.EQNXTDZ($A$1,$B77,D$51)</f>
        <v>21933.67</v>
      </c>
      <c r="E77" cm="1">
        <f t="array" ref="E77">+_xll.EQNXTDZ($A$1,$B77,E$51)</f>
        <v>23573.37</v>
      </c>
      <c r="F77" cm="1">
        <f t="array" ref="F77">+_xll.EQNXTDZ($A$1,$B77,F$51)</f>
        <v>22004.89</v>
      </c>
      <c r="G77" cm="1">
        <f t="array" ref="G77">+_xll.EQNXTDZ($A$1,$B77,G$51)</f>
        <v>25495.67</v>
      </c>
      <c r="H77" cm="1">
        <f t="array" ref="H77">+_xll.EQNXTDZ($A$1,$B77,H$51)</f>
        <v>23248.86</v>
      </c>
      <c r="I77" cm="1">
        <f t="array" ref="I77">+_xll.EQNXTDZ($A$1,$B77,I$51)</f>
        <v>24693.63</v>
      </c>
      <c r="J77" cm="1">
        <f t="array" ref="J77">+_xll.EQNXTDZ($A$1,$B77,J$51)</f>
        <v>25251.02</v>
      </c>
      <c r="K77" cm="1">
        <f t="array" ref="K77">+_xll.EQNXTDZ($A$1,$B77,K$51)</f>
        <v>29456.55</v>
      </c>
      <c r="L77" cm="1">
        <f t="array" ref="L77">+_xll.EQNXTDZ($A$1,$B77,L$51)</f>
        <v>21702.27</v>
      </c>
      <c r="M77" cm="1">
        <f t="array" ref="M77">+_xll.EQNXTDZ($A$1,$B77,M$51)</f>
        <v>26161.41</v>
      </c>
      <c r="N77" cm="1">
        <f t="array" ref="N77">+_xll.EQNXTDZ($A$1,$B77,N$51)</f>
        <v>32898.47</v>
      </c>
      <c r="O77" cm="1">
        <f t="array" ref="O77">+_xll.EQNXTDZ($A$1,$B77,O$51)</f>
        <v>29132.33</v>
      </c>
      <c r="P77" cm="1">
        <f t="array" ref="P77">+_xll.EQNXTDZ($A$1,$B77,P$51)</f>
        <v>29901.07</v>
      </c>
      <c r="Q77" cm="1">
        <f t="array" ref="Q77">+_xll.EQNXTDZ($A$1,$B77,Q$51)</f>
        <v>35862.75</v>
      </c>
      <c r="R77" cm="1">
        <f t="array" ref="R77">+_xll.EQNXTDZ($A$1,$B77,R$51)</f>
        <v>39491.199999999997</v>
      </c>
      <c r="S77" cm="1">
        <f t="array" ref="S77">+_xll.EQNXTDZ($A$1,$B77,S$51)</f>
        <v>34118.22</v>
      </c>
      <c r="T77" cm="1">
        <f t="array" ref="T77">+_xll.EQNXTDZ($A$1,$B77,T$51)</f>
        <v>37810.11</v>
      </c>
      <c r="U77" cm="1">
        <f t="array" ref="U77">+_xll.EQNXTDZ($A$1,$B77,U$51)</f>
        <v>38130.160000000003</v>
      </c>
      <c r="V77" cm="1">
        <f t="array" ref="V77">+_xll.EQNXTDZ($A$1,$B77,V$51)</f>
        <v>38906.85</v>
      </c>
      <c r="W77" cm="1">
        <f t="array" ref="W77">+_xll.EQNXTDZ($A$1,$B77,W$51)</f>
        <v>55217.63</v>
      </c>
      <c r="X77" cm="1">
        <f t="array" ref="X77">+_xll.EQNXTDZ($A$1,$B77,X$51)</f>
        <v>61881.74</v>
      </c>
      <c r="Y77" cm="1">
        <f t="array" ref="Y77">+_xll.EQNXTDZ($A$1,$B77,Y$51)</f>
        <v>60508.27</v>
      </c>
      <c r="Z77" cm="1">
        <f t="array" ref="Z77">+_xll.EQNXTDZ($A$1,$B77,Z$51)</f>
        <v>63321.09</v>
      </c>
      <c r="AA77" cm="1">
        <f t="array" ref="AA77">+_xll.EQNXTDZ($A$1,$B77,AA$51)</f>
        <v>51760.63</v>
      </c>
      <c r="AB77" cm="1">
        <f t="array" ref="AB77">+_xll.EQNXTDZ($A$1,$B77,AB$51)</f>
        <v>52357.55</v>
      </c>
      <c r="AC77" cm="1">
        <f t="array" ref="AC77">+_xll.EQNXTDZ($A$1,$B77,AC$51)</f>
        <v>48287.13</v>
      </c>
      <c r="AD77" cm="1">
        <f t="array" ref="AD77">+_xll.EQNXTDZ($A$1,$B77,AD$51)</f>
        <v>49079.56</v>
      </c>
      <c r="AE77" cm="1">
        <f t="array" ref="AE77">+_xll.EQNXTDZ($A$1,$B77,AE$51)</f>
        <v>44279.17</v>
      </c>
      <c r="AF77" cm="1">
        <f t="array" ref="AF77">+_xll.EQNXTDZ($A$1,$B77,AF$51)</f>
        <v>49116.19</v>
      </c>
      <c r="AG77" cm="1">
        <f t="array" ref="AG77">+_xll.EQNXTDZ($A$1,$B77,AG$51)</f>
        <v>49395.16</v>
      </c>
      <c r="AH77" cm="1">
        <f t="array" ref="AH77">+_xll.EQNXTDZ($A$1,$B77,AH$51)</f>
        <v>44367.38</v>
      </c>
      <c r="AI77" cm="1">
        <f t="array" ref="AI77">+_xll.EQNXTDZ($A$1,$B77,AI$51)</f>
        <v>47157.35</v>
      </c>
      <c r="AJ77" cm="1">
        <f t="array" ref="AJ77">+_xll.EQNXTDZ($A$1,$B77,AJ$51)</f>
        <v>45180.7</v>
      </c>
      <c r="AK77" cm="1">
        <f t="array" ref="AK77">+_xll.EQNXTDZ($A$1,$B77,AK$51)</f>
        <v>50737.35</v>
      </c>
      <c r="AL77" cm="1">
        <f t="array" ref="AL77">+_xll.EQNXTDZ($A$1,$B77,AL$51)</f>
        <v>39485.58</v>
      </c>
      <c r="AM77" cm="1">
        <f t="array" ref="AM77">+_xll.EQNXTDZ($A$1,$B77,AM$51)</f>
        <v>42434.09</v>
      </c>
      <c r="AN77" cm="1">
        <f t="array" ref="AN77">+_xll.EQNXTDZ($A$1,$B77,AN$51)</f>
        <v>43841.01</v>
      </c>
      <c r="AO77" cm="1">
        <f t="array" ref="AO77">+_xll.EQNXTDZ($A$1,$B77,AO$51)</f>
        <v>39271.57</v>
      </c>
      <c r="AP77" cm="1">
        <f t="array" ref="AP77">+_xll.EQNXTDZ($A$1,$B77,AP$51)</f>
        <v>37795.85</v>
      </c>
      <c r="AQ77" cm="1">
        <f t="array" ref="AQ77">+_xll.EQNXTDZ($A$1,$B77,AQ$51)</f>
        <v>41535.08</v>
      </c>
      <c r="AR77" cm="1">
        <f t="array" ref="AR77">+_xll.EQNXTDZ($A$1,$B77,AR$51)</f>
        <v>38816.160000000003</v>
      </c>
      <c r="AS77" cm="1">
        <f t="array" ref="AS77">+_xll.EQNXTDZ($A$1,$B77,AS$51)</f>
        <v>42038.6</v>
      </c>
      <c r="AT77" cm="1">
        <f t="array" ref="AT77">+_xll.EQNXTDZ($A$1,$B77,AT$51)</f>
        <v>42896.06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297</v>
      </c>
      <c r="B78" t="s">
        <v>325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298</v>
      </c>
      <c r="B79" t="s">
        <v>326</v>
      </c>
      <c r="C79" cm="1">
        <f t="array" ref="C79">+_xll.EQNXTDZ($A$1,$B79,C$51)</f>
        <v>17775.009999999998</v>
      </c>
      <c r="D79" cm="1">
        <f t="array" ref="D79">+_xll.EQNXTDZ($A$1,$B79,D$51)</f>
        <v>21933.67</v>
      </c>
      <c r="E79" cm="1">
        <f t="array" ref="E79">+_xll.EQNXTDZ($A$1,$B79,E$51)</f>
        <v>23573.37</v>
      </c>
      <c r="F79" cm="1">
        <f t="array" ref="F79">+_xll.EQNXTDZ($A$1,$B79,F$51)</f>
        <v>22004.89</v>
      </c>
      <c r="G79" cm="1">
        <f t="array" ref="G79">+_xll.EQNXTDZ($A$1,$B79,G$51)</f>
        <v>25495.67</v>
      </c>
      <c r="H79" cm="1">
        <f t="array" ref="H79">+_xll.EQNXTDZ($A$1,$B79,H$51)</f>
        <v>23248.86</v>
      </c>
      <c r="I79" cm="1">
        <f t="array" ref="I79">+_xll.EQNXTDZ($A$1,$B79,I$51)</f>
        <v>24693.63</v>
      </c>
      <c r="J79" cm="1">
        <f t="array" ref="J79">+_xll.EQNXTDZ($A$1,$B79,J$51)</f>
        <v>25251.02</v>
      </c>
      <c r="K79" cm="1">
        <f t="array" ref="K79">+_xll.EQNXTDZ($A$1,$B79,K$51)</f>
        <v>29456.55</v>
      </c>
      <c r="L79" cm="1">
        <f t="array" ref="L79">+_xll.EQNXTDZ($A$1,$B79,L$51)</f>
        <v>21702.27</v>
      </c>
      <c r="M79" cm="1">
        <f t="array" ref="M79">+_xll.EQNXTDZ($A$1,$B79,M$51)</f>
        <v>26161.41</v>
      </c>
      <c r="N79" cm="1">
        <f t="array" ref="N79">+_xll.EQNXTDZ($A$1,$B79,N$51)</f>
        <v>32898.47</v>
      </c>
      <c r="O79" cm="1">
        <f t="array" ref="O79">+_xll.EQNXTDZ($A$1,$B79,O$51)</f>
        <v>29132.33</v>
      </c>
      <c r="P79" cm="1">
        <f t="array" ref="P79">+_xll.EQNXTDZ($A$1,$B79,P$51)</f>
        <v>29901.07</v>
      </c>
      <c r="Q79" cm="1">
        <f t="array" ref="Q79">+_xll.EQNXTDZ($A$1,$B79,Q$51)</f>
        <v>35862.75</v>
      </c>
      <c r="R79" cm="1">
        <f t="array" ref="R79">+_xll.EQNXTDZ($A$1,$B79,R$51)</f>
        <v>39491.199999999997</v>
      </c>
      <c r="S79" cm="1">
        <f t="array" ref="S79">+_xll.EQNXTDZ($A$1,$B79,S$51)</f>
        <v>34118.22</v>
      </c>
      <c r="T79" cm="1">
        <f t="array" ref="T79">+_xll.EQNXTDZ($A$1,$B79,T$51)</f>
        <v>37810.11</v>
      </c>
      <c r="U79" cm="1">
        <f t="array" ref="U79">+_xll.EQNXTDZ($A$1,$B79,U$51)</f>
        <v>38130.160000000003</v>
      </c>
      <c r="V79" cm="1">
        <f t="array" ref="V79">+_xll.EQNXTDZ($A$1,$B79,V$51)</f>
        <v>38906.85</v>
      </c>
      <c r="W79" cm="1">
        <f t="array" ref="W79">+_xll.EQNXTDZ($A$1,$B79,W$51)</f>
        <v>55217.63</v>
      </c>
      <c r="X79" cm="1">
        <f t="array" ref="X79">+_xll.EQNXTDZ($A$1,$B79,X$51)</f>
        <v>61881.74</v>
      </c>
      <c r="Y79" cm="1">
        <f t="array" ref="Y79">+_xll.EQNXTDZ($A$1,$B79,Y$51)</f>
        <v>60508.27</v>
      </c>
      <c r="Z79" cm="1">
        <f t="array" ref="Z79">+_xll.EQNXTDZ($A$1,$B79,Z$51)</f>
        <v>63321.09</v>
      </c>
      <c r="AA79" cm="1">
        <f t="array" ref="AA79">+_xll.EQNXTDZ($A$1,$B79,AA$51)</f>
        <v>51760.63</v>
      </c>
      <c r="AB79" cm="1">
        <f t="array" ref="AB79">+_xll.EQNXTDZ($A$1,$B79,AB$51)</f>
        <v>52357.55</v>
      </c>
      <c r="AC79" cm="1">
        <f t="array" ref="AC79">+_xll.EQNXTDZ($A$1,$B79,AC$51)</f>
        <v>48287.13</v>
      </c>
      <c r="AD79" cm="1">
        <f t="array" ref="AD79">+_xll.EQNXTDZ($A$1,$B79,AD$51)</f>
        <v>49079.56</v>
      </c>
      <c r="AE79" cm="1">
        <f t="array" ref="AE79">+_xll.EQNXTDZ($A$1,$B79,AE$51)</f>
        <v>44279.17</v>
      </c>
      <c r="AF79" cm="1">
        <f t="array" ref="AF79">+_xll.EQNXTDZ($A$1,$B79,AF$51)</f>
        <v>49116.19</v>
      </c>
      <c r="AG79" cm="1">
        <f t="array" ref="AG79">+_xll.EQNXTDZ($A$1,$B79,AG$51)</f>
        <v>49395.16</v>
      </c>
      <c r="AH79" cm="1">
        <f t="array" ref="AH79">+_xll.EQNXTDZ($A$1,$B79,AH$51)</f>
        <v>44367.38</v>
      </c>
      <c r="AI79" cm="1">
        <f t="array" ref="AI79">+_xll.EQNXTDZ($A$1,$B79,AI$51)</f>
        <v>47157.35</v>
      </c>
      <c r="AJ79" cm="1">
        <f t="array" ref="AJ79">+_xll.EQNXTDZ($A$1,$B79,AJ$51)</f>
        <v>45180.7</v>
      </c>
      <c r="AK79" cm="1">
        <f t="array" ref="AK79">+_xll.EQNXTDZ($A$1,$B79,AK$51)</f>
        <v>50737.35</v>
      </c>
      <c r="AL79" cm="1">
        <f t="array" ref="AL79">+_xll.EQNXTDZ($A$1,$B79,AL$51)</f>
        <v>39485.58</v>
      </c>
      <c r="AM79" cm="1">
        <f t="array" ref="AM79">+_xll.EQNXTDZ($A$1,$B79,AM$51)</f>
        <v>42434.09</v>
      </c>
      <c r="AN79" cm="1">
        <f t="array" ref="AN79">+_xll.EQNXTDZ($A$1,$B79,AN$51)</f>
        <v>43841.01</v>
      </c>
      <c r="AO79" cm="1">
        <f t="array" ref="AO79">+_xll.EQNXTDZ($A$1,$B79,AO$51)</f>
        <v>39271.57</v>
      </c>
      <c r="AP79" cm="1">
        <f t="array" ref="AP79">+_xll.EQNXTDZ($A$1,$B79,AP$51)</f>
        <v>37795.85</v>
      </c>
      <c r="AQ79" cm="1">
        <f t="array" ref="AQ79">+_xll.EQNXTDZ($A$1,$B79,AQ$51)</f>
        <v>41535.08</v>
      </c>
      <c r="AR79" cm="1">
        <f t="array" ref="AR79">+_xll.EQNXTDZ($A$1,$B79,AR$51)</f>
        <v>38816.160000000003</v>
      </c>
      <c r="AS79" cm="1">
        <f t="array" ref="AS79">+_xll.EQNXTDZ($A$1,$B79,AS$51)</f>
        <v>42038.6</v>
      </c>
      <c r="AT79" cm="1">
        <f t="array" ref="AT79">+_xll.EQNXTDZ($A$1,$B79,AT$51)</f>
        <v>42896.06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138</v>
      </c>
      <c r="B80" t="s">
        <v>327</v>
      </c>
      <c r="C80" cm="1">
        <f t="array" ref="C80">+_xll.EQNXTDZ($A$1,$B80,C$51)</f>
        <v>544668.65</v>
      </c>
      <c r="D80" cm="1">
        <f t="array" ref="D80">+_xll.EQNXTDZ($A$1,$B80,D$51)</f>
        <v>558848.44999999995</v>
      </c>
      <c r="E80" cm="1">
        <f t="array" ref="E80">+_xll.EQNXTDZ($A$1,$B80,E$51)</f>
        <v>566685.97</v>
      </c>
      <c r="F80" cm="1">
        <f t="array" ref="F80">+_xll.EQNXTDZ($A$1,$B80,F$51)</f>
        <v>552960.78</v>
      </c>
      <c r="G80" cm="1">
        <f t="array" ref="G80">+_xll.EQNXTDZ($A$1,$B80,G$51)</f>
        <v>539767.21</v>
      </c>
      <c r="H80" cm="1">
        <f t="array" ref="H80">+_xll.EQNXTDZ($A$1,$B80,H$51)</f>
        <v>562132.68999999994</v>
      </c>
      <c r="I80" cm="1">
        <f t="array" ref="I80">+_xll.EQNXTDZ($A$1,$B80,I$51)</f>
        <v>591015.94999999995</v>
      </c>
      <c r="J80" cm="1">
        <f t="array" ref="J80">+_xll.EQNXTDZ($A$1,$B80,J$51)</f>
        <v>583519.43999999994</v>
      </c>
      <c r="K80" cm="1">
        <f t="array" ref="K80">+_xll.EQNXTDZ($A$1,$B80,K$51)</f>
        <v>579875.31999999995</v>
      </c>
      <c r="L80" cm="1">
        <f t="array" ref="L80">+_xll.EQNXTDZ($A$1,$B80,L$51)</f>
        <v>575160.82999999996</v>
      </c>
      <c r="M80" cm="1">
        <f t="array" ref="M80">+_xll.EQNXTDZ($A$1,$B80,M$51)</f>
        <v>599773.1</v>
      </c>
      <c r="N80" cm="1">
        <f t="array" ref="N80">+_xll.EQNXTDZ($A$1,$B80,N$51)</f>
        <v>616886.1</v>
      </c>
      <c r="O80" cm="1">
        <f t="array" ref="O80">+_xll.EQNXTDZ($A$1,$B80,O$51)</f>
        <v>620297.97</v>
      </c>
      <c r="P80" cm="1">
        <f t="array" ref="P80">+_xll.EQNXTDZ($A$1,$B80,P$51)</f>
        <v>650822.11</v>
      </c>
      <c r="Q80" cm="1">
        <f t="array" ref="Q80">+_xll.EQNXTDZ($A$1,$B80,Q$51)</f>
        <v>672130.4</v>
      </c>
      <c r="R80" cm="1">
        <f t="array" ref="R80">+_xll.EQNXTDZ($A$1,$B80,R$51)</f>
        <v>694766.69</v>
      </c>
      <c r="S80" cm="1">
        <f t="array" ref="S80">+_xll.EQNXTDZ($A$1,$B80,S$51)</f>
        <v>700322.55</v>
      </c>
      <c r="T80" cm="1">
        <f t="array" ref="T80">+_xll.EQNXTDZ($A$1,$B80,T$51)</f>
        <v>707423.6</v>
      </c>
      <c r="U80" cm="1">
        <f t="array" ref="U80">+_xll.EQNXTDZ($A$1,$B80,U$51)</f>
        <v>718092.81</v>
      </c>
      <c r="V80" cm="1">
        <f t="array" ref="V80">+_xll.EQNXTDZ($A$1,$B80,V$51)</f>
        <v>723874.75</v>
      </c>
      <c r="W80" cm="1">
        <f t="array" ref="W80">+_xll.EQNXTDZ($A$1,$B80,W$51)</f>
        <v>1046172.49</v>
      </c>
      <c r="X80" cm="1">
        <f t="array" ref="X80">+_xll.EQNXTDZ($A$1,$B80,X$51)</f>
        <v>1089002.2</v>
      </c>
      <c r="Y80" cm="1">
        <f t="array" ref="Y80">+_xll.EQNXTDZ($A$1,$B80,Y$51)</f>
        <v>1117691.97</v>
      </c>
      <c r="Z80" cm="1">
        <f t="array" ref="Z80">+_xll.EQNXTDZ($A$1,$B80,Z$51)</f>
        <v>1153675.03</v>
      </c>
      <c r="AA80" cm="1">
        <f t="array" ref="AA80">+_xll.EQNXTDZ($A$1,$B80,AA$51)</f>
        <v>1158224.1000000001</v>
      </c>
      <c r="AB80" cm="1">
        <f t="array" ref="AB80">+_xll.EQNXTDZ($A$1,$B80,AB$51)</f>
        <v>1199132.6499999999</v>
      </c>
      <c r="AC80" cm="1">
        <f t="array" ref="AC80">+_xll.EQNXTDZ($A$1,$B80,AC$51)</f>
        <v>1194726.71</v>
      </c>
      <c r="AD80" cm="1">
        <f t="array" ref="AD80">+_xll.EQNXTDZ($A$1,$B80,AD$51)</f>
        <v>1228104.8799999999</v>
      </c>
      <c r="AE80" cm="1">
        <f t="array" ref="AE80">+_xll.EQNXTDZ($A$1,$B80,AE$51)</f>
        <v>1268905.71</v>
      </c>
      <c r="AF80" cm="1">
        <f t="array" ref="AF80">+_xll.EQNXTDZ($A$1,$B80,AF$51)</f>
        <v>1297657.46</v>
      </c>
      <c r="AG80" cm="1">
        <f t="array" ref="AG80">+_xll.EQNXTDZ($A$1,$B80,AG$51)</f>
        <v>1319584.0900000001</v>
      </c>
      <c r="AH80" cm="1">
        <f t="array" ref="AH80">+_xll.EQNXTDZ($A$1,$B80,AH$51)</f>
        <v>1345732.25</v>
      </c>
      <c r="AI80" cm="1">
        <f t="array" ref="AI80">+_xll.EQNXTDZ($A$1,$B80,AI$51)</f>
        <v>1385472.62</v>
      </c>
      <c r="AJ80" cm="1">
        <f t="array" ref="AJ80">+_xll.EQNXTDZ($A$1,$B80,AJ$51)</f>
        <v>1426062.14</v>
      </c>
      <c r="AK80" cm="1">
        <f t="array" ref="AK80">+_xll.EQNXTDZ($A$1,$B80,AK$51)</f>
        <v>1469085.5</v>
      </c>
      <c r="AL80" cm="1">
        <f t="array" ref="AL80">+_xll.EQNXTDZ($A$1,$B80,AL$51)</f>
        <v>1491540.72</v>
      </c>
      <c r="AM80" cm="1">
        <f t="array" ref="AM80">+_xll.EQNXTDZ($A$1,$B80,AM$51)</f>
        <v>1532193.46</v>
      </c>
      <c r="AN80" cm="1">
        <f t="array" ref="AN80">+_xll.EQNXTDZ($A$1,$B80,AN$51)</f>
        <v>1575707.92</v>
      </c>
      <c r="AO80" cm="1">
        <f t="array" ref="AO80">+_xll.EQNXTDZ($A$1,$B80,AO$51)</f>
        <v>1592648.34</v>
      </c>
      <c r="AP80" cm="1">
        <f t="array" ref="AP80">+_xll.EQNXTDZ($A$1,$B80,AP$51)</f>
        <v>1684685.58</v>
      </c>
      <c r="AQ80" cm="1">
        <f t="array" ref="AQ80">+_xll.EQNXTDZ($A$1,$B80,AQ$51)</f>
        <v>1727633.4</v>
      </c>
      <c r="AR80" cm="1">
        <f t="array" ref="AR80">+_xll.EQNXTDZ($A$1,$B80,AR$51)</f>
        <v>1764884.89</v>
      </c>
      <c r="AS80" cm="1">
        <f t="array" ref="AS80">+_xll.EQNXTDZ($A$1,$B80,AS$51)</f>
        <v>1822356.77</v>
      </c>
      <c r="AT80" cm="1">
        <f t="array" ref="AT80">+_xll.EQNXTDZ($A$1,$B80,AT$51)</f>
        <v>1883201.89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299</v>
      </c>
      <c r="B81" t="s">
        <v>328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0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0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140</v>
      </c>
      <c r="B82" t="s">
        <v>329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0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0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141</v>
      </c>
      <c r="B83" t="s">
        <v>330</v>
      </c>
      <c r="C83" cm="1">
        <f t="array" ref="C83">+_xll.EQNXTDZ($A$1,$B83,C$51)</f>
        <v>0</v>
      </c>
      <c r="D83" cm="1">
        <f t="array" ref="D83">+_xll.EQNXTDZ($A$1,$B83,D$51)</f>
        <v>0</v>
      </c>
      <c r="E83" cm="1">
        <f t="array" ref="E83">+_xll.EQNXTDZ($A$1,$B83,E$51)</f>
        <v>0</v>
      </c>
      <c r="F83" cm="1">
        <f t="array" ref="F83">+_xll.EQNXTDZ($A$1,$B83,F$51)</f>
        <v>0</v>
      </c>
      <c r="G83" cm="1">
        <f t="array" ref="G83">+_xll.EQNXTDZ($A$1,$B83,G$51)</f>
        <v>0</v>
      </c>
      <c r="H83" cm="1">
        <f t="array" ref="H83">+_xll.EQNXTDZ($A$1,$B83,H$51)</f>
        <v>0</v>
      </c>
      <c r="I83" cm="1">
        <f t="array" ref="I83">+_xll.EQNXTDZ($A$1,$B83,I$51)</f>
        <v>0</v>
      </c>
      <c r="J83" cm="1">
        <f t="array" ref="J83">+_xll.EQNXTDZ($A$1,$B83,J$51)</f>
        <v>0</v>
      </c>
      <c r="K83" cm="1">
        <f t="array" ref="K83">+_xll.EQNXTDZ($A$1,$B83,K$51)</f>
        <v>0</v>
      </c>
      <c r="L83" cm="1">
        <f t="array" ref="L83">+_xll.EQNXTDZ($A$1,$B83,L$51)</f>
        <v>0</v>
      </c>
      <c r="M83" cm="1">
        <f t="array" ref="M83">+_xll.EQNXTDZ($A$1,$B83,M$51)</f>
        <v>0</v>
      </c>
      <c r="N83" cm="1">
        <f t="array" ref="N83">+_xll.EQNXTDZ($A$1,$B83,N$51)</f>
        <v>314.83999999999997</v>
      </c>
      <c r="O83" cm="1">
        <f t="array" ref="O83">+_xll.EQNXTDZ($A$1,$B83,O$51)</f>
        <v>318.25</v>
      </c>
      <c r="P83" cm="1">
        <f t="array" ref="P83">+_xll.EQNXTDZ($A$1,$B83,P$51)</f>
        <v>318.08</v>
      </c>
      <c r="Q83" cm="1">
        <f t="array" ref="Q83">+_xll.EQNXTDZ($A$1,$B83,Q$51)</f>
        <v>0</v>
      </c>
      <c r="R83" cm="1">
        <f t="array" ref="R83">+_xll.EQNXTDZ($A$1,$B83,R$51)</f>
        <v>347.56</v>
      </c>
      <c r="S83" cm="1">
        <f t="array" ref="S83">+_xll.EQNXTDZ($A$1,$B83,S$51)</f>
        <v>356.08</v>
      </c>
      <c r="T83" cm="1">
        <f t="array" ref="T83">+_xll.EQNXTDZ($A$1,$B83,T$51)</f>
        <v>330.28</v>
      </c>
      <c r="U83" cm="1">
        <f t="array" ref="U83">+_xll.EQNXTDZ($A$1,$B83,U$51)</f>
        <v>0</v>
      </c>
      <c r="V83" cm="1">
        <f t="array" ref="V83">+_xll.EQNXTDZ($A$1,$B83,V$51)</f>
        <v>281.19</v>
      </c>
      <c r="W83" cm="1">
        <f t="array" ref="W83">+_xll.EQNXTDZ($A$1,$B83,W$51)</f>
        <v>245.76</v>
      </c>
      <c r="X83" cm="1">
        <f t="array" ref="X83">+_xll.EQNXTDZ($A$1,$B83,X$51)</f>
        <v>252.44</v>
      </c>
      <c r="Y83" cm="1">
        <f t="array" ref="Y83">+_xll.EQNXTDZ($A$1,$B83,Y$51)</f>
        <v>238.59</v>
      </c>
      <c r="Z83" cm="1">
        <f t="array" ref="Z83">+_xll.EQNXTDZ($A$1,$B83,Z$51)</f>
        <v>241.78</v>
      </c>
      <c r="AA83" cm="1">
        <f t="array" ref="AA83">+_xll.EQNXTDZ($A$1,$B83,AA$51)</f>
        <v>254.23</v>
      </c>
      <c r="AB83" cm="1">
        <f t="array" ref="AB83">+_xll.EQNXTDZ($A$1,$B83,AB$51)</f>
        <v>255.98</v>
      </c>
      <c r="AC83" cm="1">
        <f t="array" ref="AC83">+_xll.EQNXTDZ($A$1,$B83,AC$51)</f>
        <v>265.14999999999998</v>
      </c>
      <c r="AD83" cm="1">
        <f t="array" ref="AD83">+_xll.EQNXTDZ($A$1,$B83,AD$51)</f>
        <v>268.41000000000003</v>
      </c>
      <c r="AE83" cm="1">
        <f t="array" ref="AE83">+_xll.EQNXTDZ($A$1,$B83,AE$51)</f>
        <v>279.37</v>
      </c>
      <c r="AF83" cm="1">
        <f t="array" ref="AF83">+_xll.EQNXTDZ($A$1,$B83,AF$51)</f>
        <v>307.39</v>
      </c>
      <c r="AG83" cm="1">
        <f t="array" ref="AG83">+_xll.EQNXTDZ($A$1,$B83,AG$51)</f>
        <v>323.55</v>
      </c>
      <c r="AH83" cm="1">
        <f t="array" ref="AH83">+_xll.EQNXTDZ($A$1,$B83,AH$51)</f>
        <v>331.81</v>
      </c>
      <c r="AI83" cm="1">
        <f t="array" ref="AI83">+_xll.EQNXTDZ($A$1,$B83,AI$51)</f>
        <v>351.61</v>
      </c>
      <c r="AJ83" cm="1">
        <f t="array" ref="AJ83">+_xll.EQNXTDZ($A$1,$B83,AJ$51)</f>
        <v>371.97</v>
      </c>
      <c r="AK83" cm="1">
        <f t="array" ref="AK83">+_xll.EQNXTDZ($A$1,$B83,AK$51)</f>
        <v>390.78</v>
      </c>
      <c r="AL83" cm="1">
        <f t="array" ref="AL83">+_xll.EQNXTDZ($A$1,$B83,AL$51)</f>
        <v>395.94</v>
      </c>
      <c r="AM83" cm="1">
        <f t="array" ref="AM83">+_xll.EQNXTDZ($A$1,$B83,AM$51)</f>
        <v>86.29</v>
      </c>
      <c r="AN83" cm="1">
        <f t="array" ref="AN83">+_xll.EQNXTDZ($A$1,$B83,AN$51)</f>
        <v>91.29</v>
      </c>
      <c r="AO83" cm="1">
        <f t="array" ref="AO83">+_xll.EQNXTDZ($A$1,$B83,AO$51)</f>
        <v>95.26</v>
      </c>
      <c r="AP83" cm="1">
        <f t="array" ref="AP83">+_xll.EQNXTDZ($A$1,$B83,AP$51)</f>
        <v>97.28</v>
      </c>
      <c r="AQ83" cm="1">
        <f t="array" ref="AQ83">+_xll.EQNXTDZ($A$1,$B83,AQ$51)</f>
        <v>102.33</v>
      </c>
      <c r="AR83" cm="1">
        <f t="array" ref="AR83">+_xll.EQNXTDZ($A$1,$B83,AR$51)</f>
        <v>106.55</v>
      </c>
      <c r="AS83" cm="1">
        <f t="array" ref="AS83">+_xll.EQNXTDZ($A$1,$B83,AS$51)</f>
        <v>111.87</v>
      </c>
      <c r="AT83" cm="1">
        <f t="array" ref="AT83">+_xll.EQNXTDZ($A$1,$B83,AT$51)</f>
        <v>114.05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2">
        <v>132483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str" cm="1">
        <f t="array" ref="C3">_xll.EQNXTDZ($A$1,$B3,C$2)</f>
        <v>Canara Bank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cm="1">
        <f t="array" ref="C5">_xll.EQNXTDZ($A$1,$B5,C$1)</f>
        <v>12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58</v>
      </c>
      <c r="B6" t="s">
        <v>80</v>
      </c>
      <c r="C6" cm="1">
        <f t="array" ref="C6">_xll.EQNXTDZ($A$1,$B6,C$1)</f>
        <v>36981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10" customFormat="1" x14ac:dyDescent="0.25">
      <c r="A7" s="110" t="s">
        <v>60</v>
      </c>
      <c r="B7" s="110" t="s">
        <v>82</v>
      </c>
      <c r="C7" cm="1">
        <f t="array" ref="C7">_xll.EQNXTDZ($A$1,$B7,C$1)</f>
        <v>5618.2668999999996</v>
      </c>
      <c r="D7" cm="1">
        <f t="array" ref="D7">_xll.EQNXTDZ($A$1,$B7,D$1)</f>
        <v>6370.5610999999999</v>
      </c>
      <c r="E7" cm="1">
        <f t="array" ref="E7">_xll.EQNXTDZ($A$1,$B7,E$1)</f>
        <v>6657.7228999999998</v>
      </c>
      <c r="F7" cm="1">
        <f t="array" ref="F7">_xll.EQNXTDZ($A$1,$B7,F$1)</f>
        <v>7006.9206999999997</v>
      </c>
      <c r="G7" cm="1">
        <f t="array" ref="G7">_xll.EQNXTDZ($A$1,$B7,G$1)</f>
        <v>7571.9687999999996</v>
      </c>
      <c r="H7" cm="1">
        <f t="array" ref="H7">_xll.EQNXTDZ($A$1,$B7,H$1)</f>
        <v>8711.5123000000003</v>
      </c>
      <c r="I7" cm="1">
        <f t="array" ref="I7">_xll.EQNXTDZ($A$1,$B7,I$1)</f>
        <v>11364.556200000001</v>
      </c>
      <c r="J7" cm="1">
        <f t="array" ref="J7">_xll.EQNXTDZ($A$1,$B7,J$1)</f>
        <v>14200.736999999999</v>
      </c>
      <c r="K7" cm="1">
        <f t="array" ref="K7">_xll.EQNXTDZ($A$1,$B7,K$1)</f>
        <v>17119.053500000002</v>
      </c>
      <c r="L7" cm="1">
        <f t="array" ref="L7">_xll.EQNXTDZ($A$1,$B7,L$1)</f>
        <v>18751.962299999999</v>
      </c>
      <c r="M7" cm="1">
        <f t="array" ref="M7">_xll.EQNXTDZ($A$1,$B7,M$1)</f>
        <v>22940.068899999998</v>
      </c>
      <c r="N7" cm="1">
        <f t="array" ref="N7">_xll.EQNXTDZ($A$1,$B7,N$1)</f>
        <v>30850.621500000001</v>
      </c>
      <c r="O7" cm="1">
        <f t="array" ref="O7">_xll.EQNXTDZ($A$1,$B7,O$1)</f>
        <v>34077.934999999998</v>
      </c>
      <c r="P7" cm="1">
        <f t="array" ref="P7">_xll.EQNXTDZ($A$1,$B7,P$1)</f>
        <v>39547.611799999999</v>
      </c>
      <c r="Q7" cm="1">
        <f t="array" ref="Q7">_xll.EQNXTDZ($A$1,$B7,Q$1)</f>
        <v>43750.042600000001</v>
      </c>
      <c r="R7" cm="1">
        <f t="array" ref="R7">_xll.EQNXTDZ($A$1,$B7,R$1)</f>
        <v>44022.135399999999</v>
      </c>
      <c r="S7" cm="1">
        <f t="array" ref="S7">_xll.EQNXTDZ($A$1,$B7,S$1)</f>
        <v>41387.644899999999</v>
      </c>
      <c r="T7" cm="1">
        <f t="array" ref="T7">_xll.EQNXTDZ($A$1,$B7,T$1)</f>
        <v>41252.087599999999</v>
      </c>
      <c r="U7" cm="1">
        <f t="array" ref="U7">_xll.EQNXTDZ($A$1,$B7,U$1)</f>
        <v>46810.341800000002</v>
      </c>
      <c r="V7" cm="1">
        <f t="array" ref="V7">_xll.EQNXTDZ($A$1,$B7,V$1)</f>
        <v>48934.9902</v>
      </c>
      <c r="W7" cm="1">
        <f t="array" ref="W7">_xll.EQNXTDZ($A$1,$B7,W$1)</f>
        <v>69280.462199999994</v>
      </c>
      <c r="X7" cm="1">
        <f t="array" ref="X7">_xll.EQNXTDZ($A$1,$B7,X$1)</f>
        <v>69410.239300000001</v>
      </c>
      <c r="Y7" cm="1">
        <f t="array" ref="Y7">_xll.EQNXTDZ($A$1,$B7,Y$1)</f>
        <v>84424.782200000001</v>
      </c>
      <c r="Z7" cm="1">
        <f t="array" ref="Z7">_xll.EQNXTDZ($A$1,$B7,Z$1)</f>
        <v>108687.92570000001</v>
      </c>
      <c r="AA7" cm="1">
        <f t="array" ref="AA7">_xll.EQNXTDZ($A$1,$B7,AA$1)</f>
        <v>119755.069</v>
      </c>
      <c r="AB7" cm="1">
        <f t="array" ref="AB7">_xll.EQNXTDZ($A$1,$B7,AB$1)</f>
        <v>126366.1681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10" customFormat="1" x14ac:dyDescent="0.25">
      <c r="A8" s="110" t="s">
        <v>3</v>
      </c>
      <c r="B8" s="110" t="s">
        <v>83</v>
      </c>
      <c r="C8" cm="1">
        <f t="array" ref="C8">_xll.EQNXTDZ($A$1,$B8,C$1)</f>
        <v>917.78700000000003</v>
      </c>
      <c r="D8" cm="1">
        <f t="array" ref="D8">_xll.EQNXTDZ($A$1,$B8,D$1)</f>
        <v>1428.5343</v>
      </c>
      <c r="E8" cm="1">
        <f t="array" ref="E8">_xll.EQNXTDZ($A$1,$B8,E$1)</f>
        <v>1512.1313</v>
      </c>
      <c r="F8" cm="1">
        <f t="array" ref="F8">_xll.EQNXTDZ($A$1,$B8,F$1)</f>
        <v>2072.9132</v>
      </c>
      <c r="G8" cm="1">
        <f t="array" ref="G8">_xll.EQNXTDZ($A$1,$B8,G$1)</f>
        <v>1543.8272999999999</v>
      </c>
      <c r="H8" cm="1">
        <f t="array" ref="H8">_xll.EQNXTDZ($A$1,$B8,H$1)</f>
        <v>1377.5148999999999</v>
      </c>
      <c r="I8" cm="1">
        <f t="array" ref="I8">_xll.EQNXTDZ($A$1,$B8,I$1)</f>
        <v>1450.9496999999999</v>
      </c>
      <c r="J8" cm="1">
        <f t="array" ref="J8">_xll.EQNXTDZ($A$1,$B8,J$1)</f>
        <v>2212.8724000000002</v>
      </c>
      <c r="K8" cm="1">
        <f t="array" ref="K8">_xll.EQNXTDZ($A$1,$B8,K$1)</f>
        <v>2311.2130999999999</v>
      </c>
      <c r="L8" cm="1">
        <f t="array" ref="L8">_xll.EQNXTDZ($A$1,$B8,L$1)</f>
        <v>2857.9023999999999</v>
      </c>
      <c r="M8" cm="1">
        <f t="array" ref="M8">_xll.EQNXTDZ($A$1,$B8,M$1)</f>
        <v>2811.4621000000002</v>
      </c>
      <c r="N8" cm="1">
        <f t="array" ref="N8">_xll.EQNXTDZ($A$1,$B8,N$1)</f>
        <v>2927.5965000000001</v>
      </c>
      <c r="O8" cm="1">
        <f t="array" ref="O8">_xll.EQNXTDZ($A$1,$B8,O$1)</f>
        <v>3153.0077999999999</v>
      </c>
      <c r="P8" cm="1">
        <f t="array" ref="P8">_xll.EQNXTDZ($A$1,$B8,P$1)</f>
        <v>3932.7561999999998</v>
      </c>
      <c r="Q8" cm="1">
        <f t="array" ref="Q8">_xll.EQNXTDZ($A$1,$B8,Q$1)</f>
        <v>4550.2502999999997</v>
      </c>
      <c r="R8" cm="1">
        <f t="array" ref="R8">_xll.EQNXTDZ($A$1,$B8,R$1)</f>
        <v>4875.2291999999998</v>
      </c>
      <c r="S8" cm="1">
        <f t="array" ref="S8">_xll.EQNXTDZ($A$1,$B8,S$1)</f>
        <v>7554.3985000000002</v>
      </c>
      <c r="T8" cm="1">
        <f t="array" ref="T8">_xll.EQNXTDZ($A$1,$B8,T$1)</f>
        <v>6942.8523999999998</v>
      </c>
      <c r="U8" cm="1">
        <f t="array" ref="U8">_xll.EQNXTDZ($A$1,$B8,U$1)</f>
        <v>6574.9565000000002</v>
      </c>
      <c r="V8" cm="1">
        <f t="array" ref="V8">_xll.EQNXTDZ($A$1,$B8,V$1)</f>
        <v>7813.1545999999998</v>
      </c>
      <c r="W8" cm="1">
        <f t="array" ref="W8">_xll.EQNXTDZ($A$1,$B8,W$1)</f>
        <v>14924.3107</v>
      </c>
      <c r="X8" cm="1">
        <f t="array" ref="X8">_xll.EQNXTDZ($A$1,$B8,X$1)</f>
        <v>16496.904200000001</v>
      </c>
      <c r="Y8" cm="1">
        <f t="array" ref="Y8">_xll.EQNXTDZ($A$1,$B8,Y$1)</f>
        <v>18762.202600000001</v>
      </c>
      <c r="Z8" cm="1">
        <f t="array" ref="Z8">_xll.EQNXTDZ($A$1,$B8,Z$1)</f>
        <v>18966.4365</v>
      </c>
      <c r="AA8" cm="1">
        <f t="array" ref="AA8">_xll.EQNXTDZ($A$1,$B8,AA$1)</f>
        <v>22452.8027</v>
      </c>
      <c r="AB8" cm="1">
        <f t="array" ref="AB8">_xll.EQNXTDZ($A$1,$B8,AB$1)</f>
        <v>26838.037199999999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10" customFormat="1" x14ac:dyDescent="0.25">
      <c r="A9" s="110" t="s">
        <v>61</v>
      </c>
      <c r="B9" s="110" t="s">
        <v>84</v>
      </c>
      <c r="C9" cm="1">
        <f t="array" ref="C9">_xll.EQNXTDZ($A$1,$B9,C$1)</f>
        <v>6536.0538999999999</v>
      </c>
      <c r="D9" cm="1">
        <f t="array" ref="D9">_xll.EQNXTDZ($A$1,$B9,D$1)</f>
        <v>7799.0954000000002</v>
      </c>
      <c r="E9" cm="1">
        <f t="array" ref="E9">_xll.EQNXTDZ($A$1,$B9,E$1)</f>
        <v>8169.8541999999998</v>
      </c>
      <c r="F9" cm="1">
        <f t="array" ref="F9">_xll.EQNXTDZ($A$1,$B9,F$1)</f>
        <v>9079.8338999999996</v>
      </c>
      <c r="G9" cm="1">
        <f t="array" ref="G9">_xll.EQNXTDZ($A$1,$B9,G$1)</f>
        <v>9115.7960999999996</v>
      </c>
      <c r="H9" cm="1">
        <f t="array" ref="H9">_xll.EQNXTDZ($A$1,$B9,H$1)</f>
        <v>10089.0272</v>
      </c>
      <c r="I9" cm="1">
        <f t="array" ref="I9">_xll.EQNXTDZ($A$1,$B9,I$1)</f>
        <v>12815.5059</v>
      </c>
      <c r="J9" cm="1">
        <f t="array" ref="J9">_xll.EQNXTDZ($A$1,$B9,J$1)</f>
        <v>16413.609400000001</v>
      </c>
      <c r="K9" cm="1">
        <f t="array" ref="K9">_xll.EQNXTDZ($A$1,$B9,K$1)</f>
        <v>19430.266599999999</v>
      </c>
      <c r="L9" cm="1">
        <f t="array" ref="L9">_xll.EQNXTDZ($A$1,$B9,L$1)</f>
        <v>21609.864699999998</v>
      </c>
      <c r="M9" cm="1">
        <f t="array" ref="M9">_xll.EQNXTDZ($A$1,$B9,M$1)</f>
        <v>25751.530999999999</v>
      </c>
      <c r="N9" cm="1">
        <f t="array" ref="N9">_xll.EQNXTDZ($A$1,$B9,N$1)</f>
        <v>33778.218000000001</v>
      </c>
      <c r="O9" cm="1">
        <f t="array" ref="O9">_xll.EQNXTDZ($A$1,$B9,O$1)</f>
        <v>37230.942799999997</v>
      </c>
      <c r="P9" cm="1">
        <f t="array" ref="P9">_xll.EQNXTDZ($A$1,$B9,P$1)</f>
        <v>43480.368000000002</v>
      </c>
      <c r="Q9" cm="1">
        <f t="array" ref="Q9">_xll.EQNXTDZ($A$1,$B9,Q$1)</f>
        <v>48300.2929</v>
      </c>
      <c r="R9" cm="1">
        <f t="array" ref="R9">_xll.EQNXTDZ($A$1,$B9,R$1)</f>
        <v>48897.364600000001</v>
      </c>
      <c r="S9" cm="1">
        <f t="array" ref="S9">_xll.EQNXTDZ($A$1,$B9,S$1)</f>
        <v>48942.043400000002</v>
      </c>
      <c r="T9" cm="1">
        <f t="array" ref="T9">_xll.EQNXTDZ($A$1,$B9,T$1)</f>
        <v>48194.94</v>
      </c>
      <c r="U9" cm="1">
        <f t="array" ref="U9">_xll.EQNXTDZ($A$1,$B9,U$1)</f>
        <v>53385.298300000002</v>
      </c>
      <c r="V9" cm="1">
        <f t="array" ref="V9">_xll.EQNXTDZ($A$1,$B9,V$1)</f>
        <v>56748.144800000002</v>
      </c>
      <c r="W9" cm="1">
        <f t="array" ref="W9">_xll.EQNXTDZ($A$1,$B9,W$1)</f>
        <v>84204.772899999996</v>
      </c>
      <c r="X9" cm="1">
        <f t="array" ref="X9">_xll.EQNXTDZ($A$1,$B9,X$1)</f>
        <v>85907.143500000006</v>
      </c>
      <c r="Y9" cm="1">
        <f t="array" ref="Y9">_xll.EQNXTDZ($A$1,$B9,Y$1)</f>
        <v>103186.98480000001</v>
      </c>
      <c r="Z9" cm="1">
        <f t="array" ref="Z9">_xll.EQNXTDZ($A$1,$B9,Z$1)</f>
        <v>127654.3622</v>
      </c>
      <c r="AA9" cm="1">
        <f t="array" ref="AA9">_xll.EQNXTDZ($A$1,$B9,AA$1)</f>
        <v>142207.87169999999</v>
      </c>
      <c r="AB9" cm="1">
        <f t="array" ref="AB9">_xll.EQNXTDZ($A$1,$B9,AB$1)</f>
        <v>153204.2053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10" customFormat="1" x14ac:dyDescent="0.25">
      <c r="A10" s="110" t="s">
        <v>62</v>
      </c>
      <c r="B10" s="110" t="s">
        <v>85</v>
      </c>
      <c r="C10" cm="1">
        <f t="array" ref="C10">_xll.EQNXTDZ($A$1,$B10,C$1)</f>
        <v>3735.2480999999998</v>
      </c>
      <c r="D10" cm="1">
        <f t="array" ref="D10">_xll.EQNXTDZ($A$1,$B10,D$1)</f>
        <v>4550.2484000000004</v>
      </c>
      <c r="E10" cm="1">
        <f t="array" ref="E10">_xll.EQNXTDZ($A$1,$B10,E$1)</f>
        <v>4424.7727999999997</v>
      </c>
      <c r="F10" cm="1">
        <f t="array" ref="F10">_xll.EQNXTDZ($A$1,$B10,F$1)</f>
        <v>4324.5654999999997</v>
      </c>
      <c r="G10" cm="1">
        <f t="array" ref="G10">_xll.EQNXTDZ($A$1,$B10,G$1)</f>
        <v>4421.4993000000004</v>
      </c>
      <c r="H10" cm="1">
        <f t="array" ref="H10">_xll.EQNXTDZ($A$1,$B10,H$1)</f>
        <v>5130.0069000000003</v>
      </c>
      <c r="I10" cm="1">
        <f t="array" ref="I10">_xll.EQNXTDZ($A$1,$B10,I$1)</f>
        <v>7337.7304999999997</v>
      </c>
      <c r="J10" cm="1">
        <f t="array" ref="J10">_xll.EQNXTDZ($A$1,$B10,J$1)</f>
        <v>10662.9444</v>
      </c>
      <c r="K10" cm="1">
        <f t="array" ref="K10">_xll.EQNXTDZ($A$1,$B10,K$1)</f>
        <v>12401.246300000001</v>
      </c>
      <c r="L10" cm="1">
        <f t="array" ref="L10">_xll.EQNXTDZ($A$1,$B10,L$1)</f>
        <v>13071.428400000001</v>
      </c>
      <c r="M10" cm="1">
        <f t="array" ref="M10">_xll.EQNXTDZ($A$1,$B10,M$1)</f>
        <v>15240.735699999999</v>
      </c>
      <c r="N10" cm="1">
        <f t="array" ref="N10">_xll.EQNXTDZ($A$1,$B10,N$1)</f>
        <v>23161.311600000001</v>
      </c>
      <c r="O10" cm="1">
        <f t="array" ref="O10">_xll.EQNXTDZ($A$1,$B10,O$1)</f>
        <v>26198.943299999999</v>
      </c>
      <c r="P10" cm="1">
        <f t="array" ref="P10">_xll.EQNXTDZ($A$1,$B10,P$1)</f>
        <v>30603.165400000002</v>
      </c>
      <c r="Q10" cm="1">
        <f t="array" ref="Q10">_xll.EQNXTDZ($A$1,$B10,Q$1)</f>
        <v>34086.374400000001</v>
      </c>
      <c r="R10" cm="1">
        <f t="array" ref="R10">_xll.EQNXTDZ($A$1,$B10,R$1)</f>
        <v>34258.774599999997</v>
      </c>
      <c r="S10" cm="1">
        <f t="array" ref="S10">_xll.EQNXTDZ($A$1,$B10,S$1)</f>
        <v>31515.8681</v>
      </c>
      <c r="T10" cm="1">
        <f t="array" ref="T10">_xll.EQNXTDZ($A$1,$B10,T$1)</f>
        <v>29088.762500000001</v>
      </c>
      <c r="U10" cm="1">
        <f t="array" ref="U10">_xll.EQNXTDZ($A$1,$B10,U$1)</f>
        <v>32332.220099999999</v>
      </c>
      <c r="V10" cm="1">
        <f t="array" ref="V10">_xll.EQNXTDZ($A$1,$B10,V$1)</f>
        <v>35811.083400000003</v>
      </c>
      <c r="W10" cm="1">
        <f t="array" ref="W10">_xll.EQNXTDZ($A$1,$B10,W$1)</f>
        <v>45177.623699999996</v>
      </c>
      <c r="X10" cm="1">
        <f t="array" ref="X10">_xll.EQNXTDZ($A$1,$B10,X$1)</f>
        <v>43026.262600000002</v>
      </c>
      <c r="Y10" cm="1">
        <f t="array" ref="Y10">_xll.EQNXTDZ($A$1,$B10,Y$1)</f>
        <v>52989.487000000001</v>
      </c>
      <c r="Z10" cm="1">
        <f t="array" ref="Z10">_xll.EQNXTDZ($A$1,$B10,Z$1)</f>
        <v>72121.988700000002</v>
      </c>
      <c r="AA10" cm="1">
        <f t="array" ref="AA10">_xll.EQNXTDZ($A$1,$B10,AA$1)</f>
        <v>82683.112800000003</v>
      </c>
      <c r="AB10" cm="1">
        <f t="array" ref="AB10">_xll.EQNXTDZ($A$1,$B10,AB$1)</f>
        <v>89155.928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10" customFormat="1" x14ac:dyDescent="0.25">
      <c r="A11" s="110" t="s">
        <v>63</v>
      </c>
      <c r="B11" s="110" t="s">
        <v>86</v>
      </c>
      <c r="C11" cm="1">
        <f t="array" ref="C11">_xll.EQNXTDZ($A$1,$B11,C$1)</f>
        <v>1669.5784000000001</v>
      </c>
      <c r="D11" cm="1">
        <f t="array" ref="D11">_xll.EQNXTDZ($A$1,$B11,D$1)</f>
        <v>1592.6069</v>
      </c>
      <c r="E11" cm="1">
        <f t="array" ref="E11">_xll.EQNXTDZ($A$1,$B11,E$1)</f>
        <v>1747.7057</v>
      </c>
      <c r="F11" cm="1">
        <f t="array" ref="F11">_xll.EQNXTDZ($A$1,$B11,F$1)</f>
        <v>1896.5491</v>
      </c>
      <c r="G11" cm="1">
        <f t="array" ref="G11">_xll.EQNXTDZ($A$1,$B11,G$1)</f>
        <v>2108.9715999999999</v>
      </c>
      <c r="H11" cm="1">
        <f t="array" ref="H11">_xll.EQNXTDZ($A$1,$B11,H$1)</f>
        <v>2347.1354000000001</v>
      </c>
      <c r="I11" cm="1">
        <f t="array" ref="I11">_xll.EQNXTDZ($A$1,$B11,I$1)</f>
        <v>2565.3054000000002</v>
      </c>
      <c r="J11" cm="1">
        <f t="array" ref="J11">_xll.EQNXTDZ($A$1,$B11,J$1)</f>
        <v>2791.2912999999999</v>
      </c>
      <c r="K11" cm="1">
        <f t="array" ref="K11">_xll.EQNXTDZ($A$1,$B11,K$1)</f>
        <v>3065.2474999999999</v>
      </c>
      <c r="L11" cm="1">
        <f t="array" ref="L11">_xll.EQNXTDZ($A$1,$B11,L$1)</f>
        <v>3477.6235000000001</v>
      </c>
      <c r="M11" cm="1">
        <f t="array" ref="M11">_xll.EQNXTDZ($A$1,$B11,M$1)</f>
        <v>4419.3155999999999</v>
      </c>
      <c r="N11" cm="1">
        <f t="array" ref="N11">_xll.EQNXTDZ($A$1,$B11,N$1)</f>
        <v>4673.7434000000003</v>
      </c>
      <c r="O11" cm="1">
        <f t="array" ref="O11">_xll.EQNXTDZ($A$1,$B11,O$1)</f>
        <v>5141.9898999999996</v>
      </c>
      <c r="P11" cm="1">
        <f t="array" ref="P11">_xll.EQNXTDZ($A$1,$B11,P$1)</f>
        <v>6081.0102999999999</v>
      </c>
      <c r="Q11" cm="1">
        <f t="array" ref="Q11">_xll.EQNXTDZ($A$1,$B11,Q$1)</f>
        <v>7263.5513000000001</v>
      </c>
      <c r="R11" cm="1">
        <f t="array" ref="R11">_xll.EQNXTDZ($A$1,$B11,R$1)</f>
        <v>7491.9345999999996</v>
      </c>
      <c r="S11" cm="1">
        <f t="array" ref="S11">_xll.EQNXTDZ($A$1,$B11,S$1)</f>
        <v>8512.2811999999994</v>
      </c>
      <c r="T11" cm="1">
        <f t="array" ref="T11">_xll.EQNXTDZ($A$1,$B11,T$1)</f>
        <v>9557.9354000000003</v>
      </c>
      <c r="U11" cm="1">
        <f t="array" ref="U11">_xll.EQNXTDZ($A$1,$B11,U$1)</f>
        <v>10462.2075</v>
      </c>
      <c r="V11" cm="1">
        <f t="array" ref="V11">_xll.EQNXTDZ($A$1,$B11,V$1)</f>
        <v>11577.2346</v>
      </c>
      <c r="W11" cm="1">
        <f t="array" ref="W11">_xll.EQNXTDZ($A$1,$B11,W$1)</f>
        <v>19338.1842</v>
      </c>
      <c r="X11" cm="1">
        <f t="array" ref="X11">_xll.EQNXTDZ($A$1,$B11,X$1)</f>
        <v>19791.905500000001</v>
      </c>
      <c r="Y11" cm="1">
        <f t="array" ref="Y11">_xll.EQNXTDZ($A$1,$B11,Y$1)</f>
        <v>22481.479899999998</v>
      </c>
      <c r="Z11" cm="1">
        <f t="array" ref="Z11">_xll.EQNXTDZ($A$1,$B11,Z$1)</f>
        <v>26119.7961</v>
      </c>
      <c r="AA11" cm="1">
        <f t="array" ref="AA11">_xll.EQNXTDZ($A$1,$B11,AA$1)</f>
        <v>28134.4954</v>
      </c>
      <c r="AB11" cm="1">
        <f t="array" ref="AB11">_xll.EQNXTDZ($A$1,$B11,AB$1)</f>
        <v>31029.7055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10" customFormat="1" x14ac:dyDescent="0.25">
      <c r="A12" s="110" t="s">
        <v>168</v>
      </c>
      <c r="B12" s="110" t="s">
        <v>170</v>
      </c>
      <c r="C12" cm="1">
        <f t="array" ref="C12">_xll.EQNXTDZ($A$1,$B12,C$1)</f>
        <v>1253.0730000000001</v>
      </c>
      <c r="D12" cm="1">
        <f t="array" ref="D12">_xll.EQNXTDZ($A$1,$B12,D$1)</f>
        <v>1122.5201</v>
      </c>
      <c r="E12" cm="1">
        <f t="array" ref="E12">_xll.EQNXTDZ($A$1,$B12,E$1)</f>
        <v>1162.1990000000001</v>
      </c>
      <c r="F12" cm="1">
        <f t="array" ref="F12">_xll.EQNXTDZ($A$1,$B12,F$1)</f>
        <v>1273.2058</v>
      </c>
      <c r="G12" cm="1">
        <f t="array" ref="G12">_xll.EQNXTDZ($A$1,$B12,G$1)</f>
        <v>1380.1498999999999</v>
      </c>
      <c r="H12" cm="1">
        <f t="array" ref="H12">_xll.EQNXTDZ($A$1,$B12,H$1)</f>
        <v>1515.3032000000001</v>
      </c>
      <c r="I12" cm="1">
        <f t="array" ref="I12">_xll.EQNXTDZ($A$1,$B12,I$1)</f>
        <v>1609.2918999999999</v>
      </c>
      <c r="J12" cm="1">
        <f t="array" ref="J12">_xll.EQNXTDZ($A$1,$B12,J$1)</f>
        <v>1661.2807</v>
      </c>
      <c r="K12" cm="1">
        <f t="array" ref="K12">_xll.EQNXTDZ($A$1,$B12,K$1)</f>
        <v>1877.1533999999999</v>
      </c>
      <c r="L12" cm="1">
        <f t="array" ref="L12">_xll.EQNXTDZ($A$1,$B12,L$1)</f>
        <v>2193.6999000000001</v>
      </c>
      <c r="M12" cm="1">
        <f t="array" ref="M12">_xll.EQNXTDZ($A$1,$B12,M$1)</f>
        <v>2954.8393999999998</v>
      </c>
      <c r="N12" cm="1">
        <f t="array" ref="N12">_xll.EQNXTDZ($A$1,$B12,N$1)</f>
        <v>2973.0852</v>
      </c>
      <c r="O12" cm="1">
        <f t="array" ref="O12">_xll.EQNXTDZ($A$1,$B12,O$1)</f>
        <v>3253.5636</v>
      </c>
      <c r="P12" cm="1">
        <f t="array" ref="P12">_xll.EQNXTDZ($A$1,$B12,P$1)</f>
        <v>3672.3811000000001</v>
      </c>
      <c r="Q12" cm="1">
        <f t="array" ref="Q12">_xll.EQNXTDZ($A$1,$B12,Q$1)</f>
        <v>4274.2569999999996</v>
      </c>
      <c r="R12" cm="1">
        <f t="array" ref="R12">_xll.EQNXTDZ($A$1,$B12,R$1)</f>
        <v>4445.8818000000001</v>
      </c>
      <c r="S12" cm="1">
        <f t="array" ref="S12">_xll.EQNXTDZ($A$1,$B12,S$1)</f>
        <v>4915.0920999999998</v>
      </c>
      <c r="T12" cm="1">
        <f t="array" ref="T12">_xll.EQNXTDZ($A$1,$B12,T$1)</f>
        <v>5444.1054999999997</v>
      </c>
      <c r="U12" cm="1">
        <f t="array" ref="U12">_xll.EQNXTDZ($A$1,$B12,U$1)</f>
        <v>6039.8064999999997</v>
      </c>
      <c r="V12" cm="1">
        <f t="array" ref="V12">_xll.EQNXTDZ($A$1,$B12,V$1)</f>
        <v>7134.1845999999996</v>
      </c>
      <c r="W12" cm="1">
        <f t="array" ref="W12">_xll.EQNXTDZ($A$1,$B12,W$1)</f>
        <v>12689.9594</v>
      </c>
      <c r="X12" cm="1">
        <f t="array" ref="X12">_xll.EQNXTDZ($A$1,$B12,X$1)</f>
        <v>12703.640799999999</v>
      </c>
      <c r="Y12" cm="1">
        <f t="array" ref="Y12">_xll.EQNXTDZ($A$1,$B12,Y$1)</f>
        <v>13743.8298</v>
      </c>
      <c r="Z12" cm="1">
        <f t="array" ref="Z12">_xll.EQNXTDZ($A$1,$B12,Z$1)</f>
        <v>16434.181400000001</v>
      </c>
      <c r="AA12" cm="1">
        <f t="array" ref="AA12">_xll.EQNXTDZ($A$1,$B12,AA$1)</f>
        <v>17856.087</v>
      </c>
      <c r="AB12" cm="1">
        <f t="array" ref="AB12">_xll.EQNXTDZ($A$1,$B12,AB$1)</f>
        <v>19265.997100000001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10" customFormat="1" x14ac:dyDescent="0.25">
      <c r="A13" s="110" t="s">
        <v>167</v>
      </c>
      <c r="B13" s="110" t="s">
        <v>169</v>
      </c>
      <c r="C13" cm="1">
        <f t="array" ref="C13">_xll.EQNXTDZ($A$1,$B13,C$1)</f>
        <v>3.3332999999999999</v>
      </c>
      <c r="D13" cm="1">
        <f t="array" ref="D13">_xll.EQNXTDZ($A$1,$B13,D$1)</f>
        <v>5.9776999999999996</v>
      </c>
      <c r="E13" cm="1">
        <f t="array" ref="E13">_xll.EQNXTDZ($A$1,$B13,E$1)</f>
        <v>9.6667000000000005</v>
      </c>
      <c r="F13" cm="1">
        <f t="array" ref="F13">_xll.EQNXTDZ($A$1,$B13,F$1)</f>
        <v>15.8346</v>
      </c>
      <c r="G13" cm="1">
        <f t="array" ref="G13">_xll.EQNXTDZ($A$1,$B13,G$1)</f>
        <v>14.306100000000001</v>
      </c>
      <c r="H13" cm="1">
        <f t="array" ref="H13">_xll.EQNXTDZ($A$1,$B13,H$1)</f>
        <v>21.608499999999999</v>
      </c>
      <c r="I13" cm="1">
        <f t="array" ref="I13">_xll.EQNXTDZ($A$1,$B13,I$1)</f>
        <v>39.278300000000002</v>
      </c>
      <c r="J13" cm="1">
        <f t="array" ref="J13">_xll.EQNXTDZ($A$1,$B13,J$1)</f>
        <v>45.652099999999997</v>
      </c>
      <c r="K13" cm="1">
        <f t="array" ref="K13">_xll.EQNXTDZ($A$1,$B13,K$1)</f>
        <v>23.825900000000001</v>
      </c>
      <c r="L13" cm="1">
        <f t="array" ref="L13">_xll.EQNXTDZ($A$1,$B13,L$1)</f>
        <v>19.8597</v>
      </c>
      <c r="M13" cm="1">
        <f t="array" ref="M13">_xll.EQNXTDZ($A$1,$B13,M$1)</f>
        <v>24.381499999999999</v>
      </c>
      <c r="N13" cm="1">
        <f t="array" ref="N13">_xll.EQNXTDZ($A$1,$B13,N$1)</f>
        <v>26.669899999999998</v>
      </c>
      <c r="O13" cm="1">
        <f t="array" ref="O13">_xll.EQNXTDZ($A$1,$B13,O$1)</f>
        <v>33.713500000000003</v>
      </c>
      <c r="P13" cm="1">
        <f t="array" ref="P13">_xll.EQNXTDZ($A$1,$B13,P$1)</f>
        <v>66.162300000000002</v>
      </c>
      <c r="Q13" cm="1">
        <f t="array" ref="Q13">_xll.EQNXTDZ($A$1,$B13,Q$1)</f>
        <v>43.740699999999997</v>
      </c>
      <c r="R13" cm="1">
        <f t="array" ref="R13">_xll.EQNXTDZ($A$1,$B13,R$1)</f>
        <v>30.350100000000001</v>
      </c>
      <c r="S13" cm="1">
        <f t="array" ref="S13">_xll.EQNXTDZ($A$1,$B13,S$1)</f>
        <v>41.506700000000002</v>
      </c>
      <c r="T13" cm="1">
        <f t="array" ref="T13">_xll.EQNXTDZ($A$1,$B13,T$1)</f>
        <v>36.435499999999998</v>
      </c>
      <c r="U13" cm="1">
        <f t="array" ref="U13">_xll.EQNXTDZ($A$1,$B13,U$1)</f>
        <v>33.7072</v>
      </c>
      <c r="V13" cm="1">
        <f t="array" ref="V13">_xll.EQNXTDZ($A$1,$B13,V$1)</f>
        <v>34.0471</v>
      </c>
      <c r="W13" cm="1">
        <f t="array" ref="W13">_xll.EQNXTDZ($A$1,$B13,W$1)</f>
        <v>42.135800000000003</v>
      </c>
      <c r="X13" cm="1">
        <f t="array" ref="X13">_xll.EQNXTDZ($A$1,$B13,X$1)</f>
        <v>81.036900000000003</v>
      </c>
      <c r="Y13" cm="1">
        <f t="array" ref="Y13">_xll.EQNXTDZ($A$1,$B13,Y$1)</f>
        <v>129.1739</v>
      </c>
      <c r="Z13" cm="1">
        <f t="array" ref="Z13">_xll.EQNXTDZ($A$1,$B13,Z$1)</f>
        <v>134.86359999999999</v>
      </c>
      <c r="AA13" cm="1">
        <f t="array" ref="AA13">_xll.EQNXTDZ($A$1,$B13,AA$1)</f>
        <v>143.49209999999999</v>
      </c>
      <c r="AB13" cm="1">
        <f t="array" ref="AB13">_xll.EQNXTDZ($A$1,$B13,AB$1)</f>
        <v>156.5283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10" customFormat="1" x14ac:dyDescent="0.25">
      <c r="A14" s="110" t="s">
        <v>171</v>
      </c>
      <c r="B14" s="110" t="s">
        <v>172</v>
      </c>
      <c r="C14" cm="1">
        <f t="array" ref="C14">_xll.EQNXTDZ($A$1,$B14,C$1)</f>
        <v>133.7397</v>
      </c>
      <c r="D14" cm="1">
        <f t="array" ref="D14">_xll.EQNXTDZ($A$1,$B14,D$1)</f>
        <v>144.31819999999999</v>
      </c>
      <c r="E14" cm="1">
        <f t="array" ref="E14">_xll.EQNXTDZ($A$1,$B14,E$1)</f>
        <v>162.88829999999999</v>
      </c>
      <c r="F14" cm="1">
        <f t="array" ref="F14">_xll.EQNXTDZ($A$1,$B14,F$1)</f>
        <v>175.2801</v>
      </c>
      <c r="G14" cm="1">
        <f t="array" ref="G14">_xll.EQNXTDZ($A$1,$B14,G$1)</f>
        <v>205.46199999999999</v>
      </c>
      <c r="H14" cm="1">
        <f t="array" ref="H14">_xll.EQNXTDZ($A$1,$B14,H$1)</f>
        <v>206.69579999999999</v>
      </c>
      <c r="I14" cm="1">
        <f t="array" ref="I14">_xll.EQNXTDZ($A$1,$B14,I$1)</f>
        <v>232.90199999999999</v>
      </c>
      <c r="J14" cm="1">
        <f t="array" ref="J14">_xll.EQNXTDZ($A$1,$B14,J$1)</f>
        <v>270.18709999999999</v>
      </c>
      <c r="K14" cm="1">
        <f t="array" ref="K14">_xll.EQNXTDZ($A$1,$B14,K$1)</f>
        <v>301.41660000000002</v>
      </c>
      <c r="L14" cm="1">
        <f t="array" ref="L14">_xll.EQNXTDZ($A$1,$B14,L$1)</f>
        <v>323.25020000000001</v>
      </c>
      <c r="M14" cm="1">
        <f t="array" ref="M14">_xll.EQNXTDZ($A$1,$B14,M$1)</f>
        <v>346.27010000000001</v>
      </c>
      <c r="N14" cm="1">
        <f t="array" ref="N14">_xll.EQNXTDZ($A$1,$B14,N$1)</f>
        <v>397.30849999999998</v>
      </c>
      <c r="O14" cm="1">
        <f t="array" ref="O14">_xll.EQNXTDZ($A$1,$B14,O$1)</f>
        <v>466.12180000000001</v>
      </c>
      <c r="P14" cm="1">
        <f t="array" ref="P14">_xll.EQNXTDZ($A$1,$B14,P$1)</f>
        <v>546.80970000000002</v>
      </c>
      <c r="Q14" cm="1">
        <f t="array" ref="Q14">_xll.EQNXTDZ($A$1,$B14,Q$1)</f>
        <v>658.89769999999999</v>
      </c>
      <c r="R14" cm="1">
        <f t="array" ref="R14">_xll.EQNXTDZ($A$1,$B14,R$1)</f>
        <v>778.12670000000003</v>
      </c>
      <c r="S14" cm="1">
        <f t="array" ref="S14">_xll.EQNXTDZ($A$1,$B14,S$1)</f>
        <v>846.75789999999995</v>
      </c>
      <c r="T14" cm="1">
        <f t="array" ref="T14">_xll.EQNXTDZ($A$1,$B14,T$1)</f>
        <v>921.85500000000002</v>
      </c>
      <c r="U14" cm="1">
        <f t="array" ref="U14">_xll.EQNXTDZ($A$1,$B14,U$1)</f>
        <v>777.86069999999995</v>
      </c>
      <c r="V14" cm="1">
        <f t="array" ref="V14">_xll.EQNXTDZ($A$1,$B14,V$1)</f>
        <v>792.3723</v>
      </c>
      <c r="W14" cm="1">
        <f t="array" ref="W14">_xll.EQNXTDZ($A$1,$B14,W$1)</f>
        <v>1120.1478999999999</v>
      </c>
      <c r="X14" cm="1">
        <f t="array" ref="X14">_xll.EQNXTDZ($A$1,$B14,X$1)</f>
        <v>1126.6262999999999</v>
      </c>
      <c r="Y14" cm="1">
        <f t="array" ref="Y14">_xll.EQNXTDZ($A$1,$B14,Y$1)</f>
        <v>1108.9183</v>
      </c>
      <c r="Z14" cm="1">
        <f t="array" ref="Z14">_xll.EQNXTDZ($A$1,$B14,Z$1)</f>
        <v>1173.5516</v>
      </c>
      <c r="AA14" cm="1">
        <f t="array" ref="AA14">_xll.EQNXTDZ($A$1,$B14,AA$1)</f>
        <v>1084.8488</v>
      </c>
      <c r="AB14" cm="1">
        <f t="array" ref="AB14">_xll.EQNXTDZ($A$1,$B14,AB$1)</f>
        <v>1231.0793000000001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368</v>
      </c>
      <c r="B15" t="s">
        <v>370</v>
      </c>
      <c r="C15" cm="1">
        <f t="array" ref="C15">_xll.EQNXTDZ($A$1,$B15,C$1)</f>
        <v>65.913700000000006</v>
      </c>
      <c r="D15" cm="1">
        <f t="array" ref="D15">_xll.EQNXTDZ($A$1,$B15,D$1)</f>
        <v>92.677499999999995</v>
      </c>
      <c r="E15" cm="1">
        <f t="array" ref="E15">_xll.EQNXTDZ($A$1,$B15,E$1)</f>
        <v>108.65389999999999</v>
      </c>
      <c r="F15" cm="1">
        <f t="array" ref="F15">_xll.EQNXTDZ($A$1,$B15,F$1)</f>
        <v>113.7141</v>
      </c>
      <c r="G15" cm="1">
        <f t="array" ref="G15">_xll.EQNXTDZ($A$1,$B15,G$1)</f>
        <v>132.94569999999999</v>
      </c>
      <c r="H15" cm="1">
        <f t="array" ref="H15">_xll.EQNXTDZ($A$1,$B15,H$1)</f>
        <v>145.0284</v>
      </c>
      <c r="I15" cm="1">
        <f t="array" ref="I15">_xll.EQNXTDZ($A$1,$B15,I$1)</f>
        <v>148.17699999999999</v>
      </c>
      <c r="J15" cm="1">
        <f t="array" ref="J15">_xll.EQNXTDZ($A$1,$B15,J$1)</f>
        <v>169.9684</v>
      </c>
      <c r="K15" cm="1">
        <f t="array" ref="K15">_xll.EQNXTDZ($A$1,$B15,K$1)</f>
        <v>173.6421</v>
      </c>
      <c r="L15" cm="1">
        <f t="array" ref="L15">_xll.EQNXTDZ($A$1,$B15,L$1)</f>
        <v>155.13239999999999</v>
      </c>
      <c r="M15" cm="1">
        <f t="array" ref="M15">_xll.EQNXTDZ($A$1,$B15,M$1)</f>
        <v>151.36099999999999</v>
      </c>
      <c r="N15" cm="1">
        <f t="array" ref="N15">_xll.EQNXTDZ($A$1,$B15,N$1)</f>
        <v>156.88720000000001</v>
      </c>
      <c r="O15" cm="1">
        <f t="array" ref="O15">_xll.EQNXTDZ($A$1,$B15,O$1)</f>
        <v>189.68530000000001</v>
      </c>
      <c r="P15" cm="1">
        <f t="array" ref="P15">_xll.EQNXTDZ($A$1,$B15,P$1)</f>
        <v>228.4657</v>
      </c>
      <c r="Q15" cm="1">
        <f t="array" ref="Q15">_xll.EQNXTDZ($A$1,$B15,Q$1)</f>
        <v>427.06180000000001</v>
      </c>
      <c r="R15" cm="1">
        <f t="array" ref="R15">_xll.EQNXTDZ($A$1,$B15,R$1)</f>
        <v>169.96369999999999</v>
      </c>
      <c r="S15" cm="1">
        <f t="array" ref="S15">_xll.EQNXTDZ($A$1,$B15,S$1)</f>
        <v>327.54109999999997</v>
      </c>
      <c r="T15" cm="1">
        <f t="array" ref="T15">_xll.EQNXTDZ($A$1,$B15,T$1)</f>
        <v>445.04500000000002</v>
      </c>
      <c r="U15" cm="1">
        <f t="array" ref="U15">_xll.EQNXTDZ($A$1,$B15,U$1)</f>
        <v>416.83730000000003</v>
      </c>
      <c r="V15" cm="1">
        <f t="array" ref="V15">_xll.EQNXTDZ($A$1,$B15,V$1)</f>
        <v>432.16019999999997</v>
      </c>
      <c r="W15" cm="1">
        <f t="array" ref="W15">_xll.EQNXTDZ($A$1,$B15,W$1)</f>
        <v>820.16899999999998</v>
      </c>
      <c r="X15" cm="1">
        <f t="array" ref="X15">_xll.EQNXTDZ($A$1,$B15,X$1)</f>
        <v>815.58320000000003</v>
      </c>
      <c r="Y15" cm="1">
        <f t="array" ref="Y15">_xll.EQNXTDZ($A$1,$B15,Y$1)</f>
        <v>992.96069999999997</v>
      </c>
      <c r="Z15" cm="1">
        <f t="array" ref="Z15">_xll.EQNXTDZ($A$1,$B15,Z$1)</f>
        <v>868.93610000000001</v>
      </c>
      <c r="AA15" cm="1">
        <f t="array" ref="AA15">_xll.EQNXTDZ($A$1,$B15,AA$1)</f>
        <v>837.19489999999996</v>
      </c>
      <c r="AB15" cm="1">
        <f t="array" ref="AB15">_xll.EQNXTDZ($A$1,$B15,AB$1)</f>
        <v>917.3623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369</v>
      </c>
      <c r="B16" t="s">
        <v>371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372</v>
      </c>
      <c r="B17" t="s">
        <v>373</v>
      </c>
      <c r="C17" cm="1">
        <f t="array" ref="C17">_xll.EQNXTDZ($A$1,$B17,C$1)</f>
        <v>25.3782</v>
      </c>
      <c r="D17" cm="1">
        <f t="array" ref="D17">_xll.EQNXTDZ($A$1,$B17,D$1)</f>
        <v>30.866399999999999</v>
      </c>
      <c r="E17" cm="1">
        <f t="array" ref="E17">_xll.EQNXTDZ($A$1,$B17,E$1)</f>
        <v>33.7607</v>
      </c>
      <c r="F17" cm="1">
        <f t="array" ref="F17">_xll.EQNXTDZ($A$1,$B17,F$1)</f>
        <v>38.436700000000002</v>
      </c>
      <c r="G17" cm="1">
        <f t="array" ref="G17">_xll.EQNXTDZ($A$1,$B17,G$1)</f>
        <v>69.341499999999996</v>
      </c>
      <c r="H17" cm="1">
        <f t="array" ref="H17">_xll.EQNXTDZ($A$1,$B17,H$1)</f>
        <v>97.689499999999995</v>
      </c>
      <c r="I17" cm="1">
        <f t="array" ref="I17">_xll.EQNXTDZ($A$1,$B17,I$1)</f>
        <v>115.5902</v>
      </c>
      <c r="J17" cm="1">
        <f t="array" ref="J17">_xll.EQNXTDZ($A$1,$B17,J$1)</f>
        <v>139.72059999999999</v>
      </c>
      <c r="K17" cm="1">
        <f t="array" ref="K17">_xll.EQNXTDZ($A$1,$B17,K$1)</f>
        <v>157.7842</v>
      </c>
      <c r="L17" cm="1">
        <f t="array" ref="L17">_xll.EQNXTDZ($A$1,$B17,L$1)</f>
        <v>190.12559999999999</v>
      </c>
      <c r="M17" cm="1">
        <f t="array" ref="M17">_xll.EQNXTDZ($A$1,$B17,M$1)</f>
        <v>232.48740000000001</v>
      </c>
      <c r="N17" cm="1">
        <f t="array" ref="N17">_xll.EQNXTDZ($A$1,$B17,N$1)</f>
        <v>285.6388</v>
      </c>
      <c r="O17" cm="1">
        <f t="array" ref="O17">_xll.EQNXTDZ($A$1,$B17,O$1)</f>
        <v>276.63679999999999</v>
      </c>
      <c r="P17" cm="1">
        <f t="array" ref="P17">_xll.EQNXTDZ($A$1,$B17,P$1)</f>
        <v>299.80889999999999</v>
      </c>
      <c r="Q17" cm="1">
        <f t="array" ref="Q17">_xll.EQNXTDZ($A$1,$B17,Q$1)</f>
        <v>391.27019999999999</v>
      </c>
      <c r="R17" cm="1">
        <f t="array" ref="R17">_xll.EQNXTDZ($A$1,$B17,R$1)</f>
        <v>427.23540000000003</v>
      </c>
      <c r="S17" cm="1">
        <f t="array" ref="S17">_xll.EQNXTDZ($A$1,$B17,S$1)</f>
        <v>431.82310000000001</v>
      </c>
      <c r="T17" cm="1">
        <f t="array" ref="T17">_xll.EQNXTDZ($A$1,$B17,T$1)</f>
        <v>445.3331</v>
      </c>
      <c r="U17" cm="1">
        <f t="array" ref="U17">_xll.EQNXTDZ($A$1,$B17,U$1)</f>
        <v>494.36110000000002</v>
      </c>
      <c r="V17" cm="1">
        <f t="array" ref="V17">_xll.EQNXTDZ($A$1,$B17,V$1)</f>
        <v>550.15189999999996</v>
      </c>
      <c r="W17" cm="1">
        <f t="array" ref="W17">_xll.EQNXTDZ($A$1,$B17,W$1)</f>
        <v>1069.4463000000001</v>
      </c>
      <c r="X17" cm="1">
        <f t="array" ref="X17">_xll.EQNXTDZ($A$1,$B17,X$1)</f>
        <v>1152.5251000000001</v>
      </c>
      <c r="Y17" cm="1">
        <f t="array" ref="Y17">_xll.EQNXTDZ($A$1,$B17,Y$1)</f>
        <v>1218.0208</v>
      </c>
      <c r="Z17" cm="1">
        <f t="array" ref="Z17">_xll.EQNXTDZ($A$1,$B17,Z$1)</f>
        <v>1380.1652999999999</v>
      </c>
      <c r="AA17" cm="1">
        <f t="array" ref="AA17">_xll.EQNXTDZ($A$1,$B17,AA$1)</f>
        <v>1563.6758</v>
      </c>
      <c r="AB17" cm="1">
        <f t="array" ref="AB17">_xll.EQNXTDZ($A$1,$B17,AB$1)</f>
        <v>1853.1619000000001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10" customFormat="1" x14ac:dyDescent="0.25">
      <c r="A18" s="110" t="s">
        <v>64</v>
      </c>
      <c r="B18" s="110" t="s">
        <v>87</v>
      </c>
      <c r="C18" cm="1">
        <f t="array" ref="C18">_xll.EQNXTDZ($A$1,$B18,C$1)</f>
        <v>191</v>
      </c>
      <c r="D18" cm="1">
        <f t="array" ref="D18">_xll.EQNXTDZ($A$1,$B18,D$1)</f>
        <v>310</v>
      </c>
      <c r="E18" cm="1">
        <f t="array" ref="E18">_xll.EQNXTDZ($A$1,$B18,E$1)</f>
        <v>300.29000000000002</v>
      </c>
      <c r="F18" cm="1">
        <f t="array" ref="F18">_xll.EQNXTDZ($A$1,$B18,F$1)</f>
        <v>330</v>
      </c>
      <c r="G18" cm="1">
        <f t="array" ref="G18">_xll.EQNXTDZ($A$1,$B18,G$1)</f>
        <v>170</v>
      </c>
      <c r="H18" cm="1">
        <f t="array" ref="H18">_xll.EQNXTDZ($A$1,$B18,H$1)</f>
        <v>200</v>
      </c>
      <c r="I18" cm="1">
        <f t="array" ref="I18">_xll.EQNXTDZ($A$1,$B18,I$1)</f>
        <v>250</v>
      </c>
      <c r="J18" cm="1">
        <f t="array" ref="J18">_xll.EQNXTDZ($A$1,$B18,J$1)</f>
        <v>340</v>
      </c>
      <c r="K18" cm="1">
        <f t="array" ref="K18">_xll.EQNXTDZ($A$1,$B18,K$1)</f>
        <v>500</v>
      </c>
      <c r="L18" cm="1">
        <f t="array" ref="L18">_xll.EQNXTDZ($A$1,$B18,L$1)</f>
        <v>800</v>
      </c>
      <c r="M18" cm="1">
        <f t="array" ref="M18">_xll.EQNXTDZ($A$1,$B18,M$1)</f>
        <v>1000</v>
      </c>
      <c r="N18" cm="1">
        <f t="array" ref="N18">_xll.EQNXTDZ($A$1,$B18,N$1)</f>
        <v>800</v>
      </c>
      <c r="O18" cm="1">
        <f t="array" ref="O18">_xll.EQNXTDZ($A$1,$B18,O$1)</f>
        <v>800</v>
      </c>
      <c r="P18" cm="1">
        <f t="array" ref="P18">_xll.EQNXTDZ($A$1,$B18,P$1)</f>
        <v>625</v>
      </c>
      <c r="Q18" cm="1">
        <f t="array" ref="Q18">_xll.EQNXTDZ($A$1,$B18,Q$1)</f>
        <v>795</v>
      </c>
      <c r="R18" cm="1">
        <f t="array" ref="R18">_xll.EQNXTDZ($A$1,$B18,R$1)</f>
        <v>-372.95</v>
      </c>
      <c r="S18" cm="1">
        <f t="array" ref="S18">_xll.EQNXTDZ($A$1,$B18,S$1)</f>
        <v>520</v>
      </c>
      <c r="T18" cm="1">
        <f t="array" ref="T18">_xll.EQNXTDZ($A$1,$B18,T$1)</f>
        <v>-2338.62</v>
      </c>
      <c r="U18" cm="1">
        <f t="array" ref="U18">_xll.EQNXTDZ($A$1,$B18,U$1)</f>
        <v>-2674.42</v>
      </c>
      <c r="V18" cm="1">
        <f t="array" ref="V18">_xll.EQNXTDZ($A$1,$B18,V$1)</f>
        <v>480.15</v>
      </c>
      <c r="W18" cm="1">
        <f t="array" ref="W18">_xll.EQNXTDZ($A$1,$B18,W$1)</f>
        <v>1149.6500000000001</v>
      </c>
      <c r="X18" cm="1">
        <f t="array" ref="X18">_xll.EQNXTDZ($A$1,$B18,X$1)</f>
        <v>3283.17</v>
      </c>
      <c r="Y18" cm="1">
        <f t="array" ref="Y18">_xll.EQNXTDZ($A$1,$B18,Y$1)</f>
        <v>3569.24</v>
      </c>
      <c r="Z18" cm="1">
        <f t="array" ref="Z18">_xll.EQNXTDZ($A$1,$B18,Z$1)</f>
        <v>5150.6499999999996</v>
      </c>
      <c r="AA18" cm="1">
        <f t="array" ref="AA18">_xll.EQNXTDZ($A$1,$B18,AA$1)</f>
        <v>5600</v>
      </c>
      <c r="AB18" cm="1">
        <f t="array" ref="AB18">_xll.EQNXTDZ($A$1,$B18,AB$1)</f>
        <v>5720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10" customFormat="1" x14ac:dyDescent="0.25">
      <c r="A19" s="110" t="s">
        <v>2</v>
      </c>
      <c r="B19" s="110" t="s">
        <v>88</v>
      </c>
      <c r="C19" cm="1">
        <f t="array" ref="C19">_xll.EQNXTDZ($A$1,$B19,C$1)</f>
        <v>655.12739999999997</v>
      </c>
      <c r="D19" cm="1">
        <f t="array" ref="D19">_xll.EQNXTDZ($A$1,$B19,D$1)</f>
        <v>604.84010000000001</v>
      </c>
      <c r="E19" cm="1">
        <f t="array" ref="E19">_xll.EQNXTDZ($A$1,$B19,E$1)</f>
        <v>678.19380000000001</v>
      </c>
      <c r="F19" cm="1">
        <f t="array" ref="F19">_xll.EQNXTDZ($A$1,$B19,F$1)</f>
        <v>1190.7137</v>
      </c>
      <c r="G19" cm="1">
        <f t="array" ref="G19">_xll.EQNXTDZ($A$1,$B19,G$1)</f>
        <v>1305.8207</v>
      </c>
      <c r="H19" cm="1">
        <f t="array" ref="H19">_xll.EQNXTDZ($A$1,$B19,H$1)</f>
        <v>1068.6649</v>
      </c>
      <c r="I19" cm="1">
        <f t="array" ref="I19">_xll.EQNXTDZ($A$1,$B19,I$1)</f>
        <v>1241.6600000000001</v>
      </c>
      <c r="J19" cm="1">
        <f t="array" ref="J19">_xll.EQNXTDZ($A$1,$B19,J$1)</f>
        <v>1054.367</v>
      </c>
      <c r="K19" cm="1">
        <f t="array" ref="K19">_xll.EQNXTDZ($A$1,$B19,K$1)</f>
        <v>1391.3527999999999</v>
      </c>
      <c r="L19" cm="1">
        <f t="array" ref="L19">_xll.EQNXTDZ($A$1,$B19,L$1)</f>
        <v>1239.3824</v>
      </c>
      <c r="M19" cm="1">
        <f t="array" ref="M19">_xll.EQNXTDZ($A$1,$B19,M$1)</f>
        <v>1065.5915</v>
      </c>
      <c r="N19" cm="1">
        <f t="array" ref="N19">_xll.EQNXTDZ($A$1,$B19,N$1)</f>
        <v>1860.45</v>
      </c>
      <c r="O19" cm="1">
        <f t="array" ref="O19">_xll.EQNXTDZ($A$1,$B19,O$1)</f>
        <v>2217.9067</v>
      </c>
      <c r="P19" cm="1">
        <f t="array" ref="P19">_xll.EQNXTDZ($A$1,$B19,P$1)</f>
        <v>3732.9976999999999</v>
      </c>
      <c r="Q19" cm="1">
        <f t="array" ref="Q19">_xll.EQNXTDZ($A$1,$B19,Q$1)</f>
        <v>3452.7429999999999</v>
      </c>
      <c r="R19" cm="1">
        <f t="array" ref="R19">_xll.EQNXTDZ($A$1,$B19,R$1)</f>
        <v>10332.4283</v>
      </c>
      <c r="S19" cm="1">
        <f t="array" ref="S19">_xll.EQNXTDZ($A$1,$B19,S$1)</f>
        <v>7271.9718999999996</v>
      </c>
      <c r="T19" cm="1">
        <f t="array" ref="T19">_xll.EQNXTDZ($A$1,$B19,T$1)</f>
        <v>16109.099700000001</v>
      </c>
      <c r="U19" cm="1">
        <f t="array" ref="U19">_xll.EQNXTDZ($A$1,$B19,U$1)</f>
        <v>12918.275600000001</v>
      </c>
      <c r="V19" cm="1">
        <f t="array" ref="V19">_xll.EQNXTDZ($A$1,$B19,V$1)</f>
        <v>11115.392400000001</v>
      </c>
      <c r="W19" cm="1">
        <f t="array" ref="W19">_xll.EQNXTDZ($A$1,$B19,W$1)</f>
        <v>15981.7382</v>
      </c>
      <c r="X19" cm="1">
        <f t="array" ref="X19">_xll.EQNXTDZ($A$1,$B19,X$1)</f>
        <v>14127.3945</v>
      </c>
      <c r="Y19" cm="1">
        <f t="array" ref="Y19">_xll.EQNXTDZ($A$1,$B19,Y$1)</f>
        <v>13543.013000000001</v>
      </c>
      <c r="Z19" cm="1">
        <f t="array" ref="Z19">_xll.EQNXTDZ($A$1,$B19,Z$1)</f>
        <v>9707.6082000000006</v>
      </c>
      <c r="AA19" cm="1">
        <f t="array" ref="AA19">_xll.EQNXTDZ($A$1,$B19,AA$1)</f>
        <v>8763.5923000000003</v>
      </c>
      <c r="AB19" cm="1">
        <f t="array" ref="AB19">_xll.EQNXTDZ($A$1,$B19,AB$1)</f>
        <v>8111.9005999999999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10" customFormat="1" x14ac:dyDescent="0.25">
      <c r="A20" s="110" t="s">
        <v>65</v>
      </c>
      <c r="B20" s="110" t="s">
        <v>89</v>
      </c>
      <c r="C20" cm="1">
        <f t="array" ref="C20">_xll.EQNXTDZ($A$1,$B20,C$1)</f>
        <v>476.1</v>
      </c>
      <c r="D20" cm="1">
        <f t="array" ref="D20">_xll.EQNXTDZ($A$1,$B20,D$1)</f>
        <v>1051.4000000000001</v>
      </c>
      <c r="E20" cm="1">
        <f t="array" ref="E20">_xll.EQNXTDZ($A$1,$B20,E$1)</f>
        <v>1319.1819</v>
      </c>
      <c r="F20" cm="1">
        <f t="array" ref="F20">_xll.EQNXTDZ($A$1,$B20,F$1)</f>
        <v>1668.0056</v>
      </c>
      <c r="G20" cm="1">
        <f t="array" ref="G20">_xll.EQNXTDZ($A$1,$B20,G$1)</f>
        <v>1279.5045</v>
      </c>
      <c r="H20" cm="1">
        <f t="array" ref="H20">_xll.EQNXTDZ($A$1,$B20,H$1)</f>
        <v>1543.22</v>
      </c>
      <c r="I20" cm="1">
        <f t="array" ref="I20">_xll.EQNXTDZ($A$1,$B20,I$1)</f>
        <v>1670.81</v>
      </c>
      <c r="J20" cm="1">
        <f t="array" ref="J20">_xll.EQNXTDZ($A$1,$B20,J$1)</f>
        <v>1905.0066999999999</v>
      </c>
      <c r="K20" cm="1">
        <f t="array" ref="K20">_xll.EQNXTDZ($A$1,$B20,K$1)</f>
        <v>2572.42</v>
      </c>
      <c r="L20" cm="1">
        <f t="array" ref="L20">_xll.EQNXTDZ($A$1,$B20,L$1)</f>
        <v>3821.4304000000002</v>
      </c>
      <c r="M20" cm="1">
        <f t="array" ref="M20">_xll.EQNXTDZ($A$1,$B20,M$1)</f>
        <v>5025.8882000000003</v>
      </c>
      <c r="N20" cm="1">
        <f t="array" ref="N20">_xll.EQNXTDZ($A$1,$B20,N$1)</f>
        <v>4082.7130000000002</v>
      </c>
      <c r="O20" cm="1">
        <f t="array" ref="O20">_xll.EQNXTDZ($A$1,$B20,O$1)</f>
        <v>3672.1028999999999</v>
      </c>
      <c r="P20" cm="1">
        <f t="array" ref="P20">_xll.EQNXTDZ($A$1,$B20,P$1)</f>
        <v>3063.1945999999998</v>
      </c>
      <c r="Q20" cm="1">
        <f t="array" ref="Q20">_xll.EQNXTDZ($A$1,$B20,Q$1)</f>
        <v>3497.6242000000002</v>
      </c>
      <c r="R20" cm="1">
        <f t="array" ref="R20">_xll.EQNXTDZ($A$1,$B20,R$1)</f>
        <v>-3185.7728999999999</v>
      </c>
      <c r="S20" cm="1">
        <f t="array" ref="S20">_xll.EQNXTDZ($A$1,$B20,S$1)</f>
        <v>1641.9222</v>
      </c>
      <c r="T20" cm="1">
        <f t="array" ref="T20">_xll.EQNXTDZ($A$1,$B20,T$1)</f>
        <v>-6560.8576000000003</v>
      </c>
      <c r="U20" cm="1">
        <f t="array" ref="U20">_xll.EQNXTDZ($A$1,$B20,U$1)</f>
        <v>-2327.4049</v>
      </c>
      <c r="V20" cm="1">
        <f t="array" ref="V20">_xll.EQNXTDZ($A$1,$B20,V$1)</f>
        <v>-1755.5655999999999</v>
      </c>
      <c r="W20" cm="1">
        <f t="array" ref="W20">_xll.EQNXTDZ($A$1,$B20,W$1)</f>
        <v>3707.2267999999999</v>
      </c>
      <c r="X20" cm="1">
        <f t="array" ref="X20">_xll.EQNXTDZ($A$1,$B20,X$1)</f>
        <v>8961.5809000000008</v>
      </c>
      <c r="Y20" cm="1">
        <f t="array" ref="Y20">_xll.EQNXTDZ($A$1,$B20,Y$1)</f>
        <v>14173.0049</v>
      </c>
      <c r="Z20" cm="1">
        <f t="array" ref="Z20">_xll.EQNXTDZ($A$1,$B20,Z$1)</f>
        <v>19704.9692</v>
      </c>
      <c r="AA20" cm="1">
        <f t="array" ref="AA20">_xll.EQNXTDZ($A$1,$B20,AA$1)</f>
        <v>22626.671200000001</v>
      </c>
      <c r="AB20" cm="1">
        <f t="array" ref="AB20">_xll.EQNXTDZ($A$1,$B20,AB$1)</f>
        <v>24906.671200000001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10" customFormat="1" x14ac:dyDescent="0.25">
      <c r="A21" s="110" t="s">
        <v>66</v>
      </c>
      <c r="B21" s="110" t="s">
        <v>90</v>
      </c>
      <c r="C21" cm="1">
        <f t="array" ref="C21">_xll.EQNXTDZ($A$1,$B21,C$1)</f>
        <v>6250.9539000000004</v>
      </c>
      <c r="D21" cm="1">
        <f t="array" ref="D21">_xll.EQNXTDZ($A$1,$B21,D$1)</f>
        <v>7057.6953999999996</v>
      </c>
      <c r="E21" cm="1">
        <f t="array" ref="E21">_xll.EQNXTDZ($A$1,$B21,E$1)</f>
        <v>7150.9623000000001</v>
      </c>
      <c r="F21" cm="1">
        <f t="array" ref="F21">_xll.EQNXTDZ($A$1,$B21,F$1)</f>
        <v>7741.8283000000001</v>
      </c>
      <c r="G21" cm="1">
        <f t="array" ref="G21">_xll.EQNXTDZ($A$1,$B21,G$1)</f>
        <v>8006.2915999999996</v>
      </c>
      <c r="H21" cm="1">
        <f t="array" ref="H21">_xll.EQNXTDZ($A$1,$B21,H$1)</f>
        <v>8745.8071999999993</v>
      </c>
      <c r="I21" cm="1">
        <f t="array" ref="I21">_xll.EQNXTDZ($A$1,$B21,I$1)</f>
        <v>11394.695900000001</v>
      </c>
      <c r="J21" cm="1">
        <f t="array" ref="J21">_xll.EQNXTDZ($A$1,$B21,J$1)</f>
        <v>14848.602699999999</v>
      </c>
      <c r="K21" cm="1">
        <f t="array" ref="K21">_xll.EQNXTDZ($A$1,$B21,K$1)</f>
        <v>17357.846600000001</v>
      </c>
      <c r="L21" cm="1">
        <f t="array" ref="L21">_xll.EQNXTDZ($A$1,$B21,L$1)</f>
        <v>18588.434300000001</v>
      </c>
      <c r="M21" cm="1">
        <f t="array" ref="M21">_xll.EQNXTDZ($A$1,$B21,M$1)</f>
        <v>21725.642800000001</v>
      </c>
      <c r="N21" cm="1">
        <f t="array" ref="N21">_xll.EQNXTDZ($A$1,$B21,N$1)</f>
        <v>30495.505000000001</v>
      </c>
      <c r="O21" cm="1">
        <f t="array" ref="O21">_xll.EQNXTDZ($A$1,$B21,O$1)</f>
        <v>34358.839899999999</v>
      </c>
      <c r="P21" cm="1">
        <f t="array" ref="P21">_xll.EQNXTDZ($A$1,$B21,P$1)</f>
        <v>41042.1734</v>
      </c>
      <c r="Q21" cm="1">
        <f t="array" ref="Q21">_xll.EQNXTDZ($A$1,$B21,Q$1)</f>
        <v>45597.668700000002</v>
      </c>
      <c r="R21" cm="1">
        <f t="array" ref="R21">_xll.EQNXTDZ($A$1,$B21,R$1)</f>
        <v>51710.1875</v>
      </c>
      <c r="S21" cm="1">
        <f t="array" ref="S21">_xll.EQNXTDZ($A$1,$B21,S$1)</f>
        <v>47820.121200000001</v>
      </c>
      <c r="T21" cm="1">
        <f t="array" ref="T21">_xll.EQNXTDZ($A$1,$B21,T$1)</f>
        <v>52417.177600000003</v>
      </c>
      <c r="U21" cm="1">
        <f t="array" ref="U21">_xll.EQNXTDZ($A$1,$B21,U$1)</f>
        <v>53038.283199999998</v>
      </c>
      <c r="V21" cm="1">
        <f t="array" ref="V21">_xll.EQNXTDZ($A$1,$B21,V$1)</f>
        <v>58983.860399999998</v>
      </c>
      <c r="W21" cm="1">
        <f t="array" ref="W21">_xll.EQNXTDZ($A$1,$B21,W$1)</f>
        <v>81647.196100000001</v>
      </c>
      <c r="X21" cm="1">
        <f t="array" ref="X21">_xll.EQNXTDZ($A$1,$B21,X$1)</f>
        <v>80228.732600000003</v>
      </c>
      <c r="Y21" cm="1">
        <f t="array" ref="Y21">_xll.EQNXTDZ($A$1,$B21,Y$1)</f>
        <v>92583.219899999996</v>
      </c>
      <c r="Z21" cm="1">
        <f t="array" ref="Z21">_xll.EQNXTDZ($A$1,$B21,Z$1)</f>
        <v>113100.04300000001</v>
      </c>
      <c r="AA21" cm="1">
        <f t="array" ref="AA21">_xll.EQNXTDZ($A$1,$B21,AA$1)</f>
        <v>125181.20050000001</v>
      </c>
      <c r="AB21" cm="1">
        <f t="array" ref="AB21">_xll.EQNXTDZ($A$1,$B21,AB$1)</f>
        <v>134017.53409999999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10" customFormat="1" x14ac:dyDescent="0.25">
      <c r="A22" s="110" t="s">
        <v>67</v>
      </c>
      <c r="B22" s="110" t="s">
        <v>91</v>
      </c>
      <c r="C22" cm="1">
        <f t="array" ref="C22">_xll.EQNXTDZ($A$1,$B22,C$1)</f>
        <v>285.10000000000002</v>
      </c>
      <c r="D22" cm="1">
        <f t="array" ref="D22">_xll.EQNXTDZ($A$1,$B22,D$1)</f>
        <v>741.4</v>
      </c>
      <c r="E22" cm="1">
        <f t="array" ref="E22">_xll.EQNXTDZ($A$1,$B22,E$1)</f>
        <v>1018.8919</v>
      </c>
      <c r="F22" cm="1">
        <f t="array" ref="F22">_xll.EQNXTDZ($A$1,$B22,F$1)</f>
        <v>1338.0056</v>
      </c>
      <c r="G22" cm="1">
        <f t="array" ref="G22">_xll.EQNXTDZ($A$1,$B22,G$1)</f>
        <v>1109.5045</v>
      </c>
      <c r="H22" cm="1">
        <f t="array" ref="H22">_xll.EQNXTDZ($A$1,$B22,H$1)</f>
        <v>1343.22</v>
      </c>
      <c r="I22" cm="1">
        <f t="array" ref="I22">_xll.EQNXTDZ($A$1,$B22,I$1)</f>
        <v>1420.81</v>
      </c>
      <c r="J22" cm="1">
        <f t="array" ref="J22">_xll.EQNXTDZ($A$1,$B22,J$1)</f>
        <v>1565.0066999999999</v>
      </c>
      <c r="K22" cm="1">
        <f t="array" ref="K22">_xll.EQNXTDZ($A$1,$B22,K$1)</f>
        <v>2072.42</v>
      </c>
      <c r="L22" cm="1">
        <f t="array" ref="L22">_xll.EQNXTDZ($A$1,$B22,L$1)</f>
        <v>3021.4304000000002</v>
      </c>
      <c r="M22" cm="1">
        <f t="array" ref="M22">_xll.EQNXTDZ($A$1,$B22,M$1)</f>
        <v>4025.8881999999999</v>
      </c>
      <c r="N22" cm="1">
        <f t="array" ref="N22">_xll.EQNXTDZ($A$1,$B22,N$1)</f>
        <v>3282.7130000000002</v>
      </c>
      <c r="O22" cm="1">
        <f t="array" ref="O22">_xll.EQNXTDZ($A$1,$B22,O$1)</f>
        <v>2872.1028999999999</v>
      </c>
      <c r="P22" cm="1">
        <f t="array" ref="P22">_xll.EQNXTDZ($A$1,$B22,P$1)</f>
        <v>2438.1945999999998</v>
      </c>
      <c r="Q22" cm="1">
        <f t="array" ref="Q22">_xll.EQNXTDZ($A$1,$B22,Q$1)</f>
        <v>2702.6242000000002</v>
      </c>
      <c r="R22" cm="1">
        <f t="array" ref="R22">_xll.EQNXTDZ($A$1,$B22,R$1)</f>
        <v>-2812.8229000000001</v>
      </c>
      <c r="S22" cm="1">
        <f t="array" ref="S22">_xll.EQNXTDZ($A$1,$B22,S$1)</f>
        <v>1121.9222</v>
      </c>
      <c r="T22" cm="1">
        <f t="array" ref="T22">_xll.EQNXTDZ($A$1,$B22,T$1)</f>
        <v>-4222.2376000000004</v>
      </c>
      <c r="U22" cm="1">
        <f t="array" ref="U22">_xll.EQNXTDZ($A$1,$B22,U$1)</f>
        <v>347.01510000000002</v>
      </c>
      <c r="V22" cm="1">
        <f t="array" ref="V22">_xll.EQNXTDZ($A$1,$B22,V$1)</f>
        <v>-2235.7156</v>
      </c>
      <c r="W22" cm="1">
        <f t="array" ref="W22">_xll.EQNXTDZ($A$1,$B22,W$1)</f>
        <v>2557.5767999999998</v>
      </c>
      <c r="X22" cm="1">
        <f t="array" ref="X22">_xll.EQNXTDZ($A$1,$B22,X$1)</f>
        <v>5678.4108999999999</v>
      </c>
      <c r="Y22" cm="1">
        <f t="array" ref="Y22">_xll.EQNXTDZ($A$1,$B22,Y$1)</f>
        <v>10603.7649</v>
      </c>
      <c r="Z22" cm="1">
        <f t="array" ref="Z22">_xll.EQNXTDZ($A$1,$B22,Z$1)</f>
        <v>14554.3192</v>
      </c>
      <c r="AA22" cm="1">
        <f t="array" ref="AA22">_xll.EQNXTDZ($A$1,$B22,AA$1)</f>
        <v>17026.671200000001</v>
      </c>
      <c r="AB22" cm="1">
        <f t="array" ref="AB22">_xll.EQNXTDZ($A$1,$B22,AB$1)</f>
        <v>19186.671200000001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10" customFormat="1" x14ac:dyDescent="0.25">
      <c r="A23" s="110" t="s">
        <v>68</v>
      </c>
      <c r="B23" s="110" t="s">
        <v>92</v>
      </c>
      <c r="C23" cm="1">
        <f t="array" ref="C23">_xll.EQNXTDZ($A$1,$B23,C$1)</f>
        <v>0</v>
      </c>
      <c r="D23" cm="1">
        <f t="array" ref="D23">_xll.EQNXTDZ($A$1,$B23,D$1)</f>
        <v>0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10" customFormat="1" x14ac:dyDescent="0.25">
      <c r="A24" s="110" t="s">
        <v>69</v>
      </c>
      <c r="B24" s="110" t="s">
        <v>93</v>
      </c>
      <c r="C24" cm="1">
        <f t="array" ref="C24">_xll.EQNXTDZ($A$1,$B24,C$1)</f>
        <v>0</v>
      </c>
      <c r="D24" cm="1">
        <f t="array" ref="D24">_xll.EQNXTDZ($A$1,$B24,D$1)</f>
        <v>0</v>
      </c>
      <c r="E24" cm="1">
        <f t="array" ref="E24">_xll.EQNXTDZ($A$1,$B24,E$1)</f>
        <v>0</v>
      </c>
      <c r="F24" cm="1">
        <f t="array" ref="F24">_xll.EQNXTDZ($A$1,$B24,F$1)</f>
        <v>0</v>
      </c>
      <c r="G24" cm="1">
        <f t="array" ref="G24">_xll.EQNXTDZ($A$1,$B24,G$1)</f>
        <v>0</v>
      </c>
      <c r="H24" cm="1">
        <f t="array" ref="H24">_xll.EQNXTDZ($A$1,$B24,H$1)</f>
        <v>0</v>
      </c>
      <c r="I24" cm="1">
        <f t="array" ref="I24">_xll.EQNXTDZ($A$1,$B24,I$1)</f>
        <v>0</v>
      </c>
      <c r="J24" cm="1">
        <f t="array" ref="J24">_xll.EQNXTDZ($A$1,$B24,J$1)</f>
        <v>0</v>
      </c>
      <c r="K24" cm="1">
        <f t="array" ref="K24">_xll.EQNXTDZ($A$1,$B24,K$1)</f>
        <v>0</v>
      </c>
      <c r="L24" cm="1">
        <f t="array" ref="L24">_xll.EQNXTDZ($A$1,$B24,L$1)</f>
        <v>0</v>
      </c>
      <c r="M24" cm="1">
        <f t="array" ref="M24">_xll.EQNXTDZ($A$1,$B24,M$1)</f>
        <v>0</v>
      </c>
      <c r="N24" cm="1">
        <f t="array" ref="N24">_xll.EQNXTDZ($A$1,$B24,N$1)</f>
        <v>0</v>
      </c>
      <c r="O24" cm="1">
        <f t="array" ref="O24">_xll.EQNXTDZ($A$1,$B24,O$1)</f>
        <v>0</v>
      </c>
      <c r="P24" cm="1">
        <f t="array" ref="P24">_xll.EQNXTDZ($A$1,$B24,P$1)</f>
        <v>0</v>
      </c>
      <c r="Q24" cm="1">
        <f t="array" ref="Q24">_xll.EQNXTDZ($A$1,$B24,Q$1)</f>
        <v>0</v>
      </c>
      <c r="R24" cm="1">
        <f t="array" ref="R24">_xll.EQNXTDZ($A$1,$B24,R$1)</f>
        <v>0</v>
      </c>
      <c r="S24" cm="1">
        <f t="array" ref="S24">_xll.EQNXTDZ($A$1,$B24,S$1)</f>
        <v>-2812.8229999999999</v>
      </c>
      <c r="T24" cm="1">
        <f t="array" ref="T24">_xll.EQNXTDZ($A$1,$B24,T$1)</f>
        <v>-2748.9007999999999</v>
      </c>
      <c r="U24" cm="1">
        <f t="array" ref="U24">_xll.EQNXTDZ($A$1,$B24,U$1)</f>
        <v>-7035.0604999999996</v>
      </c>
      <c r="V24" cm="1">
        <f t="array" ref="V24">_xll.EQNXTDZ($A$1,$B24,V$1)</f>
        <v>-7035.0604999999996</v>
      </c>
      <c r="W24" cm="1">
        <f t="array" ref="W24">_xll.EQNXTDZ($A$1,$B24,W$1)</f>
        <v>-9270.7760999999991</v>
      </c>
      <c r="X24" cm="1">
        <f t="array" ref="X24">_xll.EQNXTDZ($A$1,$B24,X$1)</f>
        <v>-18495.2988</v>
      </c>
      <c r="Y24" cm="1">
        <f t="array" ref="Y24">_xll.EQNXTDZ($A$1,$B24,Y$1)</f>
        <v>2419.8755999999998</v>
      </c>
      <c r="Z24" cm="1">
        <f t="array" ref="Z24">_xll.EQNXTDZ($A$1,$B24,Z$1)</f>
        <v>5491.3478999999998</v>
      </c>
      <c r="AA24" cm="1">
        <f t="array" ref="AA24">_xll.EQNXTDZ($A$1,$B24,AA$1)</f>
        <v>11880.6217</v>
      </c>
      <c r="AB24" cm="1">
        <f t="array" ref="AB24">_xll.EQNXTDZ($A$1,$B24,AB$1)</f>
        <v>19249.982100000001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10" customFormat="1" x14ac:dyDescent="0.25">
      <c r="A25" s="110" t="s">
        <v>5</v>
      </c>
      <c r="B25" s="110" t="s">
        <v>94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10" customFormat="1" x14ac:dyDescent="0.25">
      <c r="A26" s="110" t="s">
        <v>70</v>
      </c>
      <c r="B26" s="110" t="s">
        <v>95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10" customFormat="1" x14ac:dyDescent="0.25">
      <c r="A27" s="110" t="s">
        <v>71</v>
      </c>
      <c r="B27" s="110" t="s">
        <v>96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10" customFormat="1" x14ac:dyDescent="0.25">
      <c r="A28" s="110" t="s">
        <v>72</v>
      </c>
      <c r="B28" s="110" t="s">
        <v>97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0</v>
      </c>
      <c r="X28" cm="1">
        <f t="array" ref="X28">_xll.EQNXTDZ($A$1,$B28,X$1)</f>
        <v>0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10" customFormat="1" x14ac:dyDescent="0.25">
      <c r="A29" s="110" t="s">
        <v>73</v>
      </c>
      <c r="B29" s="110" t="s">
        <v>98</v>
      </c>
      <c r="C29" cm="1">
        <f t="array" ref="C29">_xll.EQNXTDZ($A$1,$B29,C$1)</f>
        <v>285.10000000000002</v>
      </c>
      <c r="D29" cm="1">
        <f t="array" ref="D29">_xll.EQNXTDZ($A$1,$B29,D$1)</f>
        <v>741.4</v>
      </c>
      <c r="E29" cm="1">
        <f t="array" ref="E29">_xll.EQNXTDZ($A$1,$B29,E$1)</f>
        <v>1018.8919</v>
      </c>
      <c r="F29" cm="1">
        <f t="array" ref="F29">_xll.EQNXTDZ($A$1,$B29,F$1)</f>
        <v>1338.0056</v>
      </c>
      <c r="G29" cm="1">
        <f t="array" ref="G29">_xll.EQNXTDZ($A$1,$B29,G$1)</f>
        <v>1109.5045</v>
      </c>
      <c r="H29" cm="1">
        <f t="array" ref="H29">_xll.EQNXTDZ($A$1,$B29,H$1)</f>
        <v>1343.22</v>
      </c>
      <c r="I29" cm="1">
        <f t="array" ref="I29">_xll.EQNXTDZ($A$1,$B29,I$1)</f>
        <v>1420.81</v>
      </c>
      <c r="J29" cm="1">
        <f t="array" ref="J29">_xll.EQNXTDZ($A$1,$B29,J$1)</f>
        <v>1565.0066999999999</v>
      </c>
      <c r="K29" cm="1">
        <f t="array" ref="K29">_xll.EQNXTDZ($A$1,$B29,K$1)</f>
        <v>2072.42</v>
      </c>
      <c r="L29" cm="1">
        <f t="array" ref="L29">_xll.EQNXTDZ($A$1,$B29,L$1)</f>
        <v>3021.4304000000002</v>
      </c>
      <c r="M29" cm="1">
        <f t="array" ref="M29">_xll.EQNXTDZ($A$1,$B29,M$1)</f>
        <v>4025.8881999999999</v>
      </c>
      <c r="N29" cm="1">
        <f t="array" ref="N29">_xll.EQNXTDZ($A$1,$B29,N$1)</f>
        <v>3282.7130000000002</v>
      </c>
      <c r="O29" cm="1">
        <f t="array" ref="O29">_xll.EQNXTDZ($A$1,$B29,O$1)</f>
        <v>2872.1028999999999</v>
      </c>
      <c r="P29" cm="1">
        <f t="array" ref="P29">_xll.EQNXTDZ($A$1,$B29,P$1)</f>
        <v>2438.1945999999998</v>
      </c>
      <c r="Q29" cm="1">
        <f t="array" ref="Q29">_xll.EQNXTDZ($A$1,$B29,Q$1)</f>
        <v>2702.6242000000002</v>
      </c>
      <c r="R29" cm="1">
        <f t="array" ref="R29">_xll.EQNXTDZ($A$1,$B29,R$1)</f>
        <v>-2812.8229000000001</v>
      </c>
      <c r="S29" cm="1">
        <f t="array" ref="S29">_xll.EQNXTDZ($A$1,$B29,S$1)</f>
        <v>-1690.9007999999999</v>
      </c>
      <c r="T29" cm="1">
        <f t="array" ref="T29">_xll.EQNXTDZ($A$1,$B29,T$1)</f>
        <v>-6971.1383999999998</v>
      </c>
      <c r="U29" cm="1">
        <f t="array" ref="U29">_xll.EQNXTDZ($A$1,$B29,U$1)</f>
        <v>-6688.0454</v>
      </c>
      <c r="V29" cm="1">
        <f t="array" ref="V29">_xll.EQNXTDZ($A$1,$B29,V$1)</f>
        <v>-9270.7760999999991</v>
      </c>
      <c r="W29" cm="1">
        <f t="array" ref="W29">_xll.EQNXTDZ($A$1,$B29,W$1)</f>
        <v>-6713.1993000000002</v>
      </c>
      <c r="X29" cm="1">
        <f t="array" ref="X29">_xll.EQNXTDZ($A$1,$B29,X$1)</f>
        <v>-12816.8879</v>
      </c>
      <c r="Y29" cm="1">
        <f t="array" ref="Y29">_xll.EQNXTDZ($A$1,$B29,Y$1)</f>
        <v>13023.6405</v>
      </c>
      <c r="Z29" cm="1">
        <f t="array" ref="Z29">_xll.EQNXTDZ($A$1,$B29,Z$1)</f>
        <v>20045.667099999999</v>
      </c>
      <c r="AA29" cm="1">
        <f t="array" ref="AA29">_xll.EQNXTDZ($A$1,$B29,AA$1)</f>
        <v>28907.2929</v>
      </c>
      <c r="AB29" cm="1">
        <f t="array" ref="AB29">_xll.EQNXTDZ($A$1,$B29,AB$1)</f>
        <v>38436.653299999998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10" customFormat="1" x14ac:dyDescent="0.25">
      <c r="A30" s="110" t="s">
        <v>74</v>
      </c>
      <c r="B30" s="110" t="s">
        <v>99</v>
      </c>
      <c r="C30" cm="1">
        <f t="array" ref="C30">_xll.EQNXTDZ($A$1,$B30,C$1)</f>
        <v>285.10000000000002</v>
      </c>
      <c r="D30" cm="1">
        <f t="array" ref="D30">_xll.EQNXTDZ($A$1,$B30,D$1)</f>
        <v>741.4</v>
      </c>
      <c r="E30" cm="1">
        <f t="array" ref="E30">_xll.EQNXTDZ($A$1,$B30,E$1)</f>
        <v>1018.8919</v>
      </c>
      <c r="F30" cm="1">
        <f t="array" ref="F30">_xll.EQNXTDZ($A$1,$B30,F$1)</f>
        <v>1338.0056</v>
      </c>
      <c r="G30" cm="1">
        <f t="array" ref="G30">_xll.EQNXTDZ($A$1,$B30,G$1)</f>
        <v>1109.5045</v>
      </c>
      <c r="H30" cm="1">
        <f t="array" ref="H30">_xll.EQNXTDZ($A$1,$B30,H$1)</f>
        <v>1343.22</v>
      </c>
      <c r="I30" cm="1">
        <f t="array" ref="I30">_xll.EQNXTDZ($A$1,$B30,I$1)</f>
        <v>1420.81</v>
      </c>
      <c r="J30" cm="1">
        <f t="array" ref="J30">_xll.EQNXTDZ($A$1,$B30,J$1)</f>
        <v>1565.0066999999999</v>
      </c>
      <c r="K30" cm="1">
        <f t="array" ref="K30">_xll.EQNXTDZ($A$1,$B30,K$1)</f>
        <v>2072.42</v>
      </c>
      <c r="L30" cm="1">
        <f t="array" ref="L30">_xll.EQNXTDZ($A$1,$B30,L$1)</f>
        <v>3021.4304000000002</v>
      </c>
      <c r="M30" cm="1">
        <f t="array" ref="M30">_xll.EQNXTDZ($A$1,$B30,M$1)</f>
        <v>4025.8881999999999</v>
      </c>
      <c r="N30" cm="1">
        <f t="array" ref="N30">_xll.EQNXTDZ($A$1,$B30,N$1)</f>
        <v>3282.7130000000002</v>
      </c>
      <c r="O30" cm="1">
        <f t="array" ref="O30">_xll.EQNXTDZ($A$1,$B30,O$1)</f>
        <v>2872.1028999999999</v>
      </c>
      <c r="P30" cm="1">
        <f t="array" ref="P30">_xll.EQNXTDZ($A$1,$B30,P$1)</f>
        <v>2438.1945999999998</v>
      </c>
      <c r="Q30" cm="1">
        <f t="array" ref="Q30">_xll.EQNXTDZ($A$1,$B30,Q$1)</f>
        <v>2702.6242000000002</v>
      </c>
      <c r="R30" cm="1">
        <f t="array" ref="R30">_xll.EQNXTDZ($A$1,$B30,R$1)</f>
        <v>-2812.8229000000001</v>
      </c>
      <c r="S30" cm="1">
        <f t="array" ref="S30">_xll.EQNXTDZ($A$1,$B30,S$1)</f>
        <v>-1690.9007999999999</v>
      </c>
      <c r="T30" cm="1">
        <f t="array" ref="T30">_xll.EQNXTDZ($A$1,$B30,T$1)</f>
        <v>-6971.1383999999998</v>
      </c>
      <c r="U30" cm="1">
        <f t="array" ref="U30">_xll.EQNXTDZ($A$1,$B30,U$1)</f>
        <v>-6688.0454</v>
      </c>
      <c r="V30" cm="1">
        <f t="array" ref="V30">_xll.EQNXTDZ($A$1,$B30,V$1)</f>
        <v>-9270.7760999999991</v>
      </c>
      <c r="W30" cm="1">
        <f t="array" ref="W30">_xll.EQNXTDZ($A$1,$B30,W$1)</f>
        <v>-6713.1993000000002</v>
      </c>
      <c r="X30" cm="1">
        <f t="array" ref="X30">_xll.EQNXTDZ($A$1,$B30,X$1)</f>
        <v>-12816.8879</v>
      </c>
      <c r="Y30" cm="1">
        <f t="array" ref="Y30">_xll.EQNXTDZ($A$1,$B30,Y$1)</f>
        <v>13023.6405</v>
      </c>
      <c r="Z30" cm="1">
        <f t="array" ref="Z30">_xll.EQNXTDZ($A$1,$B30,Z$1)</f>
        <v>20045.667099999999</v>
      </c>
      <c r="AA30" cm="1">
        <f t="array" ref="AA30">_xll.EQNXTDZ($A$1,$B30,AA$1)</f>
        <v>28907.2929</v>
      </c>
      <c r="AB30" cm="1">
        <f t="array" ref="AB30">_xll.EQNXTDZ($A$1,$B30,AB$1)</f>
        <v>38436.653299999998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10" customFormat="1" x14ac:dyDescent="0.25">
      <c r="A31" s="110" t="s">
        <v>75</v>
      </c>
      <c r="B31" s="110" t="s">
        <v>100</v>
      </c>
      <c r="C31" cm="1">
        <f t="array" ref="C31">_xll.EQNXTDZ($A$1,$B31,C$1)</f>
        <v>9.8699999999999992</v>
      </c>
      <c r="D31" cm="1">
        <f t="array" ref="D31">_xll.EQNXTDZ($A$1,$B31,D$1)</f>
        <v>13.85</v>
      </c>
      <c r="E31" cm="1">
        <f t="array" ref="E31">_xll.EQNXTDZ($A$1,$B31,E$1)</f>
        <v>35</v>
      </c>
      <c r="F31" cm="1">
        <f t="array" ref="F31">_xll.EQNXTDZ($A$1,$B31,F$1)</f>
        <v>50</v>
      </c>
      <c r="G31" cm="1">
        <f t="array" ref="G31">_xll.EQNXTDZ($A$1,$B31,G$1)</f>
        <v>55</v>
      </c>
      <c r="H31" cm="1">
        <f t="array" ref="H31">_xll.EQNXTDZ($A$1,$B31,H$1)</f>
        <v>66</v>
      </c>
      <c r="I31" cm="1">
        <f t="array" ref="I31">_xll.EQNXTDZ($A$1,$B31,I$1)</f>
        <v>70</v>
      </c>
      <c r="J31" cm="1">
        <f t="array" ref="J31">_xll.EQNXTDZ($A$1,$B31,J$1)</f>
        <v>80</v>
      </c>
      <c r="K31" cm="1">
        <f t="array" ref="K31">_xll.EQNXTDZ($A$1,$B31,K$1)</f>
        <v>80</v>
      </c>
      <c r="L31" cm="1">
        <f t="array" ref="L31">_xll.EQNXTDZ($A$1,$B31,L$1)</f>
        <v>100</v>
      </c>
      <c r="M31" cm="1">
        <f t="array" ref="M31">_xll.EQNXTDZ($A$1,$B31,M$1)</f>
        <v>110</v>
      </c>
      <c r="N31" cm="1">
        <f t="array" ref="N31">_xll.EQNXTDZ($A$1,$B31,N$1)</f>
        <v>110</v>
      </c>
      <c r="O31" cm="1">
        <f t="array" ref="O31">_xll.EQNXTDZ($A$1,$B31,O$1)</f>
        <v>130</v>
      </c>
      <c r="P31" cm="1">
        <f t="array" ref="P31">_xll.EQNXTDZ($A$1,$B31,P$1)</f>
        <v>110</v>
      </c>
      <c r="Q31" cm="1">
        <f t="array" ref="Q31">_xll.EQNXTDZ($A$1,$B31,Q$1)</f>
        <v>105</v>
      </c>
      <c r="R31" cm="1">
        <f t="array" ref="R31">_xll.EQNXTDZ($A$1,$B31,R$1)</f>
        <v>0</v>
      </c>
      <c r="S31" cm="1">
        <f t="array" ref="S31">_xll.EQNXTDZ($A$1,$B31,S$1)</f>
        <v>10</v>
      </c>
      <c r="T31" cm="1">
        <f t="array" ref="T31">_xll.EQNXTDZ($A$1,$B31,T$1)</f>
        <v>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0</v>
      </c>
      <c r="X31" cm="1">
        <f t="array" ref="X31">_xll.EQNXTDZ($A$1,$B31,X$1)</f>
        <v>65</v>
      </c>
      <c r="Y31" cm="1">
        <f t="array" ref="Y31">_xll.EQNXTDZ($A$1,$B31,Y$1)</f>
        <v>120</v>
      </c>
      <c r="Z31" cm="1">
        <f t="array" ref="Z31">_xll.EQNXTDZ($A$1,$B31,Z$1)</f>
        <v>161</v>
      </c>
      <c r="AA31" cm="1">
        <f t="array" ref="AA31">_xll.EQNXTDZ($A$1,$B31,AA$1)</f>
        <v>200</v>
      </c>
      <c r="AB31" cm="1">
        <f t="array" ref="AB31">_xll.EQNXTDZ($A$1,$B31,AB$1)</f>
        <v>210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10" customFormat="1" x14ac:dyDescent="0.25">
      <c r="A32" s="110" t="s">
        <v>76</v>
      </c>
      <c r="B32" s="110" t="s">
        <v>101</v>
      </c>
      <c r="C32" cm="1">
        <f t="array" ref="C32">_xll.EQNXTDZ($A$1,$B32,C$1)</f>
        <v>4.93365181431541</v>
      </c>
      <c r="D32" cm="1">
        <f t="array" ref="D32">_xll.EQNXTDZ($A$1,$B32,D$1)</f>
        <v>12.8299174154102</v>
      </c>
      <c r="E32" cm="1">
        <f t="array" ref="E32">_xll.EQNXTDZ($A$1,$B32,E$1)</f>
        <v>24.851021951219501</v>
      </c>
      <c r="F32" cm="1">
        <f t="array" ref="F32">_xll.EQNXTDZ($A$1,$B32,F$1)</f>
        <v>32.6342829268293</v>
      </c>
      <c r="G32" cm="1">
        <f t="array" ref="G32">_xll.EQNXTDZ($A$1,$B32,G$1)</f>
        <v>27.0610853658537</v>
      </c>
      <c r="H32" cm="1">
        <f t="array" ref="H32">_xll.EQNXTDZ($A$1,$B32,H$1)</f>
        <v>32.7614634146341</v>
      </c>
      <c r="I32" cm="1">
        <f t="array" ref="I32">_xll.EQNXTDZ($A$1,$B32,I$1)</f>
        <v>34.653902439024399</v>
      </c>
      <c r="J32" cm="1">
        <f t="array" ref="J32">_xll.EQNXTDZ($A$1,$B32,J$1)</f>
        <v>38.170895121951197</v>
      </c>
      <c r="K32" cm="1">
        <f t="array" ref="K32">_xll.EQNXTDZ($A$1,$B32,K$1)</f>
        <v>50.546799999999998</v>
      </c>
      <c r="L32" cm="1">
        <f t="array" ref="L32">_xll.EQNXTDZ($A$1,$B32,L$1)</f>
        <v>73.693399999999997</v>
      </c>
      <c r="M32" cm="1">
        <f t="array" ref="M32">_xll.EQNXTDZ($A$1,$B32,M$1)</f>
        <v>90.877799999999993</v>
      </c>
      <c r="N32" cm="1">
        <f t="array" ref="N32">_xll.EQNXTDZ($A$1,$B32,N$1)</f>
        <v>74.101900000000001</v>
      </c>
      <c r="O32" cm="1">
        <f t="array" ref="O32">_xll.EQNXTDZ($A$1,$B32,O$1)</f>
        <v>64.832999999999998</v>
      </c>
      <c r="P32" cm="1">
        <f t="array" ref="P32">_xll.EQNXTDZ($A$1,$B32,P$1)</f>
        <v>52.8596</v>
      </c>
      <c r="Q32" cm="1">
        <f t="array" ref="Q32">_xll.EQNXTDZ($A$1,$B32,Q$1)</f>
        <v>56.873800000000003</v>
      </c>
      <c r="R32" cm="1">
        <f t="array" ref="R32">_xll.EQNXTDZ($A$1,$B32,R$1)</f>
        <v>-51.802399999999999</v>
      </c>
      <c r="S32" cm="1">
        <f t="array" ref="S32">_xll.EQNXTDZ($A$1,$B32,S$1)</f>
        <v>18.7835</v>
      </c>
      <c r="T32" cm="1">
        <f t="array" ref="T32">_xll.EQNXTDZ($A$1,$B32,T$1)</f>
        <v>-57.582900000000002</v>
      </c>
      <c r="U32" cm="1">
        <f t="array" ref="U32">_xll.EQNXTDZ($A$1,$B32,U$1)</f>
        <v>4.6069365497113299</v>
      </c>
      <c r="V32" cm="1">
        <f t="array" ref="V32">_xll.EQNXTDZ($A$1,$B32,V$1)</f>
        <v>-21.7011</v>
      </c>
      <c r="W32" cm="1">
        <f t="array" ref="W32">_xll.EQNXTDZ($A$1,$B32,W$1)</f>
        <v>15.531168220910899</v>
      </c>
      <c r="X32" cm="1">
        <f t="array" ref="X32">_xll.EQNXTDZ($A$1,$B32,X$1)</f>
        <v>31.3010090840774</v>
      </c>
      <c r="Y32" cm="1">
        <f t="array" ref="Y32">_xll.EQNXTDZ($A$1,$B32,Y$1)</f>
        <v>58.450955259387896</v>
      </c>
      <c r="Z32" cm="1">
        <f t="array" ref="Z32">_xll.EQNXTDZ($A$1,$B32,Z$1)</f>
        <v>80.227500000000006</v>
      </c>
      <c r="AA32" cm="1">
        <f t="array" ref="AA32">_xll.EQNXTDZ($A$1,$B32,AA$1)</f>
        <v>18.7712</v>
      </c>
      <c r="AB32" cm="1">
        <f t="array" ref="AB32">_xll.EQNXTDZ($A$1,$B32,AB$1)</f>
        <v>21.1525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10" customFormat="1" x14ac:dyDescent="0.25">
      <c r="A33" s="110" t="s">
        <v>77</v>
      </c>
      <c r="B33" s="110" t="s">
        <v>102</v>
      </c>
      <c r="C33" cm="1">
        <f t="array" ref="C33">_xll.EQNXTDZ($A$1,$B33,C$1)</f>
        <v>0.95976952310923302</v>
      </c>
      <c r="D33" cm="1">
        <f t="array" ref="D33">_xll.EQNXTDZ($A$1,$B33,D$1)</f>
        <v>2.4958720604461102</v>
      </c>
      <c r="E33" cm="1">
        <f t="array" ref="E33">_xll.EQNXTDZ($A$1,$B33,E$1)</f>
        <v>4.8344014504008097</v>
      </c>
      <c r="F33" cm="1">
        <f t="array" ref="F33">_xll.EQNXTDZ($A$1,$B33,F$1)</f>
        <v>6.3485205970176102</v>
      </c>
      <c r="G33" cm="1">
        <f t="array" ref="G33">_xll.EQNXTDZ($A$1,$B33,G$1)</f>
        <v>5.2643368388994203</v>
      </c>
      <c r="H33" cm="1">
        <f t="array" ref="H33">_xll.EQNXTDZ($A$1,$B33,H$1)</f>
        <v>6.37326169361772</v>
      </c>
      <c r="I33" cm="1">
        <f t="array" ref="I33">_xll.EQNXTDZ($A$1,$B33,I$1)</f>
        <v>6.7414079204516</v>
      </c>
      <c r="J33" cm="1">
        <f t="array" ref="J33">_xll.EQNXTDZ($A$1,$B33,J$1)</f>
        <v>7.42558720936636</v>
      </c>
      <c r="K33" cm="1">
        <f t="array" ref="K33">_xll.EQNXTDZ($A$1,$B33,K$1)</f>
        <v>9.8331377966179794</v>
      </c>
      <c r="L33" cm="1">
        <f t="array" ref="L33">_xll.EQNXTDZ($A$1,$B33,L$1)</f>
        <v>14.335968981246801</v>
      </c>
      <c r="M33" cm="1">
        <f t="array" ref="M33">_xll.EQNXTDZ($A$1,$B33,M$1)</f>
        <v>17.678941694696601</v>
      </c>
      <c r="N33" cm="1">
        <f t="array" ref="N33">_xll.EQNXTDZ($A$1,$B33,N$1)</f>
        <v>14.415436658526501</v>
      </c>
      <c r="O33" cm="1">
        <f t="array" ref="O33">_xll.EQNXTDZ($A$1,$B33,O$1)</f>
        <v>12.612308252315399</v>
      </c>
      <c r="P33" cm="1">
        <f t="array" ref="P33">_xll.EQNXTDZ($A$1,$B33,P$1)</f>
        <v>10.283059079389901</v>
      </c>
      <c r="Q33" cm="1">
        <f t="array" ref="Q33">_xll.EQNXTDZ($A$1,$B33,Q$1)</f>
        <v>11.0639627516933</v>
      </c>
      <c r="R33" cm="1">
        <f t="array" ref="R33">_xll.EQNXTDZ($A$1,$B33,R$1)</f>
        <v>-10.0773963415196</v>
      </c>
      <c r="S33" cm="1">
        <f t="array" ref="S33">_xll.EQNXTDZ($A$1,$B33,S$1)</f>
        <v>3.7566999999999999</v>
      </c>
      <c r="T33" cm="1">
        <f t="array" ref="T33">_xll.EQNXTDZ($A$1,$B33,T$1)</f>
        <v>-11.516579999999999</v>
      </c>
      <c r="U33" cm="1">
        <f t="array" ref="U33">_xll.EQNXTDZ($A$1,$B33,U$1)</f>
        <v>0.92138730994226603</v>
      </c>
      <c r="V33" cm="1">
        <f t="array" ref="V33">_xll.EQNXTDZ($A$1,$B33,V$1)</f>
        <v>-4.3402200000000004</v>
      </c>
      <c r="W33" cm="1">
        <f t="array" ref="W33">_xll.EQNXTDZ($A$1,$B33,W$1)</f>
        <v>3.1062336441821801</v>
      </c>
      <c r="X33" cm="1">
        <f t="array" ref="X33">_xll.EQNXTDZ($A$1,$B33,X$1)</f>
        <v>6.2602018168154698</v>
      </c>
      <c r="Y33" cm="1">
        <f t="array" ref="Y33">_xll.EQNXTDZ($A$1,$B33,Y$1)</f>
        <v>11.690200000000001</v>
      </c>
      <c r="Z33" cm="1">
        <f t="array" ref="Z33">_xll.EQNXTDZ($A$1,$B33,Z$1)</f>
        <v>16.045500000000001</v>
      </c>
      <c r="AA33" cm="1">
        <f t="array" ref="AA33">_xll.EQNXTDZ($A$1,$B33,AA$1)</f>
        <v>18.7712</v>
      </c>
      <c r="AB33" cm="1">
        <f t="array" ref="AB33">_xll.EQNXTDZ($A$1,$B33,AB$1)</f>
        <v>21.1525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10" customFormat="1" x14ac:dyDescent="0.25">
      <c r="A34" s="110" t="s">
        <v>78</v>
      </c>
      <c r="B34" s="110" t="s">
        <v>103</v>
      </c>
      <c r="C34" cm="1">
        <f t="array" ref="C34">_xll.EQNXTDZ($A$1,$B34,C$1)</f>
        <v>0.95976952310923302</v>
      </c>
      <c r="D34" cm="1">
        <f t="array" ref="D34">_xll.EQNXTDZ($A$1,$B34,D$1)</f>
        <v>2.4958720604461102</v>
      </c>
      <c r="E34" cm="1">
        <f t="array" ref="E34">_xll.EQNXTDZ($A$1,$B34,E$1)</f>
        <v>4.8344014504008097</v>
      </c>
      <c r="F34" cm="1">
        <f t="array" ref="F34">_xll.EQNXTDZ($A$1,$B34,F$1)</f>
        <v>6.3485205970176102</v>
      </c>
      <c r="G34" cm="1">
        <f t="array" ref="G34">_xll.EQNXTDZ($A$1,$B34,G$1)</f>
        <v>5.2643368388994203</v>
      </c>
      <c r="H34" cm="1">
        <f t="array" ref="H34">_xll.EQNXTDZ($A$1,$B34,H$1)</f>
        <v>6.37326169361772</v>
      </c>
      <c r="I34" cm="1">
        <f t="array" ref="I34">_xll.EQNXTDZ($A$1,$B34,I$1)</f>
        <v>6.7414079204516</v>
      </c>
      <c r="J34" cm="1">
        <f t="array" ref="J34">_xll.EQNXTDZ($A$1,$B34,J$1)</f>
        <v>7.42558720936636</v>
      </c>
      <c r="K34" cm="1">
        <f t="array" ref="K34">_xll.EQNXTDZ($A$1,$B34,K$1)</f>
        <v>9.8331377966179794</v>
      </c>
      <c r="L34" cm="1">
        <f t="array" ref="L34">_xll.EQNXTDZ($A$1,$B34,L$1)</f>
        <v>14.335968981246801</v>
      </c>
      <c r="M34" cm="1">
        <f t="array" ref="M34">_xll.EQNXTDZ($A$1,$B34,M$1)</f>
        <v>17.678941694696601</v>
      </c>
      <c r="N34" cm="1">
        <f t="array" ref="N34">_xll.EQNXTDZ($A$1,$B34,N$1)</f>
        <v>14.415436658526501</v>
      </c>
      <c r="O34" cm="1">
        <f t="array" ref="O34">_xll.EQNXTDZ($A$1,$B34,O$1)</f>
        <v>12.612308252315399</v>
      </c>
      <c r="P34" cm="1">
        <f t="array" ref="P34">_xll.EQNXTDZ($A$1,$B34,P$1)</f>
        <v>10.283059079389901</v>
      </c>
      <c r="Q34" cm="1">
        <f t="array" ref="Q34">_xll.EQNXTDZ($A$1,$B34,Q$1)</f>
        <v>11.0639627516933</v>
      </c>
      <c r="R34" cm="1">
        <f t="array" ref="R34">_xll.EQNXTDZ($A$1,$B34,R$1)</f>
        <v>-51.802399999999999</v>
      </c>
      <c r="S34" cm="1">
        <f t="array" ref="S34">_xll.EQNXTDZ($A$1,$B34,S$1)</f>
        <v>3.7566999999999999</v>
      </c>
      <c r="T34" cm="1">
        <f t="array" ref="T34">_xll.EQNXTDZ($A$1,$B34,T$1)</f>
        <v>-57.582900000000002</v>
      </c>
      <c r="U34" cm="1">
        <f t="array" ref="U34">_xll.EQNXTDZ($A$1,$B34,U$1)</f>
        <v>0.92138730994226603</v>
      </c>
      <c r="V34" cm="1">
        <f t="array" ref="V34">_xll.EQNXTDZ($A$1,$B34,V$1)</f>
        <v>-21.7011</v>
      </c>
      <c r="W34" cm="1">
        <f t="array" ref="W34">_xll.EQNXTDZ($A$1,$B34,W$1)</f>
        <v>3.1062336441821801</v>
      </c>
      <c r="X34" cm="1">
        <f t="array" ref="X34">_xll.EQNXTDZ($A$1,$B34,X$1)</f>
        <v>6.2602018168154698</v>
      </c>
      <c r="Y34" cm="1">
        <f t="array" ref="Y34">_xll.EQNXTDZ($A$1,$B34,Y$1)</f>
        <v>11.690200000000001</v>
      </c>
      <c r="Z34" cm="1">
        <f t="array" ref="Z34">_xll.EQNXTDZ($A$1,$B34,Z$1)</f>
        <v>16.045500000000001</v>
      </c>
      <c r="AA34" cm="1">
        <f t="array" ref="AA34">_xll.EQNXTDZ($A$1,$B34,AA$1)</f>
        <v>18.7712</v>
      </c>
      <c r="AB34" cm="1">
        <f t="array" ref="AB34">_xll.EQNXTDZ($A$1,$B34,AB$1)</f>
        <v>21.1525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10" customFormat="1" x14ac:dyDescent="0.25">
      <c r="A35" s="110" t="s">
        <v>79</v>
      </c>
      <c r="B35" s="110" t="s">
        <v>104</v>
      </c>
      <c r="C35" cm="1">
        <f t="array" ref="C35">_xll.EQNXTDZ($A$1,$B35,C$1)</f>
        <v>285.10000000000002</v>
      </c>
      <c r="D35" cm="1">
        <f t="array" ref="D35">_xll.EQNXTDZ($A$1,$B35,D$1)</f>
        <v>741.4</v>
      </c>
      <c r="E35" cm="1">
        <f t="array" ref="E35">_xll.EQNXTDZ($A$1,$B35,E$1)</f>
        <v>1018.8919</v>
      </c>
      <c r="F35" cm="1">
        <f t="array" ref="F35">_xll.EQNXTDZ($A$1,$B35,F$1)</f>
        <v>1338.0056</v>
      </c>
      <c r="G35" cm="1">
        <f t="array" ref="G35">_xll.EQNXTDZ($A$1,$B35,G$1)</f>
        <v>1109.5045</v>
      </c>
      <c r="H35" cm="1">
        <f t="array" ref="H35">_xll.EQNXTDZ($A$1,$B35,H$1)</f>
        <v>1343.22</v>
      </c>
      <c r="I35" cm="1">
        <f t="array" ref="I35">_xll.EQNXTDZ($A$1,$B35,I$1)</f>
        <v>1420.81</v>
      </c>
      <c r="J35" cm="1">
        <f t="array" ref="J35">_xll.EQNXTDZ($A$1,$B35,J$1)</f>
        <v>1565.0066999999999</v>
      </c>
      <c r="K35" cm="1">
        <f t="array" ref="K35">_xll.EQNXTDZ($A$1,$B35,K$1)</f>
        <v>2072.42</v>
      </c>
      <c r="L35" cm="1">
        <f t="array" ref="L35">_xll.EQNXTDZ($A$1,$B35,L$1)</f>
        <v>3021.4304000000002</v>
      </c>
      <c r="M35" cm="1">
        <f t="array" ref="M35">_xll.EQNXTDZ($A$1,$B35,M$1)</f>
        <v>4025.8881999999999</v>
      </c>
      <c r="N35" cm="1">
        <f t="array" ref="N35">_xll.EQNXTDZ($A$1,$B35,N$1)</f>
        <v>3282.7130000000002</v>
      </c>
      <c r="O35" cm="1">
        <f t="array" ref="O35">_xll.EQNXTDZ($A$1,$B35,O$1)</f>
        <v>2872.1028999999999</v>
      </c>
      <c r="P35" cm="1">
        <f t="array" ref="P35">_xll.EQNXTDZ($A$1,$B35,P$1)</f>
        <v>2438.1945999999998</v>
      </c>
      <c r="Q35" cm="1">
        <f t="array" ref="Q35">_xll.EQNXTDZ($A$1,$B35,Q$1)</f>
        <v>2702.6242000000002</v>
      </c>
      <c r="R35" cm="1">
        <f t="array" ref="R35">_xll.EQNXTDZ($A$1,$B35,R$1)</f>
        <v>-2812.8229000000001</v>
      </c>
      <c r="S35" cm="1">
        <f t="array" ref="S35">_xll.EQNXTDZ($A$1,$B35,S$1)</f>
        <v>1121.9222</v>
      </c>
      <c r="T35" cm="1">
        <f t="array" ref="T35">_xll.EQNXTDZ($A$1,$B35,T$1)</f>
        <v>-4222.2376000000004</v>
      </c>
      <c r="U35" cm="1">
        <f t="array" ref="U35">_xll.EQNXTDZ($A$1,$B35,U$1)</f>
        <v>347.01510000000002</v>
      </c>
      <c r="V35" cm="1">
        <f t="array" ref="V35">_xll.EQNXTDZ($A$1,$B35,V$1)</f>
        <v>-2235.7156</v>
      </c>
      <c r="W35" cm="1">
        <f t="array" ref="W35">_xll.EQNXTDZ($A$1,$B35,W$1)</f>
        <v>2557.5767999999998</v>
      </c>
      <c r="X35" cm="1">
        <f t="array" ref="X35">_xll.EQNXTDZ($A$1,$B35,X$1)</f>
        <v>5678.4108999999999</v>
      </c>
      <c r="Y35" cm="1">
        <f t="array" ref="Y35">_xll.EQNXTDZ($A$1,$B35,Y$1)</f>
        <v>10603.7649</v>
      </c>
      <c r="Z35" cm="1">
        <f t="array" ref="Z35">_xll.EQNXTDZ($A$1,$B35,Z$1)</f>
        <v>14554.3192</v>
      </c>
      <c r="AA35" cm="1">
        <f t="array" ref="AA35">_xll.EQNXTDZ($A$1,$B35,AA$1)</f>
        <v>17026.671200000001</v>
      </c>
      <c r="AB35" cm="1">
        <f t="array" ref="AB35">_xll.EQNXTDZ($A$1,$B35,AB$1)</f>
        <v>19186.671200000001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56</v>
      </c>
      <c r="B37" t="s">
        <v>57</v>
      </c>
    </row>
    <row r="38" spans="1:32" s="110" customFormat="1" x14ac:dyDescent="0.25">
      <c r="A38" s="110" t="s">
        <v>173</v>
      </c>
      <c r="B38" s="110" t="s">
        <v>177</v>
      </c>
      <c r="C38" cm="1">
        <f t="array" ref="C38">_xll.EQNXTDZ($A$1,$B38,C$1)</f>
        <v>577.86810000000003</v>
      </c>
      <c r="D38" cm="1">
        <f t="array" ref="D38">_xll.EQNXTDZ($A$1,$B38,D$1)</f>
        <v>577.86810000000003</v>
      </c>
      <c r="E38" cm="1">
        <f t="array" ref="E38">_xll.EQNXTDZ($A$1,$B38,E$1)</f>
        <v>410</v>
      </c>
      <c r="F38" cm="1">
        <f t="array" ref="F38">_xll.EQNXTDZ($A$1,$B38,F$1)</f>
        <v>410</v>
      </c>
      <c r="G38" cm="1">
        <f t="array" ref="G38">_xll.EQNXTDZ($A$1,$B38,G$1)</f>
        <v>410</v>
      </c>
      <c r="H38" cm="1">
        <f t="array" ref="H38">_xll.EQNXTDZ($A$1,$B38,H$1)</f>
        <v>410</v>
      </c>
      <c r="I38" cm="1">
        <f t="array" ref="I38">_xll.EQNXTDZ($A$1,$B38,I$1)</f>
        <v>410</v>
      </c>
      <c r="J38" cm="1">
        <f t="array" ref="J38">_xll.EQNXTDZ($A$1,$B38,J$1)</f>
        <v>410</v>
      </c>
      <c r="K38" cm="1">
        <f t="array" ref="K38">_xll.EQNXTDZ($A$1,$B38,K$1)</f>
        <v>410</v>
      </c>
      <c r="L38" cm="1">
        <f t="array" ref="L38">_xll.EQNXTDZ($A$1,$B38,L$1)</f>
        <v>410</v>
      </c>
      <c r="M38" cm="1">
        <f t="array" ref="M38">_xll.EQNXTDZ($A$1,$B38,M$1)</f>
        <v>443</v>
      </c>
      <c r="N38" cm="1">
        <f t="array" ref="N38">_xll.EQNXTDZ($A$1,$B38,N$1)</f>
        <v>443</v>
      </c>
      <c r="O38" cm="1">
        <f t="array" ref="O38">_xll.EQNXTDZ($A$1,$B38,O$1)</f>
        <v>443</v>
      </c>
      <c r="P38" cm="1">
        <f t="array" ref="P38">_xll.EQNXTDZ($A$1,$B38,P$1)</f>
        <v>461.25880000000001</v>
      </c>
      <c r="Q38" cm="1">
        <f t="array" ref="Q38">_xll.EQNXTDZ($A$1,$B38,Q$1)</f>
        <v>475.197</v>
      </c>
      <c r="R38" cm="1">
        <f t="array" ref="R38">_xll.EQNXTDZ($A$1,$B38,R$1)</f>
        <v>542.99099999999999</v>
      </c>
      <c r="S38" cm="1">
        <f t="array" ref="S38">_xll.EQNXTDZ($A$1,$B38,S$1)</f>
        <v>597.29020000000003</v>
      </c>
      <c r="T38" cm="1">
        <f t="array" ref="T38">_xll.EQNXTDZ($A$1,$B38,T$1)</f>
        <v>733.24480000000005</v>
      </c>
      <c r="U38" cm="1">
        <f t="array" ref="U38">_xll.EQNXTDZ($A$1,$B38,U$1)</f>
        <v>753.24480000000005</v>
      </c>
      <c r="V38" cm="1">
        <f t="array" ref="V38">_xll.EQNXTDZ($A$1,$B38,V$1)</f>
        <v>1030.2334000000001</v>
      </c>
      <c r="W38" cm="1">
        <f t="array" ref="W38">_xll.EQNXTDZ($A$1,$B38,W$1)</f>
        <v>1646.7382</v>
      </c>
      <c r="X38" cm="1">
        <f t="array" ref="X38">_xll.EQNXTDZ($A$1,$B38,X$1)</f>
        <v>1814.1303</v>
      </c>
      <c r="Y38" cm="1">
        <f t="array" ref="Y38">_xll.EQNXTDZ($A$1,$B38,Y$1)</f>
        <v>1814.1303</v>
      </c>
      <c r="Z38" cm="1">
        <f t="array" ref="Z38">_xll.EQNXTDZ($A$1,$B38,Z$1)</f>
        <v>1814.1303</v>
      </c>
      <c r="AA38" cm="1">
        <f t="array" ref="AA38">_xll.EQNXTDZ($A$1,$B38,AA$1)</f>
        <v>1814.1303</v>
      </c>
      <c r="AB38" cm="1">
        <f t="array" ref="AB38">_xll.EQNXTDZ($A$1,$B38,AB$1)</f>
        <v>1814.1303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10" customFormat="1" x14ac:dyDescent="0.25">
      <c r="A39" s="110" t="s">
        <v>174</v>
      </c>
      <c r="B39" s="110" t="s">
        <v>178</v>
      </c>
      <c r="C39" cm="1">
        <f t="array" ref="C39">_xll.EQNXTDZ($A$1,$B39,C$1)</f>
        <v>2236.5819000000001</v>
      </c>
      <c r="D39" cm="1">
        <f t="array" ref="D39">_xll.EQNXTDZ($A$1,$B39,D$1)</f>
        <v>2893.6269000000002</v>
      </c>
      <c r="E39" cm="1">
        <f t="array" ref="E39">_xll.EQNXTDZ($A$1,$B39,E$1)</f>
        <v>3738.8283000000001</v>
      </c>
      <c r="F39" cm="1">
        <f t="array" ref="F39">_xll.EQNXTDZ($A$1,$B39,F$1)</f>
        <v>4841.643</v>
      </c>
      <c r="G39" cm="1">
        <f t="array" ref="G39">_xll.EQNXTDZ($A$1,$B39,G$1)</f>
        <v>5698.9571999999998</v>
      </c>
      <c r="H39" cm="1">
        <f t="array" ref="H39">_xll.EQNXTDZ($A$1,$B39,H$1)</f>
        <v>6722.2358000000004</v>
      </c>
      <c r="I39" cm="1">
        <f t="array" ref="I39">_xll.EQNXTDZ($A$1,$B39,I$1)</f>
        <v>9943.9861000000001</v>
      </c>
      <c r="J39" cm="1">
        <f t="array" ref="J39">_xll.EQNXTDZ($A$1,$B39,J$1)</f>
        <v>10090.4923</v>
      </c>
      <c r="K39" cm="1">
        <f t="array" ref="K39">_xll.EQNXTDZ($A$1,$B39,K$1)</f>
        <v>11797.769200000001</v>
      </c>
      <c r="L39" cm="1">
        <f t="array" ref="L39">_xll.EQNXTDZ($A$1,$B39,L$1)</f>
        <v>14261.7834</v>
      </c>
      <c r="M39" cm="1">
        <f t="array" ref="M39">_xll.EQNXTDZ($A$1,$B39,M$1)</f>
        <v>19596.818800000001</v>
      </c>
      <c r="N39" cm="1">
        <f t="array" ref="N39">_xll.EQNXTDZ($A$1,$B39,N$1)</f>
        <v>22246.955600000001</v>
      </c>
      <c r="O39" cm="1">
        <f t="array" ref="O39">_xll.EQNXTDZ($A$1,$B39,O$1)</f>
        <v>24434.7889</v>
      </c>
      <c r="P39" cm="1">
        <f t="array" ref="P39">_xll.EQNXTDZ($A$1,$B39,P$1)</f>
        <v>29158.8544</v>
      </c>
      <c r="Q39" cm="1">
        <f t="array" ref="Q39">_xll.EQNXTDZ($A$1,$B39,Q$1)</f>
        <v>31384.035500000002</v>
      </c>
      <c r="R39" cm="1">
        <f t="array" ref="R39">_xll.EQNXTDZ($A$1,$B39,R$1)</f>
        <v>31060.209500000001</v>
      </c>
      <c r="S39" cm="1">
        <f t="array" ref="S39">_xll.EQNXTDZ($A$1,$B39,S$1)</f>
        <v>33088.247300000003</v>
      </c>
      <c r="T39" cm="1">
        <f t="array" ref="T39">_xll.EQNXTDZ($A$1,$B39,T$1)</f>
        <v>34871.592100000002</v>
      </c>
      <c r="U39" cm="1">
        <f t="array" ref="U39">_xll.EQNXTDZ($A$1,$B39,U$1)</f>
        <v>35423.987099999998</v>
      </c>
      <c r="V39" cm="1">
        <f t="array" ref="V39">_xll.EQNXTDZ($A$1,$B39,V$1)</f>
        <v>38262.731200000002</v>
      </c>
      <c r="W39" cm="1">
        <f t="array" ref="W39">_xll.EQNXTDZ($A$1,$B39,W$1)</f>
        <v>57238.193899999998</v>
      </c>
      <c r="X39" cm="1">
        <f t="array" ref="X39">_xll.EQNXTDZ($A$1,$B39,X$1)</f>
        <v>64297.181299999997</v>
      </c>
      <c r="Y39" cm="1">
        <f t="array" ref="Y39">_xll.EQNXTDZ($A$1,$B39,Y$1)</f>
        <v>71793.049700000003</v>
      </c>
      <c r="Z39" cm="1">
        <f t="array" ref="Z39">_xll.EQNXTDZ($A$1,$B39,Z$1)</f>
        <v>85140.460500000001</v>
      </c>
      <c r="AA39" cm="1">
        <f t="array" ref="AA39">_xll.EQNXTDZ($A$1,$B39,AA$1)</f>
        <v>98085.976599999995</v>
      </c>
      <c r="AB39" cm="1">
        <f t="array" ref="AB39">_xll.EQNXTDZ($A$1,$B39,AB$1)</f>
        <v>111568.48360000001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10" customFormat="1" x14ac:dyDescent="0.25">
      <c r="A40" s="110" t="s">
        <v>175</v>
      </c>
      <c r="B40" s="110" t="s">
        <v>179</v>
      </c>
      <c r="C40" cm="1">
        <f t="array" ref="C40">_xll.EQNXTDZ($A$1,$B40,C$1)</f>
        <v>2681.2642999999998</v>
      </c>
      <c r="D40" cm="1">
        <f t="array" ref="D40">_xll.EQNXTDZ($A$1,$B40,D$1)</f>
        <v>3342.6642999999999</v>
      </c>
      <c r="E40" cm="1">
        <f t="array" ref="E40">_xll.EQNXTDZ($A$1,$B40,E$1)</f>
        <v>4024.1347999999998</v>
      </c>
      <c r="F40" cm="1">
        <f t="array" ref="F40">_xll.EQNXTDZ($A$1,$B40,F$1)</f>
        <v>5130.8798999999999</v>
      </c>
      <c r="G40" cm="1">
        <f t="array" ref="G40">_xll.EQNXTDZ($A$1,$B40,G$1)</f>
        <v>5992.0379000000003</v>
      </c>
      <c r="H40" cm="1">
        <f t="array" ref="H40">_xll.EQNXTDZ($A$1,$B40,H$1)</f>
        <v>7018.8581999999997</v>
      </c>
      <c r="I40" cm="1">
        <f t="array" ref="I40">_xll.EQNXTDZ($A$1,$B40,I$1)</f>
        <v>8111.1138000000001</v>
      </c>
      <c r="J40" cm="1">
        <f t="array" ref="J40">_xll.EQNXTDZ($A$1,$B40,J$1)</f>
        <v>8295.6332999999995</v>
      </c>
      <c r="K40" cm="1">
        <f t="array" ref="K40">_xll.EQNXTDZ($A$1,$B40,K$1)</f>
        <v>10039.611000000001</v>
      </c>
      <c r="L40" cm="1">
        <f t="array" ref="L40">_xll.EQNXTDZ($A$1,$B40,L$1)</f>
        <v>12539.105299999999</v>
      </c>
      <c r="M40" cm="1">
        <f t="array" ref="M40">_xll.EQNXTDZ($A$1,$B40,M$1)</f>
        <v>17941.460899999998</v>
      </c>
      <c r="N40" cm="1">
        <f t="array" ref="N40">_xll.EQNXTDZ($A$1,$B40,N$1)</f>
        <v>20624.8161</v>
      </c>
      <c r="O40" cm="1">
        <f t="array" ref="O40">_xll.EQNXTDZ($A$1,$B40,O$1)</f>
        <v>22844.548599999998</v>
      </c>
      <c r="P40" cm="1">
        <f t="array" ref="P40">_xll.EQNXTDZ($A$1,$B40,P$1)</f>
        <v>24121.859899999999</v>
      </c>
      <c r="Q40" cm="1">
        <f t="array" ref="Q40">_xll.EQNXTDZ($A$1,$B40,Q$1)</f>
        <v>26453.381700000002</v>
      </c>
      <c r="R40" cm="1">
        <f t="array" ref="R40">_xll.EQNXTDZ($A$1,$B40,R$1)</f>
        <v>26158.537499999999</v>
      </c>
      <c r="S40" cm="1">
        <f t="array" ref="S40">_xll.EQNXTDZ($A$1,$B40,S$1)</f>
        <v>28312.387900000002</v>
      </c>
      <c r="T40" cm="1">
        <f t="array" ref="T40">_xll.EQNXTDZ($A$1,$B40,T$1)</f>
        <v>29080.108899999999</v>
      </c>
      <c r="U40" cm="1">
        <f t="array" ref="U40">_xll.EQNXTDZ($A$1,$B40,U$1)</f>
        <v>29729.058199999999</v>
      </c>
      <c r="V40" cm="1">
        <f t="array" ref="V40">_xll.EQNXTDZ($A$1,$B40,V$1)</f>
        <v>32960.174200000001</v>
      </c>
      <c r="W40" cm="1">
        <f t="array" ref="W40">_xll.EQNXTDZ($A$1,$B40,W$1)</f>
        <v>50600.695099999997</v>
      </c>
      <c r="X40" cm="1">
        <f t="array" ref="X40">_xll.EQNXTDZ($A$1,$B40,X$1)</f>
        <v>57605.0792</v>
      </c>
      <c r="Y40" cm="1">
        <f t="array" ref="Y40">_xll.EQNXTDZ($A$1,$B40,Y$1)</f>
        <v>66132.136799999993</v>
      </c>
      <c r="Z40" cm="1">
        <f t="array" ref="Z40">_xll.EQNXTDZ($A$1,$B40,Z$1)</f>
        <v>77850.282800000001</v>
      </c>
      <c r="AA40" cm="1">
        <f t="array" ref="AA40">_xll.EQNXTDZ($A$1,$B40,AA$1)</f>
        <v>93450.271599999993</v>
      </c>
      <c r="AB40" cm="1">
        <f t="array" ref="AB40">_xll.EQNXTDZ($A$1,$B40,AB$1)</f>
        <v>106958.6753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10" customFormat="1" x14ac:dyDescent="0.25">
      <c r="A41" s="110" t="s">
        <v>176</v>
      </c>
      <c r="B41" s="110" t="s">
        <v>180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10" customFormat="1" x14ac:dyDescent="0.25">
      <c r="A42" s="110" t="s">
        <v>120</v>
      </c>
      <c r="B42" s="110" t="s">
        <v>181</v>
      </c>
      <c r="C42" cm="1">
        <f t="array" ref="C42">_xll.EQNXTDZ($A$1,$B42,C$1)</f>
        <v>59069.528400000003</v>
      </c>
      <c r="D42" cm="1">
        <f t="array" ref="D42">_xll.EQNXTDZ($A$1,$B42,D$1)</f>
        <v>64030.009400000003</v>
      </c>
      <c r="E42" cm="1">
        <f t="array" ref="E42">_xll.EQNXTDZ($A$1,$B42,E$1)</f>
        <v>72094.822499999995</v>
      </c>
      <c r="F42" cm="1">
        <f t="array" ref="F42">_xll.EQNXTDZ($A$1,$B42,F$1)</f>
        <v>86344.556500000006</v>
      </c>
      <c r="G42" cm="1">
        <f t="array" ref="G42">_xll.EQNXTDZ($A$1,$B42,G$1)</f>
        <v>96795.918600000005</v>
      </c>
      <c r="H42" cm="1">
        <f t="array" ref="H42">_xll.EQNXTDZ($A$1,$B42,H$1)</f>
        <v>116803.2319</v>
      </c>
      <c r="I42" cm="1">
        <f t="array" ref="I42">_xll.EQNXTDZ($A$1,$B42,I$1)</f>
        <v>142381.45189999999</v>
      </c>
      <c r="J42" cm="1">
        <f t="array" ref="J42">_xll.EQNXTDZ($A$1,$B42,J$1)</f>
        <v>154072.4222</v>
      </c>
      <c r="K42" cm="1">
        <f t="array" ref="K42">_xll.EQNXTDZ($A$1,$B42,K$1)</f>
        <v>186892.5073</v>
      </c>
      <c r="L42" cm="1">
        <f t="array" ref="L42">_xll.EQNXTDZ($A$1,$B42,L$1)</f>
        <v>234651.44320000001</v>
      </c>
      <c r="M42" cm="1">
        <f t="array" ref="M42">_xll.EQNXTDZ($A$1,$B42,M$1)</f>
        <v>293436.64159999997</v>
      </c>
      <c r="N42" cm="1">
        <f t="array" ref="N42">_xll.EQNXTDZ($A$1,$B42,N$1)</f>
        <v>327053.72710000002</v>
      </c>
      <c r="O42" cm="1">
        <f t="array" ref="O42">_xll.EQNXTDZ($A$1,$B42,O$1)</f>
        <v>355855.99129999999</v>
      </c>
      <c r="P42" cm="1">
        <f t="array" ref="P42">_xll.EQNXTDZ($A$1,$B42,P$1)</f>
        <v>420722.81819999998</v>
      </c>
      <c r="Q42" cm="1">
        <f t="array" ref="Q42">_xll.EQNXTDZ($A$1,$B42,Q$1)</f>
        <v>473840.10310000001</v>
      </c>
      <c r="R42" cm="1">
        <f t="array" ref="R42">_xll.EQNXTDZ($A$1,$B42,R$1)</f>
        <v>479791.56209999998</v>
      </c>
      <c r="S42" cm="1">
        <f t="array" ref="S42">_xll.EQNXTDZ($A$1,$B42,S$1)</f>
        <v>495275.24219999998</v>
      </c>
      <c r="T42" cm="1">
        <f t="array" ref="T42">_xll.EQNXTDZ($A$1,$B42,T$1)</f>
        <v>524771.86029999994</v>
      </c>
      <c r="U42" cm="1">
        <f t="array" ref="U42">_xll.EQNXTDZ($A$1,$B42,U$1)</f>
        <v>599033.27480000001</v>
      </c>
      <c r="V42" cm="1">
        <f t="array" ref="V42">_xll.EQNXTDZ($A$1,$B42,V$1)</f>
        <v>625351.17370000004</v>
      </c>
      <c r="W42" cm="1">
        <f t="array" ref="W42">_xll.EQNXTDZ($A$1,$B42,W$1)</f>
        <v>1010874.5827</v>
      </c>
      <c r="X42" cm="1">
        <f t="array" ref="X42">_xll.EQNXTDZ($A$1,$B42,X$1)</f>
        <v>1086409.2541</v>
      </c>
      <c r="Y42" cm="1">
        <f t="array" ref="Y42">_xll.EQNXTDZ($A$1,$B42,Y$1)</f>
        <v>1179218.6066999999</v>
      </c>
      <c r="Z42" cm="1">
        <f t="array" ref="Z42">_xll.EQNXTDZ($A$1,$B42,Z$1)</f>
        <v>1312366.6126999999</v>
      </c>
      <c r="AA42" cm="1">
        <f t="array" ref="AA42">_xll.EQNXTDZ($A$1,$B42,AA$1)</f>
        <v>1429862.1765000001</v>
      </c>
      <c r="AB42" cm="1">
        <f t="array" ref="AB42">_xll.EQNXTDZ($A$1,$B42,AB$1)</f>
        <v>1568678.1484000001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10" customFormat="1" x14ac:dyDescent="0.25">
      <c r="A43" s="110" t="s">
        <v>126</v>
      </c>
      <c r="B43" s="110" t="s">
        <v>182</v>
      </c>
      <c r="C43" cm="1">
        <f t="array" ref="C43">_xll.EQNXTDZ($A$1,$B43,C$1)</f>
        <v>1547.8468</v>
      </c>
      <c r="D43" cm="1">
        <f t="array" ref="D43">_xll.EQNXTDZ($A$1,$B43,D$1)</f>
        <v>267.39839999999998</v>
      </c>
      <c r="E43" cm="1">
        <f t="array" ref="E43">_xll.EQNXTDZ($A$1,$B43,E$1)</f>
        <v>93.822299999999998</v>
      </c>
      <c r="F43" cm="1">
        <f t="array" ref="F43">_xll.EQNXTDZ($A$1,$B43,F$1)</f>
        <v>754.89700000000005</v>
      </c>
      <c r="G43" cm="1">
        <f t="array" ref="G43">_xll.EQNXTDZ($A$1,$B43,G$1)</f>
        <v>114.16419999999999</v>
      </c>
      <c r="H43" cm="1">
        <f t="array" ref="H43">_xll.EQNXTDZ($A$1,$B43,H$1)</f>
        <v>25.824000000000002</v>
      </c>
      <c r="I43" cm="1">
        <f t="array" ref="I43">_xll.EQNXTDZ($A$1,$B43,I$1)</f>
        <v>1574.3516999999999</v>
      </c>
      <c r="J43" cm="1">
        <f t="array" ref="J43">_xll.EQNXTDZ($A$1,$B43,J$1)</f>
        <v>2517.2321999999999</v>
      </c>
      <c r="K43" cm="1">
        <f t="array" ref="K43">_xll.EQNXTDZ($A$1,$B43,K$1)</f>
        <v>14000.9498</v>
      </c>
      <c r="L43" cm="1">
        <f t="array" ref="L43">_xll.EQNXTDZ($A$1,$B43,L$1)</f>
        <v>8440.5573000000004</v>
      </c>
      <c r="M43" cm="1">
        <f t="array" ref="M43">_xll.EQNXTDZ($A$1,$B43,M$1)</f>
        <v>14261.6458</v>
      </c>
      <c r="N43" cm="1">
        <f t="array" ref="N43">_xll.EQNXTDZ($A$1,$B43,N$1)</f>
        <v>15525.391600000001</v>
      </c>
      <c r="O43" cm="1">
        <f t="array" ref="O43">_xll.EQNXTDZ($A$1,$B43,O$1)</f>
        <v>20283.373800000001</v>
      </c>
      <c r="P43" cm="1">
        <f t="array" ref="P43">_xll.EQNXTDZ($A$1,$B43,P$1)</f>
        <v>27230.636600000002</v>
      </c>
      <c r="Q43" cm="1">
        <f t="array" ref="Q43">_xll.EQNXTDZ($A$1,$B43,Q$1)</f>
        <v>25671.567500000001</v>
      </c>
      <c r="R43" cm="1">
        <f t="array" ref="R43">_xll.EQNXTDZ($A$1,$B43,R$1)</f>
        <v>26873.3164</v>
      </c>
      <c r="S43" cm="1">
        <f t="array" ref="S43">_xll.EQNXTDZ($A$1,$B43,S$1)</f>
        <v>39503.559000000001</v>
      </c>
      <c r="T43" cm="1">
        <f t="array" ref="T43">_xll.EQNXTDZ($A$1,$B43,T$1)</f>
        <v>38808.511700000003</v>
      </c>
      <c r="U43" cm="1">
        <f t="array" ref="U43">_xll.EQNXTDZ($A$1,$B43,U$1)</f>
        <v>40992.294399999999</v>
      </c>
      <c r="V43" cm="1">
        <f t="array" ref="V43">_xll.EQNXTDZ($A$1,$B43,V$1)</f>
        <v>42761.767200000002</v>
      </c>
      <c r="W43" cm="1">
        <f t="array" ref="W43">_xll.EQNXTDZ($A$1,$B43,W$1)</f>
        <v>49983.560599999997</v>
      </c>
      <c r="X43" cm="1">
        <f t="array" ref="X43">_xll.EQNXTDZ($A$1,$B43,X$1)</f>
        <v>46284.957600000002</v>
      </c>
      <c r="Y43" cm="1">
        <f t="array" ref="Y43">_xll.EQNXTDZ($A$1,$B43,Y$1)</f>
        <v>58089.789100000002</v>
      </c>
      <c r="Z43" cm="1">
        <f t="array" ref="Z43">_xll.EQNXTDZ($A$1,$B43,Z$1)</f>
        <v>57592.277300000002</v>
      </c>
      <c r="AA43" cm="1">
        <f t="array" ref="AA43">_xll.EQNXTDZ($A$1,$B43,AA$1)</f>
        <v>116686.11810000001</v>
      </c>
      <c r="AB43" cm="1">
        <f t="array" ref="AB43">_xll.EQNXTDZ($A$1,$B43,AB$1)</f>
        <v>155287.67970000001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183</v>
      </c>
      <c r="B44" t="s">
        <v>186</v>
      </c>
      <c r="C44" cm="1">
        <f t="array" ref="C44">_xll.EQNXTDZ($A$1,$B44,C$1)</f>
        <v>0</v>
      </c>
      <c r="D44" cm="1">
        <f t="array" ref="D44">_xll.EQNXTDZ($A$1,$B44,D$1)</f>
        <v>0</v>
      </c>
      <c r="E44" cm="1">
        <f t="array" ref="E44">_xll.EQNXTDZ($A$1,$B44,E$1)</f>
        <v>200303</v>
      </c>
      <c r="F44" cm="1">
        <f t="array" ref="F44">_xll.EQNXTDZ($A$1,$B44,F$1)</f>
        <v>200403</v>
      </c>
      <c r="G44" cm="1">
        <f t="array" ref="G44">_xll.EQNXTDZ($A$1,$B44,G$1)</f>
        <v>200503</v>
      </c>
      <c r="H44" cm="1">
        <f t="array" ref="H44">_xll.EQNXTDZ($A$1,$B44,H$1)</f>
        <v>200603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189</v>
      </c>
      <c r="B45" t="s">
        <v>193</v>
      </c>
      <c r="C45" cm="1">
        <f t="array" ref="C45">_xll.EQNXTDZ($A$1,$B45,C$1)</f>
        <v>0</v>
      </c>
      <c r="D45" cm="1">
        <f t="array" ref="D45">_xll.EQNXTDZ($A$1,$B45,D$1)</f>
        <v>0</v>
      </c>
      <c r="E45" cm="1">
        <f t="array" ref="E45">_xll.EQNXTDZ($A$1,$B45,E$1)</f>
        <v>13.8509146200986</v>
      </c>
      <c r="F45" cm="1">
        <f t="array" ref="F45">_xll.EQNXTDZ($A$1,$B45,F$1)</f>
        <v>28.129806939132799</v>
      </c>
      <c r="G45" cm="1">
        <f t="array" ref="G45">_xll.EQNXTDZ($A$1,$B45,G$1)</f>
        <v>38.984877666682003</v>
      </c>
      <c r="H45" cm="1">
        <f t="array" ref="H45">_xll.EQNXTDZ($A$1,$B45,H$1)</f>
        <v>51.921476293600001</v>
      </c>
      <c r="I45" cm="1">
        <f t="array" ref="I45">_xll.EQNXTDZ($A$1,$B45,I$1)</f>
        <v>37.876026355803297</v>
      </c>
      <c r="J45" cm="1">
        <f t="array" ref="J45">_xll.EQNXTDZ($A$1,$B45,J$1)</f>
        <v>43.809353545592799</v>
      </c>
      <c r="K45" cm="1">
        <f t="array" ref="K45">_xll.EQNXTDZ($A$1,$B45,K$1)</f>
        <v>32.273409206100503</v>
      </c>
      <c r="L45" cm="1">
        <f t="array" ref="L45">_xll.EQNXTDZ($A$1,$B45,L$1)</f>
        <v>79.827567617380097</v>
      </c>
      <c r="M45" cm="1">
        <f t="array" ref="M45">_xll.EQNXTDZ($A$1,$B45,M$1)</f>
        <v>121.80828917661201</v>
      </c>
      <c r="N45" cm="1">
        <f t="array" ref="N45">_xll.EQNXTDZ($A$1,$B45,N$1)</f>
        <v>92.141653227664406</v>
      </c>
      <c r="O45" cm="1">
        <f t="array" ref="O45">_xll.EQNXTDZ($A$1,$B45,O$1)</f>
        <v>74.789102889001498</v>
      </c>
      <c r="P45" cm="1">
        <f t="array" ref="P45">_xll.EQNXTDZ($A$1,$B45,P$1)</f>
        <v>51.425411233470001</v>
      </c>
      <c r="Q45" cm="1">
        <f t="array" ref="Q45">_xll.EQNXTDZ($A$1,$B45,Q$1)</f>
        <v>71.569543381099393</v>
      </c>
      <c r="R45" cm="1">
        <f t="array" ref="R45">_xll.EQNXTDZ($A$1,$B45,R$1)</f>
        <v>36.932530064967999</v>
      </c>
      <c r="S45" cm="1">
        <f t="array" ref="S45">_xll.EQNXTDZ($A$1,$B45,S$1)</f>
        <v>60.6</v>
      </c>
      <c r="T45" cm="1">
        <f t="array" ref="T45">_xll.EQNXTDZ($A$1,$B45,T$1)</f>
        <v>52.85</v>
      </c>
      <c r="U45" cm="1">
        <f t="array" ref="U45">_xll.EQNXTDZ($A$1,$B45,U$1)</f>
        <v>58.39</v>
      </c>
      <c r="V45" cm="1">
        <f t="array" ref="V45">_xll.EQNXTDZ($A$1,$B45,V$1)</f>
        <v>18.079999999999998</v>
      </c>
      <c r="W45" cm="1">
        <f t="array" ref="W45">_xll.EQNXTDZ($A$1,$B45,W$1)</f>
        <v>30.45</v>
      </c>
      <c r="X45" cm="1">
        <f t="array" ref="X45">_xll.EQNXTDZ($A$1,$B45,X$1)</f>
        <v>45.52</v>
      </c>
      <c r="Y45" cm="1">
        <f t="array" ref="Y45">_xll.EQNXTDZ($A$1,$B45,Y$1)</f>
        <v>56.9</v>
      </c>
      <c r="Z45" cm="1">
        <f t="array" ref="Z45">_xll.EQNXTDZ($A$1,$B45,Z$1)</f>
        <v>116.22</v>
      </c>
      <c r="AA45" cm="1">
        <f t="array" ref="AA45">_xll.EQNXTDZ($A$1,$B45,AA$1)</f>
        <v>89.02</v>
      </c>
      <c r="AB45" cm="1">
        <f t="array" ref="AB45">_xll.EQNXTDZ($A$1,$B45,AB$1)</f>
        <v>123.55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190</v>
      </c>
      <c r="B46" t="s">
        <v>194</v>
      </c>
      <c r="C46" cm="1">
        <f t="array" ref="C46">_xll.EQNXTDZ($A$1,$B46,C$1)</f>
        <v>0</v>
      </c>
      <c r="D46" cm="1">
        <f t="array" ref="D46">_xll.EQNXTDZ($A$1,$B46,D$1)</f>
        <v>0</v>
      </c>
      <c r="E46" cm="1">
        <f t="array" ref="E46">_xll.EQNXTDZ($A$1,$B46,E$1)</f>
        <v>14.8041376768189</v>
      </c>
      <c r="F46" cm="1">
        <f t="array" ref="F46">_xll.EQNXTDZ($A$1,$B46,F$1)</f>
        <v>32.584665714417397</v>
      </c>
      <c r="G46" cm="1">
        <f t="array" ref="G46">_xll.EQNXTDZ($A$1,$B46,G$1)</f>
        <v>46.9900059899553</v>
      </c>
      <c r="H46" cm="1">
        <f t="array" ref="H46">_xll.EQNXTDZ($A$1,$B46,H$1)</f>
        <v>58.360595309404196</v>
      </c>
      <c r="I46" cm="1">
        <f t="array" ref="I46">_xll.EQNXTDZ($A$1,$B46,I$1)</f>
        <v>62.231848131594703</v>
      </c>
      <c r="J46" cm="1">
        <f t="array" ref="J46">_xll.EQNXTDZ($A$1,$B46,J$1)</f>
        <v>81.986909643828</v>
      </c>
      <c r="K46" cm="1">
        <f t="array" ref="K46">_xll.EQNXTDZ($A$1,$B46,K$1)</f>
        <v>48.633829424503503</v>
      </c>
      <c r="L46" cm="1">
        <f t="array" ref="L46">_xll.EQNXTDZ($A$1,$B46,L$1)</f>
        <v>85.887342763673203</v>
      </c>
      <c r="M46" cm="1">
        <f t="array" ref="M46">_xll.EQNXTDZ($A$1,$B46,M$1)</f>
        <v>164.18780813712399</v>
      </c>
      <c r="N46" cm="1">
        <f t="array" ref="N46">_xll.EQNXTDZ($A$1,$B46,N$1)</f>
        <v>129.93013869050401</v>
      </c>
      <c r="O46" cm="1">
        <f t="array" ref="O46">_xll.EQNXTDZ($A$1,$B46,O$1)</f>
        <v>106.99442473390801</v>
      </c>
      <c r="P46" cm="1">
        <f t="array" ref="P46">_xll.EQNXTDZ($A$1,$B46,P$1)</f>
        <v>88.805372529143398</v>
      </c>
      <c r="Q46" cm="1">
        <f t="array" ref="Q46">_xll.EQNXTDZ($A$1,$B46,Q$1)</f>
        <v>96.878588213610996</v>
      </c>
      <c r="R46" cm="1">
        <f t="array" ref="R46">_xll.EQNXTDZ($A$1,$B46,R$1)</f>
        <v>80.041556466847894</v>
      </c>
      <c r="S46" cm="1">
        <f t="array" ref="S46">_xll.EQNXTDZ($A$1,$B46,S$1)</f>
        <v>65.986379763166397</v>
      </c>
      <c r="T46" cm="1">
        <f t="array" ref="T46">_xll.EQNXTDZ($A$1,$B46,T$1)</f>
        <v>92.68</v>
      </c>
      <c r="U46" cm="1">
        <f t="array" ref="U46">_xll.EQNXTDZ($A$1,$B46,U$1)</f>
        <v>60.42</v>
      </c>
      <c r="V46" cm="1">
        <f t="array" ref="V46">_xll.EQNXTDZ($A$1,$B46,V$1)</f>
        <v>60.4</v>
      </c>
      <c r="W46" cm="1">
        <f t="array" ref="W46">_xll.EQNXTDZ($A$1,$B46,W$1)</f>
        <v>34.880000000000003</v>
      </c>
      <c r="X46" cm="1">
        <f t="array" ref="X46">_xll.EQNXTDZ($A$1,$B46,X$1)</f>
        <v>54.56</v>
      </c>
      <c r="Y46" cm="1">
        <f t="array" ref="Y46">_xll.EQNXTDZ($A$1,$B46,Y$1)</f>
        <v>68.319999999999993</v>
      </c>
      <c r="Z46" cm="1">
        <f t="array" ref="Z46">_xll.EQNXTDZ($A$1,$B46,Z$1)</f>
        <v>121.2</v>
      </c>
      <c r="AA46" cm="1">
        <f t="array" ref="AA46">_xll.EQNXTDZ($A$1,$B46,AA$1)</f>
        <v>129.35</v>
      </c>
      <c r="AB46" cm="1">
        <f t="array" ref="AB46">_xll.EQNXTDZ($A$1,$B46,AB$1)</f>
        <v>162.9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191</v>
      </c>
      <c r="B47" t="s">
        <v>195</v>
      </c>
      <c r="C47" cm="1">
        <f t="array" ref="C47">_xll.EQNXTDZ($A$1,$B47,C$1)</f>
        <v>0</v>
      </c>
      <c r="D47" cm="1">
        <f t="array" ref="D47">_xll.EQNXTDZ($A$1,$B47,D$1)</f>
        <v>0</v>
      </c>
      <c r="E47" cm="1">
        <f t="array" ref="E47">_xll.EQNXTDZ($A$1,$B47,E$1)</f>
        <v>7.7814127079205599</v>
      </c>
      <c r="F47" cm="1">
        <f t="array" ref="F47">_xll.EQNXTDZ($A$1,$B47,F$1)</f>
        <v>13.831461088328799</v>
      </c>
      <c r="G47" cm="1">
        <f t="array" ref="G47">_xll.EQNXTDZ($A$1,$B47,G$1)</f>
        <v>17.7416209740589</v>
      </c>
      <c r="H47" cm="1">
        <f t="array" ref="H47">_xll.EQNXTDZ($A$1,$B47,H$1)</f>
        <v>33.177998433396297</v>
      </c>
      <c r="I47" cm="1">
        <f t="array" ref="I47">_xll.EQNXTDZ($A$1,$B47,I$1)</f>
        <v>32.117780951942102</v>
      </c>
      <c r="J47" cm="1">
        <f t="array" ref="J47">_xll.EQNXTDZ($A$1,$B47,J$1)</f>
        <v>34.345210339584398</v>
      </c>
      <c r="K47" cm="1">
        <f t="array" ref="K47">_xll.EQNXTDZ($A$1,$B47,K$1)</f>
        <v>26.2622678892319</v>
      </c>
      <c r="L47" cm="1">
        <f t="array" ref="L47">_xll.EQNXTDZ($A$1,$B47,L$1)</f>
        <v>30.8338478551352</v>
      </c>
      <c r="M47" cm="1">
        <f t="array" ref="M47">_xll.EQNXTDZ($A$1,$B47,M$1)</f>
        <v>67.114684605814901</v>
      </c>
      <c r="N47" cm="1">
        <f t="array" ref="N47">_xll.EQNXTDZ($A$1,$B47,N$1)</f>
        <v>67.902552642491798</v>
      </c>
      <c r="O47" cm="1">
        <f t="array" ref="O47">_xll.EQNXTDZ($A$1,$B47,O$1)</f>
        <v>59.527807215592297</v>
      </c>
      <c r="P47" cm="1">
        <f t="array" ref="P47">_xll.EQNXTDZ($A$1,$B47,P$1)</f>
        <v>36.942256830852898</v>
      </c>
      <c r="Q47" cm="1">
        <f t="array" ref="Q47">_xll.EQNXTDZ($A$1,$B47,Q$1)</f>
        <v>48.633829424503503</v>
      </c>
      <c r="R47" cm="1">
        <f t="array" ref="R47">_xll.EQNXTDZ($A$1,$B47,R$1)</f>
        <v>30.386416624429799</v>
      </c>
      <c r="S47" cm="1">
        <f t="array" ref="S47">_xll.EQNXTDZ($A$1,$B47,S$1)</f>
        <v>34.199308851310903</v>
      </c>
      <c r="T47" cm="1">
        <f t="array" ref="T47">_xll.EQNXTDZ($A$1,$B47,T$1)</f>
        <v>45.07</v>
      </c>
      <c r="U47" cm="1">
        <f t="array" ref="U47">_xll.EQNXTDZ($A$1,$B47,U$1)</f>
        <v>41.03</v>
      </c>
      <c r="V47" cm="1">
        <f t="array" ref="V47">_xll.EQNXTDZ($A$1,$B47,V$1)</f>
        <v>14.77</v>
      </c>
      <c r="W47" cm="1">
        <f t="array" ref="W47">_xll.EQNXTDZ($A$1,$B47,W$1)</f>
        <v>15.16</v>
      </c>
      <c r="X47" cm="1">
        <f t="array" ref="X47">_xll.EQNXTDZ($A$1,$B47,X$1)</f>
        <v>24.87</v>
      </c>
      <c r="Y47" cm="1">
        <f t="array" ref="Y47">_xll.EQNXTDZ($A$1,$B47,Y$1)</f>
        <v>34.340000000000003</v>
      </c>
      <c r="Z47" cm="1">
        <f t="array" ref="Z47">_xll.EQNXTDZ($A$1,$B47,Z$1)</f>
        <v>56.28</v>
      </c>
      <c r="AA47" cm="1">
        <f t="array" ref="AA47">_xll.EQNXTDZ($A$1,$B47,AA$1)</f>
        <v>78.58</v>
      </c>
      <c r="AB47" cm="1">
        <f t="array" ref="AB47">_xll.EQNXTDZ($A$1,$B47,AB$1)</f>
        <v>83.36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10" customFormat="1" x14ac:dyDescent="0.25">
      <c r="A48" s="110" t="s">
        <v>184</v>
      </c>
      <c r="B48" s="110" t="s">
        <v>187</v>
      </c>
      <c r="C48" cm="1">
        <f t="array" ref="C48">_xll.EQNXTDZ($A$1,$B48,C$1)</f>
        <v>0</v>
      </c>
      <c r="D48" cm="1">
        <f t="array" ref="D48">_xll.EQNXTDZ($A$1,$B48,D$1)</f>
        <v>0</v>
      </c>
      <c r="E48" cm="1">
        <f t="array" ref="E48">_xll.EQNXTDZ($A$1,$B48,E$1)</f>
        <v>37711</v>
      </c>
      <c r="F48" cm="1">
        <f t="array" ref="F48">_xll.EQNXTDZ($A$1,$B48,F$1)</f>
        <v>38077</v>
      </c>
      <c r="G48" cm="1">
        <f t="array" ref="G48">_xll.EQNXTDZ($A$1,$B48,G$1)</f>
        <v>38442</v>
      </c>
      <c r="H48" cm="1">
        <f t="array" ref="H48">_xll.EQNXTDZ($A$1,$B48,H$1)</f>
        <v>38807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10" customFormat="1" x14ac:dyDescent="0.25">
      <c r="A49" s="110" t="s">
        <v>185</v>
      </c>
      <c r="B49" s="110" t="s">
        <v>188</v>
      </c>
      <c r="C49" cm="1">
        <f t="array" ref="C49">_xll.EQNXTDZ($A$1,$B49,C$1)</f>
        <v>0</v>
      </c>
      <c r="D49" cm="1">
        <f t="array" ref="D49">_xll.EQNXTDZ($A$1,$B49,D$1)</f>
        <v>0</v>
      </c>
      <c r="E49" cm="1">
        <f t="array" ref="E49">_xll.EQNXTDZ($A$1,$B49,E$1)</f>
        <v>34310.911</v>
      </c>
      <c r="F49" cm="1">
        <f t="array" ref="F49">_xll.EQNXTDZ($A$1,$B49,F$1)</f>
        <v>16377.975</v>
      </c>
      <c r="G49" cm="1">
        <f t="array" ref="G49">_xll.EQNXTDZ($A$1,$B49,G$1)</f>
        <v>8456.7559999999994</v>
      </c>
      <c r="H49" cm="1">
        <f t="array" ref="H49">_xll.EQNXTDZ($A$1,$B49,H$1)</f>
        <v>3519.011</v>
      </c>
      <c r="I49" cm="1">
        <f t="array" ref="I49">_xll.EQNXTDZ($A$1,$B49,I$1)</f>
        <v>1976.7860000000001</v>
      </c>
      <c r="J49" cm="1">
        <f t="array" ref="J49">_xll.EQNXTDZ($A$1,$B49,J$1)</f>
        <v>3402.5659999999998</v>
      </c>
      <c r="K49" cm="1">
        <f t="array" ref="K49">_xll.EQNXTDZ($A$1,$B49,K$1)</f>
        <v>3679.5120000000002</v>
      </c>
      <c r="L49" cm="1">
        <f t="array" ref="L49">_xll.EQNXTDZ($A$1,$B49,L$1)</f>
        <v>1374.5139999999999</v>
      </c>
      <c r="M49" cm="1">
        <f t="array" ref="M49">_xll.EQNXTDZ($A$1,$B49,M$1)</f>
        <v>2683.5419999999999</v>
      </c>
      <c r="N49" cm="1">
        <f t="array" ref="N49">_xll.EQNXTDZ($A$1,$B49,N$1)</f>
        <v>1781.1320000000001</v>
      </c>
      <c r="O49" cm="1">
        <f t="array" ref="O49">_xll.EQNXTDZ($A$1,$B49,O$1)</f>
        <v>1314.019</v>
      </c>
      <c r="P49" cm="1">
        <f t="array" ref="P49">_xll.EQNXTDZ($A$1,$B49,P$1)</f>
        <v>5759.8230000000003</v>
      </c>
      <c r="Q49" cm="1">
        <f t="array" ref="Q49">_xll.EQNXTDZ($A$1,$B49,Q$1)</f>
        <v>4139.5630000000001</v>
      </c>
      <c r="R49" cm="1">
        <f t="array" ref="R49">_xll.EQNXTDZ($A$1,$B49,R$1)</f>
        <v>6916.5990000000002</v>
      </c>
      <c r="S49" cm="1">
        <f t="array" ref="S49">_xll.EQNXTDZ($A$1,$B49,S$1)</f>
        <v>4384.1149999999998</v>
      </c>
      <c r="T49" cm="1">
        <f t="array" ref="T49">_xll.EQNXTDZ($A$1,$B49,T$1)</f>
        <v>13765.382</v>
      </c>
      <c r="U49" cm="1">
        <f t="array" ref="U49">_xll.EQNXTDZ($A$1,$B49,U$1)</f>
        <v>7269.692</v>
      </c>
      <c r="V49" cm="1">
        <f t="array" ref="V49">_xll.EQNXTDZ($A$1,$B49,V$1)</f>
        <v>10749.545</v>
      </c>
      <c r="W49" cm="1">
        <f t="array" ref="W49">_xll.EQNXTDZ($A$1,$B49,W$1)</f>
        <v>22649.598999999998</v>
      </c>
      <c r="X49" cm="1">
        <f t="array" ref="X49">_xll.EQNXTDZ($A$1,$B49,X$1)</f>
        <v>12457.722</v>
      </c>
      <c r="Y49" cm="1">
        <f t="array" ref="Y49">_xll.EQNXTDZ($A$1,$B49,Y$1)</f>
        <v>10536.079</v>
      </c>
      <c r="Z49" cm="1">
        <f t="array" ref="Z49">_xll.EQNXTDZ($A$1,$B49,Z$1)</f>
        <v>6326.1459999999997</v>
      </c>
      <c r="AA49" cm="1">
        <f t="array" ref="AA49">_xll.EQNXTDZ($A$1,$B49,AA$1)</f>
        <v>25216.29</v>
      </c>
      <c r="AB49" cm="1">
        <f t="array" ref="AB49">_xll.EQNXTDZ($A$1,$B49,AB$1)</f>
        <v>20237.39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204</v>
      </c>
      <c r="B50" t="s">
        <v>214</v>
      </c>
      <c r="C50" cm="1">
        <f t="array" ref="C50">_xll.EQNXTDZ($A$1,$B50,C$1)</f>
        <v>2</v>
      </c>
      <c r="D50" cm="1">
        <f t="array" ref="D50">_xll.EQNXTDZ($A$1,$B50,D$1)</f>
        <v>2</v>
      </c>
      <c r="E50" cm="1">
        <f t="array" ref="E50">_xll.EQNXTDZ($A$1,$B50,E$1)</f>
        <v>2</v>
      </c>
      <c r="F50" cm="1">
        <f t="array" ref="F50">_xll.EQNXTDZ($A$1,$B50,F$1)</f>
        <v>2</v>
      </c>
      <c r="G50" cm="1">
        <f t="array" ref="G50">_xll.EQNXTDZ($A$1,$B50,G$1)</f>
        <v>2</v>
      </c>
      <c r="H50" cm="1">
        <f t="array" ref="H50">_xll.EQNXTDZ($A$1,$B50,H$1)</f>
        <v>2</v>
      </c>
      <c r="I50" cm="1">
        <f t="array" ref="I50">_xll.EQNXTDZ($A$1,$B50,I$1)</f>
        <v>2</v>
      </c>
      <c r="J50" cm="1">
        <f t="array" ref="J50">_xll.EQNXTDZ($A$1,$B50,J$1)</f>
        <v>2</v>
      </c>
      <c r="K50" cm="1">
        <f t="array" ref="K50">_xll.EQNXTDZ($A$1,$B50,K$1)</f>
        <v>2</v>
      </c>
      <c r="L50" cm="1">
        <f t="array" ref="L50">_xll.EQNXTDZ($A$1,$B50,L$1)</f>
        <v>2</v>
      </c>
      <c r="M50" cm="1">
        <f t="array" ref="M50">_xll.EQNXTDZ($A$1,$B50,M$1)</f>
        <v>2</v>
      </c>
      <c r="N50" cm="1">
        <f t="array" ref="N50">_xll.EQNXTDZ($A$1,$B50,N$1)</f>
        <v>2</v>
      </c>
      <c r="O50" cm="1">
        <f t="array" ref="O50">_xll.EQNXTDZ($A$1,$B50,O$1)</f>
        <v>2</v>
      </c>
      <c r="P50" cm="1">
        <f t="array" ref="P50">_xll.EQNXTDZ($A$1,$B50,P$1)</f>
        <v>2</v>
      </c>
      <c r="Q50" cm="1">
        <f t="array" ref="Q50">_xll.EQNXTDZ($A$1,$B50,Q$1)</f>
        <v>2</v>
      </c>
      <c r="R50" cm="1">
        <f t="array" ref="R50">_xll.EQNXTDZ($A$1,$B50,R$1)</f>
        <v>2</v>
      </c>
      <c r="S50" cm="1">
        <f t="array" ref="S50">_xll.EQNXTDZ($A$1,$B50,S$1)</f>
        <v>2</v>
      </c>
      <c r="T50" cm="1">
        <f t="array" ref="T50">_xll.EQNXTDZ($A$1,$B50,T$1)</f>
        <v>2</v>
      </c>
      <c r="U50" cm="1">
        <f t="array" ref="U50">_xll.EQNXTDZ($A$1,$B50,U$1)</f>
        <v>2</v>
      </c>
      <c r="V50" cm="1">
        <f t="array" ref="V50">_xll.EQNXTDZ($A$1,$B50,V$1)</f>
        <v>2</v>
      </c>
      <c r="W50" cm="1">
        <f t="array" ref="W50">_xll.EQNXTDZ($A$1,$B50,W$1)</f>
        <v>2</v>
      </c>
      <c r="X50" cm="1">
        <f t="array" ref="X50">_xll.EQNXTDZ($A$1,$B50,X$1)</f>
        <v>2</v>
      </c>
      <c r="Y50" cm="1">
        <f t="array" ref="Y50">_xll.EQNXTDZ($A$1,$B50,Y$1)</f>
        <v>2</v>
      </c>
      <c r="Z50" cm="1">
        <f t="array" ref="Z50">_xll.EQNXTDZ($A$1,$B50,Z$1)</f>
        <v>2</v>
      </c>
      <c r="AA50" cm="1">
        <f t="array" ref="AA50">_xll.EQNXTDZ($A$1,$B50,AA$1)</f>
        <v>2</v>
      </c>
      <c r="AB50" cm="1">
        <f t="array" ref="AB50">_xll.EQNXTDZ($A$1,$B50,AB$1)</f>
        <v>2</v>
      </c>
      <c r="AC50" cm="1">
        <f t="array" ref="AC50">_xll.EQNXTDZ($A$1,$B50,AC$1)</f>
        <v>2</v>
      </c>
      <c r="AD50" cm="1">
        <f t="array" ref="AD50">_xll.EQNXTDZ($A$1,$B50,AD$1)</f>
        <v>2</v>
      </c>
      <c r="AE50" cm="1">
        <f t="array" ref="AE50">_xll.EQNXTDZ($A$1,$B50,AE$1)</f>
        <v>2</v>
      </c>
      <c r="AF50" cm="1">
        <f t="array" ref="AF50">_xll.EQNXTDZ($A$1,$B50,AF$1)</f>
        <v>2</v>
      </c>
    </row>
    <row r="51" spans="1:32" x14ac:dyDescent="0.25">
      <c r="A51" t="s">
        <v>192</v>
      </c>
      <c r="B51" t="s">
        <v>196</v>
      </c>
      <c r="C51" cm="1">
        <f t="array" ref="C51">_xll.EQNXTDZ($A$1,$B51,C$1)</f>
        <v>0</v>
      </c>
      <c r="D51" cm="1">
        <f t="array" ref="D51">_xll.EQNXTDZ($A$1,$B51,D$1)</f>
        <v>0</v>
      </c>
      <c r="E51" cm="1">
        <f t="array" ref="E51">_xll.EQNXTDZ($A$1,$B51,E$1)</f>
        <v>2919.2</v>
      </c>
      <c r="F51" cm="1">
        <f t="array" ref="F51">_xll.EQNXTDZ($A$1,$B51,F$1)</f>
        <v>5928.6</v>
      </c>
      <c r="G51" cm="1">
        <f t="array" ref="G51">_xll.EQNXTDZ($A$1,$B51,G$1)</f>
        <v>8216.4</v>
      </c>
      <c r="H51" cm="1">
        <f t="array" ref="H51">_xll.EQNXTDZ($A$1,$B51,H$1)</f>
        <v>10942.9</v>
      </c>
      <c r="I51" cm="1">
        <f t="array" ref="I51">_xll.EQNXTDZ($A$1,$B51,I$1)</f>
        <v>7982.7</v>
      </c>
      <c r="J51" cm="1">
        <f t="array" ref="J51">_xll.EQNXTDZ($A$1,$B51,J$1)</f>
        <v>9233.2000000000007</v>
      </c>
      <c r="K51" cm="1">
        <f t="array" ref="K51">_xll.EQNXTDZ($A$1,$B51,K$1)</f>
        <v>6801.9</v>
      </c>
      <c r="L51" cm="1">
        <f t="array" ref="L51">_xll.EQNXTDZ($A$1,$B51,L$1)</f>
        <v>16824.349999999999</v>
      </c>
      <c r="M51" cm="1">
        <f t="array" ref="M51">_xll.EQNXTDZ($A$1,$B51,M$1)</f>
        <v>27738.445</v>
      </c>
      <c r="N51" cm="1">
        <f t="array" ref="N51">_xll.EQNXTDZ($A$1,$B51,N$1)</f>
        <v>20982.695</v>
      </c>
      <c r="O51" cm="1">
        <f t="array" ref="O51">_xll.EQNXTDZ($A$1,$B51,O$1)</f>
        <v>17031.134999999998</v>
      </c>
      <c r="P51" cm="1">
        <f t="array" ref="P51">_xll.EQNXTDZ($A$1,$B51,P$1)</f>
        <v>12193.376378000001</v>
      </c>
      <c r="Q51" cm="1">
        <f t="array" ref="Q51">_xll.EQNXTDZ($A$1,$B51,Q$1)</f>
        <v>17482.497630000002</v>
      </c>
      <c r="R51" cm="1">
        <f t="array" ref="R51">_xll.EQNXTDZ($A$1,$B51,R$1)</f>
        <v>10308.684135</v>
      </c>
      <c r="S51" cm="1">
        <f t="array" ref="S51">_xll.EQNXTDZ($A$1,$B51,S$1)</f>
        <v>18097.893059999999</v>
      </c>
      <c r="T51" cm="1">
        <f t="array" ref="T51">_xll.EQNXTDZ($A$1,$B51,T$1)</f>
        <v>19375.993839999999</v>
      </c>
      <c r="U51" cm="1">
        <f t="array" ref="U51">_xll.EQNXTDZ($A$1,$B51,U$1)</f>
        <v>21990.981936</v>
      </c>
      <c r="V51" cm="1">
        <f t="array" ref="V51">_xll.EQNXTDZ($A$1,$B51,V$1)</f>
        <v>9313.3099359999997</v>
      </c>
      <c r="W51" cm="1">
        <f t="array" ref="W51">_xll.EQNXTDZ($A$1,$B51,W$1)</f>
        <v>25071.589094999999</v>
      </c>
      <c r="X51" cm="1">
        <f t="array" ref="X51">_xll.EQNXTDZ($A$1,$B51,X$1)</f>
        <v>41289.605627999998</v>
      </c>
      <c r="Y51" cm="1">
        <f t="array" ref="Y51">_xll.EQNXTDZ($A$1,$B51,Y$1)</f>
        <v>51612.007035000002</v>
      </c>
      <c r="Z51" cm="1">
        <f t="array" ref="Z51">_xll.EQNXTDZ($A$1,$B51,Z$1)</f>
        <v>105419.111733</v>
      </c>
      <c r="AA51" cm="1">
        <f t="array" ref="AA51">_xll.EQNXTDZ($A$1,$B51,AA$1)</f>
        <v>80746.939652999994</v>
      </c>
      <c r="AB51" cm="1">
        <f t="array" ref="AB51">_xll.EQNXTDZ($A$1,$B51,AB$1)</f>
        <v>112067.8992825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209</v>
      </c>
      <c r="B52" t="s">
        <v>206</v>
      </c>
      <c r="C52" cm="1">
        <f t="array" ref="C52">_xll.EQNXTDZ($A$1,$B52,C$1)</f>
        <v>0</v>
      </c>
      <c r="D52" cm="1">
        <f t="array" ref="D52">_xll.EQNXTDZ($A$1,$B52,D$1)</f>
        <v>2112.44</v>
      </c>
      <c r="E52" cm="1">
        <f t="array" ref="E52">_xll.EQNXTDZ($A$1,$B52,E$1)</f>
        <v>2474.7800000000002</v>
      </c>
      <c r="F52" cm="1">
        <f t="array" ref="F52">_xll.EQNXTDZ($A$1,$B52,F$1)</f>
        <v>3126.84</v>
      </c>
      <c r="G52" cm="1">
        <f t="array" ref="G52">_xll.EQNXTDZ($A$1,$B52,G$1)</f>
        <v>2370.5500000000002</v>
      </c>
      <c r="H52" cm="1">
        <f t="array" ref="H52">_xll.EQNXTDZ($A$1,$B52,H$1)</f>
        <v>1792.61</v>
      </c>
      <c r="I52" cm="1">
        <f t="array" ref="I52">_xll.EQNXTDZ($A$1,$B52,I$1)</f>
        <v>1493.43</v>
      </c>
      <c r="J52" cm="1">
        <f t="array" ref="J52">_xll.EQNXTDZ($A$1,$B52,J$1)</f>
        <v>1415.55</v>
      </c>
      <c r="K52" cm="1">
        <f t="array" ref="K52">_xll.EQNXTDZ($A$1,$B52,K$1)</f>
        <v>2167.9699999999998</v>
      </c>
      <c r="L52" cm="1">
        <f t="array" ref="L52">_xll.EQNXTDZ($A$1,$B52,L$1)</f>
        <v>2590.31</v>
      </c>
      <c r="M52" cm="1">
        <f t="array" ref="M52">_xll.EQNXTDZ($A$1,$B52,M$1)</f>
        <v>3137.36</v>
      </c>
      <c r="N52" cm="1">
        <f t="array" ref="N52">_xll.EQNXTDZ($A$1,$B52,N$1)</f>
        <v>4031.75</v>
      </c>
      <c r="O52" cm="1">
        <f t="array" ref="O52">_xll.EQNXTDZ($A$1,$B52,O$1)</f>
        <v>6260.16</v>
      </c>
      <c r="P52" cm="1">
        <f t="array" ref="P52">_xll.EQNXTDZ($A$1,$B52,P$1)</f>
        <v>7570.21</v>
      </c>
      <c r="Q52" cm="1">
        <f t="array" ref="Q52">_xll.EQNXTDZ($A$1,$B52,Q$1)</f>
        <v>13039.96</v>
      </c>
      <c r="R52" cm="1">
        <f t="array" ref="R52">_xll.EQNXTDZ($A$1,$B52,R$1)</f>
        <v>31637.83</v>
      </c>
      <c r="S52" cm="1">
        <f t="array" ref="S52">_xll.EQNXTDZ($A$1,$B52,S$1)</f>
        <v>34202.04</v>
      </c>
      <c r="T52" cm="1">
        <f t="array" ref="T52">_xll.EQNXTDZ($A$1,$B52,T$1)</f>
        <v>47468.47</v>
      </c>
      <c r="U52" cm="1">
        <f t="array" ref="U52">_xll.EQNXTDZ($A$1,$B52,U$1)</f>
        <v>39224.120000000003</v>
      </c>
      <c r="V52" cm="1">
        <f t="array" ref="V52">_xll.EQNXTDZ($A$1,$B52,V$1)</f>
        <v>37041.75</v>
      </c>
      <c r="W52" cm="1">
        <f t="array" ref="W52">_xll.EQNXTDZ($A$1,$B52,W$1)</f>
        <v>60288</v>
      </c>
      <c r="X52" cm="1">
        <f t="array" ref="X52">_xll.EQNXTDZ($A$1,$B52,X$1)</f>
        <v>55652</v>
      </c>
      <c r="Y52" cm="1">
        <f t="array" ref="Y52">_xll.EQNXTDZ($A$1,$B52,Y$1)</f>
        <v>46160</v>
      </c>
      <c r="Z52" cm="1">
        <f t="array" ref="Z52">_xll.EQNXTDZ($A$1,$B52,Z$1)</f>
        <v>40605</v>
      </c>
      <c r="AA52" cm="1">
        <f t="array" ref="AA52">_xll.EQNXTDZ($A$1,$B52,AA$1)</f>
        <v>31530</v>
      </c>
      <c r="AB52" cm="1">
        <f t="array" ref="AB52">_xll.EQNXTDZ($A$1,$B52,AB$1)</f>
        <v>22740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210</v>
      </c>
      <c r="B53" t="s">
        <v>207</v>
      </c>
      <c r="C53" cm="1">
        <f t="array" ref="C53">_xll.EQNXTDZ($A$1,$B53,C$1)</f>
        <v>0</v>
      </c>
      <c r="D53" cm="1">
        <f t="array" ref="D53">_xll.EQNXTDZ($A$1,$B53,D$1)</f>
        <v>1288.3900000000001</v>
      </c>
      <c r="E53" cm="1">
        <f t="array" ref="E53">_xll.EQNXTDZ($A$1,$B53,E$1)</f>
        <v>1453.88</v>
      </c>
      <c r="F53" cm="1">
        <f t="array" ref="F53">_xll.EQNXTDZ($A$1,$B53,F$1)</f>
        <v>1378.31</v>
      </c>
      <c r="G53" cm="1">
        <f t="array" ref="G53">_xll.EQNXTDZ($A$1,$B53,G$1)</f>
        <v>1125.28</v>
      </c>
      <c r="H53" cm="1">
        <f t="array" ref="H53">_xll.EQNXTDZ($A$1,$B53,H$1)</f>
        <v>879.18</v>
      </c>
      <c r="I53" cm="1">
        <f t="array" ref="I53">_xll.EQNXTDZ($A$1,$B53,I$1)</f>
        <v>926.97</v>
      </c>
      <c r="J53" cm="1">
        <f t="array" ref="J53">_xll.EQNXTDZ($A$1,$B53,J$1)</f>
        <v>899.03</v>
      </c>
      <c r="K53" cm="1">
        <f t="array" ref="K53">_xll.EQNXTDZ($A$1,$B53,K$1)</f>
        <v>1507.25</v>
      </c>
      <c r="L53" cm="1">
        <f t="array" ref="L53">_xll.EQNXTDZ($A$1,$B53,L$1)</f>
        <v>1799.7</v>
      </c>
      <c r="M53" cm="1">
        <f t="array" ref="M53">_xll.EQNXTDZ($A$1,$B53,M$1)</f>
        <v>2329.91</v>
      </c>
      <c r="N53" cm="1">
        <f t="array" ref="N53">_xll.EQNXTDZ($A$1,$B53,N$1)</f>
        <v>3386.31</v>
      </c>
      <c r="O53" cm="1">
        <f t="array" ref="O53">_xll.EQNXTDZ($A$1,$B53,O$1)</f>
        <v>5278.07</v>
      </c>
      <c r="P53" cm="1">
        <f t="array" ref="P53">_xll.EQNXTDZ($A$1,$B53,P$1)</f>
        <v>5965.46</v>
      </c>
      <c r="Q53" cm="1">
        <f t="array" ref="Q53">_xll.EQNXTDZ($A$1,$B53,Q$1)</f>
        <v>8740.09</v>
      </c>
      <c r="R53" cm="1">
        <f t="array" ref="R53">_xll.EQNXTDZ($A$1,$B53,R$1)</f>
        <v>20832.91</v>
      </c>
      <c r="S53" cm="1">
        <f t="array" ref="S53">_xll.EQNXTDZ($A$1,$B53,S$1)</f>
        <v>21648.98</v>
      </c>
      <c r="T53" cm="1">
        <f t="array" ref="T53">_xll.EQNXTDZ($A$1,$B53,T$1)</f>
        <v>28542.400000000001</v>
      </c>
      <c r="U53" cm="1">
        <f t="array" ref="U53">_xll.EQNXTDZ($A$1,$B53,U$1)</f>
        <v>22955.11</v>
      </c>
      <c r="V53" cm="1">
        <f t="array" ref="V53">_xll.EQNXTDZ($A$1,$B53,V$1)</f>
        <v>18250.95</v>
      </c>
      <c r="W53" cm="1">
        <f t="array" ref="W53">_xll.EQNXTDZ($A$1,$B53,W$1)</f>
        <v>24442</v>
      </c>
      <c r="X53" cm="1">
        <f t="array" ref="X53">_xll.EQNXTDZ($A$1,$B53,X$1)</f>
        <v>18668</v>
      </c>
      <c r="Y53" cm="1">
        <f t="array" ref="Y53">_xll.EQNXTDZ($A$1,$B53,Y$1)</f>
        <v>14349</v>
      </c>
      <c r="Z53" cm="1">
        <f t="array" ref="Z53">_xll.EQNXTDZ($A$1,$B53,Z$1)</f>
        <v>11823</v>
      </c>
      <c r="AA53" cm="1">
        <f t="array" ref="AA53">_xll.EQNXTDZ($A$1,$B53,AA$1)</f>
        <v>7353</v>
      </c>
      <c r="AB53" cm="1">
        <f t="array" ref="AB53">_xll.EQNXTDZ($A$1,$B53,AB$1)</f>
        <v>5209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205</v>
      </c>
      <c r="B54" t="s">
        <v>208</v>
      </c>
      <c r="C54" cm="1">
        <f t="array" ref="C54">_xll.EQNXTDZ($A$1,$B54,C$1)</f>
        <v>0</v>
      </c>
      <c r="D54" cm="1">
        <f t="array" ref="D54">_xll.EQNXTDZ($A$1,$B54,D$1)</f>
        <v>0</v>
      </c>
      <c r="E54" cm="1">
        <f t="array" ref="E54">_xll.EQNXTDZ($A$1,$B54,E$1)</f>
        <v>3.53</v>
      </c>
      <c r="F54" cm="1">
        <f t="array" ref="F54">_xll.EQNXTDZ($A$1,$B54,F$1)</f>
        <v>3.49</v>
      </c>
      <c r="G54" cm="1">
        <f t="array" ref="G54">_xll.EQNXTDZ($A$1,$B54,G$1)</f>
        <v>3.41</v>
      </c>
      <c r="H54" cm="1">
        <f t="array" ref="H54">_xll.EQNXTDZ($A$1,$B54,H$1)</f>
        <v>3.36</v>
      </c>
      <c r="I54" cm="1">
        <f t="array" ref="I54">_xll.EQNXTDZ($A$1,$B54,I$1)</f>
        <v>3.15</v>
      </c>
      <c r="J54" cm="1">
        <f t="array" ref="J54">_xll.EQNXTDZ($A$1,$B54,J$1)</f>
        <v>2.42</v>
      </c>
      <c r="K54" cm="1">
        <f t="array" ref="K54">_xll.EQNXTDZ($A$1,$B54,K$1)</f>
        <v>2.78</v>
      </c>
      <c r="L54" cm="1">
        <f t="array" ref="L54">_xll.EQNXTDZ($A$1,$B54,L$1)</f>
        <v>2.8</v>
      </c>
      <c r="M54" cm="1">
        <f t="array" ref="M54">_xll.EQNXTDZ($A$1,$B54,M$1)</f>
        <v>3.12</v>
      </c>
      <c r="N54" cm="1">
        <f t="array" ref="N54">_xll.EQNXTDZ($A$1,$B54,N$1)</f>
        <v>2.5</v>
      </c>
      <c r="O54" cm="1">
        <f t="array" ref="O54">_xll.EQNXTDZ($A$1,$B54,O$1)</f>
        <v>2.4</v>
      </c>
      <c r="P54" cm="1">
        <f t="array" ref="P54">_xll.EQNXTDZ($A$1,$B54,P$1)</f>
        <v>2.27</v>
      </c>
      <c r="Q54" cm="1">
        <f t="array" ref="Q54">_xll.EQNXTDZ($A$1,$B54,Q$1)</f>
        <v>2.25</v>
      </c>
      <c r="R54" cm="1">
        <f t="array" ref="R54">_xll.EQNXTDZ($A$1,$B54,R$1)</f>
        <v>2.19</v>
      </c>
      <c r="S54" cm="1">
        <f t="array" ref="S54">_xll.EQNXTDZ($A$1,$B54,S$1)</f>
        <v>2.23</v>
      </c>
      <c r="T54" cm="1">
        <f t="array" ref="T54">_xll.EQNXTDZ($A$1,$B54,T$1)</f>
        <v>2.42</v>
      </c>
      <c r="U54" cm="1">
        <f t="array" ref="U54">_xll.EQNXTDZ($A$1,$B54,U$1)</f>
        <v>2.63</v>
      </c>
      <c r="V54" cm="1">
        <f t="array" ref="V54">_xll.EQNXTDZ($A$1,$B54,V$1)</f>
        <v>2.29</v>
      </c>
      <c r="W54" cm="1">
        <f t="array" ref="W54">_xll.EQNXTDZ($A$1,$B54,W$1)</f>
        <v>2.75</v>
      </c>
      <c r="X54" cm="1">
        <f t="array" ref="X54">_xll.EQNXTDZ($A$1,$B54,X$1)</f>
        <v>2.82</v>
      </c>
      <c r="Y54" cm="1">
        <f t="array" ref="Y54">_xll.EQNXTDZ($A$1,$B54,Y$1)</f>
        <v>2.95</v>
      </c>
      <c r="Z54" cm="1">
        <f t="array" ref="Z54">_xll.EQNXTDZ($A$1,$B54,Z$1)</f>
        <v>3.05</v>
      </c>
      <c r="AA54" cm="1">
        <f t="array" ref="AA54">_xll.EQNXTDZ($A$1,$B54,AA$1)</f>
        <v>2.8</v>
      </c>
      <c r="AB54" cm="1">
        <f t="array" ref="AB54">_xll.EQNXTDZ($A$1,$B54,AB$1)</f>
        <v>2.5099999999999998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cm="1">
        <f t="array" ref="C59">_xll.EQNXTDZ($A$1,$B59,C$1)</f>
        <v>200103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125</v>
      </c>
      <c r="B60" t="s">
        <v>144</v>
      </c>
      <c r="C60" t="str" cm="1">
        <f t="array" ref="C60">_xll.EQNXTDZ($A$1,$B60,C$1)</f>
        <v>2001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59</v>
      </c>
      <c r="B61" t="s">
        <v>145</v>
      </c>
      <c r="C61" cm="1">
        <f t="array" ref="C61">_xll.EQNXTDZ($A$1,$B61,C$1)</f>
        <v>12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58</v>
      </c>
      <c r="B62" t="s">
        <v>146</v>
      </c>
      <c r="C62" cm="1">
        <f t="array" ref="C62">_xll.EQNXTDZ($A$1,$B62,C$1)</f>
        <v>36981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10" customFormat="1" x14ac:dyDescent="0.25">
      <c r="A63" s="110" t="s">
        <v>16</v>
      </c>
      <c r="B63" s="110" t="s">
        <v>121</v>
      </c>
      <c r="C63" cm="1">
        <f t="array" ref="C63">_xll.EQNXTDZ($A$1,$B63,C$1)</f>
        <v>577.86810000000003</v>
      </c>
      <c r="D63" cm="1">
        <f t="array" ref="D63">_xll.EQNXTDZ($A$1,$B63,D$1)</f>
        <v>577.86810000000003</v>
      </c>
      <c r="E63" cm="1">
        <f t="array" ref="E63">_xll.EQNXTDZ($A$1,$B63,E$1)</f>
        <v>410</v>
      </c>
      <c r="F63" cm="1">
        <f t="array" ref="F63">_xll.EQNXTDZ($A$1,$B63,F$1)</f>
        <v>410</v>
      </c>
      <c r="G63" cm="1">
        <f t="array" ref="G63">_xll.EQNXTDZ($A$1,$B63,G$1)</f>
        <v>410</v>
      </c>
      <c r="H63" cm="1">
        <f t="array" ref="H63">_xll.EQNXTDZ($A$1,$B63,H$1)</f>
        <v>410</v>
      </c>
      <c r="I63" cm="1">
        <f t="array" ref="I63">_xll.EQNXTDZ($A$1,$B63,I$1)</f>
        <v>410</v>
      </c>
      <c r="J63" cm="1">
        <f t="array" ref="J63">_xll.EQNXTDZ($A$1,$B63,J$1)</f>
        <v>410</v>
      </c>
      <c r="K63" cm="1">
        <f t="array" ref="K63">_xll.EQNXTDZ($A$1,$B63,K$1)</f>
        <v>410</v>
      </c>
      <c r="L63" cm="1">
        <f t="array" ref="L63">_xll.EQNXTDZ($A$1,$B63,L$1)</f>
        <v>410</v>
      </c>
      <c r="M63" cm="1">
        <f t="array" ref="M63">_xll.EQNXTDZ($A$1,$B63,M$1)</f>
        <v>443</v>
      </c>
      <c r="N63" cm="1">
        <f t="array" ref="N63">_xll.EQNXTDZ($A$1,$B63,N$1)</f>
        <v>443</v>
      </c>
      <c r="O63" cm="1">
        <f t="array" ref="O63">_xll.EQNXTDZ($A$1,$B63,O$1)</f>
        <v>443</v>
      </c>
      <c r="P63" cm="1">
        <f t="array" ref="P63">_xll.EQNXTDZ($A$1,$B63,P$1)</f>
        <v>461.25880000000001</v>
      </c>
      <c r="Q63" cm="1">
        <f t="array" ref="Q63">_xll.EQNXTDZ($A$1,$B63,Q$1)</f>
        <v>475.197</v>
      </c>
      <c r="R63" cm="1">
        <f t="array" ref="R63">_xll.EQNXTDZ($A$1,$B63,R$1)</f>
        <v>542.99099999999999</v>
      </c>
      <c r="S63" cm="1">
        <f t="array" ref="S63">_xll.EQNXTDZ($A$1,$B63,S$1)</f>
        <v>597.29020000000003</v>
      </c>
      <c r="T63" cm="1">
        <f t="array" ref="T63">_xll.EQNXTDZ($A$1,$B63,T$1)</f>
        <v>733.24480000000005</v>
      </c>
      <c r="U63" cm="1">
        <f t="array" ref="U63">_xll.EQNXTDZ($A$1,$B63,U$1)</f>
        <v>753.24480000000005</v>
      </c>
      <c r="V63" cm="1">
        <f t="array" ref="V63">_xll.EQNXTDZ($A$1,$B63,V$1)</f>
        <v>1030.2334000000001</v>
      </c>
      <c r="W63" cm="1">
        <f t="array" ref="W63">_xll.EQNXTDZ($A$1,$B63,W$1)</f>
        <v>1646.7382</v>
      </c>
      <c r="X63" cm="1">
        <f t="array" ref="X63">_xll.EQNXTDZ($A$1,$B63,X$1)</f>
        <v>1814.1303</v>
      </c>
      <c r="Y63" cm="1">
        <f t="array" ref="Y63">_xll.EQNXTDZ($A$1,$B63,Y$1)</f>
        <v>1814.1303</v>
      </c>
      <c r="Z63" cm="1">
        <f t="array" ref="Z63">_xll.EQNXTDZ($A$1,$B63,Z$1)</f>
        <v>1814.1303</v>
      </c>
      <c r="AA63" cm="1">
        <f t="array" ref="AA63">_xll.EQNXTDZ($A$1,$B63,AA$1)</f>
        <v>1814.1303</v>
      </c>
      <c r="AB63" cm="1">
        <f t="array" ref="AB63">_xll.EQNXTDZ($A$1,$B63,AB$1)</f>
        <v>1814.1303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202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0</v>
      </c>
      <c r="S64" cm="1">
        <f t="array" ref="S64">_xll.EQNXTDZ($A$1,$B64,S$1)</f>
        <v>0</v>
      </c>
      <c r="T64" cm="1">
        <f t="array" ref="T64">_xll.EQNXTDZ($A$1,$B64,T$1)</f>
        <v>0</v>
      </c>
      <c r="U64" cm="1">
        <f t="array" ref="U64">_xll.EQNXTDZ($A$1,$B64,U$1)</f>
        <v>0</v>
      </c>
      <c r="V64" cm="1">
        <f t="array" ref="V64">_xll.EQNXTDZ($A$1,$B64,V$1)</f>
        <v>0</v>
      </c>
      <c r="W64" cm="1">
        <f t="array" ref="W64">_xll.EQNXTDZ($A$1,$B64,W$1)</f>
        <v>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10" customFormat="1" x14ac:dyDescent="0.25">
      <c r="A65" s="110" t="s">
        <v>18</v>
      </c>
      <c r="B65" s="110" t="s">
        <v>122</v>
      </c>
      <c r="C65" cm="1">
        <f t="array" ref="C65">_xll.EQNXTDZ($A$1,$B65,C$1)</f>
        <v>2236.5819000000001</v>
      </c>
      <c r="D65" cm="1">
        <f t="array" ref="D65">_xll.EQNXTDZ($A$1,$B65,D$1)</f>
        <v>2893.6269000000002</v>
      </c>
      <c r="E65" cm="1">
        <f t="array" ref="E65">_xll.EQNXTDZ($A$1,$B65,E$1)</f>
        <v>3738.8283000000001</v>
      </c>
      <c r="F65" cm="1">
        <f t="array" ref="F65">_xll.EQNXTDZ($A$1,$B65,F$1)</f>
        <v>4841.643</v>
      </c>
      <c r="G65" cm="1">
        <f t="array" ref="G65">_xll.EQNXTDZ($A$1,$B65,G$1)</f>
        <v>5698.9571999999998</v>
      </c>
      <c r="H65" cm="1">
        <f t="array" ref="H65">_xll.EQNXTDZ($A$1,$B65,H$1)</f>
        <v>6722.2358000000004</v>
      </c>
      <c r="I65" cm="1">
        <f t="array" ref="I65">_xll.EQNXTDZ($A$1,$B65,I$1)</f>
        <v>9943.9861000000001</v>
      </c>
      <c r="J65" cm="1">
        <f t="array" ref="J65">_xll.EQNXTDZ($A$1,$B65,J$1)</f>
        <v>10090.4923</v>
      </c>
      <c r="K65" cm="1">
        <f t="array" ref="K65">_xll.EQNXTDZ($A$1,$B65,K$1)</f>
        <v>11797.769200000001</v>
      </c>
      <c r="L65" cm="1">
        <f t="array" ref="L65">_xll.EQNXTDZ($A$1,$B65,L$1)</f>
        <v>14261.7834</v>
      </c>
      <c r="M65" cm="1">
        <f t="array" ref="M65">_xll.EQNXTDZ($A$1,$B65,M$1)</f>
        <v>19596.818800000001</v>
      </c>
      <c r="N65" cm="1">
        <f t="array" ref="N65">_xll.EQNXTDZ($A$1,$B65,N$1)</f>
        <v>22246.955600000001</v>
      </c>
      <c r="O65" cm="1">
        <f t="array" ref="O65">_xll.EQNXTDZ($A$1,$B65,O$1)</f>
        <v>24434.7889</v>
      </c>
      <c r="P65" cm="1">
        <f t="array" ref="P65">_xll.EQNXTDZ($A$1,$B65,P$1)</f>
        <v>29158.8544</v>
      </c>
      <c r="Q65" cm="1">
        <f t="array" ref="Q65">_xll.EQNXTDZ($A$1,$B65,Q$1)</f>
        <v>31384.035500000002</v>
      </c>
      <c r="R65" cm="1">
        <f t="array" ref="R65">_xll.EQNXTDZ($A$1,$B65,R$1)</f>
        <v>31060.209500000001</v>
      </c>
      <c r="S65" cm="1">
        <f t="array" ref="S65">_xll.EQNXTDZ($A$1,$B65,S$1)</f>
        <v>33088.247300000003</v>
      </c>
      <c r="T65" cm="1">
        <f t="array" ref="T65">_xll.EQNXTDZ($A$1,$B65,T$1)</f>
        <v>34871.592100000002</v>
      </c>
      <c r="U65" cm="1">
        <f t="array" ref="U65">_xll.EQNXTDZ($A$1,$B65,U$1)</f>
        <v>35423.987099999998</v>
      </c>
      <c r="V65" cm="1">
        <f t="array" ref="V65">_xll.EQNXTDZ($A$1,$B65,V$1)</f>
        <v>38262.731200000002</v>
      </c>
      <c r="W65" cm="1">
        <f t="array" ref="W65">_xll.EQNXTDZ($A$1,$B65,W$1)</f>
        <v>57238.193899999998</v>
      </c>
      <c r="X65" cm="1">
        <f t="array" ref="X65">_xll.EQNXTDZ($A$1,$B65,X$1)</f>
        <v>64297.181299999997</v>
      </c>
      <c r="Y65" cm="1">
        <f t="array" ref="Y65">_xll.EQNXTDZ($A$1,$B65,Y$1)</f>
        <v>71793.049700000003</v>
      </c>
      <c r="Z65" cm="1">
        <f t="array" ref="Z65">_xll.EQNXTDZ($A$1,$B65,Z$1)</f>
        <v>85140.460500000001</v>
      </c>
      <c r="AA65" cm="1">
        <f t="array" ref="AA65">_xll.EQNXTDZ($A$1,$B65,AA$1)</f>
        <v>98085.976599999995</v>
      </c>
      <c r="AB65" cm="1">
        <f t="array" ref="AB65">_xll.EQNXTDZ($A$1,$B65,AB$1)</f>
        <v>111568.48360000001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10" customFormat="1" x14ac:dyDescent="0.25">
      <c r="A66" s="110" t="s">
        <v>5</v>
      </c>
      <c r="B66" s="110" t="s">
        <v>147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10" customFormat="1" x14ac:dyDescent="0.25">
      <c r="A67" s="110" t="s">
        <v>120</v>
      </c>
      <c r="B67" s="110" t="s">
        <v>123</v>
      </c>
      <c r="C67" cm="1">
        <f t="array" ref="C67">_xll.EQNXTDZ($A$1,$B67,C$1)</f>
        <v>59069.528400000003</v>
      </c>
      <c r="D67" cm="1">
        <f t="array" ref="D67">_xll.EQNXTDZ($A$1,$B67,D$1)</f>
        <v>64030.009400000003</v>
      </c>
      <c r="E67" cm="1">
        <f t="array" ref="E67">_xll.EQNXTDZ($A$1,$B67,E$1)</f>
        <v>72094.822499999995</v>
      </c>
      <c r="F67" cm="1">
        <f t="array" ref="F67">_xll.EQNXTDZ($A$1,$B67,F$1)</f>
        <v>86344.556500000006</v>
      </c>
      <c r="G67" cm="1">
        <f t="array" ref="G67">_xll.EQNXTDZ($A$1,$B67,G$1)</f>
        <v>96795.918600000005</v>
      </c>
      <c r="H67" cm="1">
        <f t="array" ref="H67">_xll.EQNXTDZ($A$1,$B67,H$1)</f>
        <v>116803.2319</v>
      </c>
      <c r="I67" cm="1">
        <f t="array" ref="I67">_xll.EQNXTDZ($A$1,$B67,I$1)</f>
        <v>142381.45189999999</v>
      </c>
      <c r="J67" cm="1">
        <f t="array" ref="J67">_xll.EQNXTDZ($A$1,$B67,J$1)</f>
        <v>154072.4222</v>
      </c>
      <c r="K67" cm="1">
        <f t="array" ref="K67">_xll.EQNXTDZ($A$1,$B67,K$1)</f>
        <v>186892.5073</v>
      </c>
      <c r="L67" cm="1">
        <f t="array" ref="L67">_xll.EQNXTDZ($A$1,$B67,L$1)</f>
        <v>234651.44320000001</v>
      </c>
      <c r="M67" cm="1">
        <f t="array" ref="M67">_xll.EQNXTDZ($A$1,$B67,M$1)</f>
        <v>293436.64159999997</v>
      </c>
      <c r="N67" cm="1">
        <f t="array" ref="N67">_xll.EQNXTDZ($A$1,$B67,N$1)</f>
        <v>327053.72710000002</v>
      </c>
      <c r="O67" cm="1">
        <f t="array" ref="O67">_xll.EQNXTDZ($A$1,$B67,O$1)</f>
        <v>355855.99129999999</v>
      </c>
      <c r="P67" cm="1">
        <f t="array" ref="P67">_xll.EQNXTDZ($A$1,$B67,P$1)</f>
        <v>420722.81819999998</v>
      </c>
      <c r="Q67" cm="1">
        <f t="array" ref="Q67">_xll.EQNXTDZ($A$1,$B67,Q$1)</f>
        <v>473840.10310000001</v>
      </c>
      <c r="R67" cm="1">
        <f t="array" ref="R67">_xll.EQNXTDZ($A$1,$B67,R$1)</f>
        <v>479791.56209999998</v>
      </c>
      <c r="S67" cm="1">
        <f t="array" ref="S67">_xll.EQNXTDZ($A$1,$B67,S$1)</f>
        <v>495275.24219999998</v>
      </c>
      <c r="T67" cm="1">
        <f t="array" ref="T67">_xll.EQNXTDZ($A$1,$B67,T$1)</f>
        <v>524771.86029999994</v>
      </c>
      <c r="U67" cm="1">
        <f t="array" ref="U67">_xll.EQNXTDZ($A$1,$B67,U$1)</f>
        <v>599033.27480000001</v>
      </c>
      <c r="V67" cm="1">
        <f t="array" ref="V67">_xll.EQNXTDZ($A$1,$B67,V$1)</f>
        <v>625351.17370000004</v>
      </c>
      <c r="W67" cm="1">
        <f t="array" ref="W67">_xll.EQNXTDZ($A$1,$B67,W$1)</f>
        <v>1010874.5827</v>
      </c>
      <c r="X67" cm="1">
        <f t="array" ref="X67">_xll.EQNXTDZ($A$1,$B67,X$1)</f>
        <v>1086409.2541</v>
      </c>
      <c r="Y67" cm="1">
        <f t="array" ref="Y67">_xll.EQNXTDZ($A$1,$B67,Y$1)</f>
        <v>1179218.6066999999</v>
      </c>
      <c r="Z67" cm="1">
        <f t="array" ref="Z67">_xll.EQNXTDZ($A$1,$B67,Z$1)</f>
        <v>1312366.6126999999</v>
      </c>
      <c r="AA67" cm="1">
        <f t="array" ref="AA67">_xll.EQNXTDZ($A$1,$B67,AA$1)</f>
        <v>1429862.1765000001</v>
      </c>
      <c r="AB67" cm="1">
        <f t="array" ref="AB67">_xll.EQNXTDZ($A$1,$B67,AB$1)</f>
        <v>1568678.1484000001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10" customFormat="1" x14ac:dyDescent="0.25">
      <c r="A68" s="110" t="s">
        <v>126</v>
      </c>
      <c r="B68" s="110" t="s">
        <v>148</v>
      </c>
      <c r="C68" cm="1">
        <f t="array" ref="C68">_xll.EQNXTDZ($A$1,$B68,C$1)</f>
        <v>1547.8468</v>
      </c>
      <c r="D68" cm="1">
        <f t="array" ref="D68">_xll.EQNXTDZ($A$1,$B68,D$1)</f>
        <v>267.39839999999998</v>
      </c>
      <c r="E68" cm="1">
        <f t="array" ref="E68">_xll.EQNXTDZ($A$1,$B68,E$1)</f>
        <v>93.822299999999998</v>
      </c>
      <c r="F68" cm="1">
        <f t="array" ref="F68">_xll.EQNXTDZ($A$1,$B68,F$1)</f>
        <v>754.89700000000005</v>
      </c>
      <c r="G68" cm="1">
        <f t="array" ref="G68">_xll.EQNXTDZ($A$1,$B68,G$1)</f>
        <v>114.16419999999999</v>
      </c>
      <c r="H68" cm="1">
        <f t="array" ref="H68">_xll.EQNXTDZ($A$1,$B68,H$1)</f>
        <v>25.824000000000002</v>
      </c>
      <c r="I68" cm="1">
        <f t="array" ref="I68">_xll.EQNXTDZ($A$1,$B68,I$1)</f>
        <v>1574.3516999999999</v>
      </c>
      <c r="J68" cm="1">
        <f t="array" ref="J68">_xll.EQNXTDZ($A$1,$B68,J$1)</f>
        <v>2517.2321999999999</v>
      </c>
      <c r="K68" cm="1">
        <f t="array" ref="K68">_xll.EQNXTDZ($A$1,$B68,K$1)</f>
        <v>14000.9498</v>
      </c>
      <c r="L68" cm="1">
        <f t="array" ref="L68">_xll.EQNXTDZ($A$1,$B68,L$1)</f>
        <v>8440.5573000000004</v>
      </c>
      <c r="M68" cm="1">
        <f t="array" ref="M68">_xll.EQNXTDZ($A$1,$B68,M$1)</f>
        <v>14261.6458</v>
      </c>
      <c r="N68" cm="1">
        <f t="array" ref="N68">_xll.EQNXTDZ($A$1,$B68,N$1)</f>
        <v>15525.391600000001</v>
      </c>
      <c r="O68" cm="1">
        <f t="array" ref="O68">_xll.EQNXTDZ($A$1,$B68,O$1)</f>
        <v>20283.373800000001</v>
      </c>
      <c r="P68" cm="1">
        <f t="array" ref="P68">_xll.EQNXTDZ($A$1,$B68,P$1)</f>
        <v>27230.636600000002</v>
      </c>
      <c r="Q68" cm="1">
        <f t="array" ref="Q68">_xll.EQNXTDZ($A$1,$B68,Q$1)</f>
        <v>25671.567500000001</v>
      </c>
      <c r="R68" cm="1">
        <f t="array" ref="R68">_xll.EQNXTDZ($A$1,$B68,R$1)</f>
        <v>26873.3164</v>
      </c>
      <c r="S68" cm="1">
        <f t="array" ref="S68">_xll.EQNXTDZ($A$1,$B68,S$1)</f>
        <v>39503.559000000001</v>
      </c>
      <c r="T68" cm="1">
        <f t="array" ref="T68">_xll.EQNXTDZ($A$1,$B68,T$1)</f>
        <v>38808.511700000003</v>
      </c>
      <c r="U68" cm="1">
        <f t="array" ref="U68">_xll.EQNXTDZ($A$1,$B68,U$1)</f>
        <v>40992.294399999999</v>
      </c>
      <c r="V68" cm="1">
        <f t="array" ref="V68">_xll.EQNXTDZ($A$1,$B68,V$1)</f>
        <v>42761.767200000002</v>
      </c>
      <c r="W68" cm="1">
        <f t="array" ref="W68">_xll.EQNXTDZ($A$1,$B68,W$1)</f>
        <v>49983.560599999997</v>
      </c>
      <c r="X68" cm="1">
        <f t="array" ref="X68">_xll.EQNXTDZ($A$1,$B68,X$1)</f>
        <v>46284.957600000002</v>
      </c>
      <c r="Y68" cm="1">
        <f t="array" ref="Y68">_xll.EQNXTDZ($A$1,$B68,Y$1)</f>
        <v>58089.789100000002</v>
      </c>
      <c r="Z68" cm="1">
        <f t="array" ref="Z68">_xll.EQNXTDZ($A$1,$B68,Z$1)</f>
        <v>57592.277300000002</v>
      </c>
      <c r="AA68" cm="1">
        <f t="array" ref="AA68">_xll.EQNXTDZ($A$1,$B68,AA$1)</f>
        <v>116686.11810000001</v>
      </c>
      <c r="AB68" cm="1">
        <f t="array" ref="AB68">_xll.EQNXTDZ($A$1,$B68,AB$1)</f>
        <v>155287.67970000001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10" customFormat="1" x14ac:dyDescent="0.25">
      <c r="A69" s="110" t="s">
        <v>127</v>
      </c>
      <c r="B69" s="110" t="s">
        <v>149</v>
      </c>
      <c r="C69" cm="1">
        <f t="array" ref="C69">_xll.EQNXTDZ($A$1,$B69,C$1)</f>
        <v>3088.8171000000002</v>
      </c>
      <c r="D69" cm="1">
        <f t="array" ref="D69">_xll.EQNXTDZ($A$1,$B69,D$1)</f>
        <v>4366.2429000000002</v>
      </c>
      <c r="E69" cm="1">
        <f t="array" ref="E69">_xll.EQNXTDZ($A$1,$B69,E$1)</f>
        <v>5717.4575000000004</v>
      </c>
      <c r="F69" cm="1">
        <f t="array" ref="F69">_xll.EQNXTDZ($A$1,$B69,F$1)</f>
        <v>7188.2957999999999</v>
      </c>
      <c r="G69" cm="1">
        <f t="array" ref="G69">_xll.EQNXTDZ($A$1,$B69,G$1)</f>
        <v>7286.1333000000004</v>
      </c>
      <c r="H69" cm="1">
        <f t="array" ref="H69">_xll.EQNXTDZ($A$1,$B69,H$1)</f>
        <v>8860.5669999999991</v>
      </c>
      <c r="I69" cm="1">
        <f t="array" ref="I69">_xll.EQNXTDZ($A$1,$B69,I$1)</f>
        <v>11651.253000000001</v>
      </c>
      <c r="J69" cm="1">
        <f t="array" ref="J69">_xll.EQNXTDZ($A$1,$B69,J$1)</f>
        <v>13438.5453</v>
      </c>
      <c r="K69" cm="1">
        <f t="array" ref="K69">_xll.EQNXTDZ($A$1,$B69,K$1)</f>
        <v>6544.5771000000004</v>
      </c>
      <c r="L69" cm="1">
        <f t="array" ref="L69">_xll.EQNXTDZ($A$1,$B69,L$1)</f>
        <v>6977.2988999999998</v>
      </c>
      <c r="M69" cm="1">
        <f t="array" ref="M69">_xll.EQNXTDZ($A$1,$B69,M$1)</f>
        <v>8206.7505000000001</v>
      </c>
      <c r="N69" cm="1">
        <f t="array" ref="N69">_xll.EQNXTDZ($A$1,$B69,N$1)</f>
        <v>8891.1183999999994</v>
      </c>
      <c r="O69" cm="1">
        <f t="array" ref="O69">_xll.EQNXTDZ($A$1,$B69,O$1)</f>
        <v>11325.454599999999</v>
      </c>
      <c r="P69" cm="1">
        <f t="array" ref="P69">_xll.EQNXTDZ($A$1,$B69,P$1)</f>
        <v>14348.2863</v>
      </c>
      <c r="Q69" cm="1">
        <f t="array" ref="Q69">_xll.EQNXTDZ($A$1,$B69,Q$1)</f>
        <v>16629.661700000001</v>
      </c>
      <c r="R69" cm="1">
        <f t="array" ref="R69">_xll.EQNXTDZ($A$1,$B69,R$1)</f>
        <v>14692.6993</v>
      </c>
      <c r="S69" cm="1">
        <f t="array" ref="S69">_xll.EQNXTDZ($A$1,$B69,S$1)</f>
        <v>15055.104799999999</v>
      </c>
      <c r="T69" cm="1">
        <f t="array" ref="T69">_xll.EQNXTDZ($A$1,$B69,T$1)</f>
        <v>17700.8959</v>
      </c>
      <c r="U69" cm="1">
        <f t="array" ref="U69">_xll.EQNXTDZ($A$1,$B69,U$1)</f>
        <v>18563.8894</v>
      </c>
      <c r="V69" cm="1">
        <f t="array" ref="V69">_xll.EQNXTDZ($A$1,$B69,V$1)</f>
        <v>16468.839800000002</v>
      </c>
      <c r="W69" cm="1">
        <f t="array" ref="W69">_xll.EQNXTDZ($A$1,$B69,W$1)</f>
        <v>33931.959499999997</v>
      </c>
      <c r="X69" cm="1">
        <f t="array" ref="X69">_xll.EQNXTDZ($A$1,$B69,X$1)</f>
        <v>29299.357400000001</v>
      </c>
      <c r="Y69" cm="1">
        <f t="array" ref="Y69">_xll.EQNXTDZ($A$1,$B69,Y$1)</f>
        <v>34816.671699999999</v>
      </c>
      <c r="Z69" cm="1">
        <f t="array" ref="Z69">_xll.EQNXTDZ($A$1,$B69,Z$1)</f>
        <v>34627.239000000001</v>
      </c>
      <c r="AA69" cm="1">
        <f t="array" ref="AA69">_xll.EQNXTDZ($A$1,$B69,AA$1)</f>
        <v>38237.182200000003</v>
      </c>
      <c r="AB69" cm="1">
        <f t="array" ref="AB69">_xll.EQNXTDZ($A$1,$B69,AB$1)</f>
        <v>45853.448600000003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10" customFormat="1" x14ac:dyDescent="0.25">
      <c r="A70" s="110" t="s">
        <v>128</v>
      </c>
      <c r="B70" s="110" t="s">
        <v>150</v>
      </c>
      <c r="C70" cm="1">
        <f t="array" ref="C70">_xll.EQNXTDZ($A$1,$B70,C$1)</f>
        <v>66520.642300000007</v>
      </c>
      <c r="D70" cm="1">
        <f t="array" ref="D70">_xll.EQNXTDZ($A$1,$B70,D$1)</f>
        <v>72135.145699999994</v>
      </c>
      <c r="E70" cm="1">
        <f t="array" ref="E70">_xll.EQNXTDZ($A$1,$B70,E$1)</f>
        <v>82054.930600000007</v>
      </c>
      <c r="F70" cm="1">
        <f t="array" ref="F70">_xll.EQNXTDZ($A$1,$B70,F$1)</f>
        <v>99539.392300000007</v>
      </c>
      <c r="G70" cm="1">
        <f t="array" ref="G70">_xll.EQNXTDZ($A$1,$B70,G$1)</f>
        <v>110305.17329999999</v>
      </c>
      <c r="H70" cm="1">
        <f t="array" ref="H70">_xll.EQNXTDZ($A$1,$B70,H$1)</f>
        <v>132821.85870000001</v>
      </c>
      <c r="I70" cm="1">
        <f t="array" ref="I70">_xll.EQNXTDZ($A$1,$B70,I$1)</f>
        <v>165961.04269999999</v>
      </c>
      <c r="J70" cm="1">
        <f t="array" ref="J70">_xll.EQNXTDZ($A$1,$B70,J$1)</f>
        <v>180528.69200000001</v>
      </c>
      <c r="K70" cm="1">
        <f t="array" ref="K70">_xll.EQNXTDZ($A$1,$B70,K$1)</f>
        <v>219645.8034</v>
      </c>
      <c r="L70" cm="1">
        <f t="array" ref="L70">_xll.EQNXTDZ($A$1,$B70,L$1)</f>
        <v>264741.08279999997</v>
      </c>
      <c r="M70" cm="1">
        <f t="array" ref="M70">_xll.EQNXTDZ($A$1,$B70,M$1)</f>
        <v>335944.8567</v>
      </c>
      <c r="N70" cm="1">
        <f t="array" ref="N70">_xll.EQNXTDZ($A$1,$B70,N$1)</f>
        <v>374160.19270000001</v>
      </c>
      <c r="O70" cm="1">
        <f t="array" ref="O70">_xll.EQNXTDZ($A$1,$B70,O$1)</f>
        <v>412342.60859999998</v>
      </c>
      <c r="P70" cm="1">
        <f t="array" ref="P70">_xll.EQNXTDZ($A$1,$B70,P$1)</f>
        <v>491921.85430000001</v>
      </c>
      <c r="Q70" cm="1">
        <f t="array" ref="Q70">_xll.EQNXTDZ($A$1,$B70,Q$1)</f>
        <v>548000.56480000005</v>
      </c>
      <c r="R70" cm="1">
        <f t="array" ref="R70">_xll.EQNXTDZ($A$1,$B70,R$1)</f>
        <v>552960.77830000001</v>
      </c>
      <c r="S70" cm="1">
        <f t="array" ref="S70">_xll.EQNXTDZ($A$1,$B70,S$1)</f>
        <v>583519.44350000005</v>
      </c>
      <c r="T70" cm="1">
        <f t="array" ref="T70">_xll.EQNXTDZ($A$1,$B70,T$1)</f>
        <v>616886.10479999997</v>
      </c>
      <c r="U70" cm="1">
        <f t="array" ref="U70">_xll.EQNXTDZ($A$1,$B70,U$1)</f>
        <v>694766.69050000003</v>
      </c>
      <c r="V70" cm="1">
        <f t="array" ref="V70">_xll.EQNXTDZ($A$1,$B70,V$1)</f>
        <v>723874.74529999995</v>
      </c>
      <c r="W70" cm="1">
        <f t="array" ref="W70">_xll.EQNXTDZ($A$1,$B70,W$1)</f>
        <v>1153675.0349000001</v>
      </c>
      <c r="X70" cm="1">
        <f t="array" ref="X70">_xll.EQNXTDZ($A$1,$B70,X$1)</f>
        <v>1228104.8807000001</v>
      </c>
      <c r="Y70" cm="1">
        <f t="array" ref="Y70">_xll.EQNXTDZ($A$1,$B70,Y$1)</f>
        <v>1345732.2475000001</v>
      </c>
      <c r="Z70" cm="1">
        <f t="array" ref="Z70">_xll.EQNXTDZ($A$1,$B70,Z$1)</f>
        <v>1491540.7198000001</v>
      </c>
      <c r="AA70" cm="1">
        <f t="array" ref="AA70">_xll.EQNXTDZ($A$1,$B70,AA$1)</f>
        <v>1684685.5837000001</v>
      </c>
      <c r="AB70" cm="1">
        <f t="array" ref="AB70">_xll.EQNXTDZ($A$1,$B70,AB$1)</f>
        <v>1883201.8906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10" customFormat="1" x14ac:dyDescent="0.25">
      <c r="A71" s="110" t="s">
        <v>129</v>
      </c>
      <c r="B71" s="110" t="s">
        <v>151</v>
      </c>
      <c r="C71" cm="1">
        <f t="array" ref="C71">_xll.EQNXTDZ($A$1,$B71,C$1)</f>
        <v>3886.3591000000001</v>
      </c>
      <c r="D71" cm="1">
        <f t="array" ref="D71">_xll.EQNXTDZ($A$1,$B71,D$1)</f>
        <v>7859.8552</v>
      </c>
      <c r="E71" cm="1">
        <f t="array" ref="E71">_xll.EQNXTDZ($A$1,$B71,E$1)</f>
        <v>5607.5111999999999</v>
      </c>
      <c r="F71" cm="1">
        <f t="array" ref="F71">_xll.EQNXTDZ($A$1,$B71,F$1)</f>
        <v>6890.9376000000002</v>
      </c>
      <c r="G71" cm="1">
        <f t="array" ref="G71">_xll.EQNXTDZ($A$1,$B71,G$1)</f>
        <v>4984.3832000000002</v>
      </c>
      <c r="H71" cm="1">
        <f t="array" ref="H71">_xll.EQNXTDZ($A$1,$B71,H$1)</f>
        <v>7913.9957000000004</v>
      </c>
      <c r="I71" cm="1">
        <f t="array" ref="I71">_xll.EQNXTDZ($A$1,$B71,I$1)</f>
        <v>9095.1915000000008</v>
      </c>
      <c r="J71" cm="1">
        <f t="array" ref="J71">_xll.EQNXTDZ($A$1,$B71,J$1)</f>
        <v>13364.787</v>
      </c>
      <c r="K71" cm="1">
        <f t="array" ref="K71">_xll.EQNXTDZ($A$1,$B71,K$1)</f>
        <v>10036.7922</v>
      </c>
      <c r="L71" cm="1">
        <f t="array" ref="L71">_xll.EQNXTDZ($A$1,$B71,L$1)</f>
        <v>15719.4642</v>
      </c>
      <c r="M71" cm="1">
        <f t="array" ref="M71">_xll.EQNXTDZ($A$1,$B71,M$1)</f>
        <v>22014.792399999998</v>
      </c>
      <c r="N71" cm="1">
        <f t="array" ref="N71">_xll.EQNXTDZ($A$1,$B71,N$1)</f>
        <v>17795.135699999999</v>
      </c>
      <c r="O71" cm="1">
        <f t="array" ref="O71">_xll.EQNXTDZ($A$1,$B71,O$1)</f>
        <v>15405.9303</v>
      </c>
      <c r="P71" cm="1">
        <f t="array" ref="P71">_xll.EQNXTDZ($A$1,$B71,P$1)</f>
        <v>22153.7808</v>
      </c>
      <c r="Q71" cm="1">
        <f t="array" ref="Q71">_xll.EQNXTDZ($A$1,$B71,Q$1)</f>
        <v>21971.954099999999</v>
      </c>
      <c r="R71" cm="1">
        <f t="array" ref="R71">_xll.EQNXTDZ($A$1,$B71,R$1)</f>
        <v>20664.050999999999</v>
      </c>
      <c r="S71" cm="1">
        <f t="array" ref="S71">_xll.EQNXTDZ($A$1,$B71,S$1)</f>
        <v>19922.497299999999</v>
      </c>
      <c r="T71" cm="1">
        <f t="array" ref="T71">_xll.EQNXTDZ($A$1,$B71,T$1)</f>
        <v>22100.038100000002</v>
      </c>
      <c r="U71" cm="1">
        <f t="array" ref="U71">_xll.EQNXTDZ($A$1,$B71,U$1)</f>
        <v>29919.016</v>
      </c>
      <c r="V71" cm="1">
        <f t="array" ref="V71">_xll.EQNXTDZ($A$1,$B71,V$1)</f>
        <v>22570.1371</v>
      </c>
      <c r="W71" cm="1">
        <f t="array" ref="W71">_xll.EQNXTDZ($A$1,$B71,W$1)</f>
        <v>43111.622900000002</v>
      </c>
      <c r="X71" cm="1">
        <f t="array" ref="X71">_xll.EQNXTDZ($A$1,$B71,X$1)</f>
        <v>51602.912499999999</v>
      </c>
      <c r="Y71" cm="1">
        <f t="array" ref="Y71">_xll.EQNXTDZ($A$1,$B71,Y$1)</f>
        <v>54988.445399999997</v>
      </c>
      <c r="Z71" cm="1">
        <f t="array" ref="Z71">_xll.EQNXTDZ($A$1,$B71,Z$1)</f>
        <v>71068.183600000004</v>
      </c>
      <c r="AA71" cm="1">
        <f t="array" ref="AA71">_xll.EQNXTDZ($A$1,$B71,AA$1)</f>
        <v>89998.567500000005</v>
      </c>
      <c r="AB71" cm="1">
        <f t="array" ref="AB71">_xll.EQNXTDZ($A$1,$B71,AB$1)</f>
        <v>54053.896500000003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10" customFormat="1" x14ac:dyDescent="0.25">
      <c r="A72" s="110" t="s">
        <v>130</v>
      </c>
      <c r="B72" s="110" t="s">
        <v>152</v>
      </c>
      <c r="C72" cm="1">
        <f t="array" ref="C72">_xll.EQNXTDZ($A$1,$B72,C$1)</f>
        <v>9284.8752999999997</v>
      </c>
      <c r="D72" cm="1">
        <f t="array" ref="D72">_xll.EQNXTDZ($A$1,$B72,D$1)</f>
        <v>4637.8415000000005</v>
      </c>
      <c r="E72" cm="1">
        <f t="array" ref="E72">_xll.EQNXTDZ($A$1,$B72,E$1)</f>
        <v>2089.6392000000001</v>
      </c>
      <c r="F72" cm="1">
        <f t="array" ref="F72">_xll.EQNXTDZ($A$1,$B72,F$1)</f>
        <v>5136.0751</v>
      </c>
      <c r="G72" cm="1">
        <f t="array" ref="G72">_xll.EQNXTDZ($A$1,$B72,G$1)</f>
        <v>3684.3490999999999</v>
      </c>
      <c r="H72" cm="1">
        <f t="array" ref="H72">_xll.EQNXTDZ($A$1,$B72,H$1)</f>
        <v>4909.5590000000002</v>
      </c>
      <c r="I72" cm="1">
        <f t="array" ref="I72">_xll.EQNXTDZ($A$1,$B72,I$1)</f>
        <v>7278.7421000000004</v>
      </c>
      <c r="J72" cm="1">
        <f t="array" ref="J72">_xll.EQNXTDZ($A$1,$B72,J$1)</f>
        <v>4513.2519000000002</v>
      </c>
      <c r="K72" cm="1">
        <f t="array" ref="K72">_xll.EQNXTDZ($A$1,$B72,K$1)</f>
        <v>6622.9898000000003</v>
      </c>
      <c r="L72" cm="1">
        <f t="array" ref="L72">_xll.EQNXTDZ($A$1,$B72,L$1)</f>
        <v>3933.7458000000001</v>
      </c>
      <c r="M72" cm="1">
        <f t="array" ref="M72">_xll.EQNXTDZ($A$1,$B72,M$1)</f>
        <v>8693.3227999999999</v>
      </c>
      <c r="N72" cm="1">
        <f t="array" ref="N72">_xll.EQNXTDZ($A$1,$B72,N$1)</f>
        <v>10384.265100000001</v>
      </c>
      <c r="O72" cm="1">
        <f t="array" ref="O72">_xll.EQNXTDZ($A$1,$B72,O$1)</f>
        <v>19308.772300000001</v>
      </c>
      <c r="P72" cm="1">
        <f t="array" ref="P72">_xll.EQNXTDZ($A$1,$B72,P$1)</f>
        <v>22674.929899999999</v>
      </c>
      <c r="Q72" cm="1">
        <f t="array" ref="Q72">_xll.EQNXTDZ($A$1,$B72,Q$1)</f>
        <v>26669.140299999999</v>
      </c>
      <c r="R72" cm="1">
        <f t="array" ref="R72">_xll.EQNXTDZ($A$1,$B72,R$1)</f>
        <v>36069.607499999998</v>
      </c>
      <c r="S72" cm="1">
        <f t="array" ref="S72">_xll.EQNXTDZ($A$1,$B72,S$1)</f>
        <v>38902.961499999998</v>
      </c>
      <c r="T72" cm="1">
        <f t="array" ref="T72">_xll.EQNXTDZ($A$1,$B72,T$1)</f>
        <v>27812.294000000002</v>
      </c>
      <c r="U72" cm="1">
        <f t="array" ref="U72">_xll.EQNXTDZ($A$1,$B72,U$1)</f>
        <v>36233.6728</v>
      </c>
      <c r="V72" cm="1">
        <f t="array" ref="V72">_xll.EQNXTDZ($A$1,$B72,V$1)</f>
        <v>45701.327400000002</v>
      </c>
      <c r="W72" cm="1">
        <f t="array" ref="W72">_xll.EQNXTDZ($A$1,$B72,W$1)</f>
        <v>135296.41380000001</v>
      </c>
      <c r="X72" cm="1">
        <f t="array" ref="X72">_xll.EQNXTDZ($A$1,$B72,X$1)</f>
        <v>130451.393</v>
      </c>
      <c r="Y72" cm="1">
        <f t="array" ref="Y72">_xll.EQNXTDZ($A$1,$B72,Y$1)</f>
        <v>86434.754199999996</v>
      </c>
      <c r="Z72" cm="1">
        <f t="array" ref="Z72">_xll.EQNXTDZ($A$1,$B72,Z$1)</f>
        <v>79691.5386</v>
      </c>
      <c r="AA72" cm="1">
        <f t="array" ref="AA72">_xll.EQNXTDZ($A$1,$B72,AA$1)</f>
        <v>115341.60890000001</v>
      </c>
      <c r="AB72" cm="1">
        <f t="array" ref="AB72">_xll.EQNXTDZ($A$1,$B72,AB$1)</f>
        <v>152249.44039999999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10" customFormat="1" x14ac:dyDescent="0.25">
      <c r="A73" s="110" t="s">
        <v>131</v>
      </c>
      <c r="B73" s="110" t="s">
        <v>153</v>
      </c>
      <c r="C73" cm="1">
        <f t="array" ref="C73">_xll.EQNXTDZ($A$1,$B73,C$1)</f>
        <v>21445.460599999999</v>
      </c>
      <c r="D73" cm="1">
        <f t="array" ref="D73">_xll.EQNXTDZ($A$1,$B73,D$1)</f>
        <v>23220.105599999999</v>
      </c>
      <c r="E73" cm="1">
        <f t="array" ref="E73">_xll.EQNXTDZ($A$1,$B73,E$1)</f>
        <v>30458.243999999999</v>
      </c>
      <c r="F73" cm="1">
        <f t="array" ref="F73">_xll.EQNXTDZ($A$1,$B73,F$1)</f>
        <v>35792.989399999999</v>
      </c>
      <c r="G73" cm="1">
        <f t="array" ref="G73">_xll.EQNXTDZ($A$1,$B73,G$1)</f>
        <v>38053.883600000001</v>
      </c>
      <c r="H73" cm="1">
        <f t="array" ref="H73">_xll.EQNXTDZ($A$1,$B73,H$1)</f>
        <v>36974.182999999997</v>
      </c>
      <c r="I73" cm="1">
        <f t="array" ref="I73">_xll.EQNXTDZ($A$1,$B73,I$1)</f>
        <v>45225.538399999998</v>
      </c>
      <c r="J73" cm="1">
        <f t="array" ref="J73">_xll.EQNXTDZ($A$1,$B73,J$1)</f>
        <v>49811.571799999998</v>
      </c>
      <c r="K73" cm="1">
        <f t="array" ref="K73">_xll.EQNXTDZ($A$1,$B73,K$1)</f>
        <v>57776.9041</v>
      </c>
      <c r="L73" cm="1">
        <f t="array" ref="L73">_xll.EQNXTDZ($A$1,$B73,L$1)</f>
        <v>69676.9522</v>
      </c>
      <c r="M73" cm="1">
        <f t="array" ref="M73">_xll.EQNXTDZ($A$1,$B73,M$1)</f>
        <v>83636.02</v>
      </c>
      <c r="N73" cm="1">
        <f t="array" ref="N73">_xll.EQNXTDZ($A$1,$B73,N$1)</f>
        <v>102057.42819999999</v>
      </c>
      <c r="O73" cm="1">
        <f t="array" ref="O73">_xll.EQNXTDZ($A$1,$B73,O$1)</f>
        <v>121132.8303</v>
      </c>
      <c r="P73" cm="1">
        <f t="array" ref="P73">_xll.EQNXTDZ($A$1,$B73,P$1)</f>
        <v>126828.255</v>
      </c>
      <c r="Q73" cm="1">
        <f t="array" ref="Q73">_xll.EQNXTDZ($A$1,$B73,Q$1)</f>
        <v>142061.42360000001</v>
      </c>
      <c r="R73" cm="1">
        <f t="array" ref="R73">_xll.EQNXTDZ($A$1,$B73,R$1)</f>
        <v>142309.30110000001</v>
      </c>
      <c r="S73" cm="1">
        <f t="array" ref="S73">_xll.EQNXTDZ($A$1,$B73,S$1)</f>
        <v>150265.88819999999</v>
      </c>
      <c r="T73" cm="1">
        <f t="array" ref="T73">_xll.EQNXTDZ($A$1,$B73,T$1)</f>
        <v>144053.6704</v>
      </c>
      <c r="U73" cm="1">
        <f t="array" ref="U73">_xll.EQNXTDZ($A$1,$B73,U$1)</f>
        <v>152985.296</v>
      </c>
      <c r="V73" cm="1">
        <f t="array" ref="V73">_xll.EQNXTDZ($A$1,$B73,V$1)</f>
        <v>176244.94029999999</v>
      </c>
      <c r="W73" cm="1">
        <f t="array" ref="W73">_xll.EQNXTDZ($A$1,$B73,W$1)</f>
        <v>261690.394</v>
      </c>
      <c r="X73" cm="1">
        <f t="array" ref="X73">_xll.EQNXTDZ($A$1,$B73,X$1)</f>
        <v>282012.89980000001</v>
      </c>
      <c r="Y73" cm="1">
        <f t="array" ref="Y73">_xll.EQNXTDZ($A$1,$B73,Y$1)</f>
        <v>319038.45049999998</v>
      </c>
      <c r="Z73" cm="1">
        <f t="array" ref="Z73">_xll.EQNXTDZ($A$1,$B73,Z$1)</f>
        <v>357454.4215</v>
      </c>
      <c r="AA73" cm="1">
        <f t="array" ref="AA73">_xll.EQNXTDZ($A$1,$B73,AA$1)</f>
        <v>382179.38160000002</v>
      </c>
      <c r="AB73" cm="1">
        <f t="array" ref="AB73">_xll.EQNXTDZ($A$1,$B73,AB$1)</f>
        <v>403414.58279999997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10" customFormat="1" x14ac:dyDescent="0.25">
      <c r="A74" s="110" t="s">
        <v>50</v>
      </c>
      <c r="B74" s="110" t="s">
        <v>154</v>
      </c>
      <c r="C74" cm="1">
        <f t="array" ref="C74">_xll.EQNXTDZ($A$1,$B74,C$1)</f>
        <v>27831.770799999998</v>
      </c>
      <c r="D74" cm="1">
        <f t="array" ref="D74">_xll.EQNXTDZ($A$1,$B74,D$1)</f>
        <v>33126.705199999997</v>
      </c>
      <c r="E74" cm="1">
        <f t="array" ref="E74">_xll.EQNXTDZ($A$1,$B74,E$1)</f>
        <v>40471.598299999998</v>
      </c>
      <c r="F74" cm="1">
        <f t="array" ref="F74">_xll.EQNXTDZ($A$1,$B74,F$1)</f>
        <v>47638.627800000002</v>
      </c>
      <c r="G74" cm="1">
        <f t="array" ref="G74">_xll.EQNXTDZ($A$1,$B74,G$1)</f>
        <v>60421.403899999998</v>
      </c>
      <c r="H74" cm="1">
        <f t="array" ref="H74">_xll.EQNXTDZ($A$1,$B74,H$1)</f>
        <v>79425.699800000002</v>
      </c>
      <c r="I74" cm="1">
        <f t="array" ref="I74">_xll.EQNXTDZ($A$1,$B74,I$1)</f>
        <v>98505.687000000005</v>
      </c>
      <c r="J74" cm="1">
        <f t="array" ref="J74">_xll.EQNXTDZ($A$1,$B74,J$1)</f>
        <v>107238.04090000001</v>
      </c>
      <c r="K74" cm="1">
        <f t="array" ref="K74">_xll.EQNXTDZ($A$1,$B74,K$1)</f>
        <v>138219.40049999999</v>
      </c>
      <c r="L74" cm="1">
        <f t="array" ref="L74">_xll.EQNXTDZ($A$1,$B74,L$1)</f>
        <v>169334.6306</v>
      </c>
      <c r="M74" cm="1">
        <f t="array" ref="M74">_xll.EQNXTDZ($A$1,$B74,M$1)</f>
        <v>211268.29250000001</v>
      </c>
      <c r="N74" cm="1">
        <f t="array" ref="N74">_xll.EQNXTDZ($A$1,$B74,N$1)</f>
        <v>232489.81849999999</v>
      </c>
      <c r="O74" cm="1">
        <f t="array" ref="O74">_xll.EQNXTDZ($A$1,$B74,O$1)</f>
        <v>242176.62460000001</v>
      </c>
      <c r="P74" cm="1">
        <f t="array" ref="P74">_xll.EQNXTDZ($A$1,$B74,P$1)</f>
        <v>301067.47879999998</v>
      </c>
      <c r="Q74" cm="1">
        <f t="array" ref="Q74">_xll.EQNXTDZ($A$1,$B74,Q$1)</f>
        <v>330035.51449999999</v>
      </c>
      <c r="R74" cm="1">
        <f t="array" ref="R74">_xll.EQNXTDZ($A$1,$B74,R$1)</f>
        <v>324714.82400000002</v>
      </c>
      <c r="S74" cm="1">
        <f t="array" ref="S74">_xll.EQNXTDZ($A$1,$B74,S$1)</f>
        <v>342008.76079999999</v>
      </c>
      <c r="T74" cm="1">
        <f t="array" ref="T74">_xll.EQNXTDZ($A$1,$B74,T$1)</f>
        <v>381702.98639999999</v>
      </c>
      <c r="U74" cm="1">
        <f t="array" ref="U74">_xll.EQNXTDZ($A$1,$B74,U$1)</f>
        <v>427727.2684</v>
      </c>
      <c r="V74" cm="1">
        <f t="array" ref="V74">_xll.EQNXTDZ($A$1,$B74,V$1)</f>
        <v>432175.20480000001</v>
      </c>
      <c r="W74" cm="1">
        <f t="array" ref="W74">_xll.EQNXTDZ($A$1,$B74,W$1)</f>
        <v>639048.98609999998</v>
      </c>
      <c r="X74" cm="1">
        <f t="array" ref="X74">_xll.EQNXTDZ($A$1,$B74,X$1)</f>
        <v>703601.82389999996</v>
      </c>
      <c r="Y74" cm="1">
        <f t="array" ref="Y74">_xll.EQNXTDZ($A$1,$B74,Y$1)</f>
        <v>830672.55240000004</v>
      </c>
      <c r="Z74" cm="1">
        <f t="array" ref="Z74">_xll.EQNXTDZ($A$1,$B74,Z$1)</f>
        <v>931612.83310000005</v>
      </c>
      <c r="AA74" cm="1">
        <f t="array" ref="AA74">_xll.EQNXTDZ($A$1,$B74,AA$1)</f>
        <v>1049155.0197000001</v>
      </c>
      <c r="AB74" cm="1">
        <f t="array" ref="AB74">_xll.EQNXTDZ($A$1,$B74,AB$1)</f>
        <v>1220017.469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10" customFormat="1" x14ac:dyDescent="0.25">
      <c r="A75" s="110" t="s">
        <v>132</v>
      </c>
      <c r="B75" s="110" t="s">
        <v>155</v>
      </c>
      <c r="C75" cm="1">
        <f t="array" ref="C75">_xll.EQNXTDZ($A$1,$B75,C$1)</f>
        <v>1143.4404</v>
      </c>
      <c r="D75" cm="1">
        <f t="array" ref="D75">_xll.EQNXTDZ($A$1,$B75,D$1)</f>
        <v>1241.049</v>
      </c>
      <c r="E75" cm="1">
        <f t="array" ref="E75">_xll.EQNXTDZ($A$1,$B75,E$1)</f>
        <v>1340.4577999999999</v>
      </c>
      <c r="F75" cm="1">
        <f t="array" ref="F75">_xll.EQNXTDZ($A$1,$B75,F$1)</f>
        <v>1455.7236</v>
      </c>
      <c r="G75" cm="1">
        <f t="array" ref="G75">_xll.EQNXTDZ($A$1,$B75,G$1)</f>
        <v>1577.5342000000001</v>
      </c>
      <c r="H75" cm="1">
        <f t="array" ref="H75">_xll.EQNXTDZ($A$1,$B75,H$1)</f>
        <v>1718.6</v>
      </c>
      <c r="I75" cm="1">
        <f t="array" ref="I75">_xll.EQNXTDZ($A$1,$B75,I$1)</f>
        <v>4056.3908999999999</v>
      </c>
      <c r="J75" cm="1">
        <f t="array" ref="J75">_xll.EQNXTDZ($A$1,$B75,J$1)</f>
        <v>4254.3284000000003</v>
      </c>
      <c r="K75" cm="1">
        <f t="array" ref="K75">_xll.EQNXTDZ($A$1,$B75,K$1)</f>
        <v>4440.0742</v>
      </c>
      <c r="L75" cm="1">
        <f t="array" ref="L75">_xll.EQNXTDZ($A$1,$B75,L$1)</f>
        <v>4543.7754000000004</v>
      </c>
      <c r="M75" cm="1">
        <f t="array" ref="M75">_xll.EQNXTDZ($A$1,$B75,M$1)</f>
        <v>4686.1450999999997</v>
      </c>
      <c r="N75" cm="1">
        <f t="array" ref="N75">_xll.EQNXTDZ($A$1,$B75,N$1)</f>
        <v>4858.3734999999997</v>
      </c>
      <c r="O75" cm="1">
        <f t="array" ref="O75">_xll.EQNXTDZ($A$1,$B75,O$1)</f>
        <v>4996.5252</v>
      </c>
      <c r="P75" cm="1">
        <f t="array" ref="P75">_xll.EQNXTDZ($A$1,$B75,P$1)</f>
        <v>9052.4349999999995</v>
      </c>
      <c r="Q75" cm="1">
        <f t="array" ref="Q75">_xll.EQNXTDZ($A$1,$B75,Q$1)</f>
        <v>9797.6995000000006</v>
      </c>
      <c r="R75" cm="1">
        <f t="array" ref="R75">_xll.EQNXTDZ($A$1,$B75,R$1)</f>
        <v>10078.1019</v>
      </c>
      <c r="S75" cm="1">
        <f t="array" ref="S75">_xll.EQNXTDZ($A$1,$B75,S$1)</f>
        <v>10341.240900000001</v>
      </c>
      <c r="T75" cm="1">
        <f t="array" ref="T75">_xll.EQNXTDZ($A$1,$B75,T$1)</f>
        <v>11893.611500000001</v>
      </c>
      <c r="U75" cm="1">
        <f t="array" ref="U75">_xll.EQNXTDZ($A$1,$B75,U$1)</f>
        <v>12262.405000000001</v>
      </c>
      <c r="V75" cm="1">
        <f t="array" ref="V75">_xll.EQNXTDZ($A$1,$B75,V$1)</f>
        <v>12504.014999999999</v>
      </c>
      <c r="W75" cm="1">
        <f t="array" ref="W75">_xll.EQNXTDZ($A$1,$B75,W$1)</f>
        <v>17702.427199999998</v>
      </c>
      <c r="X75" cm="1">
        <f t="array" ref="X75">_xll.EQNXTDZ($A$1,$B75,X$1)</f>
        <v>18368.825400000002</v>
      </c>
      <c r="Y75" cm="1">
        <f t="array" ref="Y75">_xll.EQNXTDZ($A$1,$B75,Y$1)</f>
        <v>17745.665700000001</v>
      </c>
      <c r="Z75" cm="1">
        <f t="array" ref="Z75">_xll.EQNXTDZ($A$1,$B75,Z$1)</f>
        <v>20308.3622</v>
      </c>
      <c r="AA75" cm="1">
        <f t="array" ref="AA75">_xll.EQNXTDZ($A$1,$B75,AA$1)</f>
        <v>18164.079699999998</v>
      </c>
      <c r="AB75" cm="1">
        <f t="array" ref="AB75">_xll.EQNXTDZ($A$1,$B75,AB$1)</f>
        <v>18865.728500000001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10" customFormat="1" x14ac:dyDescent="0.25">
      <c r="A76" s="110" t="s">
        <v>133</v>
      </c>
      <c r="B76" s="110" t="s">
        <v>156</v>
      </c>
      <c r="C76" cm="1">
        <f t="array" ref="C76">_xll.EQNXTDZ($A$1,$B76,C$1)</f>
        <v>493.81490000000002</v>
      </c>
      <c r="D76" cm="1">
        <f t="array" ref="D76">_xll.EQNXTDZ($A$1,$B76,D$1)</f>
        <v>579.46159999999998</v>
      </c>
      <c r="E76" cm="1">
        <f t="array" ref="E76">_xll.EQNXTDZ($A$1,$B76,E$1)</f>
        <v>676.55319999999995</v>
      </c>
      <c r="F76" cm="1">
        <f t="array" ref="F76">_xll.EQNXTDZ($A$1,$B76,F$1)</f>
        <v>766.6748</v>
      </c>
      <c r="G76" cm="1">
        <f t="array" ref="G76">_xll.EQNXTDZ($A$1,$B76,G$1)</f>
        <v>891.18190000000004</v>
      </c>
      <c r="H76" cm="1">
        <f t="array" ref="H76">_xll.EQNXTDZ($A$1,$B76,H$1)</f>
        <v>1016.2115</v>
      </c>
      <c r="I76" cm="1">
        <f t="array" ref="I76">_xll.EQNXTDZ($A$1,$B76,I$1)</f>
        <v>1181.251</v>
      </c>
      <c r="J76" cm="1">
        <f t="array" ref="J76">_xll.EQNXTDZ($A$1,$B76,J$1)</f>
        <v>1324.1785</v>
      </c>
      <c r="K76" cm="1">
        <f t="array" ref="K76">_xll.EQNXTDZ($A$1,$B76,K$1)</f>
        <v>1499.5913</v>
      </c>
      <c r="L76" cm="1">
        <f t="array" ref="L76">_xll.EQNXTDZ($A$1,$B76,L$1)</f>
        <v>1675.3071</v>
      </c>
      <c r="M76" cm="1">
        <f t="array" ref="M76">_xll.EQNXTDZ($A$1,$B76,M$1)</f>
        <v>1834.5433</v>
      </c>
      <c r="N76" cm="1">
        <f t="array" ref="N76">_xll.EQNXTDZ($A$1,$B76,N$1)</f>
        <v>1995.0050000000001</v>
      </c>
      <c r="O76" cm="1">
        <f t="array" ref="O76">_xll.EQNXTDZ($A$1,$B76,O$1)</f>
        <v>2129.1412999999998</v>
      </c>
      <c r="P76" cm="1">
        <f t="array" ref="P76">_xll.EQNXTDZ($A$1,$B76,P$1)</f>
        <v>2407.5554000000002</v>
      </c>
      <c r="Q76" cm="1">
        <f t="array" ref="Q76">_xll.EQNXTDZ($A$1,$B76,Q$1)</f>
        <v>2845.7444999999998</v>
      </c>
      <c r="R76" cm="1">
        <f t="array" ref="R76">_xll.EQNXTDZ($A$1,$B76,R$1)</f>
        <v>2878.2948999999999</v>
      </c>
      <c r="S76" cm="1">
        <f t="array" ref="S76">_xll.EQNXTDZ($A$1,$B76,S$1)</f>
        <v>3171.7883999999999</v>
      </c>
      <c r="T76" cm="1">
        <f t="array" ref="T76">_xll.EQNXTDZ($A$1,$B76,T$1)</f>
        <v>3574.3172</v>
      </c>
      <c r="U76" cm="1">
        <f t="array" ref="U76">_xll.EQNXTDZ($A$1,$B76,U$1)</f>
        <v>3851.8312999999998</v>
      </c>
      <c r="V76" cm="1">
        <f t="array" ref="V76">_xll.EQNXTDZ($A$1,$B76,V$1)</f>
        <v>4227.7371999999996</v>
      </c>
      <c r="W76" cm="1">
        <f t="array" ref="W76">_xll.EQNXTDZ($A$1,$B76,W$1)</f>
        <v>6498.5537000000004</v>
      </c>
      <c r="X76" cm="1">
        <f t="array" ref="X76">_xll.EQNXTDZ($A$1,$B76,X$1)</f>
        <v>7015.4408000000003</v>
      </c>
      <c r="Y76" cm="1">
        <f t="array" ref="Y76">_xll.EQNXTDZ($A$1,$B76,Y$1)</f>
        <v>7515.57</v>
      </c>
      <c r="Z76" cm="1">
        <f t="array" ref="Z76">_xll.EQNXTDZ($A$1,$B76,Z$1)</f>
        <v>8080.7624999999998</v>
      </c>
      <c r="AA76" cm="1">
        <f t="array" ref="AA76">_xll.EQNXTDZ($A$1,$B76,AA$1)</f>
        <v>7948.9303</v>
      </c>
      <c r="AB76" cm="1">
        <f t="array" ref="AB76">_xll.EQNXTDZ($A$1,$B76,AB$1)</f>
        <v>8295.2922999999992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10" customFormat="1" x14ac:dyDescent="0.25">
      <c r="A77" s="110" t="s">
        <v>134</v>
      </c>
      <c r="B77" s="110" t="s">
        <v>157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10" customFormat="1" x14ac:dyDescent="0.25">
      <c r="A78" s="110" t="s">
        <v>20</v>
      </c>
      <c r="B78" s="110" t="s">
        <v>158</v>
      </c>
      <c r="C78" cm="1">
        <f t="array" ref="C78">_xll.EQNXTDZ($A$1,$B78,C$1)</f>
        <v>649.62549999999999</v>
      </c>
      <c r="D78" cm="1">
        <f t="array" ref="D78">_xll.EQNXTDZ($A$1,$B78,D$1)</f>
        <v>661.5874</v>
      </c>
      <c r="E78" cm="1">
        <f t="array" ref="E78">_xll.EQNXTDZ($A$1,$B78,E$1)</f>
        <v>663.90459999999996</v>
      </c>
      <c r="F78" cm="1">
        <f t="array" ref="F78">_xll.EQNXTDZ($A$1,$B78,F$1)</f>
        <v>689.04880000000003</v>
      </c>
      <c r="G78" cm="1">
        <f t="array" ref="G78">_xll.EQNXTDZ($A$1,$B78,G$1)</f>
        <v>686.35230000000001</v>
      </c>
      <c r="H78" cm="1">
        <f t="array" ref="H78">_xll.EQNXTDZ($A$1,$B78,H$1)</f>
        <v>702.38850000000002</v>
      </c>
      <c r="I78" cm="1">
        <f t="array" ref="I78">_xll.EQNXTDZ($A$1,$B78,I$1)</f>
        <v>2875.1399000000001</v>
      </c>
      <c r="J78" cm="1">
        <f t="array" ref="J78">_xll.EQNXTDZ($A$1,$B78,J$1)</f>
        <v>2930.1498999999999</v>
      </c>
      <c r="K78" cm="1">
        <f t="array" ref="K78">_xll.EQNXTDZ($A$1,$B78,K$1)</f>
        <v>2940.4829</v>
      </c>
      <c r="L78" cm="1">
        <f t="array" ref="L78">_xll.EQNXTDZ($A$1,$B78,L$1)</f>
        <v>2868.4683</v>
      </c>
      <c r="M78" cm="1">
        <f t="array" ref="M78">_xll.EQNXTDZ($A$1,$B78,M$1)</f>
        <v>2851.6017999999999</v>
      </c>
      <c r="N78" cm="1">
        <f t="array" ref="N78">_xll.EQNXTDZ($A$1,$B78,N$1)</f>
        <v>2863.3685</v>
      </c>
      <c r="O78" cm="1">
        <f t="array" ref="O78">_xll.EQNXTDZ($A$1,$B78,O$1)</f>
        <v>2867.3838999999998</v>
      </c>
      <c r="P78" cm="1">
        <f t="array" ref="P78">_xll.EQNXTDZ($A$1,$B78,P$1)</f>
        <v>6644.8796000000002</v>
      </c>
      <c r="Q78" cm="1">
        <f t="array" ref="Q78">_xll.EQNXTDZ($A$1,$B78,Q$1)</f>
        <v>6951.9549999999999</v>
      </c>
      <c r="R78" cm="1">
        <f t="array" ref="R78">_xll.EQNXTDZ($A$1,$B78,R$1)</f>
        <v>7199.8069999999998</v>
      </c>
      <c r="S78" cm="1">
        <f t="array" ref="S78">_xll.EQNXTDZ($A$1,$B78,S$1)</f>
        <v>7169.4525000000003</v>
      </c>
      <c r="T78" cm="1">
        <f t="array" ref="T78">_xll.EQNXTDZ($A$1,$B78,T$1)</f>
        <v>8319.2942999999996</v>
      </c>
      <c r="U78" cm="1">
        <f t="array" ref="U78">_xll.EQNXTDZ($A$1,$B78,U$1)</f>
        <v>8410.5737000000008</v>
      </c>
      <c r="V78" cm="1">
        <f t="array" ref="V78">_xll.EQNXTDZ($A$1,$B78,V$1)</f>
        <v>8276.2777999999998</v>
      </c>
      <c r="W78" cm="1">
        <f t="array" ref="W78">_xll.EQNXTDZ($A$1,$B78,W$1)</f>
        <v>11203.8735</v>
      </c>
      <c r="X78" cm="1">
        <f t="array" ref="X78">_xll.EQNXTDZ($A$1,$B78,X$1)</f>
        <v>11353.384599999999</v>
      </c>
      <c r="Y78" cm="1">
        <f t="array" ref="Y78">_xll.EQNXTDZ($A$1,$B78,Y$1)</f>
        <v>10230.0957</v>
      </c>
      <c r="Z78" cm="1">
        <f t="array" ref="Z78">_xll.EQNXTDZ($A$1,$B78,Z$1)</f>
        <v>12227.599700000001</v>
      </c>
      <c r="AA78" cm="1">
        <f t="array" ref="AA78">_xll.EQNXTDZ($A$1,$B78,AA$1)</f>
        <v>10215.1494</v>
      </c>
      <c r="AB78" cm="1">
        <f t="array" ref="AB78">_xll.EQNXTDZ($A$1,$B78,AB$1)</f>
        <v>10570.4362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10" customFormat="1" x14ac:dyDescent="0.25">
      <c r="A79" s="110" t="s">
        <v>135</v>
      </c>
      <c r="B79" s="110" t="s">
        <v>159</v>
      </c>
      <c r="C79" cm="1">
        <f t="array" ref="C79">_xll.EQNXTDZ($A$1,$B79,C$1)</f>
        <v>2.23E-2</v>
      </c>
      <c r="D79" cm="1">
        <f t="array" ref="D79">_xll.EQNXTDZ($A$1,$B79,D$1)</f>
        <v>-2.5749</v>
      </c>
      <c r="E79" cm="1">
        <f t="array" ref="E79">_xll.EQNXTDZ($A$1,$B79,E$1)</f>
        <v>-4.2882999999999996</v>
      </c>
      <c r="F79" cm="1">
        <f t="array" ref="F79">_xll.EQNXTDZ($A$1,$B79,F$1)</f>
        <v>-8.8533000000000008</v>
      </c>
      <c r="G79" cm="1">
        <f t="array" ref="G79">_xll.EQNXTDZ($A$1,$B79,G$1)</f>
        <v>-13.538</v>
      </c>
      <c r="H79" cm="1">
        <f t="array" ref="H79">_xll.EQNXTDZ($A$1,$B79,H$1)</f>
        <v>-13.9168</v>
      </c>
      <c r="I79" cm="1">
        <f t="array" ref="I79">_xll.EQNXTDZ($A$1,$B79,I$1)</f>
        <v>-13.7864</v>
      </c>
      <c r="J79" cm="1">
        <f t="array" ref="J79">_xll.EQNXTDZ($A$1,$B79,J$1)</f>
        <v>-13.2774</v>
      </c>
      <c r="K79" cm="1">
        <f t="array" ref="K79">_xll.EQNXTDZ($A$1,$B79,K$1)</f>
        <v>-11.0219</v>
      </c>
      <c r="L79" cm="1">
        <f t="array" ref="L79">_xll.EQNXTDZ($A$1,$B79,L$1)</f>
        <v>-9.0960999999999999</v>
      </c>
      <c r="M79" cm="1">
        <f t="array" ref="M79">_xll.EQNXTDZ($A$1,$B79,M$1)</f>
        <v>-7.1969000000000003</v>
      </c>
      <c r="N79" cm="1">
        <f t="array" ref="N79">_xll.EQNXTDZ($A$1,$B79,N$1)</f>
        <v>-5.8316999999999997</v>
      </c>
      <c r="O79" cm="1">
        <f t="array" ref="O79">_xll.EQNXTDZ($A$1,$B79,O$1)</f>
        <v>-4.6654999999999998</v>
      </c>
      <c r="P79" cm="1">
        <f t="array" ref="P79">_xll.EQNXTDZ($A$1,$B79,P$1)</f>
        <v>-3.3172999999999999</v>
      </c>
      <c r="Q79" cm="1">
        <f t="array" ref="Q79">_xll.EQNXTDZ($A$1,$B79,Q$1)</f>
        <v>-2.5076999999999998</v>
      </c>
      <c r="R79" cm="1">
        <f t="array" ref="R79">_xll.EQNXTDZ($A$1,$B79,R$1)</f>
        <v>-1.7053</v>
      </c>
      <c r="S79" cm="1">
        <f t="array" ref="S79">_xll.EQNXTDZ($A$1,$B79,S$1)</f>
        <v>-1.1366000000000001</v>
      </c>
      <c r="T79" cm="1">
        <f t="array" ref="T79">_xll.EQNXTDZ($A$1,$B79,T$1)</f>
        <v>-0.65110000000000001</v>
      </c>
      <c r="U79" cm="1">
        <f t="array" ref="U79">_xll.EQNXTDZ($A$1,$B79,U$1)</f>
        <v>-0.34010000000000001</v>
      </c>
      <c r="V79" cm="1">
        <f t="array" ref="V79">_xll.EQNXTDZ($A$1,$B79,V$1)</f>
        <v>1.41E-2</v>
      </c>
      <c r="W79" cm="1">
        <f t="array" ref="W79">_xll.EQNXTDZ($A$1,$B79,W$1)</f>
        <v>0.31659999999999999</v>
      </c>
      <c r="X79" cm="1">
        <f t="array" ref="X79">_xll.EQNXTDZ($A$1,$B79,X$1)</f>
        <v>0.57489999999999997</v>
      </c>
      <c r="Y79" cm="1">
        <f t="array" ref="Y79">_xll.EQNXTDZ($A$1,$B79,Y$1)</f>
        <v>0.57489999999999997</v>
      </c>
      <c r="Z79" cm="1">
        <f t="array" ref="Z79">_xll.EQNXTDZ($A$1,$B79,Z$1)</f>
        <v>0.57489999999999997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10" customFormat="1" x14ac:dyDescent="0.25">
      <c r="A80" s="110" t="s">
        <v>136</v>
      </c>
      <c r="B80" s="110" t="s">
        <v>160</v>
      </c>
      <c r="C80" cm="1">
        <f t="array" ref="C80">_xll.EQNXTDZ($A$1,$B80,C$1)</f>
        <v>0</v>
      </c>
      <c r="D80" cm="1">
        <f t="array" ref="D80">_xll.EQNXTDZ($A$1,$B80,D$1)</f>
        <v>0</v>
      </c>
      <c r="E80" cm="1">
        <f t="array" ref="E80">_xll.EQNXTDZ($A$1,$B80,E$1)</f>
        <v>0</v>
      </c>
      <c r="F80" cm="1">
        <f t="array" ref="F80">_xll.EQNXTDZ($A$1,$B80,F$1)</f>
        <v>0</v>
      </c>
      <c r="G80" cm="1">
        <f t="array" ref="G80">_xll.EQNXTDZ($A$1,$B80,G$1)</f>
        <v>0</v>
      </c>
      <c r="H80" cm="1">
        <f t="array" ref="H80">_xll.EQNXTDZ($A$1,$B80,H$1)</f>
        <v>0</v>
      </c>
      <c r="I80" cm="1">
        <f t="array" ref="I80">_xll.EQNXTDZ($A$1,$B80,I$1)</f>
        <v>0</v>
      </c>
      <c r="J80" cm="1">
        <f t="array" ref="J80">_xll.EQNXTDZ($A$1,$B80,J$1)</f>
        <v>0</v>
      </c>
      <c r="K80" cm="1">
        <f t="array" ref="K80">_xll.EQNXTDZ($A$1,$B80,K$1)</f>
        <v>0</v>
      </c>
      <c r="L80" cm="1">
        <f t="array" ref="L80">_xll.EQNXTDZ($A$1,$B80,L$1)</f>
        <v>0</v>
      </c>
      <c r="M80" cm="1">
        <f t="array" ref="M80">_xll.EQNXTDZ($A$1,$B80,M$1)</f>
        <v>0</v>
      </c>
      <c r="N80" cm="1">
        <f t="array" ref="N80">_xll.EQNXTDZ($A$1,$B80,N$1)</f>
        <v>0</v>
      </c>
      <c r="O80" cm="1">
        <f t="array" ref="O80">_xll.EQNXTDZ($A$1,$B80,O$1)</f>
        <v>0</v>
      </c>
      <c r="P80" cm="1">
        <f t="array" ref="P80">_xll.EQNXTDZ($A$1,$B80,P$1)</f>
        <v>0</v>
      </c>
      <c r="Q80" cm="1">
        <f t="array" ref="Q80">_xll.EQNXTDZ($A$1,$B80,Q$1)</f>
        <v>0</v>
      </c>
      <c r="R80" cm="1">
        <f t="array" ref="R80">_xll.EQNXTDZ($A$1,$B80,R$1)</f>
        <v>0</v>
      </c>
      <c r="S80" cm="1">
        <f t="array" ref="S80">_xll.EQNXTDZ($A$1,$B80,S$1)</f>
        <v>0</v>
      </c>
      <c r="T80" cm="1">
        <f t="array" ref="T80">_xll.EQNXTDZ($A$1,$B80,T$1)</f>
        <v>0</v>
      </c>
      <c r="U80" cm="1">
        <f t="array" ref="U80">_xll.EQNXTDZ($A$1,$B80,U$1)</f>
        <v>0</v>
      </c>
      <c r="V80" cm="1">
        <f t="array" ref="V80">_xll.EQNXTDZ($A$1,$B80,V$1)</f>
        <v>0</v>
      </c>
      <c r="W80" cm="1">
        <f t="array" ref="W80">_xll.EQNXTDZ($A$1,$B80,W$1)</f>
        <v>2.3422999999999998</v>
      </c>
      <c r="X80" cm="1">
        <f t="array" ref="X80">_xll.EQNXTDZ($A$1,$B80,X$1)</f>
        <v>2.3422000000000001</v>
      </c>
      <c r="Y80" cm="1">
        <f t="array" ref="Y80">_xll.EQNXTDZ($A$1,$B80,Y$1)</f>
        <v>0</v>
      </c>
      <c r="Z80" cm="1">
        <f t="array" ref="Z80">_xll.EQNXTDZ($A$1,$B80,Z$1)</f>
        <v>0</v>
      </c>
      <c r="AA80" cm="1">
        <f t="array" ref="AA80">_xll.EQNXTDZ($A$1,$B80,AA$1)</f>
        <v>0</v>
      </c>
      <c r="AB80" cm="1">
        <f t="array" ref="AB80">_xll.EQNXTDZ($A$1,$B80,AB$1)</f>
        <v>0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10" customFormat="1" x14ac:dyDescent="0.25">
      <c r="A81" s="110" t="s">
        <v>137</v>
      </c>
      <c r="B81" s="110" t="s">
        <v>161</v>
      </c>
      <c r="C81" cm="1">
        <f t="array" ref="C81">_xll.EQNXTDZ($A$1,$B81,C$1)</f>
        <v>3422.5286999999998</v>
      </c>
      <c r="D81" cm="1">
        <f t="array" ref="D81">_xll.EQNXTDZ($A$1,$B81,D$1)</f>
        <v>2631.6257000000001</v>
      </c>
      <c r="E81" cm="1">
        <f t="array" ref="E81">_xll.EQNXTDZ($A$1,$B81,E$1)</f>
        <v>2768.3216000000002</v>
      </c>
      <c r="F81" cm="1">
        <f t="array" ref="F81">_xll.EQNXTDZ($A$1,$B81,F$1)</f>
        <v>3400.5668999999998</v>
      </c>
      <c r="G81" cm="1">
        <f t="array" ref="G81">_xll.EQNXTDZ($A$1,$B81,G$1)</f>
        <v>2488.3391999999999</v>
      </c>
      <c r="H81" cm="1">
        <f t="array" ref="H81">_xll.EQNXTDZ($A$1,$B81,H$1)</f>
        <v>2909.9495000000002</v>
      </c>
      <c r="I81" cm="1">
        <f t="array" ref="I81">_xll.EQNXTDZ($A$1,$B81,I$1)</f>
        <v>2994.5302000000001</v>
      </c>
      <c r="J81" cm="1">
        <f t="array" ref="J81">_xll.EQNXTDZ($A$1,$B81,J$1)</f>
        <v>2684.1678999999999</v>
      </c>
      <c r="K81" cm="1">
        <f t="array" ref="K81">_xll.EQNXTDZ($A$1,$B81,K$1)</f>
        <v>4060.2557999999999</v>
      </c>
      <c r="L81" cm="1">
        <f t="array" ref="L81">_xll.EQNXTDZ($A$1,$B81,L$1)</f>
        <v>3216.9178000000002</v>
      </c>
      <c r="M81" cm="1">
        <f t="array" ref="M81">_xll.EQNXTDZ($A$1,$B81,M$1)</f>
        <v>7488.0240999999996</v>
      </c>
      <c r="N81" cm="1">
        <f t="array" ref="N81">_xll.EQNXTDZ($A$1,$B81,N$1)</f>
        <v>8576.0084000000006</v>
      </c>
      <c r="O81" cm="1">
        <f t="array" ref="O81">_xll.EQNXTDZ($A$1,$B81,O$1)</f>
        <v>11455.7327</v>
      </c>
      <c r="P81" cm="1">
        <f t="array" ref="P81">_xll.EQNXTDZ($A$1,$B81,P$1)</f>
        <v>12555.8475</v>
      </c>
      <c r="Q81" cm="1">
        <f t="array" ref="Q81">_xll.EQNXTDZ($A$1,$B81,Q$1)</f>
        <v>20313.084999999999</v>
      </c>
      <c r="R81" cm="1">
        <f t="array" ref="R81">_xll.EQNXTDZ($A$1,$B81,R$1)</f>
        <v>22004.893</v>
      </c>
      <c r="S81" cm="1">
        <f t="array" ref="S81">_xll.EQNXTDZ($A$1,$B81,S$1)</f>
        <v>25251.019799999998</v>
      </c>
      <c r="T81" cm="1">
        <f t="array" ref="T81">_xll.EQNXTDZ($A$1,$B81,T$1)</f>
        <v>32898.472699999998</v>
      </c>
      <c r="U81" cm="1">
        <f t="array" ref="U81">_xll.EQNXTDZ($A$1,$B81,U$1)</f>
        <v>39491.203699999998</v>
      </c>
      <c r="V81" cm="1">
        <f t="array" ref="V81">_xll.EQNXTDZ($A$1,$B81,V$1)</f>
        <v>38906.843800000002</v>
      </c>
      <c r="W81" cm="1">
        <f t="array" ref="W81">_xll.EQNXTDZ($A$1,$B81,W$1)</f>
        <v>63321.085700000003</v>
      </c>
      <c r="X81" cm="1">
        <f t="array" ref="X81">_xll.EQNXTDZ($A$1,$B81,X$1)</f>
        <v>49079.549800000001</v>
      </c>
      <c r="Y81" cm="1">
        <f t="array" ref="Y81">_xll.EQNXTDZ($A$1,$B81,Y$1)</f>
        <v>44367.374400000001</v>
      </c>
      <c r="Z81" cm="1">
        <f t="array" ref="Z81">_xll.EQNXTDZ($A$1,$B81,Z$1)</f>
        <v>39485.568399999996</v>
      </c>
      <c r="AA81" cm="1">
        <f t="array" ref="AA81">_xll.EQNXTDZ($A$1,$B81,AA$1)</f>
        <v>37795.856599999999</v>
      </c>
      <c r="AB81" cm="1">
        <f t="array" ref="AB81">_xll.EQNXTDZ($A$1,$B81,AB$1)</f>
        <v>42896.065699999999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10" customFormat="1" x14ac:dyDescent="0.25">
      <c r="A82" s="110" t="s">
        <v>138</v>
      </c>
      <c r="B82" s="110" t="s">
        <v>162</v>
      </c>
      <c r="C82" cm="1">
        <f t="array" ref="C82">_xll.EQNXTDZ($A$1,$B82,C$1)</f>
        <v>66520.642300000007</v>
      </c>
      <c r="D82" cm="1">
        <f t="array" ref="D82">_xll.EQNXTDZ($A$1,$B82,D$1)</f>
        <v>72135.145699999994</v>
      </c>
      <c r="E82" cm="1">
        <f t="array" ref="E82">_xll.EQNXTDZ($A$1,$B82,E$1)</f>
        <v>82054.930600000007</v>
      </c>
      <c r="F82" cm="1">
        <f t="array" ref="F82">_xll.EQNXTDZ($A$1,$B82,F$1)</f>
        <v>99539.392300000007</v>
      </c>
      <c r="G82" cm="1">
        <f t="array" ref="G82">_xll.EQNXTDZ($A$1,$B82,G$1)</f>
        <v>110305.17329999999</v>
      </c>
      <c r="H82" cm="1">
        <f t="array" ref="H82">_xll.EQNXTDZ($A$1,$B82,H$1)</f>
        <v>132821.85870000001</v>
      </c>
      <c r="I82" cm="1">
        <f t="array" ref="I82">_xll.EQNXTDZ($A$1,$B82,I$1)</f>
        <v>165961.04269999999</v>
      </c>
      <c r="J82" cm="1">
        <f t="array" ref="J82">_xll.EQNXTDZ($A$1,$B82,J$1)</f>
        <v>180528.69200000001</v>
      </c>
      <c r="K82" cm="1">
        <f t="array" ref="K82">_xll.EQNXTDZ($A$1,$B82,K$1)</f>
        <v>219645.8034</v>
      </c>
      <c r="L82" cm="1">
        <f t="array" ref="L82">_xll.EQNXTDZ($A$1,$B82,L$1)</f>
        <v>264741.08279999997</v>
      </c>
      <c r="M82" cm="1">
        <f t="array" ref="M82">_xll.EQNXTDZ($A$1,$B82,M$1)</f>
        <v>335944.8567</v>
      </c>
      <c r="N82" cm="1">
        <f t="array" ref="N82">_xll.EQNXTDZ($A$1,$B82,N$1)</f>
        <v>374160.19270000001</v>
      </c>
      <c r="O82" cm="1">
        <f t="array" ref="O82">_xll.EQNXTDZ($A$1,$B82,O$1)</f>
        <v>412342.60859999998</v>
      </c>
      <c r="P82" cm="1">
        <f t="array" ref="P82">_xll.EQNXTDZ($A$1,$B82,P$1)</f>
        <v>491921.85430000001</v>
      </c>
      <c r="Q82" cm="1">
        <f t="array" ref="Q82">_xll.EQNXTDZ($A$1,$B82,Q$1)</f>
        <v>548000.56480000005</v>
      </c>
      <c r="R82" cm="1">
        <f t="array" ref="R82">_xll.EQNXTDZ($A$1,$B82,R$1)</f>
        <v>552960.77830000001</v>
      </c>
      <c r="S82" cm="1">
        <f t="array" ref="S82">_xll.EQNXTDZ($A$1,$B82,S$1)</f>
        <v>583519.44350000005</v>
      </c>
      <c r="T82" cm="1">
        <f t="array" ref="T82">_xll.EQNXTDZ($A$1,$B82,T$1)</f>
        <v>616886.10479999997</v>
      </c>
      <c r="U82" cm="1">
        <f t="array" ref="U82">_xll.EQNXTDZ($A$1,$B82,U$1)</f>
        <v>694766.69050000003</v>
      </c>
      <c r="V82" cm="1">
        <f t="array" ref="V82">_xll.EQNXTDZ($A$1,$B82,V$1)</f>
        <v>723874.74529999995</v>
      </c>
      <c r="W82" cm="1">
        <f t="array" ref="W82">_xll.EQNXTDZ($A$1,$B82,W$1)</f>
        <v>1153675.0349000001</v>
      </c>
      <c r="X82" cm="1">
        <f t="array" ref="X82">_xll.EQNXTDZ($A$1,$B82,X$1)</f>
        <v>1228104.8807000001</v>
      </c>
      <c r="Y82" cm="1">
        <f t="array" ref="Y82">_xll.EQNXTDZ($A$1,$B82,Y$1)</f>
        <v>1345732.2475000001</v>
      </c>
      <c r="Z82" cm="1">
        <f t="array" ref="Z82">_xll.EQNXTDZ($A$1,$B82,Z$1)</f>
        <v>1491540.7198000001</v>
      </c>
      <c r="AA82" cm="1">
        <f t="array" ref="AA82">_xll.EQNXTDZ($A$1,$B82,AA$1)</f>
        <v>1684685.5837000001</v>
      </c>
      <c r="AB82" cm="1">
        <f t="array" ref="AB82">_xll.EQNXTDZ($A$1,$B82,AB$1)</f>
        <v>1883201.8906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10" customFormat="1" x14ac:dyDescent="0.25">
      <c r="A83" s="110" t="s">
        <v>139</v>
      </c>
      <c r="B83" s="110" t="s">
        <v>163</v>
      </c>
      <c r="C83" cm="1">
        <f t="array" ref="C83">_xll.EQNXTDZ($A$1,$B83,C$1)</f>
        <v>35202.162499999999</v>
      </c>
      <c r="D83" cm="1">
        <f t="array" ref="D83">_xll.EQNXTDZ($A$1,$B83,D$1)</f>
        <v>36024.259299999998</v>
      </c>
      <c r="E83" cm="1">
        <f t="array" ref="E83">_xll.EQNXTDZ($A$1,$B83,E$1)</f>
        <v>51176.143900000003</v>
      </c>
      <c r="F83" cm="1">
        <f t="array" ref="F83">_xll.EQNXTDZ($A$1,$B83,F$1)</f>
        <v>52440.249499999998</v>
      </c>
      <c r="G83" cm="1">
        <f t="array" ref="G83">_xll.EQNXTDZ($A$1,$B83,G$1)</f>
        <v>57607.0268</v>
      </c>
      <c r="H83" cm="1">
        <f t="array" ref="H83">_xll.EQNXTDZ($A$1,$B83,H$1)</f>
        <v>54900.709000000003</v>
      </c>
      <c r="I83" cm="1">
        <f t="array" ref="I83">_xll.EQNXTDZ($A$1,$B83,I$1)</f>
        <v>61611.137600000002</v>
      </c>
      <c r="J83" cm="1">
        <f t="array" ref="J83">_xll.EQNXTDZ($A$1,$B83,J$1)</f>
        <v>109873.22629999999</v>
      </c>
      <c r="K83" cm="1">
        <f t="array" ref="K83">_xll.EQNXTDZ($A$1,$B83,K$1)</f>
        <v>151804.9221</v>
      </c>
      <c r="L83" cm="1">
        <f t="array" ref="L83">_xll.EQNXTDZ($A$1,$B83,L$1)</f>
        <v>124341.9161</v>
      </c>
      <c r="M83" cm="1">
        <f t="array" ref="M83">_xll.EQNXTDZ($A$1,$B83,M$1)</f>
        <v>129654.29300000001</v>
      </c>
      <c r="N83" cm="1">
        <f t="array" ref="N83">_xll.EQNXTDZ($A$1,$B83,N$1)</f>
        <v>192871.2475</v>
      </c>
      <c r="O83" cm="1">
        <f t="array" ref="O83">_xll.EQNXTDZ($A$1,$B83,O$1)</f>
        <v>249707.54689999999</v>
      </c>
      <c r="P83" cm="1">
        <f t="array" ref="P83">_xll.EQNXTDZ($A$1,$B83,P$1)</f>
        <v>223051.4498</v>
      </c>
      <c r="Q83" cm="1">
        <f t="array" ref="Q83">_xll.EQNXTDZ($A$1,$B83,Q$1)</f>
        <v>275355.21879999997</v>
      </c>
      <c r="R83" cm="1">
        <f t="array" ref="R83">_xll.EQNXTDZ($A$1,$B83,R$1)</f>
        <v>287945.55290000001</v>
      </c>
      <c r="S83" cm="1">
        <f t="array" ref="S83">_xll.EQNXTDZ($A$1,$B83,S$1)</f>
        <v>432470.42050000001</v>
      </c>
      <c r="T83" cm="1">
        <f t="array" ref="T83">_xll.EQNXTDZ($A$1,$B83,T$1)</f>
        <v>293728.89</v>
      </c>
      <c r="U83" cm="1">
        <f t="array" ref="U83">_xll.EQNXTDZ($A$1,$B83,U$1)</f>
        <v>359059.22289999999</v>
      </c>
      <c r="V83" cm="1">
        <f t="array" ref="V83">_xll.EQNXTDZ($A$1,$B83,V$1)</f>
        <v>373497.97249999997</v>
      </c>
      <c r="W83" cm="1">
        <f t="array" ref="W83">_xll.EQNXTDZ($A$1,$B83,W$1)</f>
        <v>507071.81359999999</v>
      </c>
      <c r="X83" cm="1">
        <f t="array" ref="X83">_xll.EQNXTDZ($A$1,$B83,X$1)</f>
        <v>375138.02069999999</v>
      </c>
      <c r="Y83" cm="1">
        <f t="array" ref="Y83">_xll.EQNXTDZ($A$1,$B83,Y$1)</f>
        <v>289047.47240000003</v>
      </c>
      <c r="Z83" cm="1">
        <f t="array" ref="Z83">_xll.EQNXTDZ($A$1,$B83,Z$1)</f>
        <v>198350.47579999999</v>
      </c>
      <c r="AA83" cm="1">
        <f t="array" ref="AA83">_xll.EQNXTDZ($A$1,$B83,AA$1)</f>
        <v>381622.82299999997</v>
      </c>
      <c r="AB83" cm="1">
        <f t="array" ref="AB83">_xll.EQNXTDZ($A$1,$B83,AB$1)</f>
        <v>575430.96169999999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10" customFormat="1" x14ac:dyDescent="0.25">
      <c r="A84" s="110" t="s">
        <v>140</v>
      </c>
      <c r="B84" s="110" t="s">
        <v>164</v>
      </c>
      <c r="C84" cm="1">
        <f t="array" ref="C84">_xll.EQNXTDZ($A$1,$B84,C$1)</f>
        <v>2871.0691000000002</v>
      </c>
      <c r="D84" cm="1">
        <f t="array" ref="D84">_xll.EQNXTDZ($A$1,$B84,D$1)</f>
        <v>3920.2132999999999</v>
      </c>
      <c r="E84" cm="1">
        <f t="array" ref="E84">_xll.EQNXTDZ($A$1,$B84,E$1)</f>
        <v>3316.9315000000001</v>
      </c>
      <c r="F84" cm="1">
        <f t="array" ref="F84">_xll.EQNXTDZ($A$1,$B84,F$1)</f>
        <v>3705.7986000000001</v>
      </c>
      <c r="G84" cm="1">
        <f t="array" ref="G84">_xll.EQNXTDZ($A$1,$B84,G$1)</f>
        <v>3957.9578999999999</v>
      </c>
      <c r="H84" cm="1">
        <f t="array" ref="H84">_xll.EQNXTDZ($A$1,$B84,H$1)</f>
        <v>4422.5832</v>
      </c>
      <c r="I84" cm="1">
        <f t="array" ref="I84">_xll.EQNXTDZ($A$1,$B84,I$1)</f>
        <v>6200.0207</v>
      </c>
      <c r="J84" cm="1">
        <f t="array" ref="J84">_xll.EQNXTDZ($A$1,$B84,J$1)</f>
        <v>11137.2667</v>
      </c>
      <c r="K84" cm="1">
        <f t="array" ref="K84">_xll.EQNXTDZ($A$1,$B84,K$1)</f>
        <v>10522.2253</v>
      </c>
      <c r="L84" cm="1">
        <f t="array" ref="L84">_xll.EQNXTDZ($A$1,$B84,L$1)</f>
        <v>7491.5753000000004</v>
      </c>
      <c r="M84" cm="1">
        <f t="array" ref="M84">_xll.EQNXTDZ($A$1,$B84,M$1)</f>
        <v>11193.176799999999</v>
      </c>
      <c r="N84" cm="1">
        <f t="array" ref="N84">_xll.EQNXTDZ($A$1,$B84,N$1)</f>
        <v>12496.511699999999</v>
      </c>
      <c r="O84" cm="1">
        <f t="array" ref="O84">_xll.EQNXTDZ($A$1,$B84,O$1)</f>
        <v>13997.7894</v>
      </c>
      <c r="P84" cm="1">
        <f t="array" ref="P84">_xll.EQNXTDZ($A$1,$B84,P$1)</f>
        <v>16268.916300000001</v>
      </c>
      <c r="Q84" cm="1">
        <f t="array" ref="Q84">_xll.EQNXTDZ($A$1,$B84,Q$1)</f>
        <v>21903.473099999999</v>
      </c>
      <c r="R84" cm="1">
        <f t="array" ref="R84">_xll.EQNXTDZ($A$1,$B84,R$1)</f>
        <v>26563.0023</v>
      </c>
      <c r="S84" cm="1">
        <f t="array" ref="S84">_xll.EQNXTDZ($A$1,$B84,S$1)</f>
        <v>27176.311900000001</v>
      </c>
      <c r="T84" cm="1">
        <f t="array" ref="T84">_xll.EQNXTDZ($A$1,$B84,T$1)</f>
        <v>26782.079000000002</v>
      </c>
      <c r="U84" cm="1">
        <f t="array" ref="U84">_xll.EQNXTDZ($A$1,$B84,U$1)</f>
        <v>28847.915300000001</v>
      </c>
      <c r="V84" cm="1">
        <f t="array" ref="V84">_xll.EQNXTDZ($A$1,$B84,V$1)</f>
        <v>35939.894</v>
      </c>
      <c r="W84" cm="1">
        <f t="array" ref="W84">_xll.EQNXTDZ($A$1,$B84,W$1)</f>
        <v>53385.992599999998</v>
      </c>
      <c r="X84" cm="1">
        <f t="array" ref="X84">_xll.EQNXTDZ($A$1,$B84,X$1)</f>
        <v>34806.180500000002</v>
      </c>
      <c r="Y84" cm="1">
        <f t="array" ref="Y84">_xll.EQNXTDZ($A$1,$B84,Y$1)</f>
        <v>26066.874899999999</v>
      </c>
      <c r="Z84" cm="1">
        <f t="array" ref="Z84">_xll.EQNXTDZ($A$1,$B84,Z$1)</f>
        <v>24934.981100000001</v>
      </c>
      <c r="AA84" cm="1">
        <f t="array" ref="AA84">_xll.EQNXTDZ($A$1,$B84,AA$1)</f>
        <v>27020.093199999999</v>
      </c>
      <c r="AB84" cm="1">
        <f t="array" ref="AB84">_xll.EQNXTDZ($A$1,$B84,AB$1)</f>
        <v>29504.244500000001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10" customFormat="1" x14ac:dyDescent="0.25">
      <c r="A85" s="110" t="s">
        <v>141</v>
      </c>
      <c r="B85" s="110" t="s">
        <v>165</v>
      </c>
      <c r="C85" cm="1">
        <f t="array" ref="C85">_xll.EQNXTDZ($A$1,$B85,C$1)</f>
        <v>46.399244048944702</v>
      </c>
      <c r="D85" cm="1">
        <f t="array" ref="D85">_xll.EQNXTDZ($A$1,$B85,D$1)</f>
        <v>57.844762498570198</v>
      </c>
      <c r="E85" cm="1">
        <f t="array" ref="E85">_xll.EQNXTDZ($A$1,$B85,E$1)</f>
        <v>98.149629268292699</v>
      </c>
      <c r="F85" cm="1">
        <f t="array" ref="F85">_xll.EQNXTDZ($A$1,$B85,F$1)</f>
        <v>125.143412195122</v>
      </c>
      <c r="G85" cm="1">
        <f t="array" ref="G85">_xll.EQNXTDZ($A$1,$B85,G$1)</f>
        <v>146.14726585365901</v>
      </c>
      <c r="H85" cm="1">
        <f t="array" ref="H85">_xll.EQNXTDZ($A$1,$B85,H$1)</f>
        <v>171.19166341463401</v>
      </c>
      <c r="I85" cm="1">
        <f t="array" ref="I85">_xll.EQNXTDZ($A$1,$B85,I$1)</f>
        <v>197.83204390243901</v>
      </c>
      <c r="J85" cm="1">
        <f t="array" ref="J85">_xll.EQNXTDZ($A$1,$B85,J$1)</f>
        <v>202.33251951219501</v>
      </c>
      <c r="K85" cm="1">
        <f t="array" ref="K85">_xll.EQNXTDZ($A$1,$B85,K$1)</f>
        <v>244.86859999999999</v>
      </c>
      <c r="L85" cm="1">
        <f t="array" ref="L85">_xll.EQNXTDZ($A$1,$B85,L$1)</f>
        <v>305.83179999999999</v>
      </c>
      <c r="M85" cm="1">
        <f t="array" ref="M85">_xll.EQNXTDZ($A$1,$B85,M$1)</f>
        <v>404.9991</v>
      </c>
      <c r="N85" cm="1">
        <f t="array" ref="N85">_xll.EQNXTDZ($A$1,$B85,N$1)</f>
        <v>465.57150000000001</v>
      </c>
      <c r="O85" cm="1">
        <f t="array" ref="O85">_xll.EQNXTDZ($A$1,$B85,O$1)</f>
        <v>515.67830000000004</v>
      </c>
      <c r="P85" cm="1">
        <f t="array" ref="P85">_xll.EQNXTDZ($A$1,$B85,P$1)</f>
        <v>522.95719999999994</v>
      </c>
      <c r="Q85" cm="1">
        <f t="array" ref="Q85">_xll.EQNXTDZ($A$1,$B85,Q$1)</f>
        <v>556.68240000000003</v>
      </c>
      <c r="R85" cm="1">
        <f t="array" ref="R85">_xll.EQNXTDZ($A$1,$B85,R$1)</f>
        <v>481.74900000000002</v>
      </c>
      <c r="S85" cm="1">
        <f t="array" ref="S85">_xll.EQNXTDZ($A$1,$B85,S$1)</f>
        <v>474.01389999999998</v>
      </c>
      <c r="T85" cm="1">
        <f t="array" ref="T85">_xll.EQNXTDZ($A$1,$B85,T$1)</f>
        <v>396.59481935637302</v>
      </c>
      <c r="U85" cm="1">
        <f t="array" ref="U85">_xll.EQNXTDZ($A$1,$B85,U$1)</f>
        <v>394.67989954925702</v>
      </c>
      <c r="V85" cm="1">
        <f t="array" ref="V85">_xll.EQNXTDZ($A$1,$B85,V$1)</f>
        <v>319.92919468539799</v>
      </c>
      <c r="W85" cm="1">
        <f t="array" ref="W85">_xll.EQNXTDZ($A$1,$B85,W$1)</f>
        <v>307.27832207936899</v>
      </c>
      <c r="X85" cm="1">
        <f t="array" ref="X85">_xll.EQNXTDZ($A$1,$B85,X$1)</f>
        <v>317.53551109311201</v>
      </c>
      <c r="Y85" cm="1">
        <f t="array" ref="Y85">_xll.EQNXTDZ($A$1,$B85,Y$1)</f>
        <v>364.53906756311801</v>
      </c>
      <c r="Z85" cm="1">
        <f t="array" ref="Z85">_xll.EQNXTDZ($A$1,$B85,Z$1)</f>
        <v>429.13280705360597</v>
      </c>
      <c r="AA85" cm="1">
        <f t="array" ref="AA85">_xll.EQNXTDZ($A$1,$B85,AA$1)</f>
        <v>103.024872689685</v>
      </c>
      <c r="AB85" cm="1">
        <f t="array" ref="AB85">_xll.EQNXTDZ($A$1,$B85,AB$1)</f>
        <v>117.91730208133301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10" customFormat="1" x14ac:dyDescent="0.25">
      <c r="A86" s="110" t="s">
        <v>142</v>
      </c>
      <c r="B86" s="110" t="s">
        <v>166</v>
      </c>
      <c r="C86" cm="1">
        <f t="array" ref="C86">_xll.EQNXTDZ($A$1,$B86,C$1)</f>
        <v>9.0262916820091501</v>
      </c>
      <c r="D86" cm="1">
        <f t="array" ref="D86">_xll.EQNXTDZ($A$1,$B86,D$1)</f>
        <v>11.2528492498255</v>
      </c>
      <c r="E86" cm="1">
        <f t="array" ref="E86">_xll.EQNXTDZ($A$1,$B86,E$1)</f>
        <v>19.093569311649599</v>
      </c>
      <c r="F86" cm="1">
        <f t="array" ref="F86">_xll.EQNXTDZ($A$1,$B86,F$1)</f>
        <v>24.344813449191602</v>
      </c>
      <c r="G86" cm="1">
        <f t="array" ref="G86">_xll.EQNXTDZ($A$1,$B86,G$1)</f>
        <v>28.4308047935376</v>
      </c>
      <c r="H86" cm="1">
        <f t="array" ref="H86">_xll.EQNXTDZ($A$1,$B86,H$1)</f>
        <v>33.302824629617398</v>
      </c>
      <c r="I86" cm="1">
        <f t="array" ref="I86">_xll.EQNXTDZ($A$1,$B86,I$1)</f>
        <v>38.485319511408399</v>
      </c>
      <c r="J86" cm="1">
        <f t="array" ref="J86">_xll.EQNXTDZ($A$1,$B86,J$1)</f>
        <v>39.360820963944498</v>
      </c>
      <c r="K86" cm="1">
        <f t="array" ref="K86">_xll.EQNXTDZ($A$1,$B86,K$1)</f>
        <v>47.635590895267903</v>
      </c>
      <c r="L86" cm="1">
        <f t="array" ref="L86">_xll.EQNXTDZ($A$1,$B86,L$1)</f>
        <v>59.495086375155502</v>
      </c>
      <c r="M86" cm="1">
        <f t="array" ref="M86">_xll.EQNXTDZ($A$1,$B86,M$1)</f>
        <v>78.786628585909796</v>
      </c>
      <c r="N86" cm="1">
        <f t="array" ref="N86">_xll.EQNXTDZ($A$1,$B86,N$1)</f>
        <v>90.570099663641003</v>
      </c>
      <c r="O86" cm="1">
        <f t="array" ref="O86">_xll.EQNXTDZ($A$1,$B86,O$1)</f>
        <v>100.317641920472</v>
      </c>
      <c r="P86" cm="1">
        <f t="array" ref="P86">_xll.EQNXTDZ($A$1,$B86,P$1)</f>
        <v>101.733645044464</v>
      </c>
      <c r="Q86" cm="1">
        <f t="array" ref="Q86">_xll.EQNXTDZ($A$1,$B86,Q$1)</f>
        <v>108.294387540893</v>
      </c>
      <c r="R86" cm="1">
        <f t="array" ref="R86">_xll.EQNXTDZ($A$1,$B86,R$1)</f>
        <v>93.717194765700597</v>
      </c>
      <c r="S86" cm="1">
        <f t="array" ref="S86">_xll.EQNXTDZ($A$1,$B86,S$1)</f>
        <v>94.802779999999998</v>
      </c>
      <c r="T86" cm="1">
        <f t="array" ref="T86">_xll.EQNXTDZ($A$1,$B86,T$1)</f>
        <v>79.318960000000004</v>
      </c>
      <c r="U86" cm="1">
        <f t="array" ref="U86">_xll.EQNXTDZ($A$1,$B86,U$1)</f>
        <v>78.935979909851397</v>
      </c>
      <c r="V86" cm="1">
        <f t="array" ref="V86">_xll.EQNXTDZ($A$1,$B86,V$1)</f>
        <v>63.985840000000003</v>
      </c>
      <c r="W86" cm="1">
        <f t="array" ref="W86">_xll.EQNXTDZ($A$1,$B86,W$1)</f>
        <v>61.455664415873798</v>
      </c>
      <c r="X86" cm="1">
        <f t="array" ref="X86">_xll.EQNXTDZ($A$1,$B86,X$1)</f>
        <v>63.5071022186223</v>
      </c>
      <c r="Y86" cm="1">
        <f t="array" ref="Y86">_xll.EQNXTDZ($A$1,$B86,Y$1)</f>
        <v>72.907799999999995</v>
      </c>
      <c r="Z86" cm="1">
        <f t="array" ref="Z86">_xll.EQNXTDZ($A$1,$B86,Z$1)</f>
        <v>85.826599999999999</v>
      </c>
      <c r="AA86" cm="1">
        <f t="array" ref="AA86">_xll.EQNXTDZ($A$1,$B86,AA$1)</f>
        <v>103.0249</v>
      </c>
      <c r="AB86" cm="1">
        <f t="array" ref="AB86">_xll.EQNXTDZ($A$1,$B86,AB$1)</f>
        <v>117.9173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56</v>
      </c>
      <c r="B87" t="s">
        <v>57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200</v>
      </c>
      <c r="B88" t="s">
        <v>201</v>
      </c>
      <c r="C88" cm="1">
        <f t="array" ref="C88">_xll.EQNXTDZ($A$1,$B88,C$1)</f>
        <v>0</v>
      </c>
      <c r="D88" cm="1">
        <f t="array" ref="D88">_xll.EQNXTDZ($A$1,$B88,D$1)</f>
        <v>0</v>
      </c>
      <c r="E88" cm="1">
        <f t="array" ref="E88">_xll.EQNXTDZ($A$1,$B88,E$1)</f>
        <v>0</v>
      </c>
      <c r="F88" cm="1">
        <f t="array" ref="F88">_xll.EQNXTDZ($A$1,$B88,F$1)</f>
        <v>0</v>
      </c>
      <c r="G88" cm="1">
        <f t="array" ref="G88">_xll.EQNXTDZ($A$1,$B88,G$1)</f>
        <v>0</v>
      </c>
      <c r="H88" cm="1">
        <f t="array" ref="H88">_xll.EQNXTDZ($A$1,$B88,H$1)</f>
        <v>0</v>
      </c>
      <c r="I88" cm="1">
        <f t="array" ref="I88">_xll.EQNXTDZ($A$1,$B88,I$1)</f>
        <v>0</v>
      </c>
      <c r="J88" cm="1">
        <f t="array" ref="J88">_xll.EQNXTDZ($A$1,$B88,J$1)</f>
        <v>0</v>
      </c>
      <c r="K88" cm="1">
        <f t="array" ref="K88">_xll.EQNXTDZ($A$1,$B88,K$1)</f>
        <v>0</v>
      </c>
      <c r="L88" cm="1">
        <f t="array" ref="L88">_xll.EQNXTDZ($A$1,$B88,L$1)</f>
        <v>0</v>
      </c>
      <c r="M88" cm="1">
        <f t="array" ref="M88">_xll.EQNXTDZ($A$1,$B88,M$1)</f>
        <v>0</v>
      </c>
      <c r="N88" cm="1">
        <f t="array" ref="N88">_xll.EQNXTDZ($A$1,$B88,N$1)</f>
        <v>0</v>
      </c>
      <c r="O88" cm="1">
        <f t="array" ref="O88">_xll.EQNXTDZ($A$1,$B88,O$1)</f>
        <v>0</v>
      </c>
      <c r="P88" cm="1">
        <f t="array" ref="P88">_xll.EQNXTDZ($A$1,$B88,P$1)</f>
        <v>0</v>
      </c>
      <c r="Q88" cm="1">
        <f t="array" ref="Q88">_xll.EQNXTDZ($A$1,$B88,Q$1)</f>
        <v>0</v>
      </c>
      <c r="R88" cm="1">
        <f t="array" ref="R88">_xll.EQNXTDZ($A$1,$B88,R$1)</f>
        <v>0</v>
      </c>
      <c r="S88" cm="1">
        <f t="array" ref="S88">_xll.EQNXTDZ($A$1,$B88,S$1)</f>
        <v>0</v>
      </c>
      <c r="T88" cm="1">
        <f t="array" ref="T88">_xll.EQNXTDZ($A$1,$B88,T$1)</f>
        <v>0</v>
      </c>
      <c r="U88" cm="1">
        <f t="array" ref="U88">_xll.EQNXTDZ($A$1,$B88,U$1)</f>
        <v>0</v>
      </c>
      <c r="V88" cm="1">
        <f t="array" ref="V88">_xll.EQNXTDZ($A$1,$B88,V$1)</f>
        <v>0</v>
      </c>
      <c r="W88" cm="1">
        <f t="array" ref="W88">_xll.EQNXTDZ($A$1,$B88,W$1)</f>
        <v>0</v>
      </c>
      <c r="X88" cm="1">
        <f t="array" ref="X88">_xll.EQNXTDZ($A$1,$B88,X$1)</f>
        <v>0</v>
      </c>
      <c r="Y88" cm="1">
        <f t="array" ref="Y88">_xll.EQNXTDZ($A$1,$B88,Y$1)</f>
        <v>0</v>
      </c>
      <c r="Z88" cm="1">
        <f t="array" ref="Z88">_xll.EQNXTDZ($A$1,$B88,Z$1)</f>
        <v>0</v>
      </c>
      <c r="AA88" cm="1">
        <f t="array" ref="AA88">_xll.EQNXTDZ($A$1,$B88,AA$1)</f>
        <v>0</v>
      </c>
      <c r="AB88" cm="1">
        <f t="array" ref="AB88">_xll.EQNXTDZ($A$1,$B88,AB$1)</f>
        <v>0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56</v>
      </c>
      <c r="B91" t="s">
        <v>57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352</v>
      </c>
      <c r="B92" t="s">
        <v>355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10.63</v>
      </c>
      <c r="Q92" cm="1">
        <f t="array" ref="Q92">_xll.EQNXTDZ($A$1,$B92,Q$1)</f>
        <v>10.56</v>
      </c>
      <c r="R92" cm="1">
        <f t="array" ref="R92">_xll.EQNXTDZ($A$1,$B92,R$1)</f>
        <v>11.08</v>
      </c>
      <c r="S92" cm="1">
        <f t="array" ref="S92">_xll.EQNXTDZ($A$1,$B92,S$1)</f>
        <v>12.86</v>
      </c>
      <c r="T92" cm="1">
        <f t="array" ref="T92">_xll.EQNXTDZ($A$1,$B92,T$1)</f>
        <v>13.22</v>
      </c>
      <c r="U92" cm="1">
        <f t="array" ref="U92">_xll.EQNXTDZ($A$1,$B92,U$1)</f>
        <v>11.9</v>
      </c>
      <c r="V92" cm="1">
        <f t="array" ref="V92">_xll.EQNXTDZ($A$1,$B92,V$1)</f>
        <v>13.65</v>
      </c>
      <c r="W92" cm="1">
        <f t="array" ref="W92">_xll.EQNXTDZ($A$1,$B92,W$1)</f>
        <v>13.18</v>
      </c>
      <c r="X92" cm="1">
        <f t="array" ref="X92">_xll.EQNXTDZ($A$1,$B92,X$1)</f>
        <v>14.9</v>
      </c>
      <c r="Y92" cm="1">
        <f t="array" ref="Y92">_xll.EQNXTDZ($A$1,$B92,Y$1)</f>
        <v>16.68</v>
      </c>
      <c r="Z92" cm="1">
        <f t="array" ref="Z92">_xll.EQNXTDZ($A$1,$B92,Z$1)</f>
        <v>16.28</v>
      </c>
      <c r="AA92" cm="1">
        <f t="array" ref="AA92">_xll.EQNXTDZ($A$1,$B92,AA$1)</f>
        <v>16.329999999999998</v>
      </c>
      <c r="AB92" cm="1">
        <f t="array" ref="AB92">_xll.EQNXTDZ($A$1,$B92,AB$1)</f>
        <v>17.04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354</v>
      </c>
      <c r="B93" t="s">
        <v>357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7.68</v>
      </c>
      <c r="Q93" cm="1">
        <f t="array" ref="Q93">_xll.EQNXTDZ($A$1,$B93,Q$1)</f>
        <v>8.02</v>
      </c>
      <c r="R93" cm="1">
        <f t="array" ref="R93">_xll.EQNXTDZ($A$1,$B93,R$1)</f>
        <v>8.8000000000000007</v>
      </c>
      <c r="S93" cm="1">
        <f t="array" ref="S93">_xll.EQNXTDZ($A$1,$B93,S$1)</f>
        <v>9.77</v>
      </c>
      <c r="T93" cm="1">
        <f t="array" ref="T93">_xll.EQNXTDZ($A$1,$B93,T$1)</f>
        <v>10.3</v>
      </c>
      <c r="U93" cm="1">
        <f t="array" ref="U93">_xll.EQNXTDZ($A$1,$B93,U$1)</f>
        <v>9.0399999999999991</v>
      </c>
      <c r="V93" cm="1">
        <f t="array" ref="V93">_xll.EQNXTDZ($A$1,$B93,V$1)</f>
        <v>10.119999999999999</v>
      </c>
      <c r="W93" cm="1">
        <f t="array" ref="W93">_xll.EQNXTDZ($A$1,$B93,W$1)</f>
        <v>10.08</v>
      </c>
      <c r="X93" cm="1">
        <f t="array" ref="X93">_xll.EQNXTDZ($A$1,$B93,X$1)</f>
        <v>11.91</v>
      </c>
      <c r="Y93" cm="1">
        <f t="array" ref="Y93">_xll.EQNXTDZ($A$1,$B93,Y$1)</f>
        <v>13.78</v>
      </c>
      <c r="Z93" cm="1">
        <f t="array" ref="Z93">_xll.EQNXTDZ($A$1,$B93,Z$1)</f>
        <v>13.95</v>
      </c>
      <c r="AA93" cm="1">
        <f t="array" ref="AA93">_xll.EQNXTDZ($A$1,$B93,AA$1)</f>
        <v>14.37</v>
      </c>
      <c r="AB93" cm="1">
        <f t="array" ref="AB93">_xll.EQNXTDZ($A$1,$B93,AB$1)</f>
        <v>14.59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353</v>
      </c>
      <c r="B94" t="s">
        <v>356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2.95</v>
      </c>
      <c r="Q94" cm="1">
        <f t="array" ref="Q94">_xll.EQNXTDZ($A$1,$B94,Q$1)</f>
        <v>2.54</v>
      </c>
      <c r="R94" cm="1">
        <f t="array" ref="R94">_xll.EQNXTDZ($A$1,$B94,R$1)</f>
        <v>2.2799999999999998</v>
      </c>
      <c r="S94" cm="1">
        <f t="array" ref="S94">_xll.EQNXTDZ($A$1,$B94,S$1)</f>
        <v>3.09</v>
      </c>
      <c r="T94" cm="1">
        <f t="array" ref="T94">_xll.EQNXTDZ($A$1,$B94,T$1)</f>
        <v>2.92</v>
      </c>
      <c r="U94" cm="1">
        <f t="array" ref="U94">_xll.EQNXTDZ($A$1,$B94,U$1)</f>
        <v>2.86</v>
      </c>
      <c r="V94" cm="1">
        <f t="array" ref="V94">_xll.EQNXTDZ($A$1,$B94,V$1)</f>
        <v>3.53</v>
      </c>
      <c r="W94" cm="1">
        <f t="array" ref="W94">_xll.EQNXTDZ($A$1,$B94,W$1)</f>
        <v>3.1</v>
      </c>
      <c r="X94" cm="1">
        <f t="array" ref="X94">_xll.EQNXTDZ($A$1,$B94,X$1)</f>
        <v>2.99</v>
      </c>
      <c r="Y94" cm="1">
        <f t="array" ref="Y94">_xll.EQNXTDZ($A$1,$B94,Y$1)</f>
        <v>2.9</v>
      </c>
      <c r="Z94" cm="1">
        <f t="array" ref="Z94">_xll.EQNXTDZ($A$1,$B94,Z$1)</f>
        <v>2.33</v>
      </c>
      <c r="AA94" cm="1">
        <f t="array" ref="AA94">_xll.EQNXTDZ($A$1,$B94,AA$1)</f>
        <v>1.96</v>
      </c>
      <c r="AB94" cm="1">
        <f t="array" ref="AB94">_xll.EQNXTDZ($A$1,$B94,AB$1)</f>
        <v>2.4500000000000002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8">
        <f>+'Annual Raw'!A1</f>
        <v>132483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335</v>
      </c>
      <c r="B6" t="s">
        <v>380</v>
      </c>
      <c r="C6" cm="1">
        <f t="array" ref="C6">_xll.EQNXTDZ($A$1,$B6,C$1)</f>
        <v>77.938854001934601</v>
      </c>
      <c r="D6" cm="1">
        <f t="array" ref="D6">_xll.EQNXTDZ($A$1,$B6,D$1)</f>
        <v>80.1467811027007</v>
      </c>
      <c r="E6" cm="1">
        <f t="array" ref="E6">_xll.EQNXTDZ($A$1,$B6,E$1)</f>
        <v>71.587416130567604</v>
      </c>
      <c r="F6" cm="1">
        <f t="array" ref="F6">_xll.EQNXTDZ($A$1,$B6,F$1)</f>
        <v>62.85297323855</v>
      </c>
      <c r="G6" cm="1">
        <f t="array" ref="G6">_xll.EQNXTDZ($A$1,$B6,G$1)</f>
        <v>84.231932566673294</v>
      </c>
      <c r="H6" cm="1">
        <f t="array" ref="H6">_xll.EQNXTDZ($A$1,$B6,H$1)</f>
        <v>78.571079823739794</v>
      </c>
      <c r="I6" cm="1">
        <f t="array" ref="I6">_xll.EQNXTDZ($A$1,$B6,I$1)</f>
        <v>90.651456295773102</v>
      </c>
      <c r="J6" cm="1">
        <f t="array" ref="J6">_xll.EQNXTDZ($A$1,$B6,J$1)</f>
        <v>97.246057944757496</v>
      </c>
      <c r="K6" cm="1">
        <f t="array" ref="K6">_xll.EQNXTDZ($A$1,$B6,K$1)</f>
        <v>94.133561591254505</v>
      </c>
      <c r="L6" cm="1">
        <f t="array" ref="L6">_xll.EQNXTDZ($A$1,$B6,L$1)</f>
        <v>81.518224808462904</v>
      </c>
      <c r="M6" cm="1">
        <f t="array" ref="M6">_xll.EQNXTDZ($A$1,$B6,M$1)</f>
        <v>74.874990403955096</v>
      </c>
      <c r="N6" cm="1">
        <f t="array" ref="N6">_xll.EQNXTDZ($A$1,$B6,N$1)</f>
        <v>80.341312124794598</v>
      </c>
      <c r="O6" cm="1">
        <f t="array" ref="O6">_xll.EQNXTDZ($A$1,$B6,O$1)</f>
        <v>79.602094240837701</v>
      </c>
      <c r="P6" cm="1">
        <f t="array" ref="P6">_xll.EQNXTDZ($A$1,$B6,P$1)</f>
        <v>70.031167953816194</v>
      </c>
      <c r="Q6" cm="1">
        <f t="array" ref="Q6">_xll.EQNXTDZ($A$1,$B6,Q$1)</f>
        <v>53.826733813391499</v>
      </c>
      <c r="R6" cm="1">
        <f t="array" ref="R6">_xll.EQNXTDZ($A$1,$B6,R$1)</f>
        <v>39.781594018209503</v>
      </c>
      <c r="S6" cm="1">
        <f t="array" ref="S6">_xll.EQNXTDZ($A$1,$B6,S$1)</f>
        <v>43.390144478051901</v>
      </c>
      <c r="T6" cm="1">
        <f t="array" ref="T6">_xll.EQNXTDZ($A$1,$B6,T$1)</f>
        <v>50.578065744422801</v>
      </c>
      <c r="U6" cm="1">
        <f t="array" ref="U6">_xll.EQNXTDZ($A$1,$B6,U$1)</f>
        <v>48.642482074588102</v>
      </c>
      <c r="V6" cm="1">
        <f t="array" ref="V6">_xll.EQNXTDZ($A$1,$B6,V$1)</f>
        <v>55.188450968048997</v>
      </c>
      <c r="W6" cm="1">
        <f t="array" ref="W6">_xll.EQNXTDZ($A$1,$B6,W$1)</f>
        <v>42.602293838571498</v>
      </c>
      <c r="X6" cm="1">
        <f t="array" ref="X6">_xll.EQNXTDZ($A$1,$B6,X$1)</f>
        <v>41.629638728101803</v>
      </c>
      <c r="Y6" cm="1">
        <f t="array" ref="Y6">_xll.EQNXTDZ($A$1,$B6,Y$1)</f>
        <v>51.823064285823897</v>
      </c>
      <c r="Z6" cm="1">
        <f t="array" ref="Z6">_xll.EQNXTDZ($A$1,$B6,Z$1)</f>
        <v>55.927668852006001</v>
      </c>
      <c r="AA6" cm="1">
        <f t="array" ref="AA6">_xll.EQNXTDZ($A$1,$B6,AA$1)</f>
        <v>81.275061030845507</v>
      </c>
      <c r="AB6" cm="1">
        <f t="array" ref="AB6">_xll.EQNXTDZ($A$1,$B6,AB$1)</f>
        <v>90.456925273679204</v>
      </c>
      <c r="AC6" cm="1">
        <f t="array" ref="AC6">_xll.EQNXTDZ($A$1,$B6,AC$1)</f>
        <v>76.975925442569604</v>
      </c>
      <c r="AD6" cm="1">
        <f t="array" ref="AD6">_xll.EQNXTDZ($A$1,$B6,AD$1)</f>
        <v>74.164952173312201</v>
      </c>
      <c r="AE6" cm="1">
        <f t="array" ref="AE6">_xll.EQNXTDZ($A$1,$B6,AE$1)</f>
        <v>67.901053261887597</v>
      </c>
      <c r="AF6" cm="1">
        <f t="array" ref="AF6">_xll.EQNXTDZ($A$1,$B6,AF$1)</f>
        <v>78.940688765718306</v>
      </c>
      <c r="AG6" cm="1">
        <f t="array" ref="AG6">_xll.EQNXTDZ($A$1,$B6,AG$1)</f>
        <v>80.613655555726098</v>
      </c>
      <c r="AH6" cm="1">
        <f t="array" ref="AH6">_xll.EQNXTDZ($A$1,$B6,AH$1)</f>
        <v>87.344428920176298</v>
      </c>
      <c r="AI6" cm="1">
        <f t="array" ref="AI6">_xll.EQNXTDZ($A$1,$B6,AI$1)</f>
        <v>86.157789685403301</v>
      </c>
      <c r="AJ6" cm="1">
        <f t="array" ref="AJ6">_xll.EQNXTDZ($A$1,$B6,AJ$1)</f>
        <v>81.5863106661958</v>
      </c>
      <c r="AK6" cm="1">
        <f t="array" ref="AK6">_xll.EQNXTDZ($A$1,$B6,AK$1)</f>
        <v>71.295619597426693</v>
      </c>
      <c r="AL6" cm="1">
        <f t="array" ref="AL6">_xll.EQNXTDZ($A$1,$B6,AL$1)</f>
        <v>74.116319417788802</v>
      </c>
      <c r="AM6" cm="1">
        <f t="array" ref="AM6">_xll.EQNXTDZ($A$1,$B6,AM$1)</f>
        <v>66.617148516067601</v>
      </c>
      <c r="AN6" cm="1">
        <f t="array" ref="AN6">_xll.EQNXTDZ($A$1,$B6,AN$1)</f>
        <v>54.2741551642075</v>
      </c>
      <c r="AO6" cm="1">
        <f t="array" ref="AO6">_xll.EQNXTDZ($A$1,$B6,AO$1)</f>
        <v>53.690562097925699</v>
      </c>
      <c r="AP6" cm="1">
        <f t="array" ref="AP6">_xll.EQNXTDZ($A$1,$B6,AP$1)</f>
        <v>55.091185457001998</v>
      </c>
      <c r="AQ6" cm="1">
        <f t="array" ref="AQ6">_xll.EQNXTDZ($A$1,$B6,AQ$1)</f>
        <v>55.110638559211402</v>
      </c>
      <c r="AR6" cm="1">
        <f t="array" ref="AR6">_xll.EQNXTDZ($A$1,$B6,AR$1)</f>
        <v>53.846186915600903</v>
      </c>
      <c r="AS6" cm="1">
        <f t="array" ref="AS6">_xll.EQNXTDZ($A$1,$B6,AS$1)</f>
        <v>53.204234542690898</v>
      </c>
      <c r="AT6" cm="1">
        <f t="array" ref="AT6">_xll.EQNXTDZ($A$1,$B6,AT$1)</f>
        <v>45.306275045677197</v>
      </c>
      <c r="AU6" cm="1">
        <f t="array" ref="AU6">_xll.EQNXTDZ($A$1,$B6,AU$1)</f>
        <v>37.933549308317097</v>
      </c>
      <c r="AV6" cm="1">
        <f t="array" ref="AV6">_xll.EQNXTDZ($A$1,$B6,AV$1)</f>
        <v>30.988791819563598</v>
      </c>
      <c r="AW6" cm="1">
        <f t="array" ref="AW6">_xll.EQNXTDZ($A$1,$B6,AW$1)</f>
        <v>36.766363175753497</v>
      </c>
      <c r="AX6" cm="1">
        <f t="array" ref="AX6">_xll.EQNXTDZ($A$1,$B6,AX$1)</f>
        <v>39.878859529256403</v>
      </c>
      <c r="AY6" cm="1">
        <f t="array" ref="AY6">_xll.EQNXTDZ($A$1,$B6,AY$1)</f>
        <v>40.267921573444298</v>
      </c>
      <c r="AZ6" cm="1">
        <f t="array" ref="AZ6">_xll.EQNXTDZ($A$1,$B6,AZ$1)</f>
        <v>42.777371758455999</v>
      </c>
      <c r="BA6" cm="1">
        <f t="array" ref="BA6">_xll.EQNXTDZ($A$1,$B6,BA$1)</f>
        <v>49.099629976508901</v>
      </c>
      <c r="BB6" cm="1">
        <f t="array" ref="BB6">_xll.EQNXTDZ($A$1,$B6,BB$1)</f>
        <v>54.468686186301497</v>
      </c>
      <c r="BC6" cm="1">
        <f t="array" ref="BC6">_xll.EQNXTDZ($A$1,$B6,BC$1)</f>
        <v>60.6936788933073</v>
      </c>
      <c r="BD6" cm="1">
        <f t="array" ref="BD6">_xll.EQNXTDZ($A$1,$B6,BD$1)</f>
        <v>61.1897329996469</v>
      </c>
      <c r="BE6" cm="1">
        <f t="array" ref="BE6">_xll.EQNXTDZ($A$1,$B6,BE$1)</f>
        <v>62.463911194362097</v>
      </c>
      <c r="BF6" cm="1">
        <f t="array" ref="BF6">_xll.EQNXTDZ($A$1,$B6,BF$1)</f>
        <v>51.706345672567601</v>
      </c>
      <c r="BG6" cm="1">
        <f t="array" ref="BG6">_xll.EQNXTDZ($A$1,$B6,BG$1)</f>
        <v>55.4413412967711</v>
      </c>
      <c r="BH6" cm="1">
        <f t="array" ref="BH6">_xll.EQNXTDZ($A$1,$B6,BH$1)</f>
        <v>59.22</v>
      </c>
      <c r="BI6" cm="1">
        <f t="array" ref="BI6">_xll.EQNXTDZ($A$1,$B6,BI$1)</f>
        <v>60.6</v>
      </c>
      <c r="BJ6" cm="1">
        <f t="array" ref="BJ6">_xll.EQNXTDZ($A$1,$B6,BJ$1)</f>
        <v>71.349999999999994</v>
      </c>
      <c r="BK6" cm="1">
        <f t="array" ref="BK6">_xll.EQNXTDZ($A$1,$B6,BK$1)</f>
        <v>70.180000000000007</v>
      </c>
      <c r="BL6" cm="1">
        <f t="array" ref="BL6">_xll.EQNXTDZ($A$1,$B6,BL$1)</f>
        <v>65.760000000000005</v>
      </c>
      <c r="BM6" cm="1">
        <f t="array" ref="BM6">_xll.EQNXTDZ($A$1,$B6,BM$1)</f>
        <v>73.959999999999994</v>
      </c>
      <c r="BN6" cm="1">
        <f t="array" ref="BN6">_xll.EQNXTDZ($A$1,$B6,BN$1)</f>
        <v>68.599999999999994</v>
      </c>
      <c r="BO6" cm="1">
        <f t="array" ref="BO6">_xll.EQNXTDZ($A$1,$B6,BO$1)</f>
        <v>62.12</v>
      </c>
      <c r="BP6" cm="1">
        <f t="array" ref="BP6">_xll.EQNXTDZ($A$1,$B6,BP$1)</f>
        <v>82</v>
      </c>
      <c r="BQ6" cm="1">
        <f t="array" ref="BQ6">_xll.EQNXTDZ($A$1,$B6,BQ$1)</f>
        <v>74.900000000000006</v>
      </c>
      <c r="BR6" cm="1">
        <f t="array" ref="BR6">_xll.EQNXTDZ($A$1,$B6,BR$1)</f>
        <v>72.34</v>
      </c>
      <c r="BS6" cm="1">
        <f t="array" ref="BS6">_xll.EQNXTDZ($A$1,$B6,BS$1)</f>
        <v>68.400000000000006</v>
      </c>
      <c r="BT6" cm="1">
        <f t="array" ref="BT6">_xll.EQNXTDZ($A$1,$B6,BT$1)</f>
        <v>58.01</v>
      </c>
      <c r="BU6" cm="1">
        <f t="array" ref="BU6">_xll.EQNXTDZ($A$1,$B6,BU$1)</f>
        <v>52.6</v>
      </c>
      <c r="BV6" cm="1">
        <f t="array" ref="BV6">_xll.EQNXTDZ($A$1,$B6,BV$1)</f>
        <v>53.2</v>
      </c>
      <c r="BW6" cm="1">
        <f t="array" ref="BW6">_xll.EQNXTDZ($A$1,$B6,BW$1)</f>
        <v>51.98</v>
      </c>
      <c r="BX6" cm="1">
        <f t="array" ref="BX6">_xll.EQNXTDZ($A$1,$B6,BX$1)</f>
        <v>50.18</v>
      </c>
      <c r="BY6" cm="1">
        <f t="array" ref="BY6">_xll.EQNXTDZ($A$1,$B6,BY$1)</f>
        <v>57</v>
      </c>
      <c r="BZ6" cm="1">
        <f t="array" ref="BZ6">_xll.EQNXTDZ($A$1,$B6,BZ$1)</f>
        <v>57.1</v>
      </c>
      <c r="CA6" cm="1">
        <f t="array" ref="CA6">_xll.EQNXTDZ($A$1,$B6,CA$1)</f>
        <v>43.8</v>
      </c>
      <c r="CB6" cm="1">
        <f t="array" ref="CB6">_xll.EQNXTDZ($A$1,$B6,CB$1)</f>
        <v>52.4</v>
      </c>
      <c r="CC6" cm="1">
        <f t="array" ref="CC6">_xll.EQNXTDZ($A$1,$B6,CC$1)</f>
        <v>51.59</v>
      </c>
      <c r="CD6" cm="1">
        <f t="array" ref="CD6">_xll.EQNXTDZ($A$1,$B6,CD$1)</f>
        <v>55.3</v>
      </c>
      <c r="CE6" cm="1">
        <f t="array" ref="CE6">_xll.EQNXTDZ($A$1,$B6,CE$1)</f>
        <v>50.4</v>
      </c>
      <c r="CF6" cm="1">
        <f t="array" ref="CF6">_xll.EQNXTDZ($A$1,$B6,CF$1)</f>
        <v>46.54</v>
      </c>
      <c r="CG6" cm="1">
        <f t="array" ref="CG6">_xll.EQNXTDZ($A$1,$B6,CG$1)</f>
        <v>58.6</v>
      </c>
      <c r="CH6" cm="1">
        <f t="array" ref="CH6">_xll.EQNXTDZ($A$1,$B6,CH$1)</f>
        <v>51.9</v>
      </c>
      <c r="CI6" cm="1">
        <f t="array" ref="CI6">_xll.EQNXTDZ($A$1,$B6,CI$1)</f>
        <v>53.4</v>
      </c>
      <c r="CJ6" cm="1">
        <f t="array" ref="CJ6">_xll.EQNXTDZ($A$1,$B6,CJ$1)</f>
        <v>57.26</v>
      </c>
      <c r="CK6" cm="1">
        <f t="array" ref="CK6">_xll.EQNXTDZ($A$1,$B6,CK$1)</f>
        <v>46.8</v>
      </c>
      <c r="CL6" cm="1">
        <f t="array" ref="CL6">_xll.EQNXTDZ($A$1,$B6,CL$1)</f>
        <v>42.8</v>
      </c>
      <c r="CM6" cm="1">
        <f t="array" ref="CM6">_xll.EQNXTDZ($A$1,$B6,CM$1)</f>
        <v>36.700000000000003</v>
      </c>
      <c r="CN6" cm="1">
        <f t="array" ref="CN6">_xll.EQNXTDZ($A$1,$B6,CN$1)</f>
        <v>40.74</v>
      </c>
      <c r="CO6" cm="1">
        <f t="array" ref="CO6">_xll.EQNXTDZ($A$1,$B6,CO$1)</f>
        <v>45.26</v>
      </c>
      <c r="CP6" cm="1">
        <f t="array" ref="CP6">_xll.EQNXTDZ($A$1,$B6,CP$1)</f>
        <v>44.42</v>
      </c>
      <c r="CQ6" cm="1">
        <f t="array" ref="CQ6">_xll.EQNXTDZ($A$1,$B6,CQ$1)</f>
        <v>40.200000000000003</v>
      </c>
      <c r="CR6" cm="1">
        <f t="array" ref="CR6">_xll.EQNXTDZ($A$1,$B6,CR$1)</f>
        <v>29.26</v>
      </c>
      <c r="CS6" cm="1">
        <f t="array" ref="CS6">_xll.EQNXTDZ($A$1,$B6,CS$1)</f>
        <v>18.3</v>
      </c>
      <c r="CT6" cm="1">
        <f t="array" ref="CT6">_xll.EQNXTDZ($A$1,$B6,CT$1)</f>
        <v>17.100000000000001</v>
      </c>
      <c r="CU6" cm="1">
        <f t="array" ref="CU6">_xll.EQNXTDZ($A$1,$B6,CU$1)</f>
        <v>17.03</v>
      </c>
      <c r="CV6" cm="1">
        <f t="array" ref="CV6">_xll.EQNXTDZ($A$1,$B6,CV$1)</f>
        <v>20.12</v>
      </c>
      <c r="CW6" cm="1">
        <f t="array" ref="CW6">_xll.EQNXTDZ($A$1,$B6,CW$1)</f>
        <v>20.36</v>
      </c>
      <c r="CX6" cm="1">
        <f t="array" ref="CX6">_xll.EQNXTDZ($A$1,$B6,CX$1)</f>
        <v>21.6</v>
      </c>
      <c r="CY6" cm="1">
        <f t="array" ref="CY6">_xll.EQNXTDZ($A$1,$B6,CY$1)</f>
        <v>17.8</v>
      </c>
      <c r="CZ6" cm="1">
        <f t="array" ref="CZ6">_xll.EQNXTDZ($A$1,$B6,CZ$1)</f>
        <v>17.399999999999999</v>
      </c>
      <c r="DA6" cm="1">
        <f t="array" ref="DA6">_xll.EQNXTDZ($A$1,$B6,DA$1)</f>
        <v>20.99</v>
      </c>
      <c r="DB6" cm="1">
        <f t="array" ref="DB6">_xll.EQNXTDZ($A$1,$B6,DB$1)</f>
        <v>25.78</v>
      </c>
      <c r="DC6" cm="1">
        <f t="array" ref="DC6">_xll.EQNXTDZ($A$1,$B6,DC$1)</f>
        <v>26.83</v>
      </c>
      <c r="DD6" cm="1">
        <f t="array" ref="DD6">_xll.EQNXTDZ($A$1,$B6,DD$1)</f>
        <v>31.85</v>
      </c>
      <c r="DE6" cm="1">
        <f t="array" ref="DE6">_xll.EQNXTDZ($A$1,$B6,DE$1)</f>
        <v>30.88</v>
      </c>
      <c r="DF6" cm="1">
        <f t="array" ref="DF6">_xll.EQNXTDZ($A$1,$B6,DF$1)</f>
        <v>27.39</v>
      </c>
      <c r="DG6" cm="1">
        <f t="array" ref="DG6">_xll.EQNXTDZ($A$1,$B6,DG$1)</f>
        <v>32.32</v>
      </c>
      <c r="DH6" cm="1">
        <f t="array" ref="DH6">_xll.EQNXTDZ($A$1,$B6,DH$1)</f>
        <v>30.52</v>
      </c>
      <c r="DI6" cm="1">
        <f t="array" ref="DI6">_xll.EQNXTDZ($A$1,$B6,DI$1)</f>
        <v>30.94</v>
      </c>
      <c r="DJ6" cm="1">
        <f t="array" ref="DJ6">_xll.EQNXTDZ($A$1,$B6,DJ$1)</f>
        <v>31.8</v>
      </c>
      <c r="DK6" cm="1">
        <f t="array" ref="DK6">_xll.EQNXTDZ($A$1,$B6,DK$1)</f>
        <v>34.479999999999997</v>
      </c>
      <c r="DL6" cm="1">
        <f t="array" ref="DL6">_xll.EQNXTDZ($A$1,$B6,DL$1)</f>
        <v>43</v>
      </c>
      <c r="DM6" cm="1">
        <f t="array" ref="DM6">_xll.EQNXTDZ($A$1,$B6,DM$1)</f>
        <v>40.200000000000003</v>
      </c>
      <c r="DN6" cm="1">
        <f t="array" ref="DN6">_xll.EQNXTDZ($A$1,$B6,DN$1)</f>
        <v>39.94</v>
      </c>
      <c r="DO6" cm="1">
        <f t="array" ref="DO6">_xll.EQNXTDZ($A$1,$B6,DO$1)</f>
        <v>50.97</v>
      </c>
      <c r="DP6" cm="1">
        <f t="array" ref="DP6">_xll.EQNXTDZ($A$1,$B6,DP$1)</f>
        <v>43.57</v>
      </c>
      <c r="DQ6" cm="1">
        <f t="array" ref="DQ6">_xll.EQNXTDZ($A$1,$B6,DQ$1)</f>
        <v>45.58</v>
      </c>
      <c r="DR6" cm="1">
        <f t="array" ref="DR6">_xll.EQNXTDZ($A$1,$B6,DR$1)</f>
        <v>45.48</v>
      </c>
      <c r="DS6" cm="1">
        <f t="array" ref="DS6">_xll.EQNXTDZ($A$1,$B6,DS$1)</f>
        <v>41</v>
      </c>
      <c r="DT6" cm="1">
        <f t="array" ref="DT6">_xll.EQNXTDZ($A$1,$B6,DT$1)</f>
        <v>36.33</v>
      </c>
      <c r="DU6" cm="1">
        <f t="array" ref="DU6">_xll.EQNXTDZ($A$1,$B6,DU$1)</f>
        <v>44.71</v>
      </c>
      <c r="DV6" cm="1">
        <f t="array" ref="DV6">_xll.EQNXTDZ($A$1,$B6,DV$1)</f>
        <v>47.6</v>
      </c>
      <c r="DW6" cm="1">
        <f t="array" ref="DW6">_xll.EQNXTDZ($A$1,$B6,DW$1)</f>
        <v>45.58</v>
      </c>
      <c r="DX6" cm="1">
        <f t="array" ref="DX6">_xll.EQNXTDZ($A$1,$B6,DX$1)</f>
        <v>58.38</v>
      </c>
      <c r="DY6" cm="1">
        <f t="array" ref="DY6">_xll.EQNXTDZ($A$1,$B6,DY$1)</f>
        <v>63.4</v>
      </c>
      <c r="DZ6" cm="1">
        <f t="array" ref="DZ6">_xll.EQNXTDZ($A$1,$B6,DZ$1)</f>
        <v>67.17</v>
      </c>
      <c r="EA6" cm="1">
        <f t="array" ref="EA6">_xll.EQNXTDZ($A$1,$B6,EA$1)</f>
        <v>61.4</v>
      </c>
      <c r="EB6" cm="1">
        <f t="array" ref="EB6">_xll.EQNXTDZ($A$1,$B6,EB$1)</f>
        <v>55.98</v>
      </c>
      <c r="EC6" cm="1">
        <f t="array" ref="EC6">_xll.EQNXTDZ($A$1,$B6,EC$1)</f>
        <v>57.34</v>
      </c>
      <c r="ED6" cm="1">
        <f t="array" ref="ED6">_xll.EQNXTDZ($A$1,$B6,ED$1)</f>
        <v>63.74</v>
      </c>
      <c r="EE6" cm="1">
        <f t="array" ref="EE6">_xll.EQNXTDZ($A$1,$B6,EE$1)</f>
        <v>61.8</v>
      </c>
      <c r="EF6" cm="1">
        <f t="array" ref="EF6">_xll.EQNXTDZ($A$1,$B6,EF$1)</f>
        <v>60.6</v>
      </c>
      <c r="EG6" cm="1">
        <f t="array" ref="EG6">_xll.EQNXTDZ($A$1,$B6,EG$1)</f>
        <v>69.11</v>
      </c>
      <c r="EH6" cm="1">
        <f t="array" ref="EH6">_xll.EQNXTDZ($A$1,$B6,EH$1)</f>
        <v>64.319999999999993</v>
      </c>
      <c r="EI6" cm="1">
        <f t="array" ref="EI6">_xll.EQNXTDZ($A$1,$B6,EI$1)</f>
        <v>75.25</v>
      </c>
      <c r="EJ6" cm="1">
        <f t="array" ref="EJ6">_xll.EQNXTDZ($A$1,$B6,EJ$1)</f>
        <v>76.86</v>
      </c>
      <c r="EK6" cm="1">
        <f t="array" ref="EK6">_xll.EQNXTDZ($A$1,$B6,EK$1)</f>
        <v>81.099999999999994</v>
      </c>
      <c r="EL6" cm="1">
        <f t="array" ref="EL6">_xll.EQNXTDZ($A$1,$B6,EL$1)</f>
        <v>88.1</v>
      </c>
      <c r="EM6" cm="1">
        <f t="array" ref="EM6">_xll.EQNXTDZ($A$1,$B6,EM$1)</f>
        <v>96.6</v>
      </c>
      <c r="EN6" cm="1">
        <f t="array" ref="EN6">_xll.EQNXTDZ($A$1,$B6,EN$1)</f>
        <v>114</v>
      </c>
      <c r="EO6" cm="1">
        <f t="array" ref="EO6">_xll.EQNXTDZ($A$1,$B6,EO$1)</f>
        <v>117.09</v>
      </c>
      <c r="EP6" cm="1">
        <f t="array" ref="EP6">_xll.EQNXTDZ($A$1,$B6,EP$1)</f>
        <v>124.77</v>
      </c>
      <c r="EQ6" cm="1">
        <f t="array" ref="EQ6">_xll.EQNXTDZ($A$1,$B6,EQ$1)</f>
        <v>124.8</v>
      </c>
      <c r="ER6" cm="1">
        <f t="array" ref="ER6">_xll.EQNXTDZ($A$1,$B6,ER$1)</f>
        <v>119.35</v>
      </c>
      <c r="ES6" cm="1">
        <f t="array" ref="ES6">_xll.EQNXTDZ($A$1,$B6,ES$1)</f>
        <v>115.5</v>
      </c>
      <c r="ET6" cm="1">
        <f t="array" ref="ET6">_xll.EQNXTDZ($A$1,$B6,ET$1)</f>
        <v>111.86</v>
      </c>
      <c r="EU6" cm="1">
        <f t="array" ref="EU6">_xll.EQNXTDZ($A$1,$B6,EU$1)</f>
        <v>111.05</v>
      </c>
      <c r="EV6" cm="1">
        <f t="array" ref="EV6">_xll.EQNXTDZ($A$1,$B6,EV$1)</f>
        <v>103.8</v>
      </c>
      <c r="EW6" cm="1">
        <f t="array" ref="EW6">_xll.EQNXTDZ($A$1,$B6,EW$1)</f>
        <v>101.69</v>
      </c>
      <c r="EX6" cm="1">
        <f t="array" ref="EX6">_xll.EQNXTDZ($A$1,$B6,EX$1)</f>
        <v>100.55</v>
      </c>
      <c r="EY6" cm="1">
        <f t="array" ref="EY6">_xll.EQNXTDZ($A$1,$B6,EY$1)</f>
        <v>93.5</v>
      </c>
      <c r="EZ6" cm="1">
        <f t="array" ref="EZ6">_xll.EQNXTDZ($A$1,$B6,EZ$1)</f>
        <v>81.25</v>
      </c>
      <c r="FA6" cm="1">
        <f t="array" ref="FA6">_xll.EQNXTDZ($A$1,$B6,FA$1)</f>
        <v>88.53</v>
      </c>
      <c r="FB6" cm="1">
        <f t="array" ref="FB6">_xll.EQNXTDZ($A$1,$B6,FB$1)</f>
        <v>97.5</v>
      </c>
      <c r="FC6" cm="1">
        <f t="array" ref="FC6">_xll.EQNXTDZ($A$1,$B6,FC$1)</f>
        <v>114.76</v>
      </c>
      <c r="FD6" cm="1">
        <f t="array" ref="FD6">_xll.EQNXTDZ($A$1,$B6,FD$1)</f>
        <v>114.45</v>
      </c>
      <c r="FE6" cm="1">
        <f t="array" ref="FE6">_xll.EQNXTDZ($A$1,$B6,FE$1)</f>
        <v>107.25</v>
      </c>
      <c r="FF6" cm="1">
        <f t="array" ref="FF6">_xll.EQNXTDZ($A$1,$B6,FF$1)</f>
        <v>104</v>
      </c>
      <c r="FG6" cm="1">
        <f t="array" ref="FG6">_xll.EQNXTDZ($A$1,$B6,FG$1)</f>
        <v>124.3</v>
      </c>
      <c r="FH6" cm="1">
        <f t="array" ref="FH6">_xll.EQNXTDZ($A$1,$B6,FH$1)</f>
        <v>137.66999999999999</v>
      </c>
      <c r="FI6" cm="1">
        <f t="array" ref="FI6">_xll.EQNXTDZ($A$1,$B6,FI$1)</f>
        <v>152</v>
      </c>
      <c r="FJ6" cm="1">
        <f t="array" ref="FJ6">_xll.EQNXTDZ($A$1,$B6,FJ$1)</f>
        <v>155</v>
      </c>
      <c r="FK6" cm="1">
        <f t="array" ref="FK6">_xll.EQNXTDZ($A$1,$B6,FK$1)</f>
        <v>145.97999999999999</v>
      </c>
      <c r="FL6" cm="1">
        <f t="array" ref="FL6">_xll.EQNXTDZ($A$1,$B6,FL$1)</f>
        <v>150.30000000000001</v>
      </c>
      <c r="FM6" cm="1">
        <f t="array" ref="FM6">_xll.EQNXTDZ($A$1,$B6,FM$1)</f>
        <v>128.02000000000001</v>
      </c>
      <c r="FN6" cm="1">
        <f t="array" ref="FN6">_xll.EQNXTDZ($A$1,$B6,FN$1)</f>
        <v>135.34</v>
      </c>
      <c r="FO6" cm="1">
        <f t="array" ref="FO6">_xll.EQNXTDZ($A$1,$B6,FO$1)</f>
        <v>131.44999999999999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0" customFormat="1" x14ac:dyDescent="0.25">
      <c r="A7" s="110" t="s">
        <v>38</v>
      </c>
      <c r="B7" s="110" t="s">
        <v>381</v>
      </c>
      <c r="C7" s="110" cm="1">
        <f t="array" ref="C7">_xll.EQNXTDZ($A$1,$B7,C$1)</f>
        <v>85.107322166095997</v>
      </c>
      <c r="D7" s="110" cm="1">
        <f t="array" ref="D7">_xll.EQNXTDZ($A$1,$B7,D$1)</f>
        <v>85.476931108074496</v>
      </c>
      <c r="E7" s="110" cm="1">
        <f t="array" ref="E7">_xll.EQNXTDZ($A$1,$B7,E$1)</f>
        <v>72.112649890221206</v>
      </c>
      <c r="F7" s="110" cm="1">
        <f t="array" ref="F7">_xll.EQNXTDZ($A$1,$B7,F$1)</f>
        <v>88.676966421519694</v>
      </c>
      <c r="G7" s="110" cm="1">
        <f t="array" ref="G7">_xll.EQNXTDZ($A$1,$B7,G$1)</f>
        <v>88.297630928436504</v>
      </c>
      <c r="H7" s="110" cm="1">
        <f t="array" ref="H7">_xll.EQNXTDZ($A$1,$B7,H$1)</f>
        <v>91.030791788856305</v>
      </c>
      <c r="I7" s="110" cm="1">
        <f t="array" ref="I7">_xll.EQNXTDZ($A$1,$B7,I$1)</f>
        <v>97.226604842548099</v>
      </c>
      <c r="J7" s="110" cm="1">
        <f t="array" ref="J7">_xll.EQNXTDZ($A$1,$B7,J$1)</f>
        <v>103.685034776067</v>
      </c>
      <c r="K7" s="110" cm="1">
        <f t="array" ref="K7">_xll.EQNXTDZ($A$1,$B7,K$1)</f>
        <v>94.503170533233003</v>
      </c>
      <c r="L7" s="110" cm="1">
        <f t="array" ref="L7">_xll.EQNXTDZ($A$1,$B7,L$1)</f>
        <v>86.050797623251597</v>
      </c>
      <c r="M7" s="110" cm="1">
        <f t="array" ref="M7">_xll.EQNXTDZ($A$1,$B7,M$1)</f>
        <v>87.441694431223198</v>
      </c>
      <c r="N7" s="110" cm="1">
        <f t="array" ref="N7">_xll.EQNXTDZ($A$1,$B7,N$1)</f>
        <v>88.959036403555899</v>
      </c>
      <c r="O7" s="110" cm="1">
        <f t="array" ref="O7">_xll.EQNXTDZ($A$1,$B7,O$1)</f>
        <v>81.061076906542198</v>
      </c>
      <c r="P7" s="110" cm="1">
        <f t="array" ref="P7">_xll.EQNXTDZ($A$1,$B7,P$1)</f>
        <v>75.283505550352402</v>
      </c>
      <c r="Q7" s="110" cm="1">
        <f t="array" ref="Q7">_xll.EQNXTDZ($A$1,$B7,Q$1)</f>
        <v>54.390873777463902</v>
      </c>
      <c r="R7" s="110" cm="1">
        <f t="array" ref="R7">_xll.EQNXTDZ($A$1,$B7,R$1)</f>
        <v>49.410879611859201</v>
      </c>
      <c r="S7" s="110" cm="1">
        <f t="array" ref="S7">_xll.EQNXTDZ($A$1,$B7,S$1)</f>
        <v>50.967127788610597</v>
      </c>
      <c r="T7" s="110" cm="1">
        <f t="array" ref="T7">_xll.EQNXTDZ($A$1,$B7,T$1)</f>
        <v>57.094854984569601</v>
      </c>
      <c r="U7" s="110" cm="1">
        <f t="array" ref="U7">_xll.EQNXTDZ($A$1,$B7,U$1)</f>
        <v>57.289386006663499</v>
      </c>
      <c r="V7" s="110" cm="1">
        <f t="array" ref="V7">_xll.EQNXTDZ($A$1,$B7,V$1)</f>
        <v>56.880870860266199</v>
      </c>
      <c r="W7" s="110" cm="1">
        <f t="array" ref="W7">_xll.EQNXTDZ($A$1,$B7,W$1)</f>
        <v>44.051549953171303</v>
      </c>
      <c r="X7" s="110" cm="1">
        <f t="array" ref="X7">_xll.EQNXTDZ($A$1,$B7,X$1)</f>
        <v>53.583570035774102</v>
      </c>
      <c r="Y7" s="110" cm="1">
        <f t="array" ref="Y7">_xll.EQNXTDZ($A$1,$B7,Y$1)</f>
        <v>58.164775606086202</v>
      </c>
      <c r="Z7" s="110" cm="1">
        <f t="array" ref="Z7">_xll.EQNXTDZ($A$1,$B7,Z$1)</f>
        <v>95.680083216901295</v>
      </c>
      <c r="AA7" s="110" cm="1">
        <f t="array" ref="AA7">_xll.EQNXTDZ($A$1,$B7,AA$1)</f>
        <v>96.876449002778998</v>
      </c>
      <c r="AB7" s="110" cm="1">
        <f t="array" ref="AB7">_xll.EQNXTDZ($A$1,$B7,AB$1)</f>
        <v>91.390674179730098</v>
      </c>
      <c r="AC7" s="110" cm="1">
        <f t="array" ref="AC7">_xll.EQNXTDZ($A$1,$B7,AC$1)</f>
        <v>80.535843146888595</v>
      </c>
      <c r="AD7" s="110" cm="1">
        <f t="array" ref="AD7">_xll.EQNXTDZ($A$1,$B7,AD$1)</f>
        <v>81.547404461777006</v>
      </c>
      <c r="AE7" s="110" cm="1">
        <f t="array" ref="AE7">_xll.EQNXTDZ($A$1,$B7,AE$1)</f>
        <v>78.512720517111703</v>
      </c>
      <c r="AF7" s="110" cm="1">
        <f t="array" ref="AF7">_xll.EQNXTDZ($A$1,$B7,AF$1)</f>
        <v>82.043458568116606</v>
      </c>
      <c r="AG7" s="110" cm="1">
        <f t="array" ref="AG7">_xll.EQNXTDZ($A$1,$B7,AG$1)</f>
        <v>88.278177826227093</v>
      </c>
      <c r="AH7" s="110" cm="1">
        <f t="array" ref="AH7">_xll.EQNXTDZ($A$1,$B7,AH$1)</f>
        <v>93.112273725261403</v>
      </c>
      <c r="AI7" s="110" cm="1">
        <f t="array" ref="AI7">_xll.EQNXTDZ($A$1,$B7,AI$1)</f>
        <v>89.776066696350398</v>
      </c>
      <c r="AJ7" s="110" cm="1">
        <f t="array" ref="AJ7">_xll.EQNXTDZ($A$1,$B7,AJ$1)</f>
        <v>87.947475088667503</v>
      </c>
      <c r="AK7" s="110" cm="1">
        <f t="array" ref="AK7">_xll.EQNXTDZ($A$1,$B7,AK$1)</f>
        <v>80.039789040548996</v>
      </c>
      <c r="AL7" s="110" cm="1">
        <f t="array" ref="AL7">_xll.EQNXTDZ($A$1,$B7,AL$1)</f>
        <v>76.110262394251606</v>
      </c>
      <c r="AM7" s="110" cm="1">
        <f t="array" ref="AM7">_xll.EQNXTDZ($A$1,$B7,AM$1)</f>
        <v>67.453631911071497</v>
      </c>
      <c r="AN7" s="110" cm="1">
        <f t="array" ref="AN7">_xll.EQNXTDZ($A$1,$B7,AN$1)</f>
        <v>58.923446592252503</v>
      </c>
      <c r="AO7" s="110" cm="1">
        <f t="array" ref="AO7">_xll.EQNXTDZ($A$1,$B7,AO$1)</f>
        <v>70.118706913758402</v>
      </c>
      <c r="AP7" s="110" cm="1">
        <f t="array" ref="AP7">_xll.EQNXTDZ($A$1,$B7,AP$1)</f>
        <v>56.413996407240802</v>
      </c>
      <c r="AQ7" s="110" cm="1">
        <f t="array" ref="AQ7">_xll.EQNXTDZ($A$1,$B7,AQ$1)</f>
        <v>59.400047596382699</v>
      </c>
      <c r="AR7" s="110" cm="1">
        <f t="array" ref="AR7">_xll.EQNXTDZ($A$1,$B7,AR$1)</f>
        <v>55.275989927991297</v>
      </c>
      <c r="AS7" s="110" cm="1">
        <f t="array" ref="AS7">_xll.EQNXTDZ($A$1,$B7,AS$1)</f>
        <v>53.320953155947201</v>
      </c>
      <c r="AT7" s="110" cm="1">
        <f t="array" ref="AT7">_xll.EQNXTDZ($A$1,$B7,AT$1)</f>
        <v>46.609632893706497</v>
      </c>
      <c r="AU7" s="110" cm="1">
        <f t="array" ref="AU7">_xll.EQNXTDZ($A$1,$B7,AU$1)</f>
        <v>40.394366737805299</v>
      </c>
      <c r="AV7" s="110" cm="1">
        <f t="array" ref="AV7">_xll.EQNXTDZ($A$1,$B7,AV$1)</f>
        <v>37.894643103898296</v>
      </c>
      <c r="AW7" s="110" cm="1">
        <f t="array" ref="AW7">_xll.EQNXTDZ($A$1,$B7,AW$1)</f>
        <v>42.291044203221198</v>
      </c>
      <c r="AX7" s="110" cm="1">
        <f t="array" ref="AX7">_xll.EQNXTDZ($A$1,$B7,AX$1)</f>
        <v>40.637530515422803</v>
      </c>
      <c r="AY7" s="110" cm="1">
        <f t="array" ref="AY7">_xll.EQNXTDZ($A$1,$B7,AY$1)</f>
        <v>43.0399886382828</v>
      </c>
      <c r="AZ7" s="110" cm="1">
        <f t="array" ref="AZ7">_xll.EQNXTDZ($A$1,$B7,AZ$1)</f>
        <v>52.085681165650797</v>
      </c>
      <c r="BA7" s="110" cm="1">
        <f t="array" ref="BA7">_xll.EQNXTDZ($A$1,$B7,BA$1)</f>
        <v>55.2565368257819</v>
      </c>
      <c r="BB7" s="110" cm="1">
        <f t="array" ref="BB7">_xll.EQNXTDZ($A$1,$B7,BB$1)</f>
        <v>62.026216394650802</v>
      </c>
      <c r="BC7" s="110" cm="1">
        <f t="array" ref="BC7">_xll.EQNXTDZ($A$1,$B7,BC$1)</f>
        <v>65.926563387634104</v>
      </c>
      <c r="BD7" s="110" cm="1">
        <f t="array" ref="BD7">_xll.EQNXTDZ($A$1,$B7,BD$1)</f>
        <v>64.418947966406193</v>
      </c>
      <c r="BE7" s="110" cm="1">
        <f t="array" ref="BE7">_xll.EQNXTDZ($A$1,$B7,BE$1)</f>
        <v>62.638989114246698</v>
      </c>
      <c r="BF7" s="110" cm="1">
        <f t="array" ref="BF7">_xll.EQNXTDZ($A$1,$B7,BF$1)</f>
        <v>57.124034637883597</v>
      </c>
      <c r="BG7" s="110" cm="1">
        <f t="array" ref="BG7">_xll.EQNXTDZ($A$1,$B7,BG$1)</f>
        <v>61.899771230289701</v>
      </c>
      <c r="BH7" s="110" cm="1">
        <f t="array" ref="BH7">_xll.EQNXTDZ($A$1,$B7,BH$1)</f>
        <v>61.55</v>
      </c>
      <c r="BI7" s="110" cm="1">
        <f t="array" ref="BI7">_xll.EQNXTDZ($A$1,$B7,BI$1)</f>
        <v>72.34</v>
      </c>
      <c r="BJ7" s="110" cm="1">
        <f t="array" ref="BJ7">_xll.EQNXTDZ($A$1,$B7,BJ$1)</f>
        <v>83.2</v>
      </c>
      <c r="BK7" s="110" cm="1">
        <f t="array" ref="BK7">_xll.EQNXTDZ($A$1,$B7,BK$1)</f>
        <v>73.14</v>
      </c>
      <c r="BL7" s="110" cm="1">
        <f t="array" ref="BL7">_xll.EQNXTDZ($A$1,$B7,BL$1)</f>
        <v>74.94</v>
      </c>
      <c r="BM7" s="110" cm="1">
        <f t="array" ref="BM7">_xll.EQNXTDZ($A$1,$B7,BM$1)</f>
        <v>74.09</v>
      </c>
      <c r="BN7" s="110" cm="1">
        <f t="array" ref="BN7">_xll.EQNXTDZ($A$1,$B7,BN$1)</f>
        <v>70.38</v>
      </c>
      <c r="BO7" s="110" cm="1">
        <f t="array" ref="BO7">_xll.EQNXTDZ($A$1,$B7,BO$1)</f>
        <v>92.74</v>
      </c>
      <c r="BP7" s="110" cm="1">
        <f t="array" ref="BP7">_xll.EQNXTDZ($A$1,$B7,BP$1)</f>
        <v>84.06</v>
      </c>
      <c r="BQ7" s="110" cm="1">
        <f t="array" ref="BQ7">_xll.EQNXTDZ($A$1,$B7,BQ$1)</f>
        <v>75.94</v>
      </c>
      <c r="BR7" s="110" cm="1">
        <f t="array" ref="BR7">_xll.EQNXTDZ($A$1,$B7,BR$1)</f>
        <v>76.98</v>
      </c>
      <c r="BS7" s="110" cm="1">
        <f t="array" ref="BS7">_xll.EQNXTDZ($A$1,$B7,BS$1)</f>
        <v>68.8</v>
      </c>
      <c r="BT7" s="110" cm="1">
        <f t="array" ref="BT7">_xll.EQNXTDZ($A$1,$B7,BT$1)</f>
        <v>59.94</v>
      </c>
      <c r="BU7" s="110" cm="1">
        <f t="array" ref="BU7">_xll.EQNXTDZ($A$1,$B7,BU$1)</f>
        <v>58.4</v>
      </c>
      <c r="BV7" s="110" cm="1">
        <f t="array" ref="BV7">_xll.EQNXTDZ($A$1,$B7,BV$1)</f>
        <v>54.4</v>
      </c>
      <c r="BW7" s="110" cm="1">
        <f t="array" ref="BW7">_xll.EQNXTDZ($A$1,$B7,BW$1)</f>
        <v>56.82</v>
      </c>
      <c r="BX7" s="110" cm="1">
        <f t="array" ref="BX7">_xll.EQNXTDZ($A$1,$B7,BX$1)</f>
        <v>58.52</v>
      </c>
      <c r="BY7" s="110" cm="1">
        <f t="array" ref="BY7">_xll.EQNXTDZ($A$1,$B7,BY$1)</f>
        <v>60.46</v>
      </c>
      <c r="BZ7" s="110" cm="1">
        <f t="array" ref="BZ7">_xll.EQNXTDZ($A$1,$B7,BZ$1)</f>
        <v>58.55</v>
      </c>
      <c r="CA7" s="110" cm="1">
        <f t="array" ref="CA7">_xll.EQNXTDZ($A$1,$B7,CA$1)</f>
        <v>52.74</v>
      </c>
      <c r="CB7" s="110" cm="1">
        <f t="array" ref="CB7">_xll.EQNXTDZ($A$1,$B7,CB$1)</f>
        <v>54.4</v>
      </c>
      <c r="CC7" s="110" cm="1">
        <f t="array" ref="CC7">_xll.EQNXTDZ($A$1,$B7,CC$1)</f>
        <v>56.32</v>
      </c>
      <c r="CD7" s="110" cm="1">
        <f t="array" ref="CD7">_xll.EQNXTDZ($A$1,$B7,CD$1)</f>
        <v>58</v>
      </c>
      <c r="CE7" s="110" cm="1">
        <f t="array" ref="CE7">_xll.EQNXTDZ($A$1,$B7,CE$1)</f>
        <v>50.48</v>
      </c>
      <c r="CF7" s="110" cm="1">
        <f t="array" ref="CF7">_xll.EQNXTDZ($A$1,$B7,CF$1)</f>
        <v>60</v>
      </c>
      <c r="CG7" s="110" cm="1">
        <f t="array" ref="CG7">_xll.EQNXTDZ($A$1,$B7,CG$1)</f>
        <v>60.42</v>
      </c>
      <c r="CH7" s="110" cm="1">
        <f t="array" ref="CH7">_xll.EQNXTDZ($A$1,$B7,CH$1)</f>
        <v>57.11</v>
      </c>
      <c r="CI7" s="110" cm="1">
        <f t="array" ref="CI7">_xll.EQNXTDZ($A$1,$B7,CI$1)</f>
        <v>58.36</v>
      </c>
      <c r="CJ7" s="110" cm="1">
        <f t="array" ref="CJ7">_xll.EQNXTDZ($A$1,$B7,CJ$1)</f>
        <v>59.31</v>
      </c>
      <c r="CK7" s="110" cm="1">
        <f t="array" ref="CK7">_xll.EQNXTDZ($A$1,$B7,CK$1)</f>
        <v>47.8</v>
      </c>
      <c r="CL7" s="110" cm="1">
        <f t="array" ref="CL7">_xll.EQNXTDZ($A$1,$B7,CL$1)</f>
        <v>42.8</v>
      </c>
      <c r="CM7" s="110" cm="1">
        <f t="array" ref="CM7">_xll.EQNXTDZ($A$1,$B7,CM$1)</f>
        <v>41.82</v>
      </c>
      <c r="CN7" s="110" cm="1">
        <f t="array" ref="CN7">_xll.EQNXTDZ($A$1,$B7,CN$1)</f>
        <v>46.85</v>
      </c>
      <c r="CO7" s="110" cm="1">
        <f t="array" ref="CO7">_xll.EQNXTDZ($A$1,$B7,CO$1)</f>
        <v>46.57</v>
      </c>
      <c r="CP7" s="110" cm="1">
        <f t="array" ref="CP7">_xll.EQNXTDZ($A$1,$B7,CP$1)</f>
        <v>45.96</v>
      </c>
      <c r="CQ7" s="110" cm="1">
        <f t="array" ref="CQ7">_xll.EQNXTDZ($A$1,$B7,CQ$1)</f>
        <v>41.11</v>
      </c>
      <c r="CR7" s="110" cm="1">
        <f t="array" ref="CR7">_xll.EQNXTDZ($A$1,$B7,CR$1)</f>
        <v>29.58</v>
      </c>
      <c r="CS7" s="110" cm="1">
        <f t="array" ref="CS7">_xll.EQNXTDZ($A$1,$B7,CS$1)</f>
        <v>18.829999999999998</v>
      </c>
      <c r="CT7" s="110" cm="1">
        <f t="array" ref="CT7">_xll.EQNXTDZ($A$1,$B7,CT$1)</f>
        <v>18.05</v>
      </c>
      <c r="CU7" s="110" cm="1">
        <f t="array" ref="CU7">_xll.EQNXTDZ($A$1,$B7,CU$1)</f>
        <v>23.66</v>
      </c>
      <c r="CV7" s="110" cm="1">
        <f t="array" ref="CV7">_xll.EQNXTDZ($A$1,$B7,CV$1)</f>
        <v>22.7</v>
      </c>
      <c r="CW7" s="110" cm="1">
        <f t="array" ref="CW7">_xll.EQNXTDZ($A$1,$B7,CW$1)</f>
        <v>23.89</v>
      </c>
      <c r="CX7" s="110" cm="1">
        <f t="array" ref="CX7">_xll.EQNXTDZ($A$1,$B7,CX$1)</f>
        <v>22.19</v>
      </c>
      <c r="CY7" s="110" cm="1">
        <f t="array" ref="CY7">_xll.EQNXTDZ($A$1,$B7,CY$1)</f>
        <v>19.02</v>
      </c>
      <c r="CZ7" s="110" cm="1">
        <f t="array" ref="CZ7">_xll.EQNXTDZ($A$1,$B7,CZ$1)</f>
        <v>21.14</v>
      </c>
      <c r="DA7" s="110" cm="1">
        <f t="array" ref="DA7">_xll.EQNXTDZ($A$1,$B7,DA$1)</f>
        <v>29.33</v>
      </c>
      <c r="DB7" s="110" cm="1">
        <f t="array" ref="DB7">_xll.EQNXTDZ($A$1,$B7,DB$1)</f>
        <v>29.44</v>
      </c>
      <c r="DC7" s="110" cm="1">
        <f t="array" ref="DC7">_xll.EQNXTDZ($A$1,$B7,DC$1)</f>
        <v>34.92</v>
      </c>
      <c r="DD7" s="110" cm="1">
        <f t="array" ref="DD7">_xll.EQNXTDZ($A$1,$B7,DD$1)</f>
        <v>34.49</v>
      </c>
      <c r="DE7" s="110" cm="1">
        <f t="array" ref="DE7">_xll.EQNXTDZ($A$1,$B7,DE$1)</f>
        <v>31.48</v>
      </c>
      <c r="DF7" s="110" cm="1">
        <f t="array" ref="DF7">_xll.EQNXTDZ($A$1,$B7,DF$1)</f>
        <v>32.729999999999997</v>
      </c>
      <c r="DG7" s="110" cm="1">
        <f t="array" ref="DG7">_xll.EQNXTDZ($A$1,$B7,DG$1)</f>
        <v>33.15</v>
      </c>
      <c r="DH7" s="110" cm="1">
        <f t="array" ref="DH7">_xll.EQNXTDZ($A$1,$B7,DH$1)</f>
        <v>31.4</v>
      </c>
      <c r="DI7" s="110" cm="1">
        <f t="array" ref="DI7">_xll.EQNXTDZ($A$1,$B7,DI$1)</f>
        <v>32.5</v>
      </c>
      <c r="DJ7" s="110" cm="1">
        <f t="array" ref="DJ7">_xll.EQNXTDZ($A$1,$B7,DJ$1)</f>
        <v>35.5</v>
      </c>
      <c r="DK7" s="110" cm="1">
        <f t="array" ref="DK7">_xll.EQNXTDZ($A$1,$B7,DK$1)</f>
        <v>43.73</v>
      </c>
      <c r="DL7" s="110" cm="1">
        <f t="array" ref="DL7">_xll.EQNXTDZ($A$1,$B7,DL$1)</f>
        <v>49.52</v>
      </c>
      <c r="DM7" s="110" cm="1">
        <f t="array" ref="DM7">_xll.EQNXTDZ($A$1,$B7,DM$1)</f>
        <v>44.8</v>
      </c>
      <c r="DN7" s="110" cm="1">
        <f t="array" ref="DN7">_xll.EQNXTDZ($A$1,$B7,DN$1)</f>
        <v>50.88</v>
      </c>
      <c r="DO7" s="110" cm="1">
        <f t="array" ref="DO7">_xll.EQNXTDZ($A$1,$B7,DO$1)</f>
        <v>54.56</v>
      </c>
      <c r="DP7" s="110" cm="1">
        <f t="array" ref="DP7">_xll.EQNXTDZ($A$1,$B7,DP$1)</f>
        <v>46.45</v>
      </c>
      <c r="DQ7" s="110" cm="1">
        <f t="array" ref="DQ7">_xll.EQNXTDZ($A$1,$B7,DQ$1)</f>
        <v>50.51</v>
      </c>
      <c r="DR7" s="110" cm="1">
        <f t="array" ref="DR7">_xll.EQNXTDZ($A$1,$B7,DR$1)</f>
        <v>47.17</v>
      </c>
      <c r="DS7" s="110" cm="1">
        <f t="array" ref="DS7">_xll.EQNXTDZ($A$1,$B7,DS$1)</f>
        <v>43.2</v>
      </c>
      <c r="DT7" s="110" cm="1">
        <f t="array" ref="DT7">_xll.EQNXTDZ($A$1,$B7,DT$1)</f>
        <v>46.9</v>
      </c>
      <c r="DU7" s="110" cm="1">
        <f t="array" ref="DU7">_xll.EQNXTDZ($A$1,$B7,DU$1)</f>
        <v>48.91</v>
      </c>
      <c r="DV7" s="110" cm="1">
        <f t="array" ref="DV7">_xll.EQNXTDZ($A$1,$B7,DV$1)</f>
        <v>51.53</v>
      </c>
      <c r="DW7" s="110" cm="1">
        <f t="array" ref="DW7">_xll.EQNXTDZ($A$1,$B7,DW$1)</f>
        <v>58.76</v>
      </c>
      <c r="DX7" s="110" cm="1">
        <f t="array" ref="DX7">_xll.EQNXTDZ($A$1,$B7,DX$1)</f>
        <v>66.790000000000006</v>
      </c>
      <c r="DY7" s="110" cm="1">
        <f t="array" ref="DY7">_xll.EQNXTDZ($A$1,$B7,DY$1)</f>
        <v>67.34</v>
      </c>
      <c r="DZ7" s="110" cm="1">
        <f t="array" ref="DZ7">_xll.EQNXTDZ($A$1,$B7,DZ$1)</f>
        <v>68.34</v>
      </c>
      <c r="EA7" s="110" cm="1">
        <f t="array" ref="EA7">_xll.EQNXTDZ($A$1,$B7,EA$1)</f>
        <v>61.8</v>
      </c>
      <c r="EB7" s="110" cm="1">
        <f t="array" ref="EB7">_xll.EQNXTDZ($A$1,$B7,EB$1)</f>
        <v>62.74</v>
      </c>
      <c r="EC7" s="110" cm="1">
        <f t="array" ref="EC7">_xll.EQNXTDZ($A$1,$B7,EC$1)</f>
        <v>63.62</v>
      </c>
      <c r="ED7" s="110" cm="1">
        <f t="array" ref="ED7">_xll.EQNXTDZ($A$1,$B7,ED$1)</f>
        <v>65.37</v>
      </c>
      <c r="EE7" s="110" cm="1">
        <f t="array" ref="EE7">_xll.EQNXTDZ($A$1,$B7,EE$1)</f>
        <v>63.31</v>
      </c>
      <c r="EF7" s="110" cm="1">
        <f t="array" ref="EF7">_xll.EQNXTDZ($A$1,$B7,EF$1)</f>
        <v>70.28</v>
      </c>
      <c r="EG7" s="110" cm="1">
        <f t="array" ref="EG7">_xll.EQNXTDZ($A$1,$B7,EG$1)</f>
        <v>69.2</v>
      </c>
      <c r="EH7" s="110" cm="1">
        <f t="array" ref="EH7">_xll.EQNXTDZ($A$1,$B7,EH$1)</f>
        <v>77.2</v>
      </c>
      <c r="EI7" s="110" cm="1">
        <f t="array" ref="EI7">_xll.EQNXTDZ($A$1,$B7,EI$1)</f>
        <v>78.13</v>
      </c>
      <c r="EJ7" s="110" cm="1">
        <f t="array" ref="EJ7">_xll.EQNXTDZ($A$1,$B7,EJ$1)</f>
        <v>82.2</v>
      </c>
      <c r="EK7" s="110" cm="1">
        <f t="array" ref="EK7">_xll.EQNXTDZ($A$1,$B7,EK$1)</f>
        <v>90.94</v>
      </c>
      <c r="EL7" s="110" cm="1">
        <f t="array" ref="EL7">_xll.EQNXTDZ($A$1,$B7,EL$1)</f>
        <v>97</v>
      </c>
      <c r="EM7" s="110" cm="1">
        <f t="array" ref="EM7">_xll.EQNXTDZ($A$1,$B7,EM$1)</f>
        <v>119.76</v>
      </c>
      <c r="EN7" s="110" cm="1">
        <f t="array" ref="EN7">_xll.EQNXTDZ($A$1,$B7,EN$1)</f>
        <v>121.26</v>
      </c>
      <c r="EO7" s="110" cm="1">
        <f t="array" ref="EO7">_xll.EQNXTDZ($A$1,$B7,EO$1)</f>
        <v>125.94</v>
      </c>
      <c r="EP7" s="110" cm="1">
        <f t="array" ref="EP7">_xll.EQNXTDZ($A$1,$B7,EP$1)</f>
        <v>126.58</v>
      </c>
      <c r="EQ7" s="110" cm="1">
        <f t="array" ref="EQ7">_xll.EQNXTDZ($A$1,$B7,EQ$1)</f>
        <v>128.9</v>
      </c>
      <c r="ER7" s="110" cm="1">
        <f t="array" ref="ER7">_xll.EQNXTDZ($A$1,$B7,ER$1)</f>
        <v>120.19</v>
      </c>
      <c r="ES7" s="110" cm="1">
        <f t="array" ref="ES7">_xll.EQNXTDZ($A$1,$B7,ES$1)</f>
        <v>115.6</v>
      </c>
      <c r="ET7" s="110" cm="1">
        <f t="array" ref="ET7">_xll.EQNXTDZ($A$1,$B7,ET$1)</f>
        <v>113.5</v>
      </c>
      <c r="EU7" s="110" cm="1">
        <f t="array" ref="EU7">_xll.EQNXTDZ($A$1,$B7,EU$1)</f>
        <v>112.46</v>
      </c>
      <c r="EV7" s="110" cm="1">
        <f t="array" ref="EV7">_xll.EQNXTDZ($A$1,$B7,EV$1)</f>
        <v>106.49</v>
      </c>
      <c r="EW7" s="110" cm="1">
        <f t="array" ref="EW7">_xll.EQNXTDZ($A$1,$B7,EW$1)</f>
        <v>110.8</v>
      </c>
      <c r="EX7" s="110" cm="1">
        <f t="array" ref="EX7">_xll.EQNXTDZ($A$1,$B7,EX$1)</f>
        <v>103.14</v>
      </c>
      <c r="EY7" s="110" cm="1">
        <f t="array" ref="EY7">_xll.EQNXTDZ($A$1,$B7,EY$1)</f>
        <v>96.9</v>
      </c>
      <c r="EZ7" s="110" cm="1">
        <f t="array" ref="EZ7">_xll.EQNXTDZ($A$1,$B7,EZ$1)</f>
        <v>92.25</v>
      </c>
      <c r="FA7" s="110" cm="1">
        <f t="array" ref="FA7">_xll.EQNXTDZ($A$1,$B7,FA$1)</f>
        <v>102.63</v>
      </c>
      <c r="FB7" s="110" cm="1">
        <f t="array" ref="FB7">_xll.EQNXTDZ($A$1,$B7,FB$1)</f>
        <v>115.32</v>
      </c>
      <c r="FC7" s="110" cm="1">
        <f t="array" ref="FC7">_xll.EQNXTDZ($A$1,$B7,FC$1)</f>
        <v>119.3</v>
      </c>
      <c r="FD7" s="110" cm="1">
        <f t="array" ref="FD7">_xll.EQNXTDZ($A$1,$B7,FD$1)</f>
        <v>117.5</v>
      </c>
      <c r="FE7" s="110" cm="1">
        <f t="array" ref="FE7">_xll.EQNXTDZ($A$1,$B7,FE$1)</f>
        <v>113</v>
      </c>
      <c r="FF7" s="110" cm="1">
        <f t="array" ref="FF7">_xll.EQNXTDZ($A$1,$B7,FF$1)</f>
        <v>124.55</v>
      </c>
      <c r="FG7" s="110" cm="1">
        <f t="array" ref="FG7">_xll.EQNXTDZ($A$1,$B7,FG$1)</f>
        <v>138.6</v>
      </c>
      <c r="FH7" s="110" cm="1">
        <f t="array" ref="FH7">_xll.EQNXTDZ($A$1,$B7,FH$1)</f>
        <v>152.5</v>
      </c>
      <c r="FI7" s="110" cm="1">
        <f t="array" ref="FI7">_xll.EQNXTDZ($A$1,$B7,FI$1)</f>
        <v>158</v>
      </c>
      <c r="FJ7" s="110" cm="1">
        <f t="array" ref="FJ7">_xll.EQNXTDZ($A$1,$B7,FJ$1)</f>
        <v>160.79</v>
      </c>
      <c r="FK7" s="110" cm="1">
        <f t="array" ref="FK7">_xll.EQNXTDZ($A$1,$B7,FK$1)</f>
        <v>162.88999999999999</v>
      </c>
      <c r="FL7" s="110" cm="1">
        <f t="array" ref="FL7">_xll.EQNXTDZ($A$1,$B7,FL$1)</f>
        <v>156.25</v>
      </c>
      <c r="FM7" s="110" cm="1">
        <f t="array" ref="FM7">_xll.EQNXTDZ($A$1,$B7,FM$1)</f>
        <v>146.88999999999999</v>
      </c>
      <c r="FN7" s="110" cm="1">
        <f t="array" ref="FN7">_xll.EQNXTDZ($A$1,$B7,FN$1)</f>
        <v>139.4</v>
      </c>
      <c r="FO7" s="110" cm="1">
        <f t="array" ref="FO7">_xll.EQNXTDZ($A$1,$B7,FO$1)</f>
        <v>138.26</v>
      </c>
      <c r="FP7" s="110" cm="1">
        <f t="array" ref="FP7">_xll.EQNXTDZ($A$1,$B7,FP$1)</f>
        <v>0</v>
      </c>
      <c r="FQ7" s="110" cm="1">
        <f t="array" ref="FQ7">_xll.EQNXTDZ($A$1,$B7,FQ$1)</f>
        <v>0</v>
      </c>
      <c r="FR7" s="110" cm="1">
        <f t="array" ref="FR7">_xll.EQNXTDZ($A$1,$B7,FR$1)</f>
        <v>0</v>
      </c>
      <c r="FS7" s="110" cm="1">
        <f t="array" ref="FS7">_xll.EQNXTDZ($A$1,$B7,FS$1)</f>
        <v>0</v>
      </c>
      <c r="FT7" s="110" cm="1">
        <f t="array" ref="FT7">_xll.EQNXTDZ($A$1,$B7,FT$1)</f>
        <v>0</v>
      </c>
      <c r="FU7" s="110" cm="1">
        <f t="array" ref="FU7">_xll.EQNXTDZ($A$1,$B7,FU$1)</f>
        <v>0</v>
      </c>
      <c r="FV7" s="110" cm="1">
        <f t="array" ref="FV7">_xll.EQNXTDZ($A$1,$B7,FV$1)</f>
        <v>0</v>
      </c>
      <c r="FW7" s="110" cm="1">
        <f t="array" ref="FW7">_xll.EQNXTDZ($A$1,$B7,FW$1)</f>
        <v>0</v>
      </c>
      <c r="FX7" s="110" cm="1">
        <f t="array" ref="FX7">_xll.EQNXTDZ($A$1,$B7,FX$1)</f>
        <v>0</v>
      </c>
      <c r="FY7" s="110" cm="1">
        <f t="array" ref="FY7">_xll.EQNXTDZ($A$1,$B7,FY$1)</f>
        <v>0</v>
      </c>
      <c r="FZ7" s="110" cm="1">
        <f t="array" ref="FZ7">_xll.EQNXTDZ($A$1,$B7,FZ$1)</f>
        <v>0</v>
      </c>
      <c r="GA7" s="110" cm="1">
        <f t="array" ref="GA7">_xll.EQNXTDZ($A$1,$B7,GA$1)</f>
        <v>0</v>
      </c>
      <c r="GB7" s="110" cm="1">
        <f t="array" ref="GB7">_xll.EQNXTDZ($A$1,$B7,GB$1)</f>
        <v>0</v>
      </c>
      <c r="GC7" s="110" cm="1">
        <f t="array" ref="GC7">_xll.EQNXTDZ($A$1,$B7,GC$1)</f>
        <v>0</v>
      </c>
      <c r="GD7" s="110" cm="1">
        <f t="array" ref="GD7">_xll.EQNXTDZ($A$1,$B7,GD$1)</f>
        <v>0</v>
      </c>
      <c r="GE7" s="110" cm="1">
        <f t="array" ref="GE7">_xll.EQNXTDZ($A$1,$B7,GE$1)</f>
        <v>0</v>
      </c>
      <c r="GF7" s="110" cm="1">
        <f t="array" ref="GF7">_xll.EQNXTDZ($A$1,$B7,GF$1)</f>
        <v>0</v>
      </c>
      <c r="GG7" s="110" cm="1">
        <f t="array" ref="GG7">_xll.EQNXTDZ($A$1,$B7,GG$1)</f>
        <v>0</v>
      </c>
      <c r="GH7" s="110" cm="1">
        <f t="array" ref="GH7">_xll.EQNXTDZ($A$1,$B7,GH$1)</f>
        <v>0</v>
      </c>
      <c r="GI7" s="110" cm="1">
        <f t="array" ref="GI7">_xll.EQNXTDZ($A$1,$B7,GI$1)</f>
        <v>0</v>
      </c>
      <c r="GJ7" s="110" cm="1">
        <f t="array" ref="GJ7">_xll.EQNXTDZ($A$1,$B7,GJ$1)</f>
        <v>0</v>
      </c>
      <c r="GK7" s="110" cm="1">
        <f t="array" ref="GK7">_xll.EQNXTDZ($A$1,$B7,GK$1)</f>
        <v>0</v>
      </c>
      <c r="GL7" s="110" cm="1">
        <f t="array" ref="GL7">_xll.EQNXTDZ($A$1,$B7,GL$1)</f>
        <v>0</v>
      </c>
      <c r="GM7" s="110" cm="1">
        <f t="array" ref="GM7">_xll.EQNXTDZ($A$1,$B7,GM$1)</f>
        <v>0</v>
      </c>
      <c r="GN7" s="110" cm="1">
        <f t="array" ref="GN7">_xll.EQNXTDZ($A$1,$B7,GN$1)</f>
        <v>0</v>
      </c>
      <c r="GO7" s="110" cm="1">
        <f t="array" ref="GO7">_xll.EQNXTDZ($A$1,$B7,GO$1)</f>
        <v>0</v>
      </c>
      <c r="GP7" s="110" cm="1">
        <f t="array" ref="GP7">_xll.EQNXTDZ($A$1,$B7,GP$1)</f>
        <v>0</v>
      </c>
      <c r="GQ7" s="110" cm="1">
        <f t="array" ref="GQ7">_xll.EQNXTDZ($A$1,$B7,GQ$1)</f>
        <v>0</v>
      </c>
      <c r="GR7" s="110" cm="1">
        <f t="array" ref="GR7">_xll.EQNXTDZ($A$1,$B7,GR$1)</f>
        <v>0</v>
      </c>
      <c r="GS7" s="110" cm="1">
        <f t="array" ref="GS7">_xll.EQNXTDZ($A$1,$B7,GS$1)</f>
        <v>0</v>
      </c>
      <c r="GT7" s="110" cm="1">
        <f t="array" ref="GT7">_xll.EQNXTDZ($A$1,$B7,GT$1)</f>
        <v>0</v>
      </c>
      <c r="GU7" s="110" cm="1">
        <f t="array" ref="GU7">_xll.EQNXTDZ($A$1,$B7,GU$1)</f>
        <v>0</v>
      </c>
      <c r="GV7" s="110" cm="1">
        <f t="array" ref="GV7">_xll.EQNXTDZ($A$1,$B7,GV$1)</f>
        <v>0</v>
      </c>
      <c r="GW7" s="110" cm="1">
        <f t="array" ref="GW7">_xll.EQNXTDZ($A$1,$B7,GW$1)</f>
        <v>0</v>
      </c>
      <c r="GX7" s="110" cm="1">
        <f t="array" ref="GX7">_xll.EQNXTDZ($A$1,$B7,GX$1)</f>
        <v>0</v>
      </c>
      <c r="GY7" s="110" cm="1">
        <f t="array" ref="GY7">_xll.EQNXTDZ($A$1,$B7,GY$1)</f>
        <v>0</v>
      </c>
      <c r="GZ7" s="110" cm="1">
        <f t="array" ref="GZ7">_xll.EQNXTDZ($A$1,$B7,GZ$1)</f>
        <v>0</v>
      </c>
      <c r="HA7" s="110" cm="1">
        <f t="array" ref="HA7">_xll.EQNXTDZ($A$1,$B7,HA$1)</f>
        <v>0</v>
      </c>
      <c r="HB7" s="110" cm="1">
        <f t="array" ref="HB7">_xll.EQNXTDZ($A$1,$B7,HB$1)</f>
        <v>0</v>
      </c>
      <c r="HC7" s="110" cm="1">
        <f t="array" ref="HC7">_xll.EQNXTDZ($A$1,$B7,HC$1)</f>
        <v>0</v>
      </c>
      <c r="HD7" s="110" cm="1">
        <f t="array" ref="HD7">_xll.EQNXTDZ($A$1,$B7,HD$1)</f>
        <v>0</v>
      </c>
      <c r="HE7" s="110" cm="1">
        <f t="array" ref="HE7">_xll.EQNXTDZ($A$1,$B7,HE$1)</f>
        <v>0</v>
      </c>
      <c r="HF7" s="110" cm="1">
        <f t="array" ref="HF7">_xll.EQNXTDZ($A$1,$B7,HF$1)</f>
        <v>0</v>
      </c>
      <c r="HG7" s="110" cm="1">
        <f t="array" ref="HG7">_xll.EQNXTDZ($A$1,$B7,HG$1)</f>
        <v>0</v>
      </c>
      <c r="HH7" s="110" cm="1">
        <f t="array" ref="HH7">_xll.EQNXTDZ($A$1,$B7,HH$1)</f>
        <v>0</v>
      </c>
      <c r="HP7" s="110">
        <f>+MAX(D7:F7)</f>
        <v>88.676966421519694</v>
      </c>
      <c r="HQ7" s="110">
        <f>+MAX(G7:I7)</f>
        <v>97.226604842548099</v>
      </c>
      <c r="HR7" s="110">
        <f>+MAX(J7:L7)</f>
        <v>103.685034776067</v>
      </c>
      <c r="HS7" s="110">
        <f>+MAX(M7:O7)</f>
        <v>88.959036403555899</v>
      </c>
      <c r="HT7" s="110">
        <f>+MAX(P7:R7)</f>
        <v>75.283505550352402</v>
      </c>
      <c r="HU7" s="110">
        <f>+MAX(S7:U7)</f>
        <v>57.289386006663499</v>
      </c>
      <c r="HV7" s="110">
        <f>+MAX(V7:X7)</f>
        <v>56.880870860266199</v>
      </c>
      <c r="HW7" s="110">
        <f>+MAX(Y7:AA7)</f>
        <v>96.876449002778998</v>
      </c>
      <c r="HX7" s="110">
        <f>+MAX(AB7:AD7)</f>
        <v>91.390674179730098</v>
      </c>
      <c r="HY7" s="110">
        <f>+MAX(AE7:AG7)</f>
        <v>88.278177826227093</v>
      </c>
      <c r="HZ7" s="110">
        <f>+MAX(AH7:AJ7)</f>
        <v>93.112273725261403</v>
      </c>
      <c r="IA7" s="110">
        <f>+MAX(AK7:AM7)</f>
        <v>80.039789040548996</v>
      </c>
      <c r="IB7" s="110">
        <f>+MAX(AN7:AP7)</f>
        <v>70.118706913758402</v>
      </c>
      <c r="IC7" s="110">
        <f>+MAX(AQ7:AS7)</f>
        <v>59.400047596382699</v>
      </c>
      <c r="ID7" s="110">
        <f>+MAX(AT7:AV7)</f>
        <v>46.609632893706497</v>
      </c>
      <c r="IE7" s="110">
        <f>+MAX(AW7:AY7)</f>
        <v>43.0399886382828</v>
      </c>
      <c r="IF7" s="110">
        <f>+MAX(AZ7:BB7)</f>
        <v>62.026216394650802</v>
      </c>
      <c r="IG7" s="110">
        <f>+MAX(BC7:BE7)</f>
        <v>65.926563387634104</v>
      </c>
      <c r="IH7" s="110">
        <f>+MAX(BF7:BH7)</f>
        <v>61.899771230289701</v>
      </c>
      <c r="II7" s="110">
        <f>+MAX(BI7:BK7)</f>
        <v>83.2</v>
      </c>
      <c r="IJ7" s="110">
        <f>+MAX(BL7:BN7)</f>
        <v>74.94</v>
      </c>
      <c r="IK7" s="110">
        <f>+MAX(BO7:BQ7)</f>
        <v>92.74</v>
      </c>
      <c r="IL7" s="110">
        <f>+MAX(BR7:BT7)</f>
        <v>76.98</v>
      </c>
      <c r="IM7" s="110">
        <f>+MAX(BU7:BW7)</f>
        <v>58.4</v>
      </c>
      <c r="IN7" s="110">
        <f>+MAX(BX7:BZ7)</f>
        <v>60.46</v>
      </c>
      <c r="IO7" s="110">
        <f>+MAX(CA7:CC7)</f>
        <v>56.32</v>
      </c>
      <c r="IP7" s="110">
        <f>+MAX(CD7:CF7)</f>
        <v>60</v>
      </c>
      <c r="IQ7" s="110">
        <f>+MAX(CG7:CI7)</f>
        <v>60.42</v>
      </c>
      <c r="IR7" s="110">
        <f>+MAX(CJ7:CL7)</f>
        <v>59.31</v>
      </c>
      <c r="IS7" s="110">
        <f>+MAX(CM7:CO7)</f>
        <v>46.85</v>
      </c>
      <c r="IT7" s="110">
        <f>+MAX(CP7:CR7)</f>
        <v>45.96</v>
      </c>
      <c r="IU7" s="110">
        <f>+MAX(CS7:CU7)</f>
        <v>23.66</v>
      </c>
      <c r="IV7" s="110">
        <f>+MAX(CV7:CX7)</f>
        <v>23.89</v>
      </c>
      <c r="IW7" s="110">
        <f>+MAX(CY7:DA7)</f>
        <v>29.33</v>
      </c>
      <c r="IX7" s="110">
        <f>+MAX(DB7:DD7)</f>
        <v>34.92</v>
      </c>
      <c r="IY7" s="110">
        <f>+MAX(DE7:DG7)</f>
        <v>33.15</v>
      </c>
      <c r="IZ7" s="110">
        <f>+MAX(DH7:DJ7)</f>
        <v>35.5</v>
      </c>
      <c r="JA7" s="110">
        <f>+MAX(DK7:DM7)</f>
        <v>49.52</v>
      </c>
      <c r="JB7" s="110">
        <f>+MAX(DN7:DP7)</f>
        <v>54.56</v>
      </c>
      <c r="JC7" s="110">
        <f>+MAX(DQ7:DS7)</f>
        <v>50.51</v>
      </c>
      <c r="JD7" s="110">
        <f>+MAX(DT7:DV7)</f>
        <v>51.53</v>
      </c>
      <c r="JE7" s="110">
        <f>+MAX(DW7:DY7)</f>
        <v>67.34</v>
      </c>
      <c r="JF7" s="110">
        <f>+MAX(DZ7:EB7)</f>
        <v>68.34</v>
      </c>
      <c r="JG7" s="110">
        <f>+MAX(EC7:EE7)</f>
        <v>65.37</v>
      </c>
      <c r="JH7" s="110">
        <f>+MAX(EF7:EH7)</f>
        <v>77.2</v>
      </c>
      <c r="JI7" s="110">
        <f>+MAX(EI7:EK7)</f>
        <v>90.94</v>
      </c>
      <c r="JJ7" s="110">
        <f>+MAX(EL7:EN7)</f>
        <v>121.26</v>
      </c>
      <c r="JK7" s="110">
        <f>MAX(EO7:EQ7)</f>
        <v>128.9</v>
      </c>
      <c r="JL7" s="110">
        <f>MAX(ER7:ET7)</f>
        <v>120.19</v>
      </c>
      <c r="JM7" s="110">
        <f>MAX(EU7:EW7)</f>
        <v>112.46</v>
      </c>
      <c r="JN7" s="110">
        <f>MAX(EX7:EZ7)</f>
        <v>103.14</v>
      </c>
      <c r="JO7" s="110">
        <f>MAX(FA7:FC7)</f>
        <v>119.3</v>
      </c>
      <c r="JP7" s="110">
        <f>MAX(FD7:FF7)</f>
        <v>124.55</v>
      </c>
      <c r="JQ7" s="110">
        <f>MAX(FG7:FI7)</f>
        <v>158</v>
      </c>
      <c r="JR7" s="110">
        <f>MAX(FJ7:FL7)</f>
        <v>162.88999999999999</v>
      </c>
      <c r="JS7" s="110">
        <f>MAX(FM7:FO7)</f>
        <v>146.88999999999999</v>
      </c>
      <c r="JT7" s="110">
        <f>MAX(FP7:FR7)</f>
        <v>0</v>
      </c>
      <c r="JU7" s="110">
        <f>MAX(FS7:FU7)</f>
        <v>0</v>
      </c>
      <c r="JV7" s="110">
        <f>MAX(FV7:FX7)</f>
        <v>0</v>
      </c>
      <c r="JW7" s="110">
        <f>MAX(FY7:GA7)</f>
        <v>0</v>
      </c>
      <c r="JX7" s="110">
        <f>MAX(GB7:GD7)</f>
        <v>0</v>
      </c>
      <c r="JY7" s="110">
        <f>MAX(GE7:GG7)</f>
        <v>0</v>
      </c>
      <c r="JZ7" s="110">
        <f>MAX(GH7:GJ7)</f>
        <v>0</v>
      </c>
      <c r="KA7" s="110">
        <f>MAX(GK7:GM7)</f>
        <v>0</v>
      </c>
      <c r="KB7" s="110">
        <f>MAX(GN7:GP7)</f>
        <v>0</v>
      </c>
      <c r="KC7" s="110">
        <f>MAX(GQ7:GS7)</f>
        <v>0</v>
      </c>
      <c r="KD7" s="110">
        <f>MAX(GT7:GV7)</f>
        <v>0</v>
      </c>
      <c r="KE7" s="110">
        <f>MAX(GW7:GY7)</f>
        <v>0</v>
      </c>
      <c r="KF7" s="110">
        <f>MAX(GZ7:HB7)</f>
        <v>0</v>
      </c>
      <c r="KG7" s="110">
        <f>MAX(HC7:HE7)</f>
        <v>0</v>
      </c>
      <c r="KH7" s="110">
        <f>MAX(HF7:HH7)</f>
        <v>0</v>
      </c>
    </row>
    <row r="8" spans="1:294" s="110" customFormat="1" x14ac:dyDescent="0.25">
      <c r="A8" s="110" t="s">
        <v>39</v>
      </c>
      <c r="B8" s="110" t="s">
        <v>382</v>
      </c>
      <c r="C8" s="110" cm="1">
        <f t="array" ref="C8">_xll.EQNXTDZ($A$1,$B8,C$1)</f>
        <v>74.894443506164507</v>
      </c>
      <c r="D8" s="110" cm="1">
        <f t="array" ref="D8">_xll.EQNXTDZ($A$1,$B8,D$1)</f>
        <v>66.860312293684999</v>
      </c>
      <c r="E8" s="110" cm="1">
        <f t="array" ref="E8">_xll.EQNXTDZ($A$1,$B8,E$1)</f>
        <v>59.5751255162672</v>
      </c>
      <c r="F8" s="110" cm="1">
        <f t="array" ref="F8">_xll.EQNXTDZ($A$1,$B8,F$1)</f>
        <v>60.236530991386601</v>
      </c>
      <c r="G8" s="110" cm="1">
        <f t="array" ref="G8">_xll.EQNXTDZ($A$1,$B8,G$1)</f>
        <v>75.896278269948297</v>
      </c>
      <c r="H8" s="110" cm="1">
        <f t="array" ref="H8">_xll.EQNXTDZ($A$1,$B8,H$1)</f>
        <v>77.724869877631207</v>
      </c>
      <c r="I8" s="110" cm="1">
        <f t="array" ref="I8">_xll.EQNXTDZ($A$1,$B8,I$1)</f>
        <v>88.005834395295594</v>
      </c>
      <c r="J8" s="110" cm="1">
        <f t="array" ref="J8">_xll.EQNXTDZ($A$1,$B8,J$1)</f>
        <v>89.960871167339704</v>
      </c>
      <c r="K8" s="110" cm="1">
        <f t="array" ref="K8">_xll.EQNXTDZ($A$1,$B8,K$1)</f>
        <v>79.368657014324995</v>
      </c>
      <c r="L8" s="110" cm="1">
        <f t="array" ref="L8">_xll.EQNXTDZ($A$1,$B8,L$1)</f>
        <v>69.253043865440404</v>
      </c>
      <c r="M8" s="110" cm="1">
        <f t="array" ref="M8">_xll.EQNXTDZ($A$1,$B8,M$1)</f>
        <v>71.645775437195795</v>
      </c>
      <c r="N8" s="110" cm="1">
        <f t="array" ref="N8">_xll.EQNXTDZ($A$1,$B8,N$1)</f>
        <v>74.524834564185994</v>
      </c>
      <c r="O8" s="110" cm="1">
        <f t="array" ref="O8">_xll.EQNXTDZ($A$1,$B8,O$1)</f>
        <v>65.167892401467796</v>
      </c>
      <c r="P8" s="110" cm="1">
        <f t="array" ref="P8">_xll.EQNXTDZ($A$1,$B8,P$1)</f>
        <v>47.864357986212397</v>
      </c>
      <c r="Q8" s="110" cm="1">
        <f t="array" ref="Q8">_xll.EQNXTDZ($A$1,$B8,Q$1)</f>
        <v>36.844175584591099</v>
      </c>
      <c r="R8" s="110" cm="1">
        <f t="array" ref="R8">_xll.EQNXTDZ($A$1,$B8,R$1)</f>
        <v>37.058159708894401</v>
      </c>
      <c r="S8" s="110" cm="1">
        <f t="array" ref="S8">_xll.EQNXTDZ($A$1,$B8,S$1)</f>
        <v>42.641200042990299</v>
      </c>
      <c r="T8" s="110" cm="1">
        <f t="array" ref="T8">_xll.EQNXTDZ($A$1,$B8,T$1)</f>
        <v>44.664322672767199</v>
      </c>
      <c r="U8" s="110" cm="1">
        <f t="array" ref="U8">_xll.EQNXTDZ($A$1,$B8,U$1)</f>
        <v>46.5415470359737</v>
      </c>
      <c r="V8" s="110" cm="1">
        <f t="array" ref="V8">_xll.EQNXTDZ($A$1,$B8,V$1)</f>
        <v>41.7366307902535</v>
      </c>
      <c r="W8" s="110" cm="1">
        <f t="array" ref="W8">_xll.EQNXTDZ($A$1,$B8,W$1)</f>
        <v>40.6569836176322</v>
      </c>
      <c r="X8" s="110" cm="1">
        <f t="array" ref="X8">_xll.EQNXTDZ($A$1,$B8,X$1)</f>
        <v>41.240576683914</v>
      </c>
      <c r="Y8" s="110" cm="1">
        <f t="array" ref="Y8">_xll.EQNXTDZ($A$1,$B8,Y$1)</f>
        <v>50.257089557967802</v>
      </c>
      <c r="Z8" s="110" cm="1">
        <f t="array" ref="Z8">_xll.EQNXTDZ($A$1,$B8,Z$1)</f>
        <v>53.126422133853303</v>
      </c>
      <c r="AA8" s="110" cm="1">
        <f t="array" ref="AA8">_xll.EQNXTDZ($A$1,$B8,AA$1)</f>
        <v>80.954084844390493</v>
      </c>
      <c r="AB8" s="110" cm="1">
        <f t="array" ref="AB8">_xll.EQNXTDZ($A$1,$B8,AB$1)</f>
        <v>74.242764582149803</v>
      </c>
      <c r="AC8" s="110" cm="1">
        <f t="array" ref="AC8">_xll.EQNXTDZ($A$1,$B8,AC$1)</f>
        <v>69.350309376487402</v>
      </c>
      <c r="AD8" s="110" cm="1">
        <f t="array" ref="AD8">_xll.EQNXTDZ($A$1,$B8,AD$1)</f>
        <v>65.197072054781898</v>
      </c>
      <c r="AE8" s="110" cm="1">
        <f t="array" ref="AE8">_xll.EQNXTDZ($A$1,$B8,AE$1)</f>
        <v>66.928398151417895</v>
      </c>
      <c r="AF8" s="110" cm="1">
        <f t="array" ref="AF8">_xll.EQNXTDZ($A$1,$B8,AF$1)</f>
        <v>73.970421151218304</v>
      </c>
      <c r="AG8" s="110" cm="1">
        <f t="array" ref="AG8">_xll.EQNXTDZ($A$1,$B8,AG$1)</f>
        <v>75.867098616634195</v>
      </c>
      <c r="AH8" s="110" cm="1">
        <f t="array" ref="AH8">_xll.EQNXTDZ($A$1,$B8,AH$1)</f>
        <v>83.745605011438499</v>
      </c>
      <c r="AI8" s="110" cm="1">
        <f t="array" ref="AI8">_xll.EQNXTDZ($A$1,$B8,AI$1)</f>
        <v>76.295066865240798</v>
      </c>
      <c r="AJ8" s="110" cm="1">
        <f t="array" ref="AJ8">_xll.EQNXTDZ($A$1,$B8,AJ$1)</f>
        <v>67.404999155547998</v>
      </c>
      <c r="AK8" s="110" cm="1">
        <f t="array" ref="AK8">_xll.EQNXTDZ($A$1,$B8,AK$1)</f>
        <v>71.033002717599899</v>
      </c>
      <c r="AL8" s="110" cm="1">
        <f t="array" ref="AL8">_xll.EQNXTDZ($A$1,$B8,AL$1)</f>
        <v>64.525940028557798</v>
      </c>
      <c r="AM8" s="110" cm="1">
        <f t="array" ref="AM8">_xll.EQNXTDZ($A$1,$B8,AM$1)</f>
        <v>53.398765564784803</v>
      </c>
      <c r="AN8" s="110" cm="1">
        <f t="array" ref="AN8">_xll.EQNXTDZ($A$1,$B8,AN$1)</f>
        <v>49.410879611859201</v>
      </c>
      <c r="AO8" s="110" cm="1">
        <f t="array" ref="AO8">_xll.EQNXTDZ($A$1,$B8,AO$1)</f>
        <v>51.764704979195798</v>
      </c>
      <c r="AP8" s="110" cm="1">
        <f t="array" ref="AP8">_xll.EQNXTDZ($A$1,$B8,AP$1)</f>
        <v>48.749474136739799</v>
      </c>
      <c r="AQ8" s="110" cm="1">
        <f t="array" ref="AQ8">_xll.EQNXTDZ($A$1,$B8,AQ$1)</f>
        <v>53.515484178041199</v>
      </c>
      <c r="AR8" s="110" cm="1">
        <f t="array" ref="AR8">_xll.EQNXTDZ($A$1,$B8,AR$1)</f>
        <v>50.879588828668403</v>
      </c>
      <c r="AS8" s="110" cm="1">
        <f t="array" ref="AS8">_xll.EQNXTDZ($A$1,$B8,AS$1)</f>
        <v>45.170103330211397</v>
      </c>
      <c r="AT8" s="110" cm="1">
        <f t="array" ref="AT8">_xll.EQNXTDZ($A$1,$B8,AT$1)</f>
        <v>32.554766547419803</v>
      </c>
      <c r="AU8" s="110" cm="1">
        <f t="array" ref="AU8">_xll.EQNXTDZ($A$1,$B8,AU$1)</f>
        <v>30.3468394466537</v>
      </c>
      <c r="AV8" s="110" cm="1">
        <f t="array" ref="AV8">_xll.EQNXTDZ($A$1,$B8,AV$1)</f>
        <v>30.988791819563598</v>
      </c>
      <c r="AW8" s="110" cm="1">
        <f t="array" ref="AW8">_xll.EQNXTDZ($A$1,$B8,AW$1)</f>
        <v>35.112849487955003</v>
      </c>
      <c r="AX8" s="110" cm="1">
        <f t="array" ref="AX8">_xll.EQNXTDZ($A$1,$B8,AX$1)</f>
        <v>34.218006786322903</v>
      </c>
      <c r="AY8" s="110" cm="1">
        <f t="array" ref="AY8">_xll.EQNXTDZ($A$1,$B8,AY$1)</f>
        <v>37.048433157789702</v>
      </c>
      <c r="AZ8" s="110" cm="1">
        <f t="array" ref="AZ8">_xll.EQNXTDZ($A$1,$B8,AZ$1)</f>
        <v>42.213231794383603</v>
      </c>
      <c r="BA8" s="110" cm="1">
        <f t="array" ref="BA8">_xll.EQNXTDZ($A$1,$B8,BA$1)</f>
        <v>47.144593204464798</v>
      </c>
      <c r="BB8" s="110" cm="1">
        <f t="array" ref="BB8">_xll.EQNXTDZ($A$1,$B8,BB$1)</f>
        <v>53.612749689088098</v>
      </c>
      <c r="BC8" s="110" cm="1">
        <f t="array" ref="BC8">_xll.EQNXTDZ($A$1,$B8,BC$1)</f>
        <v>58.777548325682098</v>
      </c>
      <c r="BD8" s="110" cm="1">
        <f t="array" ref="BD8">_xll.EQNXTDZ($A$1,$B8,BD$1)</f>
        <v>49.0607237720901</v>
      </c>
      <c r="BE8" s="110" cm="1">
        <f t="array" ref="BE8">_xll.EQNXTDZ($A$1,$B8,BE$1)</f>
        <v>50.325175415700699</v>
      </c>
      <c r="BF8" s="110" cm="1">
        <f t="array" ref="BF8">_xll.EQNXTDZ($A$1,$B8,BF$1)</f>
        <v>50.033378882559802</v>
      </c>
      <c r="BG8" s="110" cm="1">
        <f t="array" ref="BG8">_xll.EQNXTDZ($A$1,$B8,BG$1)</f>
        <v>54.429779981882703</v>
      </c>
      <c r="BH8" s="110" cm="1">
        <f t="array" ref="BH8">_xll.EQNXTDZ($A$1,$B8,BH$1)</f>
        <v>56.22</v>
      </c>
      <c r="BI8" s="110" cm="1">
        <f t="array" ref="BI8">_xll.EQNXTDZ($A$1,$B8,BI$1)</f>
        <v>60.35</v>
      </c>
      <c r="BJ8" s="110" cm="1">
        <f t="array" ref="BJ8">_xll.EQNXTDZ($A$1,$B8,BJ$1)</f>
        <v>68.8</v>
      </c>
      <c r="BK8" s="110" cm="1">
        <f t="array" ref="BK8">_xll.EQNXTDZ($A$1,$B8,BK$1)</f>
        <v>63.42</v>
      </c>
      <c r="BL8" s="110" cm="1">
        <f t="array" ref="BL8">_xll.EQNXTDZ($A$1,$B8,BL$1)</f>
        <v>65.73</v>
      </c>
      <c r="BM8" s="110" cm="1">
        <f t="array" ref="BM8">_xll.EQNXTDZ($A$1,$B8,BM$1)</f>
        <v>64.16</v>
      </c>
      <c r="BN8" s="110" cm="1">
        <f t="array" ref="BN8">_xll.EQNXTDZ($A$1,$B8,BN$1)</f>
        <v>61.32</v>
      </c>
      <c r="BO8" s="110" cm="1">
        <f t="array" ref="BO8">_xll.EQNXTDZ($A$1,$B8,BO$1)</f>
        <v>59.62</v>
      </c>
      <c r="BP8" s="110" cm="1">
        <f t="array" ref="BP8">_xll.EQNXTDZ($A$1,$B8,BP$1)</f>
        <v>73.47</v>
      </c>
      <c r="BQ8" s="110" cm="1">
        <f t="array" ref="BQ8">_xll.EQNXTDZ($A$1,$B8,BQ$1)</f>
        <v>68.2</v>
      </c>
      <c r="BR8" s="110" cm="1">
        <f t="array" ref="BR8">_xll.EQNXTDZ($A$1,$B8,BR$1)</f>
        <v>67</v>
      </c>
      <c r="BS8" s="110" cm="1">
        <f t="array" ref="BS8">_xll.EQNXTDZ($A$1,$B8,BS$1)</f>
        <v>57.09</v>
      </c>
      <c r="BT8" s="110" cm="1">
        <f t="array" ref="BT8">_xll.EQNXTDZ($A$1,$B8,BT$1)</f>
        <v>45.04</v>
      </c>
      <c r="BU8" s="110" cm="1">
        <f t="array" ref="BU8">_xll.EQNXTDZ($A$1,$B8,BU$1)</f>
        <v>50.08</v>
      </c>
      <c r="BV8" s="110" cm="1">
        <f t="array" ref="BV8">_xll.EQNXTDZ($A$1,$B8,BV$1)</f>
        <v>46.9</v>
      </c>
      <c r="BW8" s="110" cm="1">
        <f t="array" ref="BW8">_xll.EQNXTDZ($A$1,$B8,BW$1)</f>
        <v>48.24</v>
      </c>
      <c r="BX8" s="110" cm="1">
        <f t="array" ref="BX8">_xll.EQNXTDZ($A$1,$B8,BX$1)</f>
        <v>43.31</v>
      </c>
      <c r="BY8" s="110" cm="1">
        <f t="array" ref="BY8">_xll.EQNXTDZ($A$1,$B8,BY$1)</f>
        <v>52.91</v>
      </c>
      <c r="BZ8" s="110" cm="1">
        <f t="array" ref="BZ8">_xll.EQNXTDZ($A$1,$B8,BZ$1)</f>
        <v>41.86</v>
      </c>
      <c r="CA8" s="110" cm="1">
        <f t="array" ref="CA8">_xll.EQNXTDZ($A$1,$B8,CA$1)</f>
        <v>40.950000000000003</v>
      </c>
      <c r="CB8" s="110" cm="1">
        <f t="array" ref="CB8">_xll.EQNXTDZ($A$1,$B8,CB$1)</f>
        <v>46.94</v>
      </c>
      <c r="CC8" s="110" cm="1">
        <f t="array" ref="CC8">_xll.EQNXTDZ($A$1,$B8,CC$1)</f>
        <v>47</v>
      </c>
      <c r="CD8" s="110" cm="1">
        <f t="array" ref="CD8">_xll.EQNXTDZ($A$1,$B8,CD$1)</f>
        <v>47.54</v>
      </c>
      <c r="CE8" s="110" cm="1">
        <f t="array" ref="CE8">_xll.EQNXTDZ($A$1,$B8,CE$1)</f>
        <v>42.56</v>
      </c>
      <c r="CF8" s="110" cm="1">
        <f t="array" ref="CF8">_xll.EQNXTDZ($A$1,$B8,CF$1)</f>
        <v>46.5</v>
      </c>
      <c r="CG8" s="110" cm="1">
        <f t="array" ref="CG8">_xll.EQNXTDZ($A$1,$B8,CG$1)</f>
        <v>50.85</v>
      </c>
      <c r="CH8" s="110" cm="1">
        <f t="array" ref="CH8">_xll.EQNXTDZ($A$1,$B8,CH$1)</f>
        <v>47.69</v>
      </c>
      <c r="CI8" s="110" cm="1">
        <f t="array" ref="CI8">_xll.EQNXTDZ($A$1,$B8,CI$1)</f>
        <v>50.66</v>
      </c>
      <c r="CJ8" s="110" cm="1">
        <f t="array" ref="CJ8">_xll.EQNXTDZ($A$1,$B8,CJ$1)</f>
        <v>45.86</v>
      </c>
      <c r="CK8" s="110" cm="1">
        <f t="array" ref="CK8">_xll.EQNXTDZ($A$1,$B8,CK$1)</f>
        <v>41.48</v>
      </c>
      <c r="CL8" s="110" cm="1">
        <f t="array" ref="CL8">_xll.EQNXTDZ($A$1,$B8,CL$1)</f>
        <v>36</v>
      </c>
      <c r="CM8" s="110" cm="1">
        <f t="array" ref="CM8">_xll.EQNXTDZ($A$1,$B8,CM$1)</f>
        <v>34.119999999999997</v>
      </c>
      <c r="CN8" s="110" cm="1">
        <f t="array" ref="CN8">_xll.EQNXTDZ($A$1,$B8,CN$1)</f>
        <v>38.74</v>
      </c>
      <c r="CO8" s="110" cm="1">
        <f t="array" ref="CO8">_xll.EQNXTDZ($A$1,$B8,CO$1)</f>
        <v>41.22</v>
      </c>
      <c r="CP8" s="110" cm="1">
        <f t="array" ref="CP8">_xll.EQNXTDZ($A$1,$B8,CP$1)</f>
        <v>40.03</v>
      </c>
      <c r="CQ8" s="110" cm="1">
        <f t="array" ref="CQ8">_xll.EQNXTDZ($A$1,$B8,CQ$1)</f>
        <v>28.03</v>
      </c>
      <c r="CR8" s="110" cm="1">
        <f t="array" ref="CR8">_xll.EQNXTDZ($A$1,$B8,CR$1)</f>
        <v>14.73</v>
      </c>
      <c r="CS8" s="110" cm="1">
        <f t="array" ref="CS8">_xll.EQNXTDZ($A$1,$B8,CS$1)</f>
        <v>15.91</v>
      </c>
      <c r="CT8" s="110" cm="1">
        <f t="array" ref="CT8">_xll.EQNXTDZ($A$1,$B8,CT$1)</f>
        <v>15.15</v>
      </c>
      <c r="CU8" s="110" cm="1">
        <f t="array" ref="CU8">_xll.EQNXTDZ($A$1,$B8,CU$1)</f>
        <v>17</v>
      </c>
      <c r="CV8" s="110" cm="1">
        <f t="array" ref="CV8">_xll.EQNXTDZ($A$1,$B8,CV$1)</f>
        <v>19.670000000000002</v>
      </c>
      <c r="CW8" s="110" cm="1">
        <f t="array" ref="CW8">_xll.EQNXTDZ($A$1,$B8,CW$1)</f>
        <v>19.78</v>
      </c>
      <c r="CX8" s="110" cm="1">
        <f t="array" ref="CX8">_xll.EQNXTDZ($A$1,$B8,CX$1)</f>
        <v>16.45</v>
      </c>
      <c r="CY8" s="110" cm="1">
        <f t="array" ref="CY8">_xll.EQNXTDZ($A$1,$B8,CY$1)</f>
        <v>16.87</v>
      </c>
      <c r="CZ8" s="110" cm="1">
        <f t="array" ref="CZ8">_xll.EQNXTDZ($A$1,$B8,CZ$1)</f>
        <v>17.25</v>
      </c>
      <c r="DA8" s="110" cm="1">
        <f t="array" ref="DA8">_xll.EQNXTDZ($A$1,$B8,DA$1)</f>
        <v>20.77</v>
      </c>
      <c r="DB8" s="110" cm="1">
        <f t="array" ref="DB8">_xll.EQNXTDZ($A$1,$B8,DB$1)</f>
        <v>24.74</v>
      </c>
      <c r="DC8" s="110" cm="1">
        <f t="array" ref="DC8">_xll.EQNXTDZ($A$1,$B8,DC$1)</f>
        <v>26.4</v>
      </c>
      <c r="DD8" s="110" cm="1">
        <f t="array" ref="DD8">_xll.EQNXTDZ($A$1,$B8,DD$1)</f>
        <v>27.41</v>
      </c>
      <c r="DE8" s="110" cm="1">
        <f t="array" ref="DE8">_xll.EQNXTDZ($A$1,$B8,DE$1)</f>
        <v>24.86</v>
      </c>
      <c r="DF8" s="110" cm="1">
        <f t="array" ref="DF8">_xll.EQNXTDZ($A$1,$B8,DF$1)</f>
        <v>27.18</v>
      </c>
      <c r="DG8" s="110" cm="1">
        <f t="array" ref="DG8">_xll.EQNXTDZ($A$1,$B8,DG$1)</f>
        <v>28.29</v>
      </c>
      <c r="DH8" s="110" cm="1">
        <f t="array" ref="DH8">_xll.EQNXTDZ($A$1,$B8,DH$1)</f>
        <v>28.42</v>
      </c>
      <c r="DI8" s="110" cm="1">
        <f t="array" ref="DI8">_xll.EQNXTDZ($A$1,$B8,DI$1)</f>
        <v>29.64</v>
      </c>
      <c r="DJ8" s="110" cm="1">
        <f t="array" ref="DJ8">_xll.EQNXTDZ($A$1,$B8,DJ$1)</f>
        <v>30.41</v>
      </c>
      <c r="DK8" s="110" cm="1">
        <f t="array" ref="DK8">_xll.EQNXTDZ($A$1,$B8,DK$1)</f>
        <v>33.6</v>
      </c>
      <c r="DL8" s="110" cm="1">
        <f t="array" ref="DL8">_xll.EQNXTDZ($A$1,$B8,DL$1)</f>
        <v>38.950000000000003</v>
      </c>
      <c r="DM8" s="110" cm="1">
        <f t="array" ref="DM8">_xll.EQNXTDZ($A$1,$B8,DM$1)</f>
        <v>37.28</v>
      </c>
      <c r="DN8" s="110" cm="1">
        <f t="array" ref="DN8">_xll.EQNXTDZ($A$1,$B8,DN$1)</f>
        <v>39.72</v>
      </c>
      <c r="DO8" s="110" cm="1">
        <f t="array" ref="DO8">_xll.EQNXTDZ($A$1,$B8,DO$1)</f>
        <v>41.25</v>
      </c>
      <c r="DP8" s="110" cm="1">
        <f t="array" ref="DP8">_xll.EQNXTDZ($A$1,$B8,DP$1)</f>
        <v>39.28</v>
      </c>
      <c r="DQ8" s="110" cm="1">
        <f t="array" ref="DQ8">_xll.EQNXTDZ($A$1,$B8,DQ$1)</f>
        <v>45.25</v>
      </c>
      <c r="DR8" s="110" cm="1">
        <f t="array" ref="DR8">_xll.EQNXTDZ($A$1,$B8,DR$1)</f>
        <v>36.74</v>
      </c>
      <c r="DS8" s="110" cm="1">
        <f t="array" ref="DS8">_xll.EQNXTDZ($A$1,$B8,DS$1)</f>
        <v>34.35</v>
      </c>
      <c r="DT8" s="110" cm="1">
        <f t="array" ref="DT8">_xll.EQNXTDZ($A$1,$B8,DT$1)</f>
        <v>35.69</v>
      </c>
      <c r="DU8" s="110" cm="1">
        <f t="array" ref="DU8">_xll.EQNXTDZ($A$1,$B8,DU$1)</f>
        <v>43.79</v>
      </c>
      <c r="DV8" s="110" cm="1">
        <f t="array" ref="DV8">_xll.EQNXTDZ($A$1,$B8,DV$1)</f>
        <v>41.5</v>
      </c>
      <c r="DW8" s="110" cm="1">
        <f t="array" ref="DW8">_xll.EQNXTDZ($A$1,$B8,DW$1)</f>
        <v>44.08</v>
      </c>
      <c r="DX8" s="110" cm="1">
        <f t="array" ref="DX8">_xll.EQNXTDZ($A$1,$B8,DX$1)</f>
        <v>57.63</v>
      </c>
      <c r="DY8" s="110" cm="1">
        <f t="array" ref="DY8">_xll.EQNXTDZ($A$1,$B8,DY$1)</f>
        <v>57.58</v>
      </c>
      <c r="DZ8" s="110" cm="1">
        <f t="array" ref="DZ8">_xll.EQNXTDZ($A$1,$B8,DZ$1)</f>
        <v>56.74</v>
      </c>
      <c r="EA8" s="110" cm="1">
        <f t="array" ref="EA8">_xll.EQNXTDZ($A$1,$B8,EA$1)</f>
        <v>53.76</v>
      </c>
      <c r="EB8" s="110" cm="1">
        <f t="array" ref="EB8">_xll.EQNXTDZ($A$1,$B8,EB$1)</f>
        <v>54.47</v>
      </c>
      <c r="EC8" s="110" cm="1">
        <f t="array" ref="EC8">_xll.EQNXTDZ($A$1,$B8,EC$1)</f>
        <v>56.24</v>
      </c>
      <c r="ED8" s="110" cm="1">
        <f t="array" ref="ED8">_xll.EQNXTDZ($A$1,$B8,ED$1)</f>
        <v>58.27</v>
      </c>
      <c r="EE8" s="110" cm="1">
        <f t="array" ref="EE8">_xll.EQNXTDZ($A$1,$B8,EE$1)</f>
        <v>58.33</v>
      </c>
      <c r="EF8" s="110" cm="1">
        <f t="array" ref="EF8">_xll.EQNXTDZ($A$1,$B8,EF$1)</f>
        <v>60.51</v>
      </c>
      <c r="EG8" s="110" cm="1">
        <f t="array" ref="EG8">_xll.EQNXTDZ($A$1,$B8,EG$1)</f>
        <v>63.85</v>
      </c>
      <c r="EH8" s="110" cm="1">
        <f t="array" ref="EH8">_xll.EQNXTDZ($A$1,$B8,EH$1)</f>
        <v>63.94</v>
      </c>
      <c r="EI8" s="110" cm="1">
        <f t="array" ref="EI8">_xll.EQNXTDZ($A$1,$B8,EI$1)</f>
        <v>68.42</v>
      </c>
      <c r="EJ8" s="110" cm="1">
        <f t="array" ref="EJ8">_xll.EQNXTDZ($A$1,$B8,EJ$1)</f>
        <v>76</v>
      </c>
      <c r="EK8" s="110" cm="1">
        <f t="array" ref="EK8">_xll.EQNXTDZ($A$1,$B8,EK$1)</f>
        <v>81</v>
      </c>
      <c r="EL8" s="110" cm="1">
        <f t="array" ref="EL8">_xll.EQNXTDZ($A$1,$B8,EL$1)</f>
        <v>87.6</v>
      </c>
      <c r="EM8" s="110" cm="1">
        <f t="array" ref="EM8">_xll.EQNXTDZ($A$1,$B8,EM$1)</f>
        <v>95.87</v>
      </c>
      <c r="EN8" s="110" cm="1">
        <f t="array" ref="EN8">_xll.EQNXTDZ($A$1,$B8,EN$1)</f>
        <v>105.82</v>
      </c>
      <c r="EO8" s="110" cm="1">
        <f t="array" ref="EO8">_xll.EQNXTDZ($A$1,$B8,EO$1)</f>
        <v>112.54</v>
      </c>
      <c r="EP8" s="110" cm="1">
        <f t="array" ref="EP8">_xll.EQNXTDZ($A$1,$B8,EP$1)</f>
        <v>106.4</v>
      </c>
      <c r="EQ8" s="110" cm="1">
        <f t="array" ref="EQ8">_xll.EQNXTDZ($A$1,$B8,EQ$1)</f>
        <v>96.2</v>
      </c>
      <c r="ER8" s="110" cm="1">
        <f t="array" ref="ER8">_xll.EQNXTDZ($A$1,$B8,ER$1)</f>
        <v>109</v>
      </c>
      <c r="ES8" s="110" cm="1">
        <f t="array" ref="ES8">_xll.EQNXTDZ($A$1,$B8,ES$1)</f>
        <v>104.04</v>
      </c>
      <c r="ET8" s="110" cm="1">
        <f t="array" ref="ET8">_xll.EQNXTDZ($A$1,$B8,ET$1)</f>
        <v>100.69</v>
      </c>
      <c r="EU8" s="110" cm="1">
        <f t="array" ref="EU8">_xll.EQNXTDZ($A$1,$B8,EU$1)</f>
        <v>92.98</v>
      </c>
      <c r="EV8" s="110" cm="1">
        <f t="array" ref="EV8">_xll.EQNXTDZ($A$1,$B8,EV$1)</f>
        <v>92.52</v>
      </c>
      <c r="EW8" s="110" cm="1">
        <f t="array" ref="EW8">_xll.EQNXTDZ($A$1,$B8,EW$1)</f>
        <v>98.7</v>
      </c>
      <c r="EX8" s="110" cm="1">
        <f t="array" ref="EX8">_xll.EQNXTDZ($A$1,$B8,EX$1)</f>
        <v>87.79</v>
      </c>
      <c r="EY8" s="110" cm="1">
        <f t="array" ref="EY8">_xll.EQNXTDZ($A$1,$B8,EY$1)</f>
        <v>80.25</v>
      </c>
      <c r="EZ8" s="110" cm="1">
        <f t="array" ref="EZ8">_xll.EQNXTDZ($A$1,$B8,EZ$1)</f>
        <v>78.599999999999994</v>
      </c>
      <c r="FA8" s="110" cm="1">
        <f t="array" ref="FA8">_xll.EQNXTDZ($A$1,$B8,FA$1)</f>
        <v>83.7</v>
      </c>
      <c r="FB8" s="110" cm="1">
        <f t="array" ref="FB8">_xll.EQNXTDZ($A$1,$B8,FB$1)</f>
        <v>90.95</v>
      </c>
      <c r="FC8" s="110" cm="1">
        <f t="array" ref="FC8">_xll.EQNXTDZ($A$1,$B8,FC$1)</f>
        <v>104.6</v>
      </c>
      <c r="FD8" s="110" cm="1">
        <f t="array" ref="FD8">_xll.EQNXTDZ($A$1,$B8,FD$1)</f>
        <v>106.1</v>
      </c>
      <c r="FE8" s="110" cm="1">
        <f t="array" ref="FE8">_xll.EQNXTDZ($A$1,$B8,FE$1)</f>
        <v>103.55</v>
      </c>
      <c r="FF8" s="110" cm="1">
        <f t="array" ref="FF8">_xll.EQNXTDZ($A$1,$B8,FF$1)</f>
        <v>104</v>
      </c>
      <c r="FG8" s="110" cm="1">
        <f t="array" ref="FG8">_xll.EQNXTDZ($A$1,$B8,FG$1)</f>
        <v>121.17</v>
      </c>
      <c r="FH8" s="110" cm="1">
        <f t="array" ref="FH8">_xll.EQNXTDZ($A$1,$B8,FH$1)</f>
        <v>136.57</v>
      </c>
      <c r="FI8" s="110" cm="1">
        <f t="array" ref="FI8">_xll.EQNXTDZ($A$1,$B8,FI$1)</f>
        <v>141.11000000000001</v>
      </c>
      <c r="FJ8" s="110" cm="1">
        <f t="array" ref="FJ8">_xll.EQNXTDZ($A$1,$B8,FJ$1)</f>
        <v>146.62</v>
      </c>
      <c r="FK8" s="110" cm="1">
        <f t="array" ref="FK8">_xll.EQNXTDZ($A$1,$B8,FK$1)</f>
        <v>138.01</v>
      </c>
      <c r="FL8" s="110" cm="1">
        <f t="array" ref="FL8">_xll.EQNXTDZ($A$1,$B8,FL$1)</f>
        <v>123</v>
      </c>
      <c r="FM8" s="110" cm="1">
        <f t="array" ref="FM8">_xll.EQNXTDZ($A$1,$B8,FM$1)</f>
        <v>121.79</v>
      </c>
      <c r="FN8" s="110" cm="1">
        <f t="array" ref="FN8">_xll.EQNXTDZ($A$1,$B8,FN$1)</f>
        <v>123.67</v>
      </c>
      <c r="FO8" s="110" cm="1">
        <f t="array" ref="FO8">_xll.EQNXTDZ($A$1,$B8,FO$1)</f>
        <v>125.5</v>
      </c>
      <c r="FP8" s="110" cm="1">
        <f t="array" ref="FP8">_xll.EQNXTDZ($A$1,$B8,FP$1)</f>
        <v>0</v>
      </c>
      <c r="FQ8" s="110" cm="1">
        <f t="array" ref="FQ8">_xll.EQNXTDZ($A$1,$B8,FQ$1)</f>
        <v>0</v>
      </c>
      <c r="FR8" s="110" cm="1">
        <f t="array" ref="FR8">_xll.EQNXTDZ($A$1,$B8,FR$1)</f>
        <v>0</v>
      </c>
      <c r="FS8" s="110" cm="1">
        <f t="array" ref="FS8">_xll.EQNXTDZ($A$1,$B8,FS$1)</f>
        <v>0</v>
      </c>
      <c r="FT8" s="110" cm="1">
        <f t="array" ref="FT8">_xll.EQNXTDZ($A$1,$B8,FT$1)</f>
        <v>0</v>
      </c>
      <c r="FU8" s="110" cm="1">
        <f t="array" ref="FU8">_xll.EQNXTDZ($A$1,$B8,FU$1)</f>
        <v>0</v>
      </c>
      <c r="FV8" s="110" cm="1">
        <f t="array" ref="FV8">_xll.EQNXTDZ($A$1,$B8,FV$1)</f>
        <v>0</v>
      </c>
      <c r="FW8" s="110" cm="1">
        <f t="array" ref="FW8">_xll.EQNXTDZ($A$1,$B8,FW$1)</f>
        <v>0</v>
      </c>
      <c r="FX8" s="110" cm="1">
        <f t="array" ref="FX8">_xll.EQNXTDZ($A$1,$B8,FX$1)</f>
        <v>0</v>
      </c>
      <c r="FY8" s="110" cm="1">
        <f t="array" ref="FY8">_xll.EQNXTDZ($A$1,$B8,FY$1)</f>
        <v>0</v>
      </c>
      <c r="FZ8" s="110" cm="1">
        <f t="array" ref="FZ8">_xll.EQNXTDZ($A$1,$B8,FZ$1)</f>
        <v>0</v>
      </c>
      <c r="GA8" s="110" cm="1">
        <f t="array" ref="GA8">_xll.EQNXTDZ($A$1,$B8,GA$1)</f>
        <v>0</v>
      </c>
      <c r="GB8" s="110" cm="1">
        <f t="array" ref="GB8">_xll.EQNXTDZ($A$1,$B8,GB$1)</f>
        <v>0</v>
      </c>
      <c r="GC8" s="110" cm="1">
        <f t="array" ref="GC8">_xll.EQNXTDZ($A$1,$B8,GC$1)</f>
        <v>0</v>
      </c>
      <c r="GD8" s="110" cm="1">
        <f t="array" ref="GD8">_xll.EQNXTDZ($A$1,$B8,GD$1)</f>
        <v>0</v>
      </c>
      <c r="GE8" s="110" cm="1">
        <f t="array" ref="GE8">_xll.EQNXTDZ($A$1,$B8,GE$1)</f>
        <v>0</v>
      </c>
      <c r="GF8" s="110" cm="1">
        <f t="array" ref="GF8">_xll.EQNXTDZ($A$1,$B8,GF$1)</f>
        <v>0</v>
      </c>
      <c r="GG8" s="110" cm="1">
        <f t="array" ref="GG8">_xll.EQNXTDZ($A$1,$B8,GG$1)</f>
        <v>0</v>
      </c>
      <c r="GH8" s="110" cm="1">
        <f t="array" ref="GH8">_xll.EQNXTDZ($A$1,$B8,GH$1)</f>
        <v>0</v>
      </c>
      <c r="GI8" s="110" cm="1">
        <f t="array" ref="GI8">_xll.EQNXTDZ($A$1,$B8,GI$1)</f>
        <v>0</v>
      </c>
      <c r="GJ8" s="110" cm="1">
        <f t="array" ref="GJ8">_xll.EQNXTDZ($A$1,$B8,GJ$1)</f>
        <v>0</v>
      </c>
      <c r="GK8" s="110" cm="1">
        <f t="array" ref="GK8">_xll.EQNXTDZ($A$1,$B8,GK$1)</f>
        <v>0</v>
      </c>
      <c r="GL8" s="110" cm="1">
        <f t="array" ref="GL8">_xll.EQNXTDZ($A$1,$B8,GL$1)</f>
        <v>0</v>
      </c>
      <c r="GM8" s="110" cm="1">
        <f t="array" ref="GM8">_xll.EQNXTDZ($A$1,$B8,GM$1)</f>
        <v>0</v>
      </c>
      <c r="GN8" s="110" cm="1">
        <f t="array" ref="GN8">_xll.EQNXTDZ($A$1,$B8,GN$1)</f>
        <v>0</v>
      </c>
      <c r="GO8" s="110" cm="1">
        <f t="array" ref="GO8">_xll.EQNXTDZ($A$1,$B8,GO$1)</f>
        <v>0</v>
      </c>
      <c r="GP8" s="110" cm="1">
        <f t="array" ref="GP8">_xll.EQNXTDZ($A$1,$B8,GP$1)</f>
        <v>0</v>
      </c>
      <c r="GQ8" s="110" cm="1">
        <f t="array" ref="GQ8">_xll.EQNXTDZ($A$1,$B8,GQ$1)</f>
        <v>0</v>
      </c>
      <c r="GR8" s="110" cm="1">
        <f t="array" ref="GR8">_xll.EQNXTDZ($A$1,$B8,GR$1)</f>
        <v>0</v>
      </c>
      <c r="GS8" s="110" cm="1">
        <f t="array" ref="GS8">_xll.EQNXTDZ($A$1,$B8,GS$1)</f>
        <v>0</v>
      </c>
      <c r="GT8" s="110" cm="1">
        <f t="array" ref="GT8">_xll.EQNXTDZ($A$1,$B8,GT$1)</f>
        <v>0</v>
      </c>
      <c r="GU8" s="110" cm="1">
        <f t="array" ref="GU8">_xll.EQNXTDZ($A$1,$B8,GU$1)</f>
        <v>0</v>
      </c>
      <c r="GV8" s="110" cm="1">
        <f t="array" ref="GV8">_xll.EQNXTDZ($A$1,$B8,GV$1)</f>
        <v>0</v>
      </c>
      <c r="GW8" s="110" cm="1">
        <f t="array" ref="GW8">_xll.EQNXTDZ($A$1,$B8,GW$1)</f>
        <v>0</v>
      </c>
      <c r="GX8" s="110" cm="1">
        <f t="array" ref="GX8">_xll.EQNXTDZ($A$1,$B8,GX$1)</f>
        <v>0</v>
      </c>
      <c r="GY8" s="110" cm="1">
        <f t="array" ref="GY8">_xll.EQNXTDZ($A$1,$B8,GY$1)</f>
        <v>0</v>
      </c>
      <c r="GZ8" s="110" cm="1">
        <f t="array" ref="GZ8">_xll.EQNXTDZ($A$1,$B8,GZ$1)</f>
        <v>0</v>
      </c>
      <c r="HA8" s="110" cm="1">
        <f t="array" ref="HA8">_xll.EQNXTDZ($A$1,$B8,HA$1)</f>
        <v>0</v>
      </c>
      <c r="HB8" s="110" cm="1">
        <f t="array" ref="HB8">_xll.EQNXTDZ($A$1,$B8,HB$1)</f>
        <v>0</v>
      </c>
      <c r="HC8" s="110" cm="1">
        <f t="array" ref="HC8">_xll.EQNXTDZ($A$1,$B8,HC$1)</f>
        <v>0</v>
      </c>
      <c r="HD8" s="110" cm="1">
        <f t="array" ref="HD8">_xll.EQNXTDZ($A$1,$B8,HD$1)</f>
        <v>0</v>
      </c>
      <c r="HE8" s="110" cm="1">
        <f t="array" ref="HE8">_xll.EQNXTDZ($A$1,$B8,HE$1)</f>
        <v>0</v>
      </c>
      <c r="HF8" s="110" cm="1">
        <f t="array" ref="HF8">_xll.EQNXTDZ($A$1,$B8,HF$1)</f>
        <v>0</v>
      </c>
      <c r="HG8" s="110" cm="1">
        <f t="array" ref="HG8">_xll.EQNXTDZ($A$1,$B8,HG$1)</f>
        <v>0</v>
      </c>
      <c r="HH8" s="110" cm="1">
        <f t="array" ref="HH8">_xll.EQNXTDZ($A$1,$B8,HH$1)</f>
        <v>0</v>
      </c>
      <c r="HP8" s="110">
        <f>+MIN(D8:F8)</f>
        <v>59.5751255162672</v>
      </c>
      <c r="HQ8" s="110">
        <f>+MIN(G8:I8)</f>
        <v>75.896278269948297</v>
      </c>
      <c r="HR8" s="110">
        <f>+MIN(J8:L8)</f>
        <v>69.253043865440404</v>
      </c>
      <c r="HS8" s="110">
        <f>+MIN(M8:O8)</f>
        <v>65.167892401467796</v>
      </c>
      <c r="HT8" s="110">
        <f>+MIN(P8:R8)</f>
        <v>36.844175584591099</v>
      </c>
      <c r="HU8" s="110">
        <f>+MIN(S8:U8)</f>
        <v>42.641200042990299</v>
      </c>
      <c r="HV8" s="110">
        <f>+MIN(V8:X8)</f>
        <v>40.6569836176322</v>
      </c>
      <c r="HW8" s="110">
        <f>+MIN(Y8:AA8)</f>
        <v>50.257089557967802</v>
      </c>
      <c r="HX8" s="110">
        <f>+MIN(AB8:AD8)</f>
        <v>65.197072054781898</v>
      </c>
      <c r="HY8" s="110">
        <f>+MIN(AE8:AG8)</f>
        <v>66.928398151417895</v>
      </c>
      <c r="HZ8" s="110">
        <f>+MIN(AH8:AJ8)</f>
        <v>67.404999155547998</v>
      </c>
      <c r="IA8" s="110">
        <f>+MIN(AK8:AM8)</f>
        <v>53.398765564784803</v>
      </c>
      <c r="IB8" s="110">
        <f>+MIN(AN8:AP8)</f>
        <v>48.749474136739799</v>
      </c>
      <c r="IC8" s="110">
        <f>+MIN(AQ8:AS8)</f>
        <v>45.170103330211397</v>
      </c>
      <c r="ID8" s="110">
        <f>+MIN(AT8:AV8)</f>
        <v>30.3468394466537</v>
      </c>
      <c r="IE8" s="110">
        <f>+MIN(AW8:AY8)</f>
        <v>34.218006786322903</v>
      </c>
      <c r="IF8" s="110">
        <f>+MIN(AZ8:BB8)</f>
        <v>42.213231794383603</v>
      </c>
      <c r="IG8" s="110">
        <f>+MIN(BC8:BE8)</f>
        <v>49.0607237720901</v>
      </c>
      <c r="IH8" s="110">
        <f>+MIN(BF8:BH8)</f>
        <v>50.033378882559802</v>
      </c>
      <c r="II8" s="110">
        <f>+MIN(BI8:BK8)</f>
        <v>60.35</v>
      </c>
      <c r="IJ8" s="110">
        <f>+MIN(BL8:BN8)</f>
        <v>61.32</v>
      </c>
      <c r="IK8" s="110">
        <f>+MIN(BO8:BQ8)</f>
        <v>59.62</v>
      </c>
      <c r="IL8" s="110">
        <f>+MIN(BR8:BT8)</f>
        <v>45.04</v>
      </c>
      <c r="IM8" s="110">
        <f>+MIN(BU8:BW8)</f>
        <v>46.9</v>
      </c>
      <c r="IN8" s="110">
        <f>+MIN(BX8:BZ8)</f>
        <v>41.86</v>
      </c>
      <c r="IO8" s="110">
        <f>+MIN(CA8:CC8)</f>
        <v>40.950000000000003</v>
      </c>
      <c r="IP8" s="110">
        <f>+MIN(CD8:CF8)</f>
        <v>42.56</v>
      </c>
      <c r="IQ8" s="110">
        <f>+MIN(CG8:CI8)</f>
        <v>47.69</v>
      </c>
      <c r="IR8" s="110">
        <f>+MIN(CJ8:CL8)</f>
        <v>36</v>
      </c>
      <c r="IS8" s="110">
        <f>+MIN(CM8:CO8)</f>
        <v>34.119999999999997</v>
      </c>
      <c r="IT8" s="110">
        <f>+MIN(CP8:CR8)</f>
        <v>14.73</v>
      </c>
      <c r="IU8" s="110">
        <f>+MIN(CS8:CU8)</f>
        <v>15.15</v>
      </c>
      <c r="IV8" s="110">
        <f>+MIN(CV8:CX8)</f>
        <v>16.45</v>
      </c>
      <c r="IW8" s="110">
        <f>+MIN(CY8:DA8)</f>
        <v>16.87</v>
      </c>
      <c r="IX8" s="110">
        <f>+MIN(DB8:DD8)</f>
        <v>24.74</v>
      </c>
      <c r="IY8" s="110">
        <f>+MIN(DE8:DG8)</f>
        <v>24.86</v>
      </c>
      <c r="IZ8" s="110">
        <f>+MIN(DH8:DJ8)</f>
        <v>28.42</v>
      </c>
      <c r="JA8" s="110">
        <f>+MIN(DK8:DM8)</f>
        <v>33.6</v>
      </c>
      <c r="JB8" s="110">
        <f>+MIN(DN8:DP8)</f>
        <v>39.28</v>
      </c>
      <c r="JC8" s="110">
        <f>+MIN(DQ8:DS8)</f>
        <v>34.35</v>
      </c>
      <c r="JD8" s="110">
        <f>+MIN(DT8:DV8)</f>
        <v>35.69</v>
      </c>
      <c r="JE8" s="110">
        <f>+MIN(DW8:DY8)</f>
        <v>44.08</v>
      </c>
      <c r="JF8" s="110">
        <f>+MIN(DZ8:EB8)</f>
        <v>53.76</v>
      </c>
      <c r="JG8" s="110">
        <f>+MIN(EC8:EE8)</f>
        <v>56.24</v>
      </c>
      <c r="JH8" s="110">
        <f>+MIN(EF8:EH8)</f>
        <v>60.51</v>
      </c>
      <c r="JI8" s="110">
        <f>+MIN(EI8:EK8)</f>
        <v>68.42</v>
      </c>
      <c r="JJ8" s="110">
        <f>+MIN(EL8:EN8)</f>
        <v>87.6</v>
      </c>
      <c r="JK8" s="110">
        <f>MIN(EO8:EQ8)</f>
        <v>96.2</v>
      </c>
      <c r="JL8" s="110">
        <f>MIN(ER8:ET8)</f>
        <v>100.69</v>
      </c>
      <c r="JM8" s="110">
        <f>MIN(EU8:EW8)</f>
        <v>92.52</v>
      </c>
      <c r="JN8" s="110">
        <f>MIN(EX8:EZ8)</f>
        <v>78.599999999999994</v>
      </c>
      <c r="JO8" s="110">
        <f>MIN(FA8:FC8)</f>
        <v>83.7</v>
      </c>
      <c r="JP8" s="110">
        <f>MIN(FD8:FF8)</f>
        <v>103.55</v>
      </c>
      <c r="JQ8" s="110">
        <f>MIN(FG8:FI8)</f>
        <v>121.17</v>
      </c>
      <c r="JR8" s="110">
        <f>MIN(FJ8:FL8)</f>
        <v>123</v>
      </c>
      <c r="JS8" s="110">
        <f>MIN(FM8:FO8)</f>
        <v>121.79</v>
      </c>
      <c r="JT8" s="110">
        <f>MIN(FP8:FR8)</f>
        <v>0</v>
      </c>
      <c r="JU8" s="110">
        <f>MIN(FS8:FU8)</f>
        <v>0</v>
      </c>
      <c r="JV8" s="110">
        <f>MIN(FV8:FX8)</f>
        <v>0</v>
      </c>
      <c r="JW8" s="110">
        <f>MIN(FY8:GA8)</f>
        <v>0</v>
      </c>
      <c r="JX8" s="110">
        <f>MIN(GB8:GD8)</f>
        <v>0</v>
      </c>
      <c r="JY8" s="110">
        <f>MIN(GE8:GG8)</f>
        <v>0</v>
      </c>
      <c r="JZ8" s="110">
        <f>MIN(GH8:GJ8)</f>
        <v>0</v>
      </c>
      <c r="KA8" s="110">
        <f>MIN(GK8:GM8)</f>
        <v>0</v>
      </c>
      <c r="KB8" s="110">
        <f>MIN(GN8:GP8)</f>
        <v>0</v>
      </c>
      <c r="KC8" s="110">
        <f>MIN(GQ8:GS8)</f>
        <v>0</v>
      </c>
      <c r="KD8" s="110">
        <f>MIN(GT8:GV8)</f>
        <v>0</v>
      </c>
      <c r="KE8" s="110">
        <f>MIN(GW8:GY8)</f>
        <v>0</v>
      </c>
      <c r="KF8" s="110">
        <f>MIN(GZ8:HB8)</f>
        <v>0</v>
      </c>
      <c r="KG8" s="110">
        <f>MIN(HC8:HE8)</f>
        <v>0</v>
      </c>
      <c r="KH8" s="110">
        <f>MIN(HF8:HH8)</f>
        <v>0</v>
      </c>
    </row>
    <row r="9" spans="1:294" s="110" customFormat="1" x14ac:dyDescent="0.25">
      <c r="A9" s="110" t="s">
        <v>41</v>
      </c>
      <c r="B9" s="110" t="s">
        <v>383</v>
      </c>
      <c r="C9" s="110" cm="1">
        <f t="array" ref="C9">_xll.EQNXTDZ($A$1,$B9,C$1)</f>
        <v>80.273226267061801</v>
      </c>
      <c r="D9" s="110" cm="1">
        <f t="array" ref="D9">_xll.EQNXTDZ($A$1,$B9,D$1)</f>
        <v>71.237260290798503</v>
      </c>
      <c r="E9" s="110" cm="1">
        <f t="array" ref="E9">_xll.EQNXTDZ($A$1,$B9,E$1)</f>
        <v>61.880318128080297</v>
      </c>
      <c r="F9" s="110" cm="1">
        <f t="array" ref="F9">_xll.EQNXTDZ($A$1,$B9,F$1)</f>
        <v>83.930409482427706</v>
      </c>
      <c r="G9" s="110" cm="1">
        <f t="array" ref="G9">_xll.EQNXTDZ($A$1,$B9,G$1)</f>
        <v>77.987486757458001</v>
      </c>
      <c r="H9" s="110" cm="1">
        <f t="array" ref="H9">_xll.EQNXTDZ($A$1,$B9,H$1)</f>
        <v>90.369386313736896</v>
      </c>
      <c r="I9" s="110" cm="1">
        <f t="array" ref="I9">_xll.EQNXTDZ($A$1,$B9,I$1)</f>
        <v>96.662464878475703</v>
      </c>
      <c r="J9" s="110" cm="1">
        <f t="array" ref="J9">_xll.EQNXTDZ($A$1,$B9,J$1)</f>
        <v>93.588874729391506</v>
      </c>
      <c r="K9" s="110" cm="1">
        <f t="array" ref="K9">_xll.EQNXTDZ($A$1,$B9,K$1)</f>
        <v>80.847092782238903</v>
      </c>
      <c r="L9" s="110" cm="1">
        <f t="array" ref="L9">_xll.EQNXTDZ($A$1,$B9,L$1)</f>
        <v>74.7096390351753</v>
      </c>
      <c r="M9" s="110" cm="1">
        <f t="array" ref="M9">_xll.EQNXTDZ($A$1,$B9,M$1)</f>
        <v>80.681741413458994</v>
      </c>
      <c r="N9" s="110" cm="1">
        <f t="array" ref="N9">_xll.EQNXTDZ($A$1,$B9,N$1)</f>
        <v>80.1467811027007</v>
      </c>
      <c r="O9" s="110" cm="1">
        <f t="array" ref="O9">_xll.EQNXTDZ($A$1,$B9,O$1)</f>
        <v>70.147886567072504</v>
      </c>
      <c r="P9" s="110" cm="1">
        <f t="array" ref="P9">_xll.EQNXTDZ($A$1,$B9,P$1)</f>
        <v>53.2820469515285</v>
      </c>
      <c r="Q9" s="110" cm="1">
        <f t="array" ref="Q9">_xll.EQNXTDZ($A$1,$B9,Q$1)</f>
        <v>39.450891280649799</v>
      </c>
      <c r="R9" s="110" cm="1">
        <f t="array" ref="R9">_xll.EQNXTDZ($A$1,$B9,R$1)</f>
        <v>43.078894842701601</v>
      </c>
      <c r="S9" s="110" cm="1">
        <f t="array" ref="S9">_xll.EQNXTDZ($A$1,$B9,S$1)</f>
        <v>50.237636455758398</v>
      </c>
      <c r="T9" s="110" cm="1">
        <f t="array" ref="T9">_xll.EQNXTDZ($A$1,$B9,T$1)</f>
        <v>48.321505888133103</v>
      </c>
      <c r="U9" s="110" cm="1">
        <f t="array" ref="U9">_xll.EQNXTDZ($A$1,$B9,U$1)</f>
        <v>54.906380986012799</v>
      </c>
      <c r="V9" s="110" cm="1">
        <f t="array" ref="V9">_xll.EQNXTDZ($A$1,$B9,V$1)</f>
        <v>43.020535536073503</v>
      </c>
      <c r="W9" s="110" cm="1">
        <f t="array" ref="W9">_xll.EQNXTDZ($A$1,$B9,W$1)</f>
        <v>42.038153874499102</v>
      </c>
      <c r="X9" s="110" cm="1">
        <f t="array" ref="X9">_xll.EQNXTDZ($A$1,$B9,X$1)</f>
        <v>51.424275690531402</v>
      </c>
      <c r="Y9" s="110" cm="1">
        <f t="array" ref="Y9">_xll.EQNXTDZ($A$1,$B9,Y$1)</f>
        <v>55.567786461132201</v>
      </c>
      <c r="Z9" s="110" cm="1">
        <f t="array" ref="Z9">_xll.EQNXTDZ($A$1,$B9,Z$1)</f>
        <v>80.681741413458994</v>
      </c>
      <c r="AA9" s="110" cm="1">
        <f t="array" ref="AA9">_xll.EQNXTDZ($A$1,$B9,AA$1)</f>
        <v>89.951144616234998</v>
      </c>
      <c r="AB9" s="110" cm="1">
        <f t="array" ref="AB9">_xll.EQNXTDZ($A$1,$B9,AB$1)</f>
        <v>77.754049530945295</v>
      </c>
      <c r="AC9" s="110" cm="1">
        <f t="array" ref="AC9">_xll.EQNXTDZ($A$1,$B9,AC$1)</f>
        <v>73.561906004820997</v>
      </c>
      <c r="AD9" s="110" cm="1">
        <f t="array" ref="AD9">_xll.EQNXTDZ($A$1,$B9,AD$1)</f>
        <v>68.260935652761304</v>
      </c>
      <c r="AE9" s="110" cm="1">
        <f t="array" ref="AE9">_xll.EQNXTDZ($A$1,$B9,AE$1)</f>
        <v>78.250103637284894</v>
      </c>
      <c r="AF9" s="110" cm="1">
        <f t="array" ref="AF9">_xll.EQNXTDZ($A$1,$B9,AF$1)</f>
        <v>80.205140409328905</v>
      </c>
      <c r="AG9" s="110" cm="1">
        <f t="array" ref="AG9">_xll.EQNXTDZ($A$1,$B9,AG$1)</f>
        <v>87.286069613548094</v>
      </c>
      <c r="AH9" s="110" cm="1">
        <f t="array" ref="AH9">_xll.EQNXTDZ($A$1,$B9,AH$1)</f>
        <v>86.206422440926701</v>
      </c>
      <c r="AI9" s="110" cm="1">
        <f t="array" ref="AI9">_xll.EQNXTDZ($A$1,$B9,AI$1)</f>
        <v>80.827639680029506</v>
      </c>
      <c r="AJ9" s="110" cm="1">
        <f t="array" ref="AJ9">_xll.EQNXTDZ($A$1,$B9,AJ$1)</f>
        <v>71.548509926148796</v>
      </c>
      <c r="AK9" s="110" cm="1">
        <f t="array" ref="AK9">_xll.EQNXTDZ($A$1,$B9,AK$1)</f>
        <v>73.600812209239805</v>
      </c>
      <c r="AL9" s="110" cm="1">
        <f t="array" ref="AL9">_xll.EQNXTDZ($A$1,$B9,AL$1)</f>
        <v>66.792226435952202</v>
      </c>
      <c r="AM9" s="110" cm="1">
        <f t="array" ref="AM9">_xll.EQNXTDZ($A$1,$B9,AM$1)</f>
        <v>54.050444488799499</v>
      </c>
      <c r="AN9" s="110" cm="1">
        <f t="array" ref="AN9">_xll.EQNXTDZ($A$1,$B9,AN$1)</f>
        <v>53.807280711182102</v>
      </c>
      <c r="AO9" s="110" cm="1">
        <f t="array" ref="AO9">_xll.EQNXTDZ($A$1,$B9,AO$1)</f>
        <v>55.6650519721791</v>
      </c>
      <c r="AP9" s="110" cm="1">
        <f t="array" ref="AP9">_xll.EQNXTDZ($A$1,$B9,AP$1)</f>
        <v>54.429779981882703</v>
      </c>
      <c r="AQ9" s="110" cm="1">
        <f t="array" ref="AQ9">_xll.EQNXTDZ($A$1,$B9,AQ$1)</f>
        <v>53.8656400178103</v>
      </c>
      <c r="AR9" s="110" cm="1">
        <f t="array" ref="AR9">_xll.EQNXTDZ($A$1,$B9,AR$1)</f>
        <v>52.961070765073501</v>
      </c>
      <c r="AS9" s="110" cm="1">
        <f t="array" ref="AS9">_xll.EQNXTDZ($A$1,$B9,AS$1)</f>
        <v>45.316001596781902</v>
      </c>
      <c r="AT9" s="110" cm="1">
        <f t="array" ref="AT9">_xll.EQNXTDZ($A$1,$B9,AT$1)</f>
        <v>37.7390182862232</v>
      </c>
      <c r="AU9" s="110" cm="1">
        <f t="array" ref="AU9">_xll.EQNXTDZ($A$1,$B9,AU$1)</f>
        <v>30.823440450783799</v>
      </c>
      <c r="AV9" s="110" cm="1">
        <f t="array" ref="AV9">_xll.EQNXTDZ($A$1,$B9,AV$1)</f>
        <v>36.970620748952101</v>
      </c>
      <c r="AW9" s="110" cm="1">
        <f t="array" ref="AW9">_xll.EQNXTDZ($A$1,$B9,AW$1)</f>
        <v>40.063664000245701</v>
      </c>
      <c r="AX9" s="110" cm="1">
        <f t="array" ref="AX9">_xll.EQNXTDZ($A$1,$B9,AX$1)</f>
        <v>40.151202960187902</v>
      </c>
      <c r="AY9" s="110" cm="1">
        <f t="array" ref="AY9">_xll.EQNXTDZ($A$1,$B9,AY$1)</f>
        <v>42.495301776419801</v>
      </c>
      <c r="AZ9" s="110" cm="1">
        <f t="array" ref="AZ9">_xll.EQNXTDZ($A$1,$B9,AZ$1)</f>
        <v>48.739747585635101</v>
      </c>
      <c r="BA9" s="110" cm="1">
        <f t="array" ref="BA9">_xll.EQNXTDZ($A$1,$B9,BA$1)</f>
        <v>54.575678248453102</v>
      </c>
      <c r="BB9" s="110" cm="1">
        <f t="array" ref="BB9">_xll.EQNXTDZ($A$1,$B9,BB$1)</f>
        <v>59.983640662664499</v>
      </c>
      <c r="BC9" s="110" cm="1">
        <f t="array" ref="BC9">_xll.EQNXTDZ($A$1,$B9,BC$1)</f>
        <v>61.092467488599901</v>
      </c>
      <c r="BD9" s="110" cm="1">
        <f t="array" ref="BD9">_xll.EQNXTDZ($A$1,$B9,BD$1)</f>
        <v>61.938677434708502</v>
      </c>
      <c r="BE9" s="110" cm="1">
        <f t="array" ref="BE9">_xll.EQNXTDZ($A$1,$B9,BE$1)</f>
        <v>51.142205708495197</v>
      </c>
      <c r="BF9" s="110" cm="1">
        <f t="array" ref="BF9">_xll.EQNXTDZ($A$1,$B9,BF$1)</f>
        <v>55.198177519153703</v>
      </c>
      <c r="BG9" s="110" cm="1">
        <f t="array" ref="BG9">_xll.EQNXTDZ($A$1,$B9,BG$1)</f>
        <v>59.11</v>
      </c>
      <c r="BH9" s="110" cm="1">
        <f t="array" ref="BH9">_xll.EQNXTDZ($A$1,$B9,BH$1)</f>
        <v>60.55</v>
      </c>
      <c r="BI9" s="110" cm="1">
        <f t="array" ref="BI9">_xll.EQNXTDZ($A$1,$B9,BI$1)</f>
        <v>71.510000000000005</v>
      </c>
      <c r="BJ9" s="110" cm="1">
        <f t="array" ref="BJ9">_xll.EQNXTDZ($A$1,$B9,BJ$1)</f>
        <v>70.180000000000007</v>
      </c>
      <c r="BK9" s="110" cm="1">
        <f t="array" ref="BK9">_xll.EQNXTDZ($A$1,$B9,BK$1)</f>
        <v>65.73</v>
      </c>
      <c r="BL9" s="110" cm="1">
        <f t="array" ref="BL9">_xll.EQNXTDZ($A$1,$B9,BL$1)</f>
        <v>73.62</v>
      </c>
      <c r="BM9" s="110" cm="1">
        <f t="array" ref="BM9">_xll.EQNXTDZ($A$1,$B9,BM$1)</f>
        <v>67.95</v>
      </c>
      <c r="BN9" s="110" cm="1">
        <f t="array" ref="BN9">_xll.EQNXTDZ($A$1,$B9,BN$1)</f>
        <v>61.6</v>
      </c>
      <c r="BO9" s="110" cm="1">
        <f t="array" ref="BO9">_xll.EQNXTDZ($A$1,$B9,BO$1)</f>
        <v>81.12</v>
      </c>
      <c r="BP9" s="110" cm="1">
        <f t="array" ref="BP9">_xll.EQNXTDZ($A$1,$B9,BP$1)</f>
        <v>74.569999999999993</v>
      </c>
      <c r="BQ9" s="110" cm="1">
        <f t="array" ref="BQ9">_xll.EQNXTDZ($A$1,$B9,BQ$1)</f>
        <v>72.08</v>
      </c>
      <c r="BR9" s="110" cm="1">
        <f t="array" ref="BR9">_xll.EQNXTDZ($A$1,$B9,BR$1)</f>
        <v>68.27</v>
      </c>
      <c r="BS9" s="110" cm="1">
        <f t="array" ref="BS9">_xll.EQNXTDZ($A$1,$B9,BS$1)</f>
        <v>59.85</v>
      </c>
      <c r="BT9" s="110" cm="1">
        <f t="array" ref="BT9">_xll.EQNXTDZ($A$1,$B9,BT$1)</f>
        <v>52.78</v>
      </c>
      <c r="BU9" s="110" cm="1">
        <f t="array" ref="BU9">_xll.EQNXTDZ($A$1,$B9,BU$1)</f>
        <v>53.19</v>
      </c>
      <c r="BV9" s="110" cm="1">
        <f t="array" ref="BV9">_xll.EQNXTDZ($A$1,$B9,BV$1)</f>
        <v>51.43</v>
      </c>
      <c r="BW9" s="110" cm="1">
        <f t="array" ref="BW9">_xll.EQNXTDZ($A$1,$B9,BW$1)</f>
        <v>50.31</v>
      </c>
      <c r="BX9" s="110" cm="1">
        <f t="array" ref="BX9">_xll.EQNXTDZ($A$1,$B9,BX$1)</f>
        <v>56.9</v>
      </c>
      <c r="BY9" s="110" cm="1">
        <f t="array" ref="BY9">_xll.EQNXTDZ($A$1,$B9,BY$1)</f>
        <v>56.74</v>
      </c>
      <c r="BZ9" s="110" cm="1">
        <f t="array" ref="BZ9">_xll.EQNXTDZ($A$1,$B9,BZ$1)</f>
        <v>44.17</v>
      </c>
      <c r="CA9" s="110" cm="1">
        <f t="array" ref="CA9">_xll.EQNXTDZ($A$1,$B9,CA$1)</f>
        <v>52.39</v>
      </c>
      <c r="CB9" s="110" cm="1">
        <f t="array" ref="CB9">_xll.EQNXTDZ($A$1,$B9,CB$1)</f>
        <v>51.16</v>
      </c>
      <c r="CC9" s="110" cm="1">
        <f t="array" ref="CC9">_xll.EQNXTDZ($A$1,$B9,CC$1)</f>
        <v>55.01</v>
      </c>
      <c r="CD9" s="110" cm="1">
        <f t="array" ref="CD9">_xll.EQNXTDZ($A$1,$B9,CD$1)</f>
        <v>50.03</v>
      </c>
      <c r="CE9" s="110" cm="1">
        <f t="array" ref="CE9">_xll.EQNXTDZ($A$1,$B9,CE$1)</f>
        <v>46.29</v>
      </c>
      <c r="CF9" s="110" cm="1">
        <f t="array" ref="CF9">_xll.EQNXTDZ($A$1,$B9,CF$1)</f>
        <v>58.26</v>
      </c>
      <c r="CG9" s="110" cm="1">
        <f t="array" ref="CG9">_xll.EQNXTDZ($A$1,$B9,CG$1)</f>
        <v>52.09</v>
      </c>
      <c r="CH9" s="110" cm="1">
        <f t="array" ref="CH9">_xll.EQNXTDZ($A$1,$B9,CH$1)</f>
        <v>53.56</v>
      </c>
      <c r="CI9" s="110" cm="1">
        <f t="array" ref="CI9">_xll.EQNXTDZ($A$1,$B9,CI$1)</f>
        <v>56.88</v>
      </c>
      <c r="CJ9" s="110" cm="1">
        <f t="array" ref="CJ9">_xll.EQNXTDZ($A$1,$B9,CJ$1)</f>
        <v>47.28</v>
      </c>
      <c r="CK9" s="110" cm="1">
        <f t="array" ref="CK9">_xll.EQNXTDZ($A$1,$B9,CK$1)</f>
        <v>44.12</v>
      </c>
      <c r="CL9" s="110" cm="1">
        <f t="array" ref="CL9">_xll.EQNXTDZ($A$1,$B9,CL$1)</f>
        <v>36.479999999999997</v>
      </c>
      <c r="CM9" s="110" cm="1">
        <f t="array" ref="CM9">_xll.EQNXTDZ($A$1,$B9,CM$1)</f>
        <v>40.71</v>
      </c>
      <c r="CN9" s="110" cm="1">
        <f t="array" ref="CN9">_xll.EQNXTDZ($A$1,$B9,CN$1)</f>
        <v>45.43</v>
      </c>
      <c r="CO9" s="110" cm="1">
        <f t="array" ref="CO9">_xll.EQNXTDZ($A$1,$B9,CO$1)</f>
        <v>44.27</v>
      </c>
      <c r="CP9" s="110" cm="1">
        <f t="array" ref="CP9">_xll.EQNXTDZ($A$1,$B9,CP$1)</f>
        <v>40.53</v>
      </c>
      <c r="CQ9" s="110" cm="1">
        <f t="array" ref="CQ9">_xll.EQNXTDZ($A$1,$B9,CQ$1)</f>
        <v>28.74</v>
      </c>
      <c r="CR9" s="110" cm="1">
        <f t="array" ref="CR9">_xll.EQNXTDZ($A$1,$B9,CR$1)</f>
        <v>18.100000000000001</v>
      </c>
      <c r="CS9" s="110" cm="1">
        <f t="array" ref="CS9">_xll.EQNXTDZ($A$1,$B9,CS$1)</f>
        <v>17.579999999999998</v>
      </c>
      <c r="CT9" s="110" cm="1">
        <f t="array" ref="CT9">_xll.EQNXTDZ($A$1,$B9,CT$1)</f>
        <v>16.760000000000002</v>
      </c>
      <c r="CU9" s="110" cm="1">
        <f t="array" ref="CU9">_xll.EQNXTDZ($A$1,$B9,CU$1)</f>
        <v>20.11</v>
      </c>
      <c r="CV9" s="110" cm="1">
        <f t="array" ref="CV9">_xll.EQNXTDZ($A$1,$B9,CV$1)</f>
        <v>20.37</v>
      </c>
      <c r="CW9" s="110" cm="1">
        <f t="array" ref="CW9">_xll.EQNXTDZ($A$1,$B9,CW$1)</f>
        <v>21.5</v>
      </c>
      <c r="CX9" s="110" cm="1">
        <f t="array" ref="CX9">_xll.EQNXTDZ($A$1,$B9,CX$1)</f>
        <v>17.77</v>
      </c>
      <c r="CY9" s="110" cm="1">
        <f t="array" ref="CY9">_xll.EQNXTDZ($A$1,$B9,CY$1)</f>
        <v>17.239999999999998</v>
      </c>
      <c r="CZ9" s="110" cm="1">
        <f t="array" ref="CZ9">_xll.EQNXTDZ($A$1,$B9,CZ$1)</f>
        <v>20.76</v>
      </c>
      <c r="DA9" s="110" cm="1">
        <f t="array" ref="DA9">_xll.EQNXTDZ($A$1,$B9,DA$1)</f>
        <v>25.79</v>
      </c>
      <c r="DB9" s="110" cm="1">
        <f t="array" ref="DB9">_xll.EQNXTDZ($A$1,$B9,DB$1)</f>
        <v>26.4</v>
      </c>
      <c r="DC9" s="110" cm="1">
        <f t="array" ref="DC9">_xll.EQNXTDZ($A$1,$B9,DC$1)</f>
        <v>31.44</v>
      </c>
      <c r="DD9" s="110" cm="1">
        <f t="array" ref="DD9">_xll.EQNXTDZ($A$1,$B9,DD$1)</f>
        <v>30.44</v>
      </c>
      <c r="DE9" s="110" cm="1">
        <f t="array" ref="DE9">_xll.EQNXTDZ($A$1,$B9,DE$1)</f>
        <v>27.75</v>
      </c>
      <c r="DF9" s="110" cm="1">
        <f t="array" ref="DF9">_xll.EQNXTDZ($A$1,$B9,DF$1)</f>
        <v>32.159999999999997</v>
      </c>
      <c r="DG9" s="110" cm="1">
        <f t="array" ref="DG9">_xll.EQNXTDZ($A$1,$B9,DG$1)</f>
        <v>30.37</v>
      </c>
      <c r="DH9" s="110" cm="1">
        <f t="array" ref="DH9">_xll.EQNXTDZ($A$1,$B9,DH$1)</f>
        <v>30.64</v>
      </c>
      <c r="DI9" s="110" cm="1">
        <f t="array" ref="DI9">_xll.EQNXTDZ($A$1,$B9,DI$1)</f>
        <v>31.82</v>
      </c>
      <c r="DJ9" s="110" cm="1">
        <f t="array" ref="DJ9">_xll.EQNXTDZ($A$1,$B9,DJ$1)</f>
        <v>34.6</v>
      </c>
      <c r="DK9" s="110" cm="1">
        <f t="array" ref="DK9">_xll.EQNXTDZ($A$1,$B9,DK$1)</f>
        <v>42.9</v>
      </c>
      <c r="DL9" s="110" cm="1">
        <f t="array" ref="DL9">_xll.EQNXTDZ($A$1,$B9,DL$1)</f>
        <v>39.83</v>
      </c>
      <c r="DM9" s="110" cm="1">
        <f t="array" ref="DM9">_xll.EQNXTDZ($A$1,$B9,DM$1)</f>
        <v>39.99</v>
      </c>
      <c r="DN9" s="110" cm="1">
        <f t="array" ref="DN9">_xll.EQNXTDZ($A$1,$B9,DN$1)</f>
        <v>50.59</v>
      </c>
      <c r="DO9" s="110" cm="1">
        <f t="array" ref="DO9">_xll.EQNXTDZ($A$1,$B9,DO$1)</f>
        <v>43.92</v>
      </c>
      <c r="DP9" s="110" cm="1">
        <f t="array" ref="DP9">_xll.EQNXTDZ($A$1,$B9,DP$1)</f>
        <v>45.55</v>
      </c>
      <c r="DQ9" s="110" cm="1">
        <f t="array" ref="DQ9">_xll.EQNXTDZ($A$1,$B9,DQ$1)</f>
        <v>45.93</v>
      </c>
      <c r="DR9" s="110" cm="1">
        <f t="array" ref="DR9">_xll.EQNXTDZ($A$1,$B9,DR$1)</f>
        <v>41</v>
      </c>
      <c r="DS9" s="110" cm="1">
        <f t="array" ref="DS9">_xll.EQNXTDZ($A$1,$B9,DS$1)</f>
        <v>36.25</v>
      </c>
      <c r="DT9" s="110" cm="1">
        <f t="array" ref="DT9">_xll.EQNXTDZ($A$1,$B9,DT$1)</f>
        <v>44.46</v>
      </c>
      <c r="DU9" s="110" cm="1">
        <f t="array" ref="DU9">_xll.EQNXTDZ($A$1,$B9,DU$1)</f>
        <v>48.22</v>
      </c>
      <c r="DV9" s="110" cm="1">
        <f t="array" ref="DV9">_xll.EQNXTDZ($A$1,$B9,DV$1)</f>
        <v>45.75</v>
      </c>
      <c r="DW9" s="110" cm="1">
        <f t="array" ref="DW9">_xll.EQNXTDZ($A$1,$B9,DW$1)</f>
        <v>58.08</v>
      </c>
      <c r="DX9" s="110" cm="1">
        <f t="array" ref="DX9">_xll.EQNXTDZ($A$1,$B9,DX$1)</f>
        <v>62.94</v>
      </c>
      <c r="DY9" s="110" cm="1">
        <f t="array" ref="DY9">_xll.EQNXTDZ($A$1,$B9,DY$1)</f>
        <v>66.66</v>
      </c>
      <c r="DZ9" s="110" cm="1">
        <f t="array" ref="DZ9">_xll.EQNXTDZ($A$1,$B9,DZ$1)</f>
        <v>60.79</v>
      </c>
      <c r="EA9" s="110" cm="1">
        <f t="array" ref="EA9">_xll.EQNXTDZ($A$1,$B9,EA$1)</f>
        <v>55.91</v>
      </c>
      <c r="EB9" s="110" cm="1">
        <f t="array" ref="EB9">_xll.EQNXTDZ($A$1,$B9,EB$1)</f>
        <v>56.89</v>
      </c>
      <c r="EC9" s="110" cm="1">
        <f t="array" ref="EC9">_xll.EQNXTDZ($A$1,$B9,EC$1)</f>
        <v>63.49</v>
      </c>
      <c r="ED9" s="110" cm="1">
        <f t="array" ref="ED9">_xll.EQNXTDZ($A$1,$B9,ED$1)</f>
        <v>61.94</v>
      </c>
      <c r="EE9" s="110" cm="1">
        <f t="array" ref="EE9">_xll.EQNXTDZ($A$1,$B9,EE$1)</f>
        <v>60.37</v>
      </c>
      <c r="EF9" s="110" cm="1">
        <f t="array" ref="EF9">_xll.EQNXTDZ($A$1,$B9,EF$1)</f>
        <v>68.87</v>
      </c>
      <c r="EG9" s="110" cm="1">
        <f t="array" ref="EG9">_xll.EQNXTDZ($A$1,$B9,EG$1)</f>
        <v>64.08</v>
      </c>
      <c r="EH9" s="110" cm="1">
        <f t="array" ref="EH9">_xll.EQNXTDZ($A$1,$B9,EH$1)</f>
        <v>75.25</v>
      </c>
      <c r="EI9" s="110" cm="1">
        <f t="array" ref="EI9">_xll.EQNXTDZ($A$1,$B9,EI$1)</f>
        <v>76.87</v>
      </c>
      <c r="EJ9" s="110" cm="1">
        <f t="array" ref="EJ9">_xll.EQNXTDZ($A$1,$B9,EJ$1)</f>
        <v>80.61</v>
      </c>
      <c r="EK9" s="110" cm="1">
        <f t="array" ref="EK9">_xll.EQNXTDZ($A$1,$B9,EK$1)</f>
        <v>87.5</v>
      </c>
      <c r="EL9" s="110" cm="1">
        <f t="array" ref="EL9">_xll.EQNXTDZ($A$1,$B9,EL$1)</f>
        <v>96.4</v>
      </c>
      <c r="EM9" s="110" cm="1">
        <f t="array" ref="EM9">_xll.EQNXTDZ($A$1,$B9,EM$1)</f>
        <v>112.89</v>
      </c>
      <c r="EN9" s="110" cm="1">
        <f t="array" ref="EN9">_xll.EQNXTDZ($A$1,$B9,EN$1)</f>
        <v>116.21</v>
      </c>
      <c r="EO9" s="110" cm="1">
        <f t="array" ref="EO9">_xll.EQNXTDZ($A$1,$B9,EO$1)</f>
        <v>124.39</v>
      </c>
      <c r="EP9" s="110" cm="1">
        <f t="array" ref="EP9">_xll.EQNXTDZ($A$1,$B9,EP$1)</f>
        <v>118</v>
      </c>
      <c r="EQ9" s="110" cm="1">
        <f t="array" ref="EQ9">_xll.EQNXTDZ($A$1,$B9,EQ$1)</f>
        <v>119.47</v>
      </c>
      <c r="ER9" s="110" cm="1">
        <f t="array" ref="ER9">_xll.EQNXTDZ($A$1,$B9,ER$1)</f>
        <v>114.71</v>
      </c>
      <c r="ES9" s="110" cm="1">
        <f t="array" ref="ES9">_xll.EQNXTDZ($A$1,$B9,ES$1)</f>
        <v>111.53</v>
      </c>
      <c r="ET9" s="110" cm="1">
        <f t="array" ref="ET9">_xll.EQNXTDZ($A$1,$B9,ET$1)</f>
        <v>111.33</v>
      </c>
      <c r="EU9" s="110" cm="1">
        <f t="array" ref="EU9">_xll.EQNXTDZ($A$1,$B9,EU$1)</f>
        <v>102.65</v>
      </c>
      <c r="EV9" s="110" cm="1">
        <f t="array" ref="EV9">_xll.EQNXTDZ($A$1,$B9,EV$1)</f>
        <v>102.01</v>
      </c>
      <c r="EW9" s="110" cm="1">
        <f t="array" ref="EW9">_xll.EQNXTDZ($A$1,$B9,EW$1)</f>
        <v>100.12</v>
      </c>
      <c r="EX9" s="110" cm="1">
        <f t="array" ref="EX9">_xll.EQNXTDZ($A$1,$B9,EX$1)</f>
        <v>93.27</v>
      </c>
      <c r="EY9" s="110" cm="1">
        <f t="array" ref="EY9">_xll.EQNXTDZ($A$1,$B9,EY$1)</f>
        <v>80.900000000000006</v>
      </c>
      <c r="EZ9" s="110" cm="1">
        <f t="array" ref="EZ9">_xll.EQNXTDZ($A$1,$B9,EZ$1)</f>
        <v>89</v>
      </c>
      <c r="FA9" s="110" cm="1">
        <f t="array" ref="FA9">_xll.EQNXTDZ($A$1,$B9,FA$1)</f>
        <v>97.45</v>
      </c>
      <c r="FB9" s="110" cm="1">
        <f t="array" ref="FB9">_xll.EQNXTDZ($A$1,$B9,FB$1)</f>
        <v>114.76</v>
      </c>
      <c r="FC9" s="110" cm="1">
        <f t="array" ref="FC9">_xll.EQNXTDZ($A$1,$B9,FC$1)</f>
        <v>114.2</v>
      </c>
      <c r="FD9" s="110" cm="1">
        <f t="array" ref="FD9">_xll.EQNXTDZ($A$1,$B9,FD$1)</f>
        <v>107.25</v>
      </c>
      <c r="FE9" s="110" cm="1">
        <f t="array" ref="FE9">_xll.EQNXTDZ($A$1,$B9,FE$1)</f>
        <v>103.83</v>
      </c>
      <c r="FF9" s="110" cm="1">
        <f t="array" ref="FF9">_xll.EQNXTDZ($A$1,$B9,FF$1)</f>
        <v>123.71</v>
      </c>
      <c r="FG9" s="110" cm="1">
        <f t="array" ref="FG9">_xll.EQNXTDZ($A$1,$B9,FG$1)</f>
        <v>136.99</v>
      </c>
      <c r="FH9" s="110" cm="1">
        <f t="array" ref="FH9">_xll.EQNXTDZ($A$1,$B9,FH$1)</f>
        <v>151.58000000000001</v>
      </c>
      <c r="FI9" s="110" cm="1">
        <f t="array" ref="FI9">_xll.EQNXTDZ($A$1,$B9,FI$1)</f>
        <v>154.91</v>
      </c>
      <c r="FJ9" s="110" cm="1">
        <f t="array" ref="FJ9">_xll.EQNXTDZ($A$1,$B9,FJ$1)</f>
        <v>147.41999999999999</v>
      </c>
      <c r="FK9" s="110" cm="1">
        <f t="array" ref="FK9">_xll.EQNXTDZ($A$1,$B9,FK$1)</f>
        <v>157.37</v>
      </c>
      <c r="FL9" s="110" cm="1">
        <f t="array" ref="FL9">_xll.EQNXTDZ($A$1,$B9,FL$1)</f>
        <v>123.45</v>
      </c>
      <c r="FM9" s="110" cm="1">
        <f t="array" ref="FM9">_xll.EQNXTDZ($A$1,$B9,FM$1)</f>
        <v>134.65</v>
      </c>
      <c r="FN9" s="110" cm="1">
        <f t="array" ref="FN9">_xll.EQNXTDZ($A$1,$B9,FN$1)</f>
        <v>130.80000000000001</v>
      </c>
      <c r="FO9" s="110" cm="1">
        <f t="array" ref="FO9">_xll.EQNXTDZ($A$1,$B9,FO$1)</f>
        <v>131.66999999999999</v>
      </c>
      <c r="FP9" s="110" cm="1">
        <f t="array" ref="FP9">_xll.EQNXTDZ($A$1,$B9,FP$1)</f>
        <v>0</v>
      </c>
      <c r="FQ9" s="110" cm="1">
        <f t="array" ref="FQ9">_xll.EQNXTDZ($A$1,$B9,FQ$1)</f>
        <v>0</v>
      </c>
      <c r="FR9" s="110" cm="1">
        <f t="array" ref="FR9">_xll.EQNXTDZ($A$1,$B9,FR$1)</f>
        <v>0</v>
      </c>
      <c r="FS9" s="110" cm="1">
        <f t="array" ref="FS9">_xll.EQNXTDZ($A$1,$B9,FS$1)</f>
        <v>0</v>
      </c>
      <c r="FT9" s="110" cm="1">
        <f t="array" ref="FT9">_xll.EQNXTDZ($A$1,$B9,FT$1)</f>
        <v>0</v>
      </c>
      <c r="FU9" s="110" cm="1">
        <f t="array" ref="FU9">_xll.EQNXTDZ($A$1,$B9,FU$1)</f>
        <v>0</v>
      </c>
      <c r="FV9" s="110" cm="1">
        <f t="array" ref="FV9">_xll.EQNXTDZ($A$1,$B9,FV$1)</f>
        <v>0</v>
      </c>
      <c r="FW9" s="110" cm="1">
        <f t="array" ref="FW9">_xll.EQNXTDZ($A$1,$B9,FW$1)</f>
        <v>0</v>
      </c>
      <c r="FX9" s="110" cm="1">
        <f t="array" ref="FX9">_xll.EQNXTDZ($A$1,$B9,FX$1)</f>
        <v>0</v>
      </c>
      <c r="FY9" s="110" cm="1">
        <f t="array" ref="FY9">_xll.EQNXTDZ($A$1,$B9,FY$1)</f>
        <v>0</v>
      </c>
      <c r="FZ9" s="110" cm="1">
        <f t="array" ref="FZ9">_xll.EQNXTDZ($A$1,$B9,FZ$1)</f>
        <v>0</v>
      </c>
      <c r="GA9" s="110" cm="1">
        <f t="array" ref="GA9">_xll.EQNXTDZ($A$1,$B9,GA$1)</f>
        <v>0</v>
      </c>
      <c r="GB9" s="110" cm="1">
        <f t="array" ref="GB9">_xll.EQNXTDZ($A$1,$B9,GB$1)</f>
        <v>0</v>
      </c>
      <c r="GC9" s="110" cm="1">
        <f t="array" ref="GC9">_xll.EQNXTDZ($A$1,$B9,GC$1)</f>
        <v>0</v>
      </c>
      <c r="GD9" s="110" cm="1">
        <f t="array" ref="GD9">_xll.EQNXTDZ($A$1,$B9,GD$1)</f>
        <v>0</v>
      </c>
      <c r="GE9" s="110" cm="1">
        <f t="array" ref="GE9">_xll.EQNXTDZ($A$1,$B9,GE$1)</f>
        <v>0</v>
      </c>
      <c r="GF9" s="110" cm="1">
        <f t="array" ref="GF9">_xll.EQNXTDZ($A$1,$B9,GF$1)</f>
        <v>0</v>
      </c>
      <c r="GG9" s="110" cm="1">
        <f t="array" ref="GG9">_xll.EQNXTDZ($A$1,$B9,GG$1)</f>
        <v>0</v>
      </c>
      <c r="GH9" s="110" cm="1">
        <f t="array" ref="GH9">_xll.EQNXTDZ($A$1,$B9,GH$1)</f>
        <v>0</v>
      </c>
      <c r="GI9" s="110" cm="1">
        <f t="array" ref="GI9">_xll.EQNXTDZ($A$1,$B9,GI$1)</f>
        <v>0</v>
      </c>
      <c r="GJ9" s="110" cm="1">
        <f t="array" ref="GJ9">_xll.EQNXTDZ($A$1,$B9,GJ$1)</f>
        <v>0</v>
      </c>
      <c r="GK9" s="110" cm="1">
        <f t="array" ref="GK9">_xll.EQNXTDZ($A$1,$B9,GK$1)</f>
        <v>0</v>
      </c>
      <c r="GL9" s="110" cm="1">
        <f t="array" ref="GL9">_xll.EQNXTDZ($A$1,$B9,GL$1)</f>
        <v>0</v>
      </c>
      <c r="GM9" s="110" cm="1">
        <f t="array" ref="GM9">_xll.EQNXTDZ($A$1,$B9,GM$1)</f>
        <v>0</v>
      </c>
      <c r="GN9" s="110" cm="1">
        <f t="array" ref="GN9">_xll.EQNXTDZ($A$1,$B9,GN$1)</f>
        <v>0</v>
      </c>
      <c r="GO9" s="110" cm="1">
        <f t="array" ref="GO9">_xll.EQNXTDZ($A$1,$B9,GO$1)</f>
        <v>0</v>
      </c>
      <c r="GP9" s="110" cm="1">
        <f t="array" ref="GP9">_xll.EQNXTDZ($A$1,$B9,GP$1)</f>
        <v>0</v>
      </c>
      <c r="GQ9" s="110" cm="1">
        <f t="array" ref="GQ9">_xll.EQNXTDZ($A$1,$B9,GQ$1)</f>
        <v>0</v>
      </c>
      <c r="GR9" s="110" cm="1">
        <f t="array" ref="GR9">_xll.EQNXTDZ($A$1,$B9,GR$1)</f>
        <v>0</v>
      </c>
      <c r="GS9" s="110" cm="1">
        <f t="array" ref="GS9">_xll.EQNXTDZ($A$1,$B9,GS$1)</f>
        <v>0</v>
      </c>
      <c r="GT9" s="110" cm="1">
        <f t="array" ref="GT9">_xll.EQNXTDZ($A$1,$B9,GT$1)</f>
        <v>0</v>
      </c>
      <c r="GU9" s="110" cm="1">
        <f t="array" ref="GU9">_xll.EQNXTDZ($A$1,$B9,GU$1)</f>
        <v>0</v>
      </c>
      <c r="GV9" s="110" cm="1">
        <f t="array" ref="GV9">_xll.EQNXTDZ($A$1,$B9,GV$1)</f>
        <v>0</v>
      </c>
      <c r="GW9" s="110" cm="1">
        <f t="array" ref="GW9">_xll.EQNXTDZ($A$1,$B9,GW$1)</f>
        <v>0</v>
      </c>
      <c r="GX9" s="110" cm="1">
        <f t="array" ref="GX9">_xll.EQNXTDZ($A$1,$B9,GX$1)</f>
        <v>0</v>
      </c>
      <c r="GY9" s="110" cm="1">
        <f t="array" ref="GY9">_xll.EQNXTDZ($A$1,$B9,GY$1)</f>
        <v>0</v>
      </c>
      <c r="GZ9" s="110" cm="1">
        <f t="array" ref="GZ9">_xll.EQNXTDZ($A$1,$B9,GZ$1)</f>
        <v>0</v>
      </c>
      <c r="HA9" s="110" cm="1">
        <f t="array" ref="HA9">_xll.EQNXTDZ($A$1,$B9,HA$1)</f>
        <v>0</v>
      </c>
      <c r="HB9" s="110" cm="1">
        <f t="array" ref="HB9">_xll.EQNXTDZ($A$1,$B9,HB$1)</f>
        <v>0</v>
      </c>
      <c r="HC9" s="110" cm="1">
        <f t="array" ref="HC9">_xll.EQNXTDZ($A$1,$B9,HC$1)</f>
        <v>0</v>
      </c>
      <c r="HD9" s="110" cm="1">
        <f t="array" ref="HD9">_xll.EQNXTDZ($A$1,$B9,HD$1)</f>
        <v>0</v>
      </c>
      <c r="HE9" s="110" cm="1">
        <f t="array" ref="HE9">_xll.EQNXTDZ($A$1,$B9,HE$1)</f>
        <v>0</v>
      </c>
      <c r="HF9" s="110" cm="1">
        <f t="array" ref="HF9">_xll.EQNXTDZ($A$1,$B9,HF$1)</f>
        <v>0</v>
      </c>
      <c r="HG9" s="110" cm="1">
        <f t="array" ref="HG9">_xll.EQNXTDZ($A$1,$B9,HG$1)</f>
        <v>0</v>
      </c>
      <c r="HH9" s="110" cm="1">
        <f t="array" ref="HH9">_xll.EQNXTDZ($A$1,$B9,HH$1)</f>
        <v>0</v>
      </c>
      <c r="HP9" s="110">
        <f>+F9</f>
        <v>83.930409482427706</v>
      </c>
      <c r="HQ9" s="110">
        <f>+I9</f>
        <v>96.662464878475703</v>
      </c>
      <c r="HR9" s="110">
        <f>+L9</f>
        <v>74.7096390351753</v>
      </c>
      <c r="HS9" s="110">
        <f>+O9</f>
        <v>70.147886567072504</v>
      </c>
      <c r="HT9" s="110">
        <f>+R9</f>
        <v>43.078894842701601</v>
      </c>
      <c r="HU9" s="110">
        <f>+U9</f>
        <v>54.906380986012799</v>
      </c>
      <c r="HV9" s="110">
        <f>+X9</f>
        <v>51.424275690531402</v>
      </c>
      <c r="HW9" s="110">
        <f>+AA9</f>
        <v>89.951144616234998</v>
      </c>
      <c r="HX9" s="110">
        <f>+AD9</f>
        <v>68.260935652761304</v>
      </c>
      <c r="HY9" s="110">
        <f>+AG9</f>
        <v>87.286069613548094</v>
      </c>
      <c r="HZ9" s="110">
        <f>+AJ9</f>
        <v>71.548509926148796</v>
      </c>
      <c r="IA9" s="110">
        <f>+AM9</f>
        <v>54.050444488799499</v>
      </c>
      <c r="IB9" s="110">
        <f>+AP9</f>
        <v>54.429779981882703</v>
      </c>
      <c r="IC9" s="110">
        <f>+AS9</f>
        <v>45.316001596781902</v>
      </c>
      <c r="ID9" s="110">
        <f>+AV9</f>
        <v>36.970620748952101</v>
      </c>
      <c r="IE9" s="110">
        <f>+AY9</f>
        <v>42.495301776419801</v>
      </c>
      <c r="IF9" s="110">
        <f>+BB9</f>
        <v>59.983640662664499</v>
      </c>
      <c r="IG9" s="110">
        <f>+BE9</f>
        <v>51.142205708495197</v>
      </c>
      <c r="IH9" s="110">
        <f>+BH9</f>
        <v>60.55</v>
      </c>
      <c r="II9" s="110">
        <f>+BK9</f>
        <v>65.73</v>
      </c>
      <c r="IJ9" s="110">
        <f>+BN9</f>
        <v>61.6</v>
      </c>
      <c r="IK9" s="110">
        <f>+BQ9</f>
        <v>72.08</v>
      </c>
      <c r="IL9" s="110">
        <f>+BT9</f>
        <v>52.78</v>
      </c>
      <c r="IM9" s="110">
        <f>+BW9</f>
        <v>50.31</v>
      </c>
      <c r="IN9" s="110">
        <f>+BZ9</f>
        <v>44.17</v>
      </c>
      <c r="IO9" s="110">
        <f>+CC9</f>
        <v>55.01</v>
      </c>
      <c r="IP9" s="110">
        <f>+CF9</f>
        <v>58.26</v>
      </c>
      <c r="IQ9" s="110">
        <f>+CI9</f>
        <v>56.88</v>
      </c>
      <c r="IR9" s="110">
        <f>+CL9</f>
        <v>36.479999999999997</v>
      </c>
      <c r="IS9" s="110">
        <f>+CO9</f>
        <v>44.27</v>
      </c>
      <c r="IT9" s="110">
        <f>+CR9</f>
        <v>18.100000000000001</v>
      </c>
      <c r="IU9" s="110">
        <f>+CU9</f>
        <v>20.11</v>
      </c>
      <c r="IV9" s="110">
        <f>+CX9</f>
        <v>17.77</v>
      </c>
      <c r="IW9" s="110">
        <f>+DA9</f>
        <v>25.79</v>
      </c>
      <c r="IX9" s="110">
        <f>+DD9</f>
        <v>30.44</v>
      </c>
      <c r="IY9" s="110">
        <f>+DG9</f>
        <v>30.37</v>
      </c>
      <c r="IZ9" s="110">
        <f>+DJ9</f>
        <v>34.6</v>
      </c>
      <c r="JA9" s="110">
        <f>+DM9</f>
        <v>39.99</v>
      </c>
      <c r="JB9" s="110">
        <f>+DP9</f>
        <v>45.55</v>
      </c>
      <c r="JC9" s="110">
        <f>+DS9</f>
        <v>36.25</v>
      </c>
      <c r="JD9" s="110">
        <f>+DV9</f>
        <v>45.75</v>
      </c>
      <c r="JE9" s="110">
        <f>+DY9</f>
        <v>66.66</v>
      </c>
      <c r="JF9" s="110">
        <f>+EB9</f>
        <v>56.89</v>
      </c>
      <c r="JG9" s="110">
        <f>+EE9</f>
        <v>60.37</v>
      </c>
      <c r="JH9" s="110">
        <f>+EH9</f>
        <v>75.25</v>
      </c>
      <c r="JI9" s="110">
        <f>+EK9</f>
        <v>87.5</v>
      </c>
      <c r="JJ9" s="110">
        <f>+EN9</f>
        <v>116.21</v>
      </c>
      <c r="JK9" s="110">
        <f>EQ9</f>
        <v>119.47</v>
      </c>
      <c r="JL9" s="110">
        <f>ET9</f>
        <v>111.33</v>
      </c>
      <c r="JM9" s="110">
        <f>EW9</f>
        <v>100.12</v>
      </c>
      <c r="JN9" s="110">
        <f>EZ9</f>
        <v>89</v>
      </c>
      <c r="JO9" s="110">
        <f>FC9</f>
        <v>114.2</v>
      </c>
      <c r="JP9" s="110">
        <f>FF9</f>
        <v>123.71</v>
      </c>
      <c r="JQ9" s="110">
        <f>FI9</f>
        <v>154.91</v>
      </c>
      <c r="JR9" s="110">
        <f>FL9</f>
        <v>123.45</v>
      </c>
      <c r="JS9" s="110">
        <f>FO9</f>
        <v>131.66999999999999</v>
      </c>
      <c r="JT9" s="110">
        <f>FR9</f>
        <v>0</v>
      </c>
      <c r="JU9" s="110">
        <f>FU9</f>
        <v>0</v>
      </c>
      <c r="JV9" s="110">
        <f>FX9</f>
        <v>0</v>
      </c>
      <c r="JW9" s="110">
        <f>GA9</f>
        <v>0</v>
      </c>
      <c r="JX9" s="110">
        <f>GD9</f>
        <v>0</v>
      </c>
      <c r="JY9" s="110">
        <f>GG9</f>
        <v>0</v>
      </c>
      <c r="JZ9" s="110">
        <f>GJ9</f>
        <v>0</v>
      </c>
      <c r="KA9" s="110">
        <f>GM9</f>
        <v>0</v>
      </c>
      <c r="KB9" s="110">
        <f>GP9</f>
        <v>0</v>
      </c>
      <c r="KC9" s="110">
        <f>GS9</f>
        <v>0</v>
      </c>
      <c r="KD9" s="110">
        <f>GV9</f>
        <v>0</v>
      </c>
      <c r="KE9" s="110">
        <f>GY9</f>
        <v>0</v>
      </c>
      <c r="KF9" s="110">
        <f>HB9</f>
        <v>0</v>
      </c>
      <c r="KG9" s="110">
        <f>HE9</f>
        <v>0</v>
      </c>
      <c r="KH9" s="110">
        <f>HH9</f>
        <v>0</v>
      </c>
    </row>
    <row r="11" spans="1:294" x14ac:dyDescent="0.25">
      <c r="A11" t="s">
        <v>56</v>
      </c>
      <c r="B11" t="s">
        <v>57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183</v>
      </c>
      <c r="B12" t="s">
        <v>186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335</v>
      </c>
      <c r="B13" t="s">
        <v>336</v>
      </c>
      <c r="C13" cm="1">
        <f t="array" ref="C13">_xll.EQNXTDZ($A$1,$B13,C$1)</f>
        <v>76.8609040224854</v>
      </c>
      <c r="D13" cm="1">
        <f t="array" ref="D13">_xll.EQNXTDZ($A$1,$B13,D$1)</f>
        <v>81.422757222503805</v>
      </c>
      <c r="E13" cm="1">
        <f t="array" ref="E13">_xll.EQNXTDZ($A$1,$B13,E$1)</f>
        <v>71.005390959775198</v>
      </c>
      <c r="F13" cm="1">
        <f t="array" ref="F13">_xll.EQNXTDZ($A$1,$B13,F$1)</f>
        <v>62.251301663364501</v>
      </c>
      <c r="G13" cm="1">
        <f t="array" ref="G13">_xll.EQNXTDZ($A$1,$B13,G$1)</f>
        <v>83.650186610146093</v>
      </c>
      <c r="H13" cm="1">
        <f t="array" ref="H13">_xll.EQNXTDZ($A$1,$B13,H$1)</f>
        <v>78.2031977146017</v>
      </c>
      <c r="I13" cm="1">
        <f t="array" ref="I13">_xll.EQNXTDZ($A$1,$B13,I$1)</f>
        <v>73.048011795604296</v>
      </c>
      <c r="J13" cm="1">
        <f t="array" ref="J13">_xll.EQNXTDZ($A$1,$B13,J$1)</f>
        <v>97.160664424273193</v>
      </c>
      <c r="K13" cm="1">
        <f t="array" ref="K13">_xll.EQNXTDZ($A$1,$B13,K$1)</f>
        <v>92.598811224254703</v>
      </c>
      <c r="L13" cm="1">
        <f t="array" ref="L13">_xll.EQNXTDZ($A$1,$B13,L$1)</f>
        <v>81.306036031885</v>
      </c>
      <c r="M13" cm="1">
        <f t="array" ref="M13">_xll.EQNXTDZ($A$1,$B13,M$1)</f>
        <v>75.187900290282499</v>
      </c>
      <c r="N13" cm="1">
        <f t="array" ref="N13">_xll.EQNXTDZ($A$1,$B13,N$1)</f>
        <v>80.148550891581806</v>
      </c>
      <c r="O13" cm="1">
        <f t="array" ref="O13">_xll.EQNXTDZ($A$1,$B13,O$1)</f>
        <v>80.732156844675899</v>
      </c>
      <c r="P13" cm="1">
        <f t="array" ref="P13">_xll.EQNXTDZ($A$1,$B13,P$1)</f>
        <v>71.384734829286302</v>
      </c>
      <c r="Q13" cm="1">
        <f t="array" ref="Q13">_xll.EQNXTDZ($A$1,$B13,Q$1)</f>
        <v>53.886283002349899</v>
      </c>
      <c r="R13" cm="1">
        <f t="array" ref="R13">_xll.EQNXTDZ($A$1,$B13,R$1)</f>
        <v>39.490669492696902</v>
      </c>
      <c r="S13" cm="1">
        <f t="array" ref="S13">_xll.EQNXTDZ($A$1,$B13,S$1)</f>
        <v>43.3813758466572</v>
      </c>
      <c r="T13" cm="1">
        <f t="array" ref="T13">_xll.EQNXTDZ($A$1,$B13,T$1)</f>
        <v>50.870985578030698</v>
      </c>
      <c r="U13" cm="1">
        <f t="array" ref="U13">_xll.EQNXTDZ($A$1,$B13,U$1)</f>
        <v>48.838091508086499</v>
      </c>
      <c r="V13" cm="1">
        <f t="array" ref="V13">_xll.EQNXTDZ($A$1,$B13,V$1)</f>
        <v>55.403658480394398</v>
      </c>
      <c r="W13" cm="1">
        <f t="array" ref="W13">_xll.EQNXTDZ($A$1,$B13,W$1)</f>
        <v>43.031212274800701</v>
      </c>
      <c r="X13" cm="1">
        <f t="array" ref="X13">_xll.EQNXTDZ($A$1,$B13,X$1)</f>
        <v>42.1168962816201</v>
      </c>
      <c r="Y13" cm="1">
        <f t="array" ref="Y13">_xll.EQNXTDZ($A$1,$B13,Y$1)</f>
        <v>51.726940975901897</v>
      </c>
      <c r="Z13" cm="1">
        <f t="array" ref="Z13">_xll.EQNXTDZ($A$1,$B13,Z$1)</f>
        <v>55.9678109017187</v>
      </c>
      <c r="AA13" cm="1">
        <f t="array" ref="AA13">_xll.EQNXTDZ($A$1,$B13,AA$1)</f>
        <v>81.510298115467904</v>
      </c>
      <c r="AB13" cm="1">
        <f t="array" ref="AB13">_xll.EQNXTDZ($A$1,$B13,AB$1)</f>
        <v>89.923950605906995</v>
      </c>
      <c r="AC13" cm="1">
        <f t="array" ref="AC13">_xll.EQNXTDZ($A$1,$B13,AC$1)</f>
        <v>77.035985808413599</v>
      </c>
      <c r="AD13" cm="1">
        <f t="array" ref="AD13">_xll.EQNXTDZ($A$1,$B13,AD$1)</f>
        <v>74.117956042943405</v>
      </c>
      <c r="AE13" cm="1">
        <f t="array" ref="AE13">_xll.EQNXTDZ($A$1,$B13,AE$1)</f>
        <v>68.690420679168795</v>
      </c>
      <c r="AF13" cm="1">
        <f t="array" ref="AF13">_xll.EQNXTDZ($A$1,$B13,AF$1)</f>
        <v>78.592268349997696</v>
      </c>
      <c r="AG13" cm="1">
        <f t="array" ref="AG13">_xll.EQNXTDZ($A$1,$B13,AG$1)</f>
        <v>80.537621526977802</v>
      </c>
      <c r="AH13" cm="1">
        <f t="array" ref="AH13">_xll.EQNXTDZ($A$1,$B13,AH$1)</f>
        <v>87.229636455789503</v>
      </c>
      <c r="AI13" cm="1">
        <f t="array" ref="AI13">_xll.EQNXTDZ($A$1,$B13,AI$1)</f>
        <v>86.179145740220306</v>
      </c>
      <c r="AJ13" cm="1">
        <f t="array" ref="AJ13">_xll.EQNXTDZ($A$1,$B13,AJ$1)</f>
        <v>81.2184951389209</v>
      </c>
      <c r="AK13" cm="1">
        <f t="array" ref="AK13">_xll.EQNXTDZ($A$1,$B13,AK$1)</f>
        <v>71.978067548265201</v>
      </c>
      <c r="AL13" cm="1">
        <f t="array" ref="AL13">_xll.EQNXTDZ($A$1,$B13,AL$1)</f>
        <v>73.826153066396401</v>
      </c>
      <c r="AM13" cm="1">
        <f t="array" ref="AM13">_xll.EQNXTDZ($A$1,$B13,AM$1)</f>
        <v>67.114684605814901</v>
      </c>
      <c r="AN13" cm="1">
        <f t="array" ref="AN13">_xll.EQNXTDZ($A$1,$B13,AN$1)</f>
        <v>54.216993042436499</v>
      </c>
      <c r="AO13" cm="1">
        <f t="array" ref="AO13">_xll.EQNXTDZ($A$1,$B13,AO$1)</f>
        <v>53.876556236464999</v>
      </c>
      <c r="AP13" cm="1">
        <f t="array" ref="AP13">_xll.EQNXTDZ($A$1,$B13,AP$1)</f>
        <v>55.248030226235997</v>
      </c>
      <c r="AQ13" cm="1">
        <f t="array" ref="AQ13">_xll.EQNXTDZ($A$1,$B13,AQ$1)</f>
        <v>54.985407547343698</v>
      </c>
      <c r="AR13" cm="1">
        <f t="array" ref="AR13">_xll.EQNXTDZ($A$1,$B13,AR$1)</f>
        <v>53.934916831774402</v>
      </c>
      <c r="AS13" cm="1">
        <f t="array" ref="AS13">_xll.EQNXTDZ($A$1,$B13,AS$1)</f>
        <v>53.010874072708802</v>
      </c>
      <c r="AT13" cm="1">
        <f t="array" ref="AT13">_xll.EQNXTDZ($A$1,$B13,AT$1)</f>
        <v>45.423996682486298</v>
      </c>
      <c r="AU13" cm="1">
        <f t="array" ref="AU13">_xll.EQNXTDZ($A$1,$B13,AU$1)</f>
        <v>37.934386951112799</v>
      </c>
      <c r="AV13" cm="1">
        <f t="array" ref="AV13">_xll.EQNXTDZ($A$1,$B13,AV$1)</f>
        <v>30.814394323365399</v>
      </c>
      <c r="AW13" cm="1">
        <f t="array" ref="AW13">_xll.EQNXTDZ($A$1,$B13,AW$1)</f>
        <v>36.990890660277401</v>
      </c>
      <c r="AX13" cm="1">
        <f t="array" ref="AX13">_xll.EQNXTDZ($A$1,$B13,AX$1)</f>
        <v>39.656024512740203</v>
      </c>
      <c r="AY13" cm="1">
        <f t="array" ref="AY13">_xll.EQNXTDZ($A$1,$B13,AY$1)</f>
        <v>40.074275445790903</v>
      </c>
      <c r="AZ13" cm="1">
        <f t="array" ref="AZ13">_xll.EQNXTDZ($A$1,$B13,AZ$1)</f>
        <v>42.467059853476499</v>
      </c>
      <c r="BA13" cm="1">
        <f t="array" ref="BA13">_xll.EQNXTDZ($A$1,$B13,BA$1)</f>
        <v>49.694046905957698</v>
      </c>
      <c r="BB13" cm="1">
        <f t="array" ref="BB13">_xll.EQNXTDZ($A$1,$B13,BB$1)</f>
        <v>54.314260701285498</v>
      </c>
      <c r="BC13" cm="1">
        <f t="array" ref="BC13">_xll.EQNXTDZ($A$1,$B13,BC$1)</f>
        <v>60.150320232226001</v>
      </c>
      <c r="BD13" cm="1">
        <f t="array" ref="BD13">_xll.EQNXTDZ($A$1,$B13,BD$1)</f>
        <v>61.161903884255601</v>
      </c>
      <c r="BE13" cm="1">
        <f t="array" ref="BE13">_xll.EQNXTDZ($A$1,$B13,BE$1)</f>
        <v>62.251301663364501</v>
      </c>
      <c r="BF13" cm="1">
        <f t="array" ref="BF13">_xll.EQNXTDZ($A$1,$B13,BF$1)</f>
        <v>51.9409298253698</v>
      </c>
      <c r="BG13" cm="1">
        <f t="array" ref="BG13">_xll.EQNXTDZ($A$1,$B13,BG$1)</f>
        <v>55.627374095747101</v>
      </c>
      <c r="BH13" cm="1">
        <f t="array" ref="BH13">_xll.EQNXTDZ($A$1,$B13,BH$1)</f>
        <v>59</v>
      </c>
      <c r="BI13" cm="1">
        <f t="array" ref="BI13">_xll.EQNXTDZ($A$1,$B13,BI$1)</f>
        <v>60.62</v>
      </c>
      <c r="BJ13" cm="1">
        <f t="array" ref="BJ13">_xll.EQNXTDZ($A$1,$B13,BJ$1)</f>
        <v>70.8</v>
      </c>
      <c r="BK13" cm="1">
        <f t="array" ref="BK13">_xll.EQNXTDZ($A$1,$B13,BK$1)</f>
        <v>69.8</v>
      </c>
      <c r="BL13" cm="1">
        <f t="array" ref="BL13">_xll.EQNXTDZ($A$1,$B13,BL$1)</f>
        <v>65.8</v>
      </c>
      <c r="BM13" cm="1">
        <f t="array" ref="BM13">_xll.EQNXTDZ($A$1,$B13,BM$1)</f>
        <v>74</v>
      </c>
      <c r="BN13" cm="1">
        <f t="array" ref="BN13">_xll.EQNXTDZ($A$1,$B13,BN$1)</f>
        <v>68</v>
      </c>
      <c r="BO13" cm="1">
        <f t="array" ref="BO13">_xll.EQNXTDZ($A$1,$B13,BO$1)</f>
        <v>63.2</v>
      </c>
      <c r="BP13" cm="1">
        <f t="array" ref="BP13">_xll.EQNXTDZ($A$1,$B13,BP$1)</f>
        <v>82</v>
      </c>
      <c r="BQ13" cm="1">
        <f t="array" ref="BQ13">_xll.EQNXTDZ($A$1,$B13,BQ$1)</f>
        <v>74.8</v>
      </c>
      <c r="BR13" cm="1">
        <f t="array" ref="BR13">_xll.EQNXTDZ($A$1,$B13,BR$1)</f>
        <v>72.459999999999994</v>
      </c>
      <c r="BS13" cm="1">
        <f t="array" ref="BS13">_xll.EQNXTDZ($A$1,$B13,BS$1)</f>
        <v>68.599999999999994</v>
      </c>
      <c r="BT13" cm="1">
        <f t="array" ref="BT13">_xll.EQNXTDZ($A$1,$B13,BT$1)</f>
        <v>58.7</v>
      </c>
      <c r="BU13" cm="1">
        <f t="array" ref="BU13">_xll.EQNXTDZ($A$1,$B13,BU$1)</f>
        <v>52.6</v>
      </c>
      <c r="BV13" cm="1">
        <f t="array" ref="BV13">_xll.EQNXTDZ($A$1,$B13,BV$1)</f>
        <v>53</v>
      </c>
      <c r="BW13" cm="1">
        <f t="array" ref="BW13">_xll.EQNXTDZ($A$1,$B13,BW$1)</f>
        <v>51.6</v>
      </c>
      <c r="BX13" cm="1">
        <f t="array" ref="BX13">_xll.EQNXTDZ($A$1,$B13,BX$1)</f>
        <v>50.35</v>
      </c>
      <c r="BY13" cm="1">
        <f t="array" ref="BY13">_xll.EQNXTDZ($A$1,$B13,BY$1)</f>
        <v>57.3</v>
      </c>
      <c r="BZ13" cm="1">
        <f t="array" ref="BZ13">_xll.EQNXTDZ($A$1,$B13,BZ$1)</f>
        <v>56.96</v>
      </c>
      <c r="CA13" cm="1">
        <f t="array" ref="CA13">_xll.EQNXTDZ($A$1,$B13,CA$1)</f>
        <v>44.17</v>
      </c>
      <c r="CB13" cm="1">
        <f t="array" ref="CB13">_xll.EQNXTDZ($A$1,$B13,CB$1)</f>
        <v>52.7</v>
      </c>
      <c r="CC13" cm="1">
        <f t="array" ref="CC13">_xll.EQNXTDZ($A$1,$B13,CC$1)</f>
        <v>51.78</v>
      </c>
      <c r="CD13" cm="1">
        <f t="array" ref="CD13">_xll.EQNXTDZ($A$1,$B13,CD$1)</f>
        <v>55.31</v>
      </c>
      <c r="CE13" cm="1">
        <f t="array" ref="CE13">_xll.EQNXTDZ($A$1,$B13,CE$1)</f>
        <v>49.8</v>
      </c>
      <c r="CF13" cm="1">
        <f t="array" ref="CF13">_xll.EQNXTDZ($A$1,$B13,CF$1)</f>
        <v>46.57</v>
      </c>
      <c r="CG13" cm="1">
        <f t="array" ref="CG13">_xll.EQNXTDZ($A$1,$B13,CG$1)</f>
        <v>58.75</v>
      </c>
      <c r="CH13" cm="1">
        <f t="array" ref="CH13">_xll.EQNXTDZ($A$1,$B13,CH$1)</f>
        <v>52.8</v>
      </c>
      <c r="CI13" cm="1">
        <f t="array" ref="CI13">_xll.EQNXTDZ($A$1,$B13,CI$1)</f>
        <v>53.6</v>
      </c>
      <c r="CJ13" cm="1">
        <f t="array" ref="CJ13">_xll.EQNXTDZ($A$1,$B13,CJ$1)</f>
        <v>57.46</v>
      </c>
      <c r="CK13" cm="1">
        <f t="array" ref="CK13">_xll.EQNXTDZ($A$1,$B13,CK$1)</f>
        <v>47</v>
      </c>
      <c r="CL13" cm="1">
        <f t="array" ref="CL13">_xll.EQNXTDZ($A$1,$B13,CL$1)</f>
        <v>42.4</v>
      </c>
      <c r="CM13" cm="1">
        <f t="array" ref="CM13">_xll.EQNXTDZ($A$1,$B13,CM$1)</f>
        <v>36.5</v>
      </c>
      <c r="CN13" cm="1">
        <f t="array" ref="CN13">_xll.EQNXTDZ($A$1,$B13,CN$1)</f>
        <v>40.75</v>
      </c>
      <c r="CO13" cm="1">
        <f t="array" ref="CO13">_xll.EQNXTDZ($A$1,$B13,CO$1)</f>
        <v>45.59</v>
      </c>
      <c r="CP13" cm="1">
        <f t="array" ref="CP13">_xll.EQNXTDZ($A$1,$B13,CP$1)</f>
        <v>44.55</v>
      </c>
      <c r="CQ13" cm="1">
        <f t="array" ref="CQ13">_xll.EQNXTDZ($A$1,$B13,CQ$1)</f>
        <v>40.229999999999997</v>
      </c>
      <c r="CR13" cm="1">
        <f t="array" ref="CR13">_xll.EQNXTDZ($A$1,$B13,CR$1)</f>
        <v>29</v>
      </c>
      <c r="CS13" cm="1">
        <f t="array" ref="CS13">_xll.EQNXTDZ($A$1,$B13,CS$1)</f>
        <v>18.78</v>
      </c>
      <c r="CT13" cm="1">
        <f t="array" ref="CT13">_xll.EQNXTDZ($A$1,$B13,CT$1)</f>
        <v>17.2</v>
      </c>
      <c r="CU13" cm="1">
        <f t="array" ref="CU13">_xll.EQNXTDZ($A$1,$B13,CU$1)</f>
        <v>17.190000000000001</v>
      </c>
      <c r="CV13" cm="1">
        <f t="array" ref="CV13">_xll.EQNXTDZ($A$1,$B13,CV$1)</f>
        <v>20</v>
      </c>
      <c r="CW13" cm="1">
        <f t="array" ref="CW13">_xll.EQNXTDZ($A$1,$B13,CW$1)</f>
        <v>20.36</v>
      </c>
      <c r="CX13" cm="1">
        <f t="array" ref="CX13">_xll.EQNXTDZ($A$1,$B13,CX$1)</f>
        <v>21.5</v>
      </c>
      <c r="CY13" cm="1">
        <f t="array" ref="CY13">_xll.EQNXTDZ($A$1,$B13,CY$1)</f>
        <v>17.95</v>
      </c>
      <c r="CZ13" cm="1">
        <f t="array" ref="CZ13">_xll.EQNXTDZ($A$1,$B13,CZ$1)</f>
        <v>17.399999999999999</v>
      </c>
      <c r="DA13" cm="1">
        <f t="array" ref="DA13">_xll.EQNXTDZ($A$1,$B13,DA$1)</f>
        <v>20.85</v>
      </c>
      <c r="DB13" cm="1">
        <f t="array" ref="DB13">_xll.EQNXTDZ($A$1,$B13,DB$1)</f>
        <v>25.72</v>
      </c>
      <c r="DC13" cm="1">
        <f t="array" ref="DC13">_xll.EQNXTDZ($A$1,$B13,DC$1)</f>
        <v>26.96</v>
      </c>
      <c r="DD13" cm="1">
        <f t="array" ref="DD13">_xll.EQNXTDZ($A$1,$B13,DD$1)</f>
        <v>31.9</v>
      </c>
      <c r="DE13" cm="1">
        <f t="array" ref="DE13">_xll.EQNXTDZ($A$1,$B13,DE$1)</f>
        <v>30.02</v>
      </c>
      <c r="DF13" cm="1">
        <f t="array" ref="DF13">_xll.EQNXTDZ($A$1,$B13,DF$1)</f>
        <v>27.24</v>
      </c>
      <c r="DG13" cm="1">
        <f t="array" ref="DG13">_xll.EQNXTDZ($A$1,$B13,DG$1)</f>
        <v>32.44</v>
      </c>
      <c r="DH13" cm="1">
        <f t="array" ref="DH13">_xll.EQNXTDZ($A$1,$B13,DH$1)</f>
        <v>30.59</v>
      </c>
      <c r="DI13" cm="1">
        <f t="array" ref="DI13">_xll.EQNXTDZ($A$1,$B13,DI$1)</f>
        <v>30.79</v>
      </c>
      <c r="DJ13" cm="1">
        <f t="array" ref="DJ13">_xll.EQNXTDZ($A$1,$B13,DJ$1)</f>
        <v>31.92</v>
      </c>
      <c r="DK13" cm="1">
        <f t="array" ref="DK13">_xll.EQNXTDZ($A$1,$B13,DK$1)</f>
        <v>34.56</v>
      </c>
      <c r="DL13" cm="1">
        <f t="array" ref="DL13">_xll.EQNXTDZ($A$1,$B13,DL$1)</f>
        <v>43.1</v>
      </c>
      <c r="DM13" cm="1">
        <f t="array" ref="DM13">_xll.EQNXTDZ($A$1,$B13,DM$1)</f>
        <v>39.979999999999997</v>
      </c>
      <c r="DN13" cm="1">
        <f t="array" ref="DN13">_xll.EQNXTDZ($A$1,$B13,DN$1)</f>
        <v>40.01</v>
      </c>
      <c r="DO13" cm="1">
        <f t="array" ref="DO13">_xll.EQNXTDZ($A$1,$B13,DO$1)</f>
        <v>50.99</v>
      </c>
      <c r="DP13" cm="1">
        <f t="array" ref="DP13">_xll.EQNXTDZ($A$1,$B13,DP$1)</f>
        <v>43.6</v>
      </c>
      <c r="DQ13" cm="1">
        <f t="array" ref="DQ13">_xll.EQNXTDZ($A$1,$B13,DQ$1)</f>
        <v>45.52</v>
      </c>
      <c r="DR13" cm="1">
        <f t="array" ref="DR13">_xll.EQNXTDZ($A$1,$B13,DR$1)</f>
        <v>45.27</v>
      </c>
      <c r="DS13" cm="1">
        <f t="array" ref="DS13">_xll.EQNXTDZ($A$1,$B13,DS$1)</f>
        <v>40.36</v>
      </c>
      <c r="DT13" cm="1">
        <f t="array" ref="DT13">_xll.EQNXTDZ($A$1,$B13,DT$1)</f>
        <v>36.25</v>
      </c>
      <c r="DU13" cm="1">
        <f t="array" ref="DU13">_xll.EQNXTDZ($A$1,$B13,DU$1)</f>
        <v>44.7</v>
      </c>
      <c r="DV13" cm="1">
        <f t="array" ref="DV13">_xll.EQNXTDZ($A$1,$B13,DV$1)</f>
        <v>47.8</v>
      </c>
      <c r="DW13" cm="1">
        <f t="array" ref="DW13">_xll.EQNXTDZ($A$1,$B13,DW$1)</f>
        <v>45.58</v>
      </c>
      <c r="DX13" cm="1">
        <f t="array" ref="DX13">_xll.EQNXTDZ($A$1,$B13,DX$1)</f>
        <v>58.2</v>
      </c>
      <c r="DY13" cm="1">
        <f t="array" ref="DY13">_xll.EQNXTDZ($A$1,$B13,DY$1)</f>
        <v>63.26</v>
      </c>
      <c r="DZ13" cm="1">
        <f t="array" ref="DZ13">_xll.EQNXTDZ($A$1,$B13,DZ$1)</f>
        <v>67.12</v>
      </c>
      <c r="EA13" cm="1">
        <f t="array" ref="EA13">_xll.EQNXTDZ($A$1,$B13,EA$1)</f>
        <v>61.51</v>
      </c>
      <c r="EB13" cm="1">
        <f t="array" ref="EB13">_xll.EQNXTDZ($A$1,$B13,EB$1)</f>
        <v>55.8</v>
      </c>
      <c r="EC13" cm="1">
        <f t="array" ref="EC13">_xll.EQNXTDZ($A$1,$B13,EC$1)</f>
        <v>57.21</v>
      </c>
      <c r="ED13" cm="1">
        <f t="array" ref="ED13">_xll.EQNXTDZ($A$1,$B13,ED$1)</f>
        <v>63.63</v>
      </c>
      <c r="EE13" cm="1">
        <f t="array" ref="EE13">_xll.EQNXTDZ($A$1,$B13,EE$1)</f>
        <v>61.8</v>
      </c>
      <c r="EF13" cm="1">
        <f t="array" ref="EF13">_xll.EQNXTDZ($A$1,$B13,EF$1)</f>
        <v>60.47</v>
      </c>
      <c r="EG13" cm="1">
        <f t="array" ref="EG13">_xll.EQNXTDZ($A$1,$B13,EG$1)</f>
        <v>68.95</v>
      </c>
      <c r="EH13" cm="1">
        <f t="array" ref="EH13">_xll.EQNXTDZ($A$1,$B13,EH$1)</f>
        <v>64.3</v>
      </c>
      <c r="EI13" cm="1">
        <f t="array" ref="EI13">_xll.EQNXTDZ($A$1,$B13,EI$1)</f>
        <v>75.3</v>
      </c>
      <c r="EJ13" cm="1">
        <f t="array" ref="EJ13">_xll.EQNXTDZ($A$1,$B13,EJ$1)</f>
        <v>76.819999999999993</v>
      </c>
      <c r="EK13" cm="1">
        <f t="array" ref="EK13">_xll.EQNXTDZ($A$1,$B13,EK$1)</f>
        <v>80.81</v>
      </c>
      <c r="EL13" cm="1">
        <f t="array" ref="EL13">_xll.EQNXTDZ($A$1,$B13,EL$1)</f>
        <v>88</v>
      </c>
      <c r="EM13" cm="1">
        <f t="array" ref="EM13">_xll.EQNXTDZ($A$1,$B13,EM$1)</f>
        <v>96.77</v>
      </c>
      <c r="EN13" cm="1">
        <f t="array" ref="EN13">_xll.EQNXTDZ($A$1,$B13,EN$1)</f>
        <v>114</v>
      </c>
      <c r="EO13" cm="1">
        <f t="array" ref="EO13">_xll.EQNXTDZ($A$1,$B13,EO$1)</f>
        <v>116.61</v>
      </c>
      <c r="EP13" cm="1">
        <f t="array" ref="EP13">_xll.EQNXTDZ($A$1,$B13,EP$1)</f>
        <v>124.91</v>
      </c>
      <c r="EQ13" cm="1">
        <f t="array" ref="EQ13">_xll.EQNXTDZ($A$1,$B13,EQ$1)</f>
        <v>124.05</v>
      </c>
      <c r="ER13" cm="1">
        <f t="array" ref="ER13">_xll.EQNXTDZ($A$1,$B13,ER$1)</f>
        <v>119.5</v>
      </c>
      <c r="ES13" cm="1">
        <f t="array" ref="ES13">_xll.EQNXTDZ($A$1,$B13,ES$1)</f>
        <v>115.1</v>
      </c>
      <c r="ET13" cm="1">
        <f t="array" ref="ET13">_xll.EQNXTDZ($A$1,$B13,ET$1)</f>
        <v>111.75</v>
      </c>
      <c r="EU13" cm="1">
        <f t="array" ref="EU13">_xll.EQNXTDZ($A$1,$B13,EU$1)</f>
        <v>111.9</v>
      </c>
      <c r="EV13" cm="1">
        <f t="array" ref="EV13">_xll.EQNXTDZ($A$1,$B13,EV$1)</f>
        <v>103.05</v>
      </c>
      <c r="EW13" cm="1">
        <f t="array" ref="EW13">_xll.EQNXTDZ($A$1,$B13,EW$1)</f>
        <v>101.05</v>
      </c>
      <c r="EX13" cm="1">
        <f t="array" ref="EX13">_xll.EQNXTDZ($A$1,$B13,EX$1)</f>
        <v>100.75</v>
      </c>
      <c r="EY13" cm="1">
        <f t="array" ref="EY13">_xll.EQNXTDZ($A$1,$B13,EY$1)</f>
        <v>93.66</v>
      </c>
      <c r="EZ13" cm="1">
        <f t="array" ref="EZ13">_xll.EQNXTDZ($A$1,$B13,EZ$1)</f>
        <v>81.42</v>
      </c>
      <c r="FA13" cm="1">
        <f t="array" ref="FA13">_xll.EQNXTDZ($A$1,$B13,FA$1)</f>
        <v>88.5</v>
      </c>
      <c r="FB13" cm="1">
        <f t="array" ref="FB13">_xll.EQNXTDZ($A$1,$B13,FB$1)</f>
        <v>97.94</v>
      </c>
      <c r="FC13" cm="1">
        <f t="array" ref="FC13">_xll.EQNXTDZ($A$1,$B13,FC$1)</f>
        <v>114.85</v>
      </c>
      <c r="FD13" cm="1">
        <f t="array" ref="FD13">_xll.EQNXTDZ($A$1,$B13,FD$1)</f>
        <v>114.6</v>
      </c>
      <c r="FE13" cm="1">
        <f t="array" ref="FE13">_xll.EQNXTDZ($A$1,$B13,FE$1)</f>
        <v>107.2</v>
      </c>
      <c r="FF13" cm="1">
        <f t="array" ref="FF13">_xll.EQNXTDZ($A$1,$B13,FF$1)</f>
        <v>104</v>
      </c>
      <c r="FG13" cm="1">
        <f t="array" ref="FG13">_xll.EQNXTDZ($A$1,$B13,FG$1)</f>
        <v>124.6</v>
      </c>
      <c r="FH13" cm="1">
        <f t="array" ref="FH13">_xll.EQNXTDZ($A$1,$B13,FH$1)</f>
        <v>138.35</v>
      </c>
      <c r="FI13" cm="1">
        <f t="array" ref="FI13">_xll.EQNXTDZ($A$1,$B13,FI$1)</f>
        <v>151.80000000000001</v>
      </c>
      <c r="FJ13" cm="1">
        <f t="array" ref="FJ13">_xll.EQNXTDZ($A$1,$B13,FJ$1)</f>
        <v>155.15</v>
      </c>
      <c r="FK13" cm="1">
        <f t="array" ref="FK13">_xll.EQNXTDZ($A$1,$B13,FK$1)</f>
        <v>147.25</v>
      </c>
      <c r="FL13" cm="1">
        <f t="array" ref="FL13">_xll.EQNXTDZ($A$1,$B13,FL$1)</f>
        <v>147.80000000000001</v>
      </c>
      <c r="FM13" cm="1">
        <f t="array" ref="FM13">_xll.EQNXTDZ($A$1,$B13,FM$1)</f>
        <v>128.6</v>
      </c>
      <c r="FN13" cm="1">
        <f t="array" ref="FN13">_xll.EQNXTDZ($A$1,$B13,FN$1)</f>
        <v>135.05000000000001</v>
      </c>
      <c r="FO13" cm="1">
        <f t="array" ref="FO13">_xll.EQNXTDZ($A$1,$B13,FO$1)</f>
        <v>131.30000000000001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0" customFormat="1" x14ac:dyDescent="0.25">
      <c r="A14" s="110" t="s">
        <v>38</v>
      </c>
      <c r="B14" s="110" t="s">
        <v>337</v>
      </c>
      <c r="C14" s="110" cm="1">
        <f t="array" ref="C14">_xll.EQNXTDZ($A$1,$B14,C$1)</f>
        <v>84.817398516334194</v>
      </c>
      <c r="D14" s="110" cm="1">
        <f t="array" ref="D14">_xll.EQNXTDZ($A$1,$B14,D$1)</f>
        <v>85.449638298852705</v>
      </c>
      <c r="E14" s="110" cm="1">
        <f t="array" ref="E14">_xll.EQNXTDZ($A$1,$B14,E$1)</f>
        <v>72.036428143574597</v>
      </c>
      <c r="F14" s="110" cm="1">
        <f t="array" ref="F14">_xll.EQNXTDZ($A$1,$B14,F$1)</f>
        <v>88.591383679675602</v>
      </c>
      <c r="G14" s="110" cm="1">
        <f t="array" ref="G14">_xll.EQNXTDZ($A$1,$B14,G$1)</f>
        <v>88.309307469013504</v>
      </c>
      <c r="H14" s="110" cm="1">
        <f t="array" ref="H14">_xll.EQNXTDZ($A$1,$B14,H$1)</f>
        <v>91.1203428097498</v>
      </c>
      <c r="I14" s="110" cm="1">
        <f t="array" ref="I14">_xll.EQNXTDZ($A$1,$B14,I$1)</f>
        <v>97.209298253697696</v>
      </c>
      <c r="J14" s="110" cm="1">
        <f t="array" ref="J14">_xll.EQNXTDZ($A$1,$B14,J$1)</f>
        <v>106.99442473390801</v>
      </c>
      <c r="K14" s="110" cm="1">
        <f t="array" ref="K14">_xll.EQNXTDZ($A$1,$B14,K$1)</f>
        <v>95.3223056720269</v>
      </c>
      <c r="L14" s="110" cm="1">
        <f t="array" ref="L14">_xll.EQNXTDZ($A$1,$B14,L$1)</f>
        <v>86.354227526148506</v>
      </c>
      <c r="M14" s="110" cm="1">
        <f t="array" ref="M14">_xll.EQNXTDZ($A$1,$B14,M$1)</f>
        <v>87.287997051098898</v>
      </c>
      <c r="N14" s="110" cm="1">
        <f t="array" ref="N14">_xll.EQNXTDZ($A$1,$B14,N$1)</f>
        <v>88.805372529143398</v>
      </c>
      <c r="O14" s="110" cm="1">
        <f t="array" ref="O14">_xll.EQNXTDZ($A$1,$B14,O$1)</f>
        <v>81.121227480071894</v>
      </c>
      <c r="P14" s="110" cm="1">
        <f t="array" ref="P14">_xll.EQNXTDZ($A$1,$B14,P$1)</f>
        <v>75.576970925678495</v>
      </c>
      <c r="Q14" s="110" cm="1">
        <f t="array" ref="Q14">_xll.EQNXTDZ($A$1,$B14,Q$1)</f>
        <v>54.362894530710001</v>
      </c>
      <c r="R14" s="110" cm="1">
        <f t="array" ref="R14">_xll.EQNXTDZ($A$1,$B14,R$1)</f>
        <v>49.411970695295601</v>
      </c>
      <c r="S14" s="110" cm="1">
        <f t="array" ref="S14">_xll.EQNXTDZ($A$1,$B14,S$1)</f>
        <v>50.919619407455201</v>
      </c>
      <c r="T14" s="110" cm="1">
        <f t="array" ref="T14">_xll.EQNXTDZ($A$1,$B14,T$1)</f>
        <v>57.076662212597299</v>
      </c>
      <c r="U14" s="110" cm="1">
        <f t="array" ref="U14">_xll.EQNXTDZ($A$1,$B14,U$1)</f>
        <v>57.290651062065201</v>
      </c>
      <c r="V14" s="110" cm="1">
        <f t="array" ref="V14">_xll.EQNXTDZ($A$1,$B14,V$1)</f>
        <v>56.843219831359697</v>
      </c>
      <c r="W14" s="110" cm="1">
        <f t="array" ref="W14">_xll.EQNXTDZ($A$1,$B14,W$1)</f>
        <v>44.042795926830401</v>
      </c>
      <c r="X14" s="110" cm="1">
        <f t="array" ref="X14">_xll.EQNXTDZ($A$1,$B14,X$1)</f>
        <v>53.594480025802902</v>
      </c>
      <c r="Y14" s="110" cm="1">
        <f t="array" ref="Y14">_xll.EQNXTDZ($A$1,$B14,Y$1)</f>
        <v>58.185513523475997</v>
      </c>
      <c r="Z14" s="110" cm="1">
        <f t="array" ref="Z14">_xll.EQNXTDZ($A$1,$B14,Z$1)</f>
        <v>95.623835414458796</v>
      </c>
      <c r="AA14" s="110" cm="1">
        <f t="array" ref="AA14">_xll.EQNXTDZ($A$1,$B14,AA$1)</f>
        <v>96.878588213610996</v>
      </c>
      <c r="AB14" s="110" cm="1">
        <f t="array" ref="AB14">_xll.EQNXTDZ($A$1,$B14,AB$1)</f>
        <v>91.412145786296804</v>
      </c>
      <c r="AC14" s="110" cm="1">
        <f t="array" ref="AC14">_xll.EQNXTDZ($A$1,$B14,AC$1)</f>
        <v>80.518167995208003</v>
      </c>
      <c r="AD14" s="110" cm="1">
        <f t="array" ref="AD14">_xll.EQNXTDZ($A$1,$B14,AD$1)</f>
        <v>81.510298115467904</v>
      </c>
      <c r="AE14" s="110" cm="1">
        <f t="array" ref="AE14">_xll.EQNXTDZ($A$1,$B14,AE$1)</f>
        <v>78.436640095839294</v>
      </c>
      <c r="AF14" s="110" cm="1">
        <f t="array" ref="AF14">_xll.EQNXTDZ($A$1,$B14,AF$1)</f>
        <v>82.025816707367696</v>
      </c>
      <c r="AG14" s="110" cm="1">
        <f t="array" ref="AG14">_xll.EQNXTDZ($A$1,$B14,AG$1)</f>
        <v>88.319034234898396</v>
      </c>
      <c r="AH14" s="110" cm="1">
        <f t="array" ref="AH14">_xll.EQNXTDZ($A$1,$B14,AH$1)</f>
        <v>93.065695986729907</v>
      </c>
      <c r="AI14" s="110" cm="1">
        <f t="array" ref="AI14">_xll.EQNXTDZ($A$1,$B14,AI$1)</f>
        <v>89.748868819978796</v>
      </c>
      <c r="AJ14" s="110" cm="1">
        <f t="array" ref="AJ14">_xll.EQNXTDZ($A$1,$B14,AJ$1)</f>
        <v>87.774335345343999</v>
      </c>
      <c r="AK14" s="110" cm="1">
        <f t="array" ref="AK14">_xll.EQNXTDZ($A$1,$B14,AK$1)</f>
        <v>80.041556466847894</v>
      </c>
      <c r="AL14" s="110" cm="1">
        <f t="array" ref="AL14">_xll.EQNXTDZ($A$1,$B14,AL$1)</f>
        <v>76.102216283463093</v>
      </c>
      <c r="AM14" s="110" cm="1">
        <f t="array" ref="AM14">_xll.EQNXTDZ($A$1,$B14,AM$1)</f>
        <v>67.396760816476998</v>
      </c>
      <c r="AN14" s="110" cm="1">
        <f t="array" ref="AN14">_xll.EQNXTDZ($A$1,$B14,AN$1)</f>
        <v>58.9052941989587</v>
      </c>
      <c r="AO14" s="110" cm="1">
        <f t="array" ref="AO14">_xll.EQNXTDZ($A$1,$B14,AO$1)</f>
        <v>70.003534073630405</v>
      </c>
      <c r="AP14" s="110" cm="1">
        <f t="array" ref="AP14">_xll.EQNXTDZ($A$1,$B14,AP$1)</f>
        <v>56.395788600654299</v>
      </c>
      <c r="AQ14" s="110" cm="1">
        <f t="array" ref="AQ14">_xll.EQNXTDZ($A$1,$B14,AQ$1)</f>
        <v>59.333271897894299</v>
      </c>
      <c r="AR14" s="110" cm="1">
        <f t="array" ref="AR14">_xll.EQNXTDZ($A$1,$B14,AR$1)</f>
        <v>55.335571119200097</v>
      </c>
      <c r="AS14" s="110" cm="1">
        <f t="array" ref="AS14">_xll.EQNXTDZ($A$1,$B14,AS$1)</f>
        <v>53.302677049255898</v>
      </c>
      <c r="AT14" s="110" cm="1">
        <f t="array" ref="AT14">_xll.EQNXTDZ($A$1,$B14,AT$1)</f>
        <v>46.591208588674398</v>
      </c>
      <c r="AU14" s="110" cm="1">
        <f t="array" ref="AU14">_xll.EQNXTDZ($A$1,$B14,AU$1)</f>
        <v>40.3660784223379</v>
      </c>
      <c r="AV14" s="110" cm="1">
        <f t="array" ref="AV14">_xll.EQNXTDZ($A$1,$B14,AV$1)</f>
        <v>37.837119292263701</v>
      </c>
      <c r="AW14" s="110" cm="1">
        <f t="array" ref="AW14">_xll.EQNXTDZ($A$1,$B14,AW$1)</f>
        <v>42.2919780675483</v>
      </c>
      <c r="AX14" s="110" cm="1">
        <f t="array" ref="AX14">_xll.EQNXTDZ($A$1,$B14,AX$1)</f>
        <v>40.463346081186899</v>
      </c>
      <c r="AY14" s="110" cm="1">
        <f t="array" ref="AY14">_xll.EQNXTDZ($A$1,$B14,AY$1)</f>
        <v>43.011758743030903</v>
      </c>
      <c r="AZ14" s="110" cm="1">
        <f t="array" ref="AZ14">_xll.EQNXTDZ($A$1,$B14,AZ$1)</f>
        <v>52.047924250103698</v>
      </c>
      <c r="BA14" s="110" cm="1">
        <f t="array" ref="BA14">_xll.EQNXTDZ($A$1,$B14,BA$1)</f>
        <v>55.248030226235997</v>
      </c>
      <c r="BB14" s="110" cm="1">
        <f t="array" ref="BB14">_xll.EQNXTDZ($A$1,$B14,BB$1)</f>
        <v>62.047039579781597</v>
      </c>
      <c r="BC14" s="110" cm="1">
        <f t="array" ref="BC14">_xll.EQNXTDZ($A$1,$B14,BC$1)</f>
        <v>65.986379763166397</v>
      </c>
      <c r="BD14" s="110" cm="1">
        <f t="array" ref="BD14">_xll.EQNXTDZ($A$1,$B14,BD$1)</f>
        <v>64.469004285121898</v>
      </c>
      <c r="BE14" s="110" cm="1">
        <f t="array" ref="BE14">_xll.EQNXTDZ($A$1,$B14,BE$1)</f>
        <v>62.718186425839697</v>
      </c>
      <c r="BF14" s="110" cm="1">
        <f t="array" ref="BF14">_xll.EQNXTDZ($A$1,$B14,BF$1)</f>
        <v>57.037755149057702</v>
      </c>
      <c r="BG14" s="110" cm="1">
        <f t="array" ref="BG14">_xll.EQNXTDZ($A$1,$B14,BG$1)</f>
        <v>61.910864857393001</v>
      </c>
      <c r="BH14" s="110" cm="1">
        <f t="array" ref="BH14">_xll.EQNXTDZ($A$1,$B14,BH$1)</f>
        <v>61.55</v>
      </c>
      <c r="BI14" s="110" cm="1">
        <f t="array" ref="BI14">_xll.EQNXTDZ($A$1,$B14,BI$1)</f>
        <v>71.7</v>
      </c>
      <c r="BJ14" s="110" cm="1">
        <f t="array" ref="BJ14">_xll.EQNXTDZ($A$1,$B14,BJ$1)</f>
        <v>82.98</v>
      </c>
      <c r="BK14" s="110" cm="1">
        <f t="array" ref="BK14">_xll.EQNXTDZ($A$1,$B14,BK$1)</f>
        <v>73.19</v>
      </c>
      <c r="BL14" s="110" cm="1">
        <f t="array" ref="BL14">_xll.EQNXTDZ($A$1,$B14,BL$1)</f>
        <v>74.88</v>
      </c>
      <c r="BM14" s="110" cm="1">
        <f t="array" ref="BM14">_xll.EQNXTDZ($A$1,$B14,BM$1)</f>
        <v>74</v>
      </c>
      <c r="BN14" s="110" cm="1">
        <f t="array" ref="BN14">_xll.EQNXTDZ($A$1,$B14,BN$1)</f>
        <v>70.349999999999994</v>
      </c>
      <c r="BO14" s="110" cm="1">
        <f t="array" ref="BO14">_xll.EQNXTDZ($A$1,$B14,BO$1)</f>
        <v>92.68</v>
      </c>
      <c r="BP14" s="110" cm="1">
        <f t="array" ref="BP14">_xll.EQNXTDZ($A$1,$B14,BP$1)</f>
        <v>83.96</v>
      </c>
      <c r="BQ14" s="110" cm="1">
        <f t="array" ref="BQ14">_xll.EQNXTDZ($A$1,$B14,BQ$1)</f>
        <v>76.8</v>
      </c>
      <c r="BR14" s="110" cm="1">
        <f t="array" ref="BR14">_xll.EQNXTDZ($A$1,$B14,BR$1)</f>
        <v>76.989999999999995</v>
      </c>
      <c r="BS14" s="110" cm="1">
        <f t="array" ref="BS14">_xll.EQNXTDZ($A$1,$B14,BS$1)</f>
        <v>72</v>
      </c>
      <c r="BT14" s="110" cm="1">
        <f t="array" ref="BT14">_xll.EQNXTDZ($A$1,$B14,BT$1)</f>
        <v>59.9</v>
      </c>
      <c r="BU14" s="110" cm="1">
        <f t="array" ref="BU14">_xll.EQNXTDZ($A$1,$B14,BU$1)</f>
        <v>59.18</v>
      </c>
      <c r="BV14" s="110" cm="1">
        <f t="array" ref="BV14">_xll.EQNXTDZ($A$1,$B14,BV$1)</f>
        <v>54.45</v>
      </c>
      <c r="BW14" s="110" cm="1">
        <f t="array" ref="BW14">_xll.EQNXTDZ($A$1,$B14,BW$1)</f>
        <v>56.8</v>
      </c>
      <c r="BX14" s="110" cm="1">
        <f t="array" ref="BX14">_xll.EQNXTDZ($A$1,$B14,BX$1)</f>
        <v>58.47</v>
      </c>
      <c r="BY14" s="110" cm="1">
        <f t="array" ref="BY14">_xll.EQNXTDZ($A$1,$B14,BY$1)</f>
        <v>60.42</v>
      </c>
      <c r="BZ14" s="110" cm="1">
        <f t="array" ref="BZ14">_xll.EQNXTDZ($A$1,$B14,BZ$1)</f>
        <v>58.5</v>
      </c>
      <c r="CA14" s="110" cm="1">
        <f t="array" ref="CA14">_xll.EQNXTDZ($A$1,$B14,CA$1)</f>
        <v>52.68</v>
      </c>
      <c r="CB14" s="110" cm="1">
        <f t="array" ref="CB14">_xll.EQNXTDZ($A$1,$B14,CB$1)</f>
        <v>54.4</v>
      </c>
      <c r="CC14" s="110" cm="1">
        <f t="array" ref="CC14">_xll.EQNXTDZ($A$1,$B14,CC$1)</f>
        <v>56.3</v>
      </c>
      <c r="CD14" s="110" cm="1">
        <f t="array" ref="CD14">_xll.EQNXTDZ($A$1,$B14,CD$1)</f>
        <v>58</v>
      </c>
      <c r="CE14" s="110" cm="1">
        <f t="array" ref="CE14">_xll.EQNXTDZ($A$1,$B14,CE$1)</f>
        <v>50.39</v>
      </c>
      <c r="CF14" s="110" cm="1">
        <f t="array" ref="CF14">_xll.EQNXTDZ($A$1,$B14,CF$1)</f>
        <v>59.67</v>
      </c>
      <c r="CG14" s="110" cm="1">
        <f t="array" ref="CG14">_xll.EQNXTDZ($A$1,$B14,CG$1)</f>
        <v>60.4</v>
      </c>
      <c r="CH14" s="110" cm="1">
        <f t="array" ref="CH14">_xll.EQNXTDZ($A$1,$B14,CH$1)</f>
        <v>57.11</v>
      </c>
      <c r="CI14" s="110" cm="1">
        <f t="array" ref="CI14">_xll.EQNXTDZ($A$1,$B14,CI$1)</f>
        <v>58.32</v>
      </c>
      <c r="CJ14" s="110" cm="1">
        <f t="array" ref="CJ14">_xll.EQNXTDZ($A$1,$B14,CJ$1)</f>
        <v>59.3</v>
      </c>
      <c r="CK14" s="110" cm="1">
        <f t="array" ref="CK14">_xll.EQNXTDZ($A$1,$B14,CK$1)</f>
        <v>47.88</v>
      </c>
      <c r="CL14" s="110" cm="1">
        <f t="array" ref="CL14">_xll.EQNXTDZ($A$1,$B14,CL$1)</f>
        <v>42.67</v>
      </c>
      <c r="CM14" s="110" cm="1">
        <f t="array" ref="CM14">_xll.EQNXTDZ($A$1,$B14,CM$1)</f>
        <v>41.81</v>
      </c>
      <c r="CN14" s="110" cm="1">
        <f t="array" ref="CN14">_xll.EQNXTDZ($A$1,$B14,CN$1)</f>
        <v>46.86</v>
      </c>
      <c r="CO14" s="110" cm="1">
        <f t="array" ref="CO14">_xll.EQNXTDZ($A$1,$B14,CO$1)</f>
        <v>46.58</v>
      </c>
      <c r="CP14" s="110" cm="1">
        <f t="array" ref="CP14">_xll.EQNXTDZ($A$1,$B14,CP$1)</f>
        <v>46</v>
      </c>
      <c r="CQ14" s="110" cm="1">
        <f t="array" ref="CQ14">_xll.EQNXTDZ($A$1,$B14,CQ$1)</f>
        <v>41.09</v>
      </c>
      <c r="CR14" s="110" cm="1">
        <f t="array" ref="CR14">_xll.EQNXTDZ($A$1,$B14,CR$1)</f>
        <v>29.58</v>
      </c>
      <c r="CS14" s="110" cm="1">
        <f t="array" ref="CS14">_xll.EQNXTDZ($A$1,$B14,CS$1)</f>
        <v>18.82</v>
      </c>
      <c r="CT14" s="110" cm="1">
        <f t="array" ref="CT14">_xll.EQNXTDZ($A$1,$B14,CT$1)</f>
        <v>18.05</v>
      </c>
      <c r="CU14" s="110" cm="1">
        <f t="array" ref="CU14">_xll.EQNXTDZ($A$1,$B14,CU$1)</f>
        <v>23.65</v>
      </c>
      <c r="CV14" s="110" cm="1">
        <f t="array" ref="CV14">_xll.EQNXTDZ($A$1,$B14,CV$1)</f>
        <v>22.69</v>
      </c>
      <c r="CW14" s="110" cm="1">
        <f t="array" ref="CW14">_xll.EQNXTDZ($A$1,$B14,CW$1)</f>
        <v>23.86</v>
      </c>
      <c r="CX14" s="110" cm="1">
        <f t="array" ref="CX14">_xll.EQNXTDZ($A$1,$B14,CX$1)</f>
        <v>22.18</v>
      </c>
      <c r="CY14" s="110" cm="1">
        <f t="array" ref="CY14">_xll.EQNXTDZ($A$1,$B14,CY$1)</f>
        <v>19</v>
      </c>
      <c r="CZ14" s="110" cm="1">
        <f t="array" ref="CZ14">_xll.EQNXTDZ($A$1,$B14,CZ$1)</f>
        <v>21.12</v>
      </c>
      <c r="DA14" s="110" cm="1">
        <f t="array" ref="DA14">_xll.EQNXTDZ($A$1,$B14,DA$1)</f>
        <v>29.28</v>
      </c>
      <c r="DB14" s="110" cm="1">
        <f t="array" ref="DB14">_xll.EQNXTDZ($A$1,$B14,DB$1)</f>
        <v>29.48</v>
      </c>
      <c r="DC14" s="110" cm="1">
        <f t="array" ref="DC14">_xll.EQNXTDZ($A$1,$B14,DC$1)</f>
        <v>34.880000000000003</v>
      </c>
      <c r="DD14" s="110" cm="1">
        <f t="array" ref="DD14">_xll.EQNXTDZ($A$1,$B14,DD$1)</f>
        <v>34.479999999999997</v>
      </c>
      <c r="DE14" s="110" cm="1">
        <f t="array" ref="DE14">_xll.EQNXTDZ($A$1,$B14,DE$1)</f>
        <v>31.45</v>
      </c>
      <c r="DF14" s="110" cm="1">
        <f t="array" ref="DF14">_xll.EQNXTDZ($A$1,$B14,DF$1)</f>
        <v>32.729999999999997</v>
      </c>
      <c r="DG14" s="110" cm="1">
        <f t="array" ref="DG14">_xll.EQNXTDZ($A$1,$B14,DG$1)</f>
        <v>33.130000000000003</v>
      </c>
      <c r="DH14" s="110" cm="1">
        <f t="array" ref="DH14">_xll.EQNXTDZ($A$1,$B14,DH$1)</f>
        <v>31.4</v>
      </c>
      <c r="DI14" s="110" cm="1">
        <f t="array" ref="DI14">_xll.EQNXTDZ($A$1,$B14,DI$1)</f>
        <v>32.49</v>
      </c>
      <c r="DJ14" s="110" cm="1">
        <f t="array" ref="DJ14">_xll.EQNXTDZ($A$1,$B14,DJ$1)</f>
        <v>35.479999999999997</v>
      </c>
      <c r="DK14" s="110" cm="1">
        <f t="array" ref="DK14">_xll.EQNXTDZ($A$1,$B14,DK$1)</f>
        <v>43.72</v>
      </c>
      <c r="DL14" s="110" cm="1">
        <f t="array" ref="DL14">_xll.EQNXTDZ($A$1,$B14,DL$1)</f>
        <v>49.52</v>
      </c>
      <c r="DM14" s="110" cm="1">
        <f t="array" ref="DM14">_xll.EQNXTDZ($A$1,$B14,DM$1)</f>
        <v>44.79</v>
      </c>
      <c r="DN14" s="110" cm="1">
        <f t="array" ref="DN14">_xll.EQNXTDZ($A$1,$B14,DN$1)</f>
        <v>50.88</v>
      </c>
      <c r="DO14" s="110" cm="1">
        <f t="array" ref="DO14">_xll.EQNXTDZ($A$1,$B14,DO$1)</f>
        <v>54.56</v>
      </c>
      <c r="DP14" s="110" cm="1">
        <f t="array" ref="DP14">_xll.EQNXTDZ($A$1,$B14,DP$1)</f>
        <v>46.44</v>
      </c>
      <c r="DQ14" s="110" cm="1">
        <f t="array" ref="DQ14">_xll.EQNXTDZ($A$1,$B14,DQ$1)</f>
        <v>50.5</v>
      </c>
      <c r="DR14" s="110" cm="1">
        <f t="array" ref="DR14">_xll.EQNXTDZ($A$1,$B14,DR$1)</f>
        <v>47.16</v>
      </c>
      <c r="DS14" s="110" cm="1">
        <f t="array" ref="DS14">_xll.EQNXTDZ($A$1,$B14,DS$1)</f>
        <v>43.19</v>
      </c>
      <c r="DT14" s="110" cm="1">
        <f t="array" ref="DT14">_xll.EQNXTDZ($A$1,$B14,DT$1)</f>
        <v>46.89</v>
      </c>
      <c r="DU14" s="110" cm="1">
        <f t="array" ref="DU14">_xll.EQNXTDZ($A$1,$B14,DU$1)</f>
        <v>48.9</v>
      </c>
      <c r="DV14" s="110" cm="1">
        <f t="array" ref="DV14">_xll.EQNXTDZ($A$1,$B14,DV$1)</f>
        <v>51.51</v>
      </c>
      <c r="DW14" s="110" cm="1">
        <f t="array" ref="DW14">_xll.EQNXTDZ($A$1,$B14,DW$1)</f>
        <v>58.74</v>
      </c>
      <c r="DX14" s="110" cm="1">
        <f t="array" ref="DX14">_xll.EQNXTDZ($A$1,$B14,DX$1)</f>
        <v>66.8</v>
      </c>
      <c r="DY14" s="110" cm="1">
        <f t="array" ref="DY14">_xll.EQNXTDZ($A$1,$B14,DY$1)</f>
        <v>67.33</v>
      </c>
      <c r="DZ14" s="110" cm="1">
        <f t="array" ref="DZ14">_xll.EQNXTDZ($A$1,$B14,DZ$1)</f>
        <v>68.319999999999993</v>
      </c>
      <c r="EA14" s="110" cm="1">
        <f t="array" ref="EA14">_xll.EQNXTDZ($A$1,$B14,EA$1)</f>
        <v>61.8</v>
      </c>
      <c r="EB14" s="110" cm="1">
        <f t="array" ref="EB14">_xll.EQNXTDZ($A$1,$B14,EB$1)</f>
        <v>62.75</v>
      </c>
      <c r="EC14" s="110" cm="1">
        <f t="array" ref="EC14">_xll.EQNXTDZ($A$1,$B14,EC$1)</f>
        <v>63.6</v>
      </c>
      <c r="ED14" s="110" cm="1">
        <f t="array" ref="ED14">_xll.EQNXTDZ($A$1,$B14,ED$1)</f>
        <v>65.33</v>
      </c>
      <c r="EE14" s="110" cm="1">
        <f t="array" ref="EE14">_xll.EQNXTDZ($A$1,$B14,EE$1)</f>
        <v>63.49</v>
      </c>
      <c r="EF14" s="110" cm="1">
        <f t="array" ref="EF14">_xll.EQNXTDZ($A$1,$B14,EF$1)</f>
        <v>70.260000000000005</v>
      </c>
      <c r="EG14" s="110" cm="1">
        <f t="array" ref="EG14">_xll.EQNXTDZ($A$1,$B14,EG$1)</f>
        <v>69.209999999999994</v>
      </c>
      <c r="EH14" s="110" cm="1">
        <f t="array" ref="EH14">_xll.EQNXTDZ($A$1,$B14,EH$1)</f>
        <v>77.17</v>
      </c>
      <c r="EI14" s="110" cm="1">
        <f t="array" ref="EI14">_xll.EQNXTDZ($A$1,$B14,EI$1)</f>
        <v>78.11</v>
      </c>
      <c r="EJ14" s="110" cm="1">
        <f t="array" ref="EJ14">_xll.EQNXTDZ($A$1,$B14,EJ$1)</f>
        <v>82.2</v>
      </c>
      <c r="EK14" s="110" cm="1">
        <f t="array" ref="EK14">_xll.EQNXTDZ($A$1,$B14,EK$1)</f>
        <v>90.94</v>
      </c>
      <c r="EL14" s="110" cm="1">
        <f t="array" ref="EL14">_xll.EQNXTDZ($A$1,$B14,EL$1)</f>
        <v>97.04</v>
      </c>
      <c r="EM14" s="110" cm="1">
        <f t="array" ref="EM14">_xll.EQNXTDZ($A$1,$B14,EM$1)</f>
        <v>119.75</v>
      </c>
      <c r="EN14" s="110" cm="1">
        <f t="array" ref="EN14">_xll.EQNXTDZ($A$1,$B14,EN$1)</f>
        <v>121.2</v>
      </c>
      <c r="EO14" s="110" cm="1">
        <f t="array" ref="EO14">_xll.EQNXTDZ($A$1,$B14,EO$1)</f>
        <v>125.93</v>
      </c>
      <c r="EP14" s="110" cm="1">
        <f t="array" ref="EP14">_xll.EQNXTDZ($A$1,$B14,EP$1)</f>
        <v>126.53</v>
      </c>
      <c r="EQ14" s="110" cm="1">
        <f t="array" ref="EQ14">_xll.EQNXTDZ($A$1,$B14,EQ$1)</f>
        <v>129.35</v>
      </c>
      <c r="ER14" s="110" cm="1">
        <f t="array" ref="ER14">_xll.EQNXTDZ($A$1,$B14,ER$1)</f>
        <v>120.2</v>
      </c>
      <c r="ES14" s="110" cm="1">
        <f t="array" ref="ES14">_xll.EQNXTDZ($A$1,$B14,ES$1)</f>
        <v>115.6</v>
      </c>
      <c r="ET14" s="110" cm="1">
        <f t="array" ref="ET14">_xll.EQNXTDZ($A$1,$B14,ET$1)</f>
        <v>113.45</v>
      </c>
      <c r="EU14" s="110" cm="1">
        <f t="array" ref="EU14">_xll.EQNXTDZ($A$1,$B14,EU$1)</f>
        <v>112.45</v>
      </c>
      <c r="EV14" s="110" cm="1">
        <f t="array" ref="EV14">_xll.EQNXTDZ($A$1,$B14,EV$1)</f>
        <v>106.5</v>
      </c>
      <c r="EW14" s="110" cm="1">
        <f t="array" ref="EW14">_xll.EQNXTDZ($A$1,$B14,EW$1)</f>
        <v>110.75</v>
      </c>
      <c r="EX14" s="110" cm="1">
        <f t="array" ref="EX14">_xll.EQNXTDZ($A$1,$B14,EX$1)</f>
        <v>103.1</v>
      </c>
      <c r="EY14" s="110" cm="1">
        <f t="array" ref="EY14">_xll.EQNXTDZ($A$1,$B14,EY$1)</f>
        <v>96.85</v>
      </c>
      <c r="EZ14" s="110" cm="1">
        <f t="array" ref="EZ14">_xll.EQNXTDZ($A$1,$B14,EZ$1)</f>
        <v>92.49</v>
      </c>
      <c r="FA14" s="110" cm="1">
        <f t="array" ref="FA14">_xll.EQNXTDZ($A$1,$B14,FA$1)</f>
        <v>102.61</v>
      </c>
      <c r="FB14" s="110" cm="1">
        <f t="array" ref="FB14">_xll.EQNXTDZ($A$1,$B14,FB$1)</f>
        <v>115.3</v>
      </c>
      <c r="FC14" s="110" cm="1">
        <f t="array" ref="FC14">_xll.EQNXTDZ($A$1,$B14,FC$1)</f>
        <v>119.3</v>
      </c>
      <c r="FD14" s="110" cm="1">
        <f t="array" ref="FD14">_xll.EQNXTDZ($A$1,$B14,FD$1)</f>
        <v>117.5</v>
      </c>
      <c r="FE14" s="110" cm="1">
        <f t="array" ref="FE14">_xll.EQNXTDZ($A$1,$B14,FE$1)</f>
        <v>113</v>
      </c>
      <c r="FF14" s="110" cm="1">
        <f t="array" ref="FF14">_xll.EQNXTDZ($A$1,$B14,FF$1)</f>
        <v>124.6</v>
      </c>
      <c r="FG14" s="110" cm="1">
        <f t="array" ref="FG14">_xll.EQNXTDZ($A$1,$B14,FG$1)</f>
        <v>138.55000000000001</v>
      </c>
      <c r="FH14" s="110" cm="1">
        <f t="array" ref="FH14">_xll.EQNXTDZ($A$1,$B14,FH$1)</f>
        <v>152.5</v>
      </c>
      <c r="FI14" s="110" cm="1">
        <f t="array" ref="FI14">_xll.EQNXTDZ($A$1,$B14,FI$1)</f>
        <v>158</v>
      </c>
      <c r="FJ14" s="110" cm="1">
        <f t="array" ref="FJ14">_xll.EQNXTDZ($A$1,$B14,FJ$1)</f>
        <v>160.80000000000001</v>
      </c>
      <c r="FK14" s="110" cm="1">
        <f t="array" ref="FK14">_xll.EQNXTDZ($A$1,$B14,FK$1)</f>
        <v>162.9</v>
      </c>
      <c r="FL14" s="110" cm="1">
        <f t="array" ref="FL14">_xll.EQNXTDZ($A$1,$B14,FL$1)</f>
        <v>156.25</v>
      </c>
      <c r="FM14" s="110" cm="1">
        <f t="array" ref="FM14">_xll.EQNXTDZ($A$1,$B14,FM$1)</f>
        <v>146.85</v>
      </c>
      <c r="FN14" s="110" cm="1">
        <f t="array" ref="FN14">_xll.EQNXTDZ($A$1,$B14,FN$1)</f>
        <v>139.35</v>
      </c>
      <c r="FO14" s="110" cm="1">
        <f t="array" ref="FO14">_xll.EQNXTDZ($A$1,$B14,FO$1)</f>
        <v>138.30000000000001</v>
      </c>
      <c r="FP14" s="110" cm="1">
        <f t="array" ref="FP14">_xll.EQNXTDZ($A$1,$B14,FP$1)</f>
        <v>0</v>
      </c>
      <c r="FQ14" s="110" cm="1">
        <f t="array" ref="FQ14">_xll.EQNXTDZ($A$1,$B14,FQ$1)</f>
        <v>0</v>
      </c>
      <c r="FR14" s="110" cm="1">
        <f t="array" ref="FR14">_xll.EQNXTDZ($A$1,$B14,FR$1)</f>
        <v>0</v>
      </c>
      <c r="FS14" s="110" cm="1">
        <f t="array" ref="FS14">_xll.EQNXTDZ($A$1,$B14,FS$1)</f>
        <v>0</v>
      </c>
      <c r="FT14" s="110" cm="1">
        <f t="array" ref="FT14">_xll.EQNXTDZ($A$1,$B14,FT$1)</f>
        <v>0</v>
      </c>
      <c r="FU14" s="110" cm="1">
        <f t="array" ref="FU14">_xll.EQNXTDZ($A$1,$B14,FU$1)</f>
        <v>0</v>
      </c>
      <c r="FV14" s="110" cm="1">
        <f t="array" ref="FV14">_xll.EQNXTDZ($A$1,$B14,FV$1)</f>
        <v>0</v>
      </c>
      <c r="FW14" s="110" cm="1">
        <f t="array" ref="FW14">_xll.EQNXTDZ($A$1,$B14,FW$1)</f>
        <v>0</v>
      </c>
      <c r="FX14" s="110" cm="1">
        <f t="array" ref="FX14">_xll.EQNXTDZ($A$1,$B14,FX$1)</f>
        <v>0</v>
      </c>
      <c r="FY14" s="110" cm="1">
        <f t="array" ref="FY14">_xll.EQNXTDZ($A$1,$B14,FY$1)</f>
        <v>0</v>
      </c>
      <c r="FZ14" s="110" cm="1">
        <f t="array" ref="FZ14">_xll.EQNXTDZ($A$1,$B14,FZ$1)</f>
        <v>0</v>
      </c>
      <c r="GA14" s="110" cm="1">
        <f t="array" ref="GA14">_xll.EQNXTDZ($A$1,$B14,GA$1)</f>
        <v>0</v>
      </c>
      <c r="GB14" s="110" cm="1">
        <f t="array" ref="GB14">_xll.EQNXTDZ($A$1,$B14,GB$1)</f>
        <v>0</v>
      </c>
      <c r="GC14" s="110" cm="1">
        <f t="array" ref="GC14">_xll.EQNXTDZ($A$1,$B14,GC$1)</f>
        <v>0</v>
      </c>
      <c r="GD14" s="110" cm="1">
        <f t="array" ref="GD14">_xll.EQNXTDZ($A$1,$B14,GD$1)</f>
        <v>0</v>
      </c>
      <c r="GE14" s="110" cm="1">
        <f t="array" ref="GE14">_xll.EQNXTDZ($A$1,$B14,GE$1)</f>
        <v>0</v>
      </c>
      <c r="GF14" s="110" cm="1">
        <f t="array" ref="GF14">_xll.EQNXTDZ($A$1,$B14,GF$1)</f>
        <v>0</v>
      </c>
      <c r="GG14" s="110" cm="1">
        <f t="array" ref="GG14">_xll.EQNXTDZ($A$1,$B14,GG$1)</f>
        <v>0</v>
      </c>
      <c r="GH14" s="110" cm="1">
        <f t="array" ref="GH14">_xll.EQNXTDZ($A$1,$B14,GH$1)</f>
        <v>0</v>
      </c>
      <c r="GI14" s="110" cm="1">
        <f t="array" ref="GI14">_xll.EQNXTDZ($A$1,$B14,GI$1)</f>
        <v>0</v>
      </c>
      <c r="GJ14" s="110" cm="1">
        <f t="array" ref="GJ14">_xll.EQNXTDZ($A$1,$B14,GJ$1)</f>
        <v>0</v>
      </c>
      <c r="GK14" s="110" cm="1">
        <f t="array" ref="GK14">_xll.EQNXTDZ($A$1,$B14,GK$1)</f>
        <v>0</v>
      </c>
      <c r="GL14" s="110" cm="1">
        <f t="array" ref="GL14">_xll.EQNXTDZ($A$1,$B14,GL$1)</f>
        <v>0</v>
      </c>
      <c r="GM14" s="110" cm="1">
        <f t="array" ref="GM14">_xll.EQNXTDZ($A$1,$B14,GM$1)</f>
        <v>0</v>
      </c>
      <c r="GN14" s="110" cm="1">
        <f t="array" ref="GN14">_xll.EQNXTDZ($A$1,$B14,GN$1)</f>
        <v>0</v>
      </c>
      <c r="GO14" s="110" cm="1">
        <f t="array" ref="GO14">_xll.EQNXTDZ($A$1,$B14,GO$1)</f>
        <v>0</v>
      </c>
      <c r="GP14" s="110" cm="1">
        <f t="array" ref="GP14">_xll.EQNXTDZ($A$1,$B14,GP$1)</f>
        <v>0</v>
      </c>
      <c r="GQ14" s="110" cm="1">
        <f t="array" ref="GQ14">_xll.EQNXTDZ($A$1,$B14,GQ$1)</f>
        <v>0</v>
      </c>
      <c r="GR14" s="110" cm="1">
        <f t="array" ref="GR14">_xll.EQNXTDZ($A$1,$B14,GR$1)</f>
        <v>0</v>
      </c>
      <c r="GS14" s="110" cm="1">
        <f t="array" ref="GS14">_xll.EQNXTDZ($A$1,$B14,GS$1)</f>
        <v>0</v>
      </c>
      <c r="GT14" s="110" cm="1">
        <f t="array" ref="GT14">_xll.EQNXTDZ($A$1,$B14,GT$1)</f>
        <v>0</v>
      </c>
      <c r="GU14" s="110" cm="1">
        <f t="array" ref="GU14">_xll.EQNXTDZ($A$1,$B14,GU$1)</f>
        <v>0</v>
      </c>
      <c r="GV14" s="110" cm="1">
        <f t="array" ref="GV14">_xll.EQNXTDZ($A$1,$B14,GV$1)</f>
        <v>0</v>
      </c>
      <c r="GW14" s="110" cm="1">
        <f t="array" ref="GW14">_xll.EQNXTDZ($A$1,$B14,GW$1)</f>
        <v>0</v>
      </c>
      <c r="GX14" s="110" cm="1">
        <f t="array" ref="GX14">_xll.EQNXTDZ($A$1,$B14,GX$1)</f>
        <v>0</v>
      </c>
      <c r="GY14" s="110" cm="1">
        <f t="array" ref="GY14">_xll.EQNXTDZ($A$1,$B14,GY$1)</f>
        <v>0</v>
      </c>
      <c r="GZ14" s="110" cm="1">
        <f t="array" ref="GZ14">_xll.EQNXTDZ($A$1,$B14,GZ$1)</f>
        <v>0</v>
      </c>
      <c r="HA14" s="110" cm="1">
        <f t="array" ref="HA14">_xll.EQNXTDZ($A$1,$B14,HA$1)</f>
        <v>0</v>
      </c>
      <c r="HB14" s="110" cm="1">
        <f t="array" ref="HB14">_xll.EQNXTDZ($A$1,$B14,HB$1)</f>
        <v>0</v>
      </c>
      <c r="HC14" s="110" cm="1">
        <f t="array" ref="HC14">_xll.EQNXTDZ($A$1,$B14,HC$1)</f>
        <v>0</v>
      </c>
      <c r="HD14" s="110" cm="1">
        <f t="array" ref="HD14">_xll.EQNXTDZ($A$1,$B14,HD$1)</f>
        <v>0</v>
      </c>
      <c r="HE14" s="110" cm="1">
        <f t="array" ref="HE14">_xll.EQNXTDZ($A$1,$B14,HE$1)</f>
        <v>0</v>
      </c>
      <c r="HF14" s="110" cm="1">
        <f t="array" ref="HF14">_xll.EQNXTDZ($A$1,$B14,HF$1)</f>
        <v>0</v>
      </c>
      <c r="HG14" s="110" cm="1">
        <f t="array" ref="HG14">_xll.EQNXTDZ($A$1,$B14,HG$1)</f>
        <v>0</v>
      </c>
      <c r="HH14" s="110" cm="1">
        <f t="array" ref="HH14">_xll.EQNXTDZ($A$1,$B14,HH$1)</f>
        <v>0</v>
      </c>
      <c r="HP14" s="110">
        <f>+MAX(D14:F14)</f>
        <v>88.591383679675602</v>
      </c>
      <c r="HQ14" s="110">
        <f>+MAX(G14:I14)</f>
        <v>97.209298253697696</v>
      </c>
      <c r="HR14" s="110">
        <f>+MAX(J14:L14)</f>
        <v>106.99442473390801</v>
      </c>
      <c r="HS14" s="110">
        <f>+MAX(M14:O14)</f>
        <v>88.805372529143398</v>
      </c>
      <c r="HT14" s="110">
        <f>+MAX(P14:R14)</f>
        <v>75.576970925678495</v>
      </c>
      <c r="HU14" s="110">
        <f>+MAX(S14:U14)</f>
        <v>57.290651062065201</v>
      </c>
      <c r="HV14" s="110">
        <f>+MAX(V14:X14)</f>
        <v>56.843219831359697</v>
      </c>
      <c r="HW14" s="110">
        <f>+MAX(Y14:AA14)</f>
        <v>96.878588213610996</v>
      </c>
      <c r="HX14" s="110">
        <f>+MAX(AB14:AD14)</f>
        <v>91.412145786296804</v>
      </c>
      <c r="HY14" s="110">
        <f>+MAX(AE14:AG14)</f>
        <v>88.319034234898396</v>
      </c>
      <c r="HZ14" s="110">
        <f>+MAX(AH14:AJ14)</f>
        <v>93.065695986729907</v>
      </c>
      <c r="IA14" s="110">
        <f>+MAX(AK14:AM14)</f>
        <v>80.041556466847894</v>
      </c>
      <c r="IB14" s="110">
        <f>+MAX(AN14:AP14)</f>
        <v>70.003534073630405</v>
      </c>
      <c r="IC14" s="110">
        <f>+MAX(AQ14:AS14)</f>
        <v>59.333271897894299</v>
      </c>
      <c r="ID14" s="110">
        <f>+MAX(AT14:AV14)</f>
        <v>46.591208588674398</v>
      </c>
      <c r="IE14" s="110">
        <f>+MAX(AW14:AY14)</f>
        <v>43.011758743030903</v>
      </c>
      <c r="IF14" s="110">
        <f>+MAX(AZ14:BB14)</f>
        <v>62.047039579781597</v>
      </c>
      <c r="IG14" s="110">
        <f>+MAX(BC14:BE14)</f>
        <v>65.986379763166397</v>
      </c>
      <c r="IH14" s="110">
        <f>+MAX(BF14:BH14)</f>
        <v>61.910864857393001</v>
      </c>
      <c r="II14" s="110">
        <f>+MAX(BI14:BK14)</f>
        <v>82.98</v>
      </c>
      <c r="IJ14" s="110">
        <f>+MAX(BL14:BN14)</f>
        <v>74.88</v>
      </c>
      <c r="IK14" s="110">
        <f>+MAX(BO14:BQ14)</f>
        <v>92.68</v>
      </c>
      <c r="IL14" s="110">
        <f>+MAX(BR14:BT14)</f>
        <v>76.989999999999995</v>
      </c>
      <c r="IM14" s="110">
        <f>+MAX(BU14:BW14)</f>
        <v>59.18</v>
      </c>
      <c r="IN14" s="110">
        <f>+MAX(BX14:BZ14)</f>
        <v>60.42</v>
      </c>
      <c r="IO14" s="110">
        <f>+MAX(CA14:CC14)</f>
        <v>56.3</v>
      </c>
      <c r="IP14" s="110">
        <f>+MAX(CD14:CF14)</f>
        <v>59.67</v>
      </c>
      <c r="IQ14" s="110">
        <f>+MAX(CG14:CI14)</f>
        <v>60.4</v>
      </c>
      <c r="IR14" s="110">
        <f>+MAX(CJ14:CL14)</f>
        <v>59.3</v>
      </c>
      <c r="IS14" s="110">
        <f>+MAX(CM14:CO14)</f>
        <v>46.86</v>
      </c>
      <c r="IT14" s="110">
        <f>+MAX(CP14:CR14)</f>
        <v>46</v>
      </c>
      <c r="IU14" s="110">
        <f>+MAX(CS14:CU14)</f>
        <v>23.65</v>
      </c>
      <c r="IV14" s="110">
        <f>+MAX(CV14:CX14)</f>
        <v>23.86</v>
      </c>
      <c r="IW14" s="110">
        <f>+MAX(CY14:DA14)</f>
        <v>29.28</v>
      </c>
      <c r="IX14" s="110">
        <f>+MAX(DB14:DD14)</f>
        <v>34.880000000000003</v>
      </c>
      <c r="IY14" s="110">
        <f>+MAX(DE14:DG14)</f>
        <v>33.130000000000003</v>
      </c>
      <c r="IZ14" s="110">
        <f>+MAX(DH14:DJ14)</f>
        <v>35.479999999999997</v>
      </c>
      <c r="JA14" s="110">
        <f>+MAX(DK14:DM14)</f>
        <v>49.52</v>
      </c>
      <c r="JB14" s="110">
        <f>+MAX(DN14:DP14)</f>
        <v>54.56</v>
      </c>
      <c r="JC14" s="110">
        <f>+MAX(DQ14:DS14)</f>
        <v>50.5</v>
      </c>
      <c r="JD14" s="110">
        <f>+MAX(DT14:DV14)</f>
        <v>51.51</v>
      </c>
      <c r="JE14" s="110">
        <f>+MAX(DW14:DY14)</f>
        <v>67.33</v>
      </c>
      <c r="JF14" s="110">
        <f>+MAX(DZ14:EB14)</f>
        <v>68.319999999999993</v>
      </c>
      <c r="JG14" s="110">
        <f>+MAX(EC14:EE14)</f>
        <v>65.33</v>
      </c>
      <c r="JH14" s="110">
        <f>+MAX(EF14:EH14)</f>
        <v>77.17</v>
      </c>
      <c r="JI14" s="110">
        <f>+MAX(EI14:EK14)</f>
        <v>90.94</v>
      </c>
      <c r="JJ14" s="110">
        <f>+MAX(EL14:EN14)</f>
        <v>121.2</v>
      </c>
      <c r="JK14" s="110">
        <f>MAX(EO14:EQ14)</f>
        <v>129.35</v>
      </c>
      <c r="JL14" s="110">
        <f>MAX(ER14:ET14)</f>
        <v>120.2</v>
      </c>
      <c r="JM14" s="110">
        <f>MAX(EU14:EW14)</f>
        <v>112.45</v>
      </c>
      <c r="JN14" s="110">
        <f>MAX(EX14:EZ14)</f>
        <v>103.1</v>
      </c>
      <c r="JO14" s="110">
        <f>MAX(FA14:FC14)</f>
        <v>119.3</v>
      </c>
      <c r="JP14" s="110">
        <f>MAX(FD14:FF14)</f>
        <v>124.6</v>
      </c>
      <c r="JQ14" s="110">
        <f>MAX(FG14:FI14)</f>
        <v>158</v>
      </c>
      <c r="JR14" s="110">
        <f>MAX(FJ14:FL14)</f>
        <v>162.9</v>
      </c>
      <c r="JS14" s="110">
        <f>MAX(FM14:FO14)</f>
        <v>146.85</v>
      </c>
      <c r="JT14" s="110">
        <f>MAX(FP14:FR14)</f>
        <v>0</v>
      </c>
      <c r="JU14" s="110">
        <f>MAX(FS14:FU14)</f>
        <v>0</v>
      </c>
      <c r="JV14" s="110">
        <f>MAX(FV14:FX14)</f>
        <v>0</v>
      </c>
      <c r="JW14" s="110">
        <f>MAX(FY14:GA14)</f>
        <v>0</v>
      </c>
      <c r="JX14" s="110">
        <f>MAX(GB14:GD14)</f>
        <v>0</v>
      </c>
      <c r="JY14" s="110">
        <f>MAX(GE14:GG14)</f>
        <v>0</v>
      </c>
      <c r="JZ14" s="110">
        <f>MAX(GH14:GJ14)</f>
        <v>0</v>
      </c>
      <c r="KA14" s="110">
        <f>MAX(GK14:GM14)</f>
        <v>0</v>
      </c>
      <c r="KB14" s="110">
        <f>MAX(GN14:GP14)</f>
        <v>0</v>
      </c>
      <c r="KC14" s="110">
        <f>MAX(GQ14:GS14)</f>
        <v>0</v>
      </c>
      <c r="KD14" s="110">
        <f>MAX(GT14:GV14)</f>
        <v>0</v>
      </c>
      <c r="KE14" s="110">
        <f>MAX(GW14:GY14)</f>
        <v>0</v>
      </c>
      <c r="KF14" s="110">
        <f>MAX(GZ14:HB14)</f>
        <v>0</v>
      </c>
      <c r="KG14" s="110">
        <f>MAX(HC14:HE14)</f>
        <v>0</v>
      </c>
      <c r="KH14" s="110">
        <f>MAX(HF14:HH14)</f>
        <v>0</v>
      </c>
    </row>
    <row r="15" spans="1:294" s="110" customFormat="1" x14ac:dyDescent="0.25">
      <c r="A15" s="110" t="s">
        <v>39</v>
      </c>
      <c r="B15" s="110" t="s">
        <v>338</v>
      </c>
      <c r="C15" s="110" cm="1">
        <f t="array" ref="C15">_xll.EQNXTDZ($A$1,$B15,C$1)</f>
        <v>74.584840805418594</v>
      </c>
      <c r="D15" s="110" cm="1">
        <f t="array" ref="D15">_xll.EQNXTDZ($A$1,$B15,D$1)</f>
        <v>66.832608395152704</v>
      </c>
      <c r="E15" s="110" cm="1">
        <f t="array" ref="E15">_xll.EQNXTDZ($A$1,$B15,E$1)</f>
        <v>59.527807215592297</v>
      </c>
      <c r="F15" s="110" cm="1">
        <f t="array" ref="F15">_xll.EQNXTDZ($A$1,$B15,F$1)</f>
        <v>60.3351287840391</v>
      </c>
      <c r="G15" s="110" cm="1">
        <f t="array" ref="G15">_xll.EQNXTDZ($A$1,$B15,G$1)</f>
        <v>68.067907662535106</v>
      </c>
      <c r="H15" s="110" cm="1">
        <f t="array" ref="H15">_xll.EQNXTDZ($A$1,$B15,H$1)</f>
        <v>77.921121503939602</v>
      </c>
      <c r="I15" s="110" cm="1">
        <f t="array" ref="I15">_xll.EQNXTDZ($A$1,$B15,I$1)</f>
        <v>73.048011795604296</v>
      </c>
      <c r="J15" s="110" cm="1">
        <f t="array" ref="J15">_xll.EQNXTDZ($A$1,$B15,J$1)</f>
        <v>90.478376261346398</v>
      </c>
      <c r="K15" s="110" cm="1">
        <f t="array" ref="K15">_xll.EQNXTDZ($A$1,$B15,K$1)</f>
        <v>79.4579505137539</v>
      </c>
      <c r="L15" s="110" cm="1">
        <f t="array" ref="L15">_xll.EQNXTDZ($A$1,$B15,L$1)</f>
        <v>69.254573100493005</v>
      </c>
      <c r="M15" s="110" cm="1">
        <f t="array" ref="M15">_xll.EQNXTDZ($A$1,$B15,M$1)</f>
        <v>71.793258996452096</v>
      </c>
      <c r="N15" s="110" cm="1">
        <f t="array" ref="N15">_xll.EQNXTDZ($A$1,$B15,N$1)</f>
        <v>74.623747868958205</v>
      </c>
      <c r="O15" s="110" cm="1">
        <f t="array" ref="O15">_xll.EQNXTDZ($A$1,$B15,O$1)</f>
        <v>65.188784960604494</v>
      </c>
      <c r="P15" s="110" cm="1">
        <f t="array" ref="P15">_xll.EQNXTDZ($A$1,$B15,P$1)</f>
        <v>47.700059899553104</v>
      </c>
      <c r="Q15" s="110" cm="1">
        <f t="array" ref="Q15">_xll.EQNXTDZ($A$1,$B15,Q$1)</f>
        <v>36.942256830852898</v>
      </c>
      <c r="R15" s="110" cm="1">
        <f t="array" ref="R15">_xll.EQNXTDZ($A$1,$B15,R$1)</f>
        <v>36.961710362622703</v>
      </c>
      <c r="S15" s="110" cm="1">
        <f t="array" ref="S15">_xll.EQNXTDZ($A$1,$B15,S$1)</f>
        <v>42.681048702944302</v>
      </c>
      <c r="T15" s="110" cm="1">
        <f t="array" ref="T15">_xll.EQNXTDZ($A$1,$B15,T$1)</f>
        <v>44.762576602312997</v>
      </c>
      <c r="U15" s="110" cm="1">
        <f t="array" ref="U15">_xll.EQNXTDZ($A$1,$B15,U$1)</f>
        <v>46.688476247523397</v>
      </c>
      <c r="V15" s="110" cm="1">
        <f t="array" ref="V15">_xll.EQNXTDZ($A$1,$B15,V$1)</f>
        <v>41.6986453485693</v>
      </c>
      <c r="W15" s="110" cm="1">
        <f t="array" ref="W15">_xll.EQNXTDZ($A$1,$B15,W$1)</f>
        <v>40.657881398885003</v>
      </c>
      <c r="X15" s="110" cm="1">
        <f t="array" ref="X15">_xll.EQNXTDZ($A$1,$B15,X$1)</f>
        <v>41.241487351979004</v>
      </c>
      <c r="Y15" s="110" cm="1">
        <f t="array" ref="Y15">_xll.EQNXTDZ($A$1,$B15,Y$1)</f>
        <v>48.633829424503503</v>
      </c>
      <c r="Z15" s="110" cm="1">
        <f t="array" ref="Z15">_xll.EQNXTDZ($A$1,$B15,Z$1)</f>
        <v>53.059507902133397</v>
      </c>
      <c r="AA15" s="110" cm="1">
        <f t="array" ref="AA15">_xll.EQNXTDZ($A$1,$B15,AA$1)</f>
        <v>81.2184951389209</v>
      </c>
      <c r="AB15" s="110" cm="1">
        <f t="array" ref="AB15">_xll.EQNXTDZ($A$1,$B15,AB$1)</f>
        <v>74.234677233562195</v>
      </c>
      <c r="AC15" s="110" cm="1">
        <f t="array" ref="AC15">_xll.EQNXTDZ($A$1,$B15,AC$1)</f>
        <v>69.371294291111795</v>
      </c>
      <c r="AD15" s="110" cm="1">
        <f t="array" ref="AD15">_xll.EQNXTDZ($A$1,$B15,AD$1)</f>
        <v>65.1985117264894</v>
      </c>
      <c r="AE15" s="110" cm="1">
        <f t="array" ref="AE15">_xll.EQNXTDZ($A$1,$B15,AE$1)</f>
        <v>66.939602819886701</v>
      </c>
      <c r="AF15" s="110" cm="1">
        <f t="array" ref="AF15">_xll.EQNXTDZ($A$1,$B15,AF$1)</f>
        <v>73.923420725245407</v>
      </c>
      <c r="AG15" s="110" cm="1">
        <f t="array" ref="AG15">_xll.EQNXTDZ($A$1,$B15,AG$1)</f>
        <v>75.868773902225499</v>
      </c>
      <c r="AH15" s="110" cm="1">
        <f t="array" ref="AH15">_xll.EQNXTDZ($A$1,$B15,AH$1)</f>
        <v>83.805814864304494</v>
      </c>
      <c r="AI15" s="110" cm="1">
        <f t="array" ref="AI15">_xll.EQNXTDZ($A$1,$B15,AI$1)</f>
        <v>76.287024835276199</v>
      </c>
      <c r="AJ15" s="110" cm="1">
        <f t="array" ref="AJ15">_xll.EQNXTDZ($A$1,$B15,AJ$1)</f>
        <v>67.396760816476998</v>
      </c>
      <c r="AK15" s="110" cm="1">
        <f t="array" ref="AK15">_xll.EQNXTDZ($A$1,$B15,AK$1)</f>
        <v>70.849762705616698</v>
      </c>
      <c r="AL15" s="110" cm="1">
        <f t="array" ref="AL15">_xll.EQNXTDZ($A$1,$B15,AL$1)</f>
        <v>64.595452241625594</v>
      </c>
      <c r="AM15" s="110" cm="1">
        <f t="array" ref="AM15">_xll.EQNXTDZ($A$1,$B15,AM$1)</f>
        <v>53.4485785375294</v>
      </c>
      <c r="AN15" s="110" cm="1">
        <f t="array" ref="AN15">_xll.EQNXTDZ($A$1,$B15,AN$1)</f>
        <v>49.470331290605003</v>
      </c>
      <c r="AO15" s="110" cm="1">
        <f t="array" ref="AO15">_xll.EQNXTDZ($A$1,$B15,AO$1)</f>
        <v>51.8533889324057</v>
      </c>
      <c r="AP15" s="110" cm="1">
        <f t="array" ref="AP15">_xll.EQNXTDZ($A$1,$B15,AP$1)</f>
        <v>48.799184444546803</v>
      </c>
      <c r="AQ15" s="110" cm="1">
        <f t="array" ref="AQ15">_xll.EQNXTDZ($A$1,$B15,AQ$1)</f>
        <v>53.497212366953903</v>
      </c>
      <c r="AR15" s="110" cm="1">
        <f t="array" ref="AR15">_xll.EQNXTDZ($A$1,$B15,AR$1)</f>
        <v>50.948799705109899</v>
      </c>
      <c r="AS15" s="110" cm="1">
        <f t="array" ref="AS15">_xll.EQNXTDZ($A$1,$B15,AS$1)</f>
        <v>45.346182555407097</v>
      </c>
      <c r="AT15" s="110" cm="1">
        <f t="array" ref="AT15">_xll.EQNXTDZ($A$1,$B15,AT$1)</f>
        <v>32.681933373266403</v>
      </c>
      <c r="AU15" s="110" cm="1">
        <f t="array" ref="AU15">_xll.EQNXTDZ($A$1,$B15,AU$1)</f>
        <v>30.386416624429799</v>
      </c>
      <c r="AV15" s="110" cm="1">
        <f t="array" ref="AV15">_xll.EQNXTDZ($A$1,$B15,AV$1)</f>
        <v>30.814394323365399</v>
      </c>
      <c r="AW15" s="110" cm="1">
        <f t="array" ref="AW15">_xll.EQNXTDZ($A$1,$B15,AW$1)</f>
        <v>35.113624844491497</v>
      </c>
      <c r="AX15" s="110" cm="1">
        <f t="array" ref="AX15">_xll.EQNXTDZ($A$1,$B15,AX$1)</f>
        <v>34.199308851310903</v>
      </c>
      <c r="AY15" s="110" cm="1">
        <f t="array" ref="AY15">_xll.EQNXTDZ($A$1,$B15,AY$1)</f>
        <v>37.078431553241501</v>
      </c>
      <c r="AZ15" s="110" cm="1">
        <f t="array" ref="AZ15">_xll.EQNXTDZ($A$1,$B15,AZ$1)</f>
        <v>42.272524535778501</v>
      </c>
      <c r="BA15" s="110" cm="1">
        <f t="array" ref="BA15">_xll.EQNXTDZ($A$1,$B15,BA$1)</f>
        <v>47.1553610099986</v>
      </c>
      <c r="BB15" s="110" cm="1">
        <f t="array" ref="BB15">_xll.EQNXTDZ($A$1,$B15,BB$1)</f>
        <v>53.594480025802902</v>
      </c>
      <c r="BC15" s="110" cm="1">
        <f t="array" ref="BC15">_xll.EQNXTDZ($A$1,$B15,BC$1)</f>
        <v>58.856660369534197</v>
      </c>
      <c r="BD15" s="110" cm="1">
        <f t="array" ref="BD15">_xll.EQNXTDZ($A$1,$B15,BD$1)</f>
        <v>51.892295995945297</v>
      </c>
      <c r="BE15" s="110" cm="1">
        <f t="array" ref="BE15">_xll.EQNXTDZ($A$1,$B15,BE$1)</f>
        <v>50.384647283785696</v>
      </c>
      <c r="BF15" s="110" cm="1">
        <f t="array" ref="BF15">_xll.EQNXTDZ($A$1,$B15,BF$1)</f>
        <v>50.034483711929198</v>
      </c>
      <c r="BG15" s="110" cm="1">
        <f t="array" ref="BG15">_xll.EQNXTDZ($A$1,$B15,BG$1)</f>
        <v>54.469888955443999</v>
      </c>
      <c r="BH15" s="110" cm="1">
        <f t="array" ref="BH15">_xll.EQNXTDZ($A$1,$B15,BH$1)</f>
        <v>56.1</v>
      </c>
      <c r="BI15" s="110" cm="1">
        <f t="array" ref="BI15">_xll.EQNXTDZ($A$1,$B15,BI$1)</f>
        <v>60.41</v>
      </c>
      <c r="BJ15" s="110" cm="1">
        <f t="array" ref="BJ15">_xll.EQNXTDZ($A$1,$B15,BJ$1)</f>
        <v>68.8</v>
      </c>
      <c r="BK15" s="110" cm="1">
        <f t="array" ref="BK15">_xll.EQNXTDZ($A$1,$B15,BK$1)</f>
        <v>63.37</v>
      </c>
      <c r="BL15" s="110" cm="1">
        <f t="array" ref="BL15">_xll.EQNXTDZ($A$1,$B15,BL$1)</f>
        <v>65.760000000000005</v>
      </c>
      <c r="BM15" s="110" cm="1">
        <f t="array" ref="BM15">_xll.EQNXTDZ($A$1,$B15,BM$1)</f>
        <v>64.05</v>
      </c>
      <c r="BN15" s="110" cm="1">
        <f t="array" ref="BN15">_xll.EQNXTDZ($A$1,$B15,BN$1)</f>
        <v>61.37</v>
      </c>
      <c r="BO15" s="110" cm="1">
        <f t="array" ref="BO15">_xll.EQNXTDZ($A$1,$B15,BO$1)</f>
        <v>59.37</v>
      </c>
      <c r="BP15" s="110" cm="1">
        <f t="array" ref="BP15">_xll.EQNXTDZ($A$1,$B15,BP$1)</f>
        <v>73.489999999999995</v>
      </c>
      <c r="BQ15" s="110" cm="1">
        <f t="array" ref="BQ15">_xll.EQNXTDZ($A$1,$B15,BQ$1)</f>
        <v>68.12</v>
      </c>
      <c r="BR15" s="110" cm="1">
        <f t="array" ref="BR15">_xll.EQNXTDZ($A$1,$B15,BR$1)</f>
        <v>67.040000000000006</v>
      </c>
      <c r="BS15" s="110" cm="1">
        <f t="array" ref="BS15">_xll.EQNXTDZ($A$1,$B15,BS$1)</f>
        <v>57.13</v>
      </c>
      <c r="BT15" s="110" cm="1">
        <f t="array" ref="BT15">_xll.EQNXTDZ($A$1,$B15,BT$1)</f>
        <v>45.07</v>
      </c>
      <c r="BU15" s="110" cm="1">
        <f t="array" ref="BU15">_xll.EQNXTDZ($A$1,$B15,BU$1)</f>
        <v>50.09</v>
      </c>
      <c r="BV15" s="110" cm="1">
        <f t="array" ref="BV15">_xll.EQNXTDZ($A$1,$B15,BV$1)</f>
        <v>46.8</v>
      </c>
      <c r="BW15" s="110" cm="1">
        <f t="array" ref="BW15">_xll.EQNXTDZ($A$1,$B15,BW$1)</f>
        <v>48.22</v>
      </c>
      <c r="BX15" s="110" cm="1">
        <f t="array" ref="BX15">_xll.EQNXTDZ($A$1,$B15,BX$1)</f>
        <v>44</v>
      </c>
      <c r="BY15" s="110" cm="1">
        <f t="array" ref="BY15">_xll.EQNXTDZ($A$1,$B15,BY$1)</f>
        <v>53.09</v>
      </c>
      <c r="BZ15" s="110" cm="1">
        <f t="array" ref="BZ15">_xll.EQNXTDZ($A$1,$B15,BZ$1)</f>
        <v>41.91</v>
      </c>
      <c r="CA15" s="110" cm="1">
        <f t="array" ref="CA15">_xll.EQNXTDZ($A$1,$B15,CA$1)</f>
        <v>41.03</v>
      </c>
      <c r="CB15" s="110" cm="1">
        <f t="array" ref="CB15">_xll.EQNXTDZ($A$1,$B15,CB$1)</f>
        <v>47</v>
      </c>
      <c r="CC15" s="110" cm="1">
        <f t="array" ref="CC15">_xll.EQNXTDZ($A$1,$B15,CC$1)</f>
        <v>47.18</v>
      </c>
      <c r="CD15" s="110" cm="1">
        <f t="array" ref="CD15">_xll.EQNXTDZ($A$1,$B15,CD$1)</f>
        <v>47.6</v>
      </c>
      <c r="CE15" s="110" cm="1">
        <f t="array" ref="CE15">_xll.EQNXTDZ($A$1,$B15,CE$1)</f>
        <v>42.59</v>
      </c>
      <c r="CF15" s="110" cm="1">
        <f t="array" ref="CF15">_xll.EQNXTDZ($A$1,$B15,CF$1)</f>
        <v>46.48</v>
      </c>
      <c r="CG15" s="110" cm="1">
        <f t="array" ref="CG15">_xll.EQNXTDZ($A$1,$B15,CG$1)</f>
        <v>50.93</v>
      </c>
      <c r="CH15" s="110" cm="1">
        <f t="array" ref="CH15">_xll.EQNXTDZ($A$1,$B15,CH$1)</f>
        <v>47.76</v>
      </c>
      <c r="CI15" s="110" cm="1">
        <f t="array" ref="CI15">_xll.EQNXTDZ($A$1,$B15,CI$1)</f>
        <v>50.74</v>
      </c>
      <c r="CJ15" s="110" cm="1">
        <f t="array" ref="CJ15">_xll.EQNXTDZ($A$1,$B15,CJ$1)</f>
        <v>44.77</v>
      </c>
      <c r="CK15" s="110" cm="1">
        <f t="array" ref="CK15">_xll.EQNXTDZ($A$1,$B15,CK$1)</f>
        <v>41.43</v>
      </c>
      <c r="CL15" s="110" cm="1">
        <f t="array" ref="CL15">_xll.EQNXTDZ($A$1,$B15,CL$1)</f>
        <v>36</v>
      </c>
      <c r="CM15" s="110" cm="1">
        <f t="array" ref="CM15">_xll.EQNXTDZ($A$1,$B15,CM$1)</f>
        <v>34.11</v>
      </c>
      <c r="CN15" s="110" cm="1">
        <f t="array" ref="CN15">_xll.EQNXTDZ($A$1,$B15,CN$1)</f>
        <v>38.76</v>
      </c>
      <c r="CO15" s="110" cm="1">
        <f t="array" ref="CO15">_xll.EQNXTDZ($A$1,$B15,CO$1)</f>
        <v>41.28</v>
      </c>
      <c r="CP15" s="110" cm="1">
        <f t="array" ref="CP15">_xll.EQNXTDZ($A$1,$B15,CP$1)</f>
        <v>40.04</v>
      </c>
      <c r="CQ15" s="110" cm="1">
        <f t="array" ref="CQ15">_xll.EQNXTDZ($A$1,$B15,CQ$1)</f>
        <v>28.22</v>
      </c>
      <c r="CR15" s="110" cm="1">
        <f t="array" ref="CR15">_xll.EQNXTDZ($A$1,$B15,CR$1)</f>
        <v>14.77</v>
      </c>
      <c r="CS15" s="110" cm="1">
        <f t="array" ref="CS15">_xll.EQNXTDZ($A$1,$B15,CS$1)</f>
        <v>15.92</v>
      </c>
      <c r="CT15" s="110" cm="1">
        <f t="array" ref="CT15">_xll.EQNXTDZ($A$1,$B15,CT$1)</f>
        <v>15.16</v>
      </c>
      <c r="CU15" s="110" cm="1">
        <f t="array" ref="CU15">_xll.EQNXTDZ($A$1,$B15,CU$1)</f>
        <v>17.03</v>
      </c>
      <c r="CV15" s="110" cm="1">
        <f t="array" ref="CV15">_xll.EQNXTDZ($A$1,$B15,CV$1)</f>
        <v>19.68</v>
      </c>
      <c r="CW15" s="110" cm="1">
        <f t="array" ref="CW15">_xll.EQNXTDZ($A$1,$B15,CW$1)</f>
        <v>19.79</v>
      </c>
      <c r="CX15" s="110" cm="1">
        <f t="array" ref="CX15">_xll.EQNXTDZ($A$1,$B15,CX$1)</f>
        <v>16.45</v>
      </c>
      <c r="CY15" s="110" cm="1">
        <f t="array" ref="CY15">_xll.EQNXTDZ($A$1,$B15,CY$1)</f>
        <v>16.88</v>
      </c>
      <c r="CZ15" s="110" cm="1">
        <f t="array" ref="CZ15">_xll.EQNXTDZ($A$1,$B15,CZ$1)</f>
        <v>17.25</v>
      </c>
      <c r="DA15" s="110" cm="1">
        <f t="array" ref="DA15">_xll.EQNXTDZ($A$1,$B15,DA$1)</f>
        <v>20.83</v>
      </c>
      <c r="DB15" s="110" cm="1">
        <f t="array" ref="DB15">_xll.EQNXTDZ($A$1,$B15,DB$1)</f>
        <v>24.77</v>
      </c>
      <c r="DC15" s="110" cm="1">
        <f t="array" ref="DC15">_xll.EQNXTDZ($A$1,$B15,DC$1)</f>
        <v>26.4</v>
      </c>
      <c r="DD15" s="110" cm="1">
        <f t="array" ref="DD15">_xll.EQNXTDZ($A$1,$B15,DD$1)</f>
        <v>27.41</v>
      </c>
      <c r="DE15" s="110" cm="1">
        <f t="array" ref="DE15">_xll.EQNXTDZ($A$1,$B15,DE$1)</f>
        <v>24.87</v>
      </c>
      <c r="DF15" s="110" cm="1">
        <f t="array" ref="DF15">_xll.EQNXTDZ($A$1,$B15,DF$1)</f>
        <v>27.16</v>
      </c>
      <c r="DG15" s="110" cm="1">
        <f t="array" ref="DG15">_xll.EQNXTDZ($A$1,$B15,DG$1)</f>
        <v>28.3</v>
      </c>
      <c r="DH15" s="110" cm="1">
        <f t="array" ref="DH15">_xll.EQNXTDZ($A$1,$B15,DH$1)</f>
        <v>28.42</v>
      </c>
      <c r="DI15" s="110" cm="1">
        <f t="array" ref="DI15">_xll.EQNXTDZ($A$1,$B15,DI$1)</f>
        <v>29.73</v>
      </c>
      <c r="DJ15" s="110" cm="1">
        <f t="array" ref="DJ15">_xll.EQNXTDZ($A$1,$B15,DJ$1)</f>
        <v>30.4</v>
      </c>
      <c r="DK15" s="110" cm="1">
        <f t="array" ref="DK15">_xll.EQNXTDZ($A$1,$B15,DK$1)</f>
        <v>34</v>
      </c>
      <c r="DL15" s="110" cm="1">
        <f t="array" ref="DL15">_xll.EQNXTDZ($A$1,$B15,DL$1)</f>
        <v>39.03</v>
      </c>
      <c r="DM15" s="110" cm="1">
        <f t="array" ref="DM15">_xll.EQNXTDZ($A$1,$B15,DM$1)</f>
        <v>37.35</v>
      </c>
      <c r="DN15" s="110" cm="1">
        <f t="array" ref="DN15">_xll.EQNXTDZ($A$1,$B15,DN$1)</f>
        <v>39.72</v>
      </c>
      <c r="DO15" s="110" cm="1">
        <f t="array" ref="DO15">_xll.EQNXTDZ($A$1,$B15,DO$1)</f>
        <v>41.45</v>
      </c>
      <c r="DP15" s="110" cm="1">
        <f t="array" ref="DP15">_xll.EQNXTDZ($A$1,$B15,DP$1)</f>
        <v>39.299999999999997</v>
      </c>
      <c r="DQ15" s="110" cm="1">
        <f t="array" ref="DQ15">_xll.EQNXTDZ($A$1,$B15,DQ$1)</f>
        <v>45.27</v>
      </c>
      <c r="DR15" s="110" cm="1">
        <f t="array" ref="DR15">_xll.EQNXTDZ($A$1,$B15,DR$1)</f>
        <v>36.74</v>
      </c>
      <c r="DS15" s="110" cm="1">
        <f t="array" ref="DS15">_xll.EQNXTDZ($A$1,$B15,DS$1)</f>
        <v>34.340000000000003</v>
      </c>
      <c r="DT15" s="110" cm="1">
        <f t="array" ref="DT15">_xll.EQNXTDZ($A$1,$B15,DT$1)</f>
        <v>35.700000000000003</v>
      </c>
      <c r="DU15" s="110" cm="1">
        <f t="array" ref="DU15">_xll.EQNXTDZ($A$1,$B15,DU$1)</f>
        <v>43.82</v>
      </c>
      <c r="DV15" s="110" cm="1">
        <f t="array" ref="DV15">_xll.EQNXTDZ($A$1,$B15,DV$1)</f>
        <v>41.49</v>
      </c>
      <c r="DW15" s="110" cm="1">
        <f t="array" ref="DW15">_xll.EQNXTDZ($A$1,$B15,DW$1)</f>
        <v>44.1</v>
      </c>
      <c r="DX15" s="110" cm="1">
        <f t="array" ref="DX15">_xll.EQNXTDZ($A$1,$B15,DX$1)</f>
        <v>57.6</v>
      </c>
      <c r="DY15" s="110" cm="1">
        <f t="array" ref="DY15">_xll.EQNXTDZ($A$1,$B15,DY$1)</f>
        <v>57.64</v>
      </c>
      <c r="DZ15" s="110" cm="1">
        <f t="array" ref="DZ15">_xll.EQNXTDZ($A$1,$B15,DZ$1)</f>
        <v>56.75</v>
      </c>
      <c r="EA15" s="110" cm="1">
        <f t="array" ref="EA15">_xll.EQNXTDZ($A$1,$B15,EA$1)</f>
        <v>53.77</v>
      </c>
      <c r="EB15" s="110" cm="1">
        <f t="array" ref="EB15">_xll.EQNXTDZ($A$1,$B15,EB$1)</f>
        <v>54.46</v>
      </c>
      <c r="EC15" s="110" cm="1">
        <f t="array" ref="EC15">_xll.EQNXTDZ($A$1,$B15,EC$1)</f>
        <v>56.28</v>
      </c>
      <c r="ED15" s="110" cm="1">
        <f t="array" ref="ED15">_xll.EQNXTDZ($A$1,$B15,ED$1)</f>
        <v>58.26</v>
      </c>
      <c r="EE15" s="110" cm="1">
        <f t="array" ref="EE15">_xll.EQNXTDZ($A$1,$B15,EE$1)</f>
        <v>58.29</v>
      </c>
      <c r="EF15" s="110" cm="1">
        <f t="array" ref="EF15">_xll.EQNXTDZ($A$1,$B15,EF$1)</f>
        <v>60.47</v>
      </c>
      <c r="EG15" s="110" cm="1">
        <f t="array" ref="EG15">_xll.EQNXTDZ($A$1,$B15,EG$1)</f>
        <v>63.88</v>
      </c>
      <c r="EH15" s="110" cm="1">
        <f t="array" ref="EH15">_xll.EQNXTDZ($A$1,$B15,EH$1)</f>
        <v>64.11</v>
      </c>
      <c r="EI15" s="110" cm="1">
        <f t="array" ref="EI15">_xll.EQNXTDZ($A$1,$B15,EI$1)</f>
        <v>68.44</v>
      </c>
      <c r="EJ15" s="110" cm="1">
        <f t="array" ref="EJ15">_xll.EQNXTDZ($A$1,$B15,EJ$1)</f>
        <v>76.05</v>
      </c>
      <c r="EK15" s="110" cm="1">
        <f t="array" ref="EK15">_xll.EQNXTDZ($A$1,$B15,EK$1)</f>
        <v>80.81</v>
      </c>
      <c r="EL15" s="110" cm="1">
        <f t="array" ref="EL15">_xll.EQNXTDZ($A$1,$B15,EL$1)</f>
        <v>87.7</v>
      </c>
      <c r="EM15" s="110" cm="1">
        <f t="array" ref="EM15">_xll.EQNXTDZ($A$1,$B15,EM$1)</f>
        <v>95.9</v>
      </c>
      <c r="EN15" s="110" cm="1">
        <f t="array" ref="EN15">_xll.EQNXTDZ($A$1,$B15,EN$1)</f>
        <v>105.82</v>
      </c>
      <c r="EO15" s="110" cm="1">
        <f t="array" ref="EO15">_xll.EQNXTDZ($A$1,$B15,EO$1)</f>
        <v>112.58</v>
      </c>
      <c r="EP15" s="110" cm="1">
        <f t="array" ref="EP15">_xll.EQNXTDZ($A$1,$B15,EP$1)</f>
        <v>106.52</v>
      </c>
      <c r="EQ15" s="110" cm="1">
        <f t="array" ref="EQ15">_xll.EQNXTDZ($A$1,$B15,EQ$1)</f>
        <v>99.6</v>
      </c>
      <c r="ER15" s="110" cm="1">
        <f t="array" ref="ER15">_xll.EQNXTDZ($A$1,$B15,ER$1)</f>
        <v>109</v>
      </c>
      <c r="ES15" s="110" cm="1">
        <f t="array" ref="ES15">_xll.EQNXTDZ($A$1,$B15,ES$1)</f>
        <v>104</v>
      </c>
      <c r="ET15" s="110" cm="1">
        <f t="array" ref="ET15">_xll.EQNXTDZ($A$1,$B15,ET$1)</f>
        <v>100.7</v>
      </c>
      <c r="EU15" s="110" cm="1">
        <f t="array" ref="EU15">_xll.EQNXTDZ($A$1,$B15,EU$1)</f>
        <v>93</v>
      </c>
      <c r="EV15" s="110" cm="1">
        <f t="array" ref="EV15">_xll.EQNXTDZ($A$1,$B15,EV$1)</f>
        <v>92.55</v>
      </c>
      <c r="EW15" s="110" cm="1">
        <f t="array" ref="EW15">_xll.EQNXTDZ($A$1,$B15,EW$1)</f>
        <v>98.8</v>
      </c>
      <c r="EX15" s="110" cm="1">
        <f t="array" ref="EX15">_xll.EQNXTDZ($A$1,$B15,EX$1)</f>
        <v>87.75</v>
      </c>
      <c r="EY15" s="110" cm="1">
        <f t="array" ref="EY15">_xll.EQNXTDZ($A$1,$B15,EY$1)</f>
        <v>80.25</v>
      </c>
      <c r="EZ15" s="110" cm="1">
        <f t="array" ref="EZ15">_xll.EQNXTDZ($A$1,$B15,EZ$1)</f>
        <v>78.58</v>
      </c>
      <c r="FA15" s="110" cm="1">
        <f t="array" ref="FA15">_xll.EQNXTDZ($A$1,$B15,FA$1)</f>
        <v>83.36</v>
      </c>
      <c r="FB15" s="110" cm="1">
        <f t="array" ref="FB15">_xll.EQNXTDZ($A$1,$B15,FB$1)</f>
        <v>90.06</v>
      </c>
      <c r="FC15" s="110" cm="1">
        <f t="array" ref="FC15">_xll.EQNXTDZ($A$1,$B15,FC$1)</f>
        <v>104.6</v>
      </c>
      <c r="FD15" s="110" cm="1">
        <f t="array" ref="FD15">_xll.EQNXTDZ($A$1,$B15,FD$1)</f>
        <v>106.05</v>
      </c>
      <c r="FE15" s="110" cm="1">
        <f t="array" ref="FE15">_xll.EQNXTDZ($A$1,$B15,FE$1)</f>
        <v>103.5</v>
      </c>
      <c r="FF15" s="110" cm="1">
        <f t="array" ref="FF15">_xll.EQNXTDZ($A$1,$B15,FF$1)</f>
        <v>104</v>
      </c>
      <c r="FG15" s="110" cm="1">
        <f t="array" ref="FG15">_xll.EQNXTDZ($A$1,$B15,FG$1)</f>
        <v>121.2</v>
      </c>
      <c r="FH15" s="110" cm="1">
        <f t="array" ref="FH15">_xll.EQNXTDZ($A$1,$B15,FH$1)</f>
        <v>136.5</v>
      </c>
      <c r="FI15" s="110" cm="1">
        <f t="array" ref="FI15">_xll.EQNXTDZ($A$1,$B15,FI$1)</f>
        <v>141.05000000000001</v>
      </c>
      <c r="FJ15" s="110" cm="1">
        <f t="array" ref="FJ15">_xll.EQNXTDZ($A$1,$B15,FJ$1)</f>
        <v>146.69999999999999</v>
      </c>
      <c r="FK15" s="110" cm="1">
        <f t="array" ref="FK15">_xll.EQNXTDZ($A$1,$B15,FK$1)</f>
        <v>138.05000000000001</v>
      </c>
      <c r="FL15" s="110" cm="1">
        <f t="array" ref="FL15">_xll.EQNXTDZ($A$1,$B15,FL$1)</f>
        <v>123</v>
      </c>
      <c r="FM15" s="110" cm="1">
        <f t="array" ref="FM15">_xll.EQNXTDZ($A$1,$B15,FM$1)</f>
        <v>121.8</v>
      </c>
      <c r="FN15" s="110" cm="1">
        <f t="array" ref="FN15">_xll.EQNXTDZ($A$1,$B15,FN$1)</f>
        <v>123.7</v>
      </c>
      <c r="FO15" s="110" cm="1">
        <f t="array" ref="FO15">_xll.EQNXTDZ($A$1,$B15,FO$1)</f>
        <v>125.5</v>
      </c>
      <c r="FP15" s="110" cm="1">
        <f t="array" ref="FP15">_xll.EQNXTDZ($A$1,$B15,FP$1)</f>
        <v>0</v>
      </c>
      <c r="FQ15" s="110" cm="1">
        <f t="array" ref="FQ15">_xll.EQNXTDZ($A$1,$B15,FQ$1)</f>
        <v>0</v>
      </c>
      <c r="FR15" s="110" cm="1">
        <f t="array" ref="FR15">_xll.EQNXTDZ($A$1,$B15,FR$1)</f>
        <v>0</v>
      </c>
      <c r="FS15" s="110" cm="1">
        <f t="array" ref="FS15">_xll.EQNXTDZ($A$1,$B15,FS$1)</f>
        <v>0</v>
      </c>
      <c r="FT15" s="110" cm="1">
        <f t="array" ref="FT15">_xll.EQNXTDZ($A$1,$B15,FT$1)</f>
        <v>0</v>
      </c>
      <c r="FU15" s="110" cm="1">
        <f t="array" ref="FU15">_xll.EQNXTDZ($A$1,$B15,FU$1)</f>
        <v>0</v>
      </c>
      <c r="FV15" s="110" cm="1">
        <f t="array" ref="FV15">_xll.EQNXTDZ($A$1,$B15,FV$1)</f>
        <v>0</v>
      </c>
      <c r="FW15" s="110" cm="1">
        <f t="array" ref="FW15">_xll.EQNXTDZ($A$1,$B15,FW$1)</f>
        <v>0</v>
      </c>
      <c r="FX15" s="110" cm="1">
        <f t="array" ref="FX15">_xll.EQNXTDZ($A$1,$B15,FX$1)</f>
        <v>0</v>
      </c>
      <c r="FY15" s="110" cm="1">
        <f t="array" ref="FY15">_xll.EQNXTDZ($A$1,$B15,FY$1)</f>
        <v>0</v>
      </c>
      <c r="FZ15" s="110" cm="1">
        <f t="array" ref="FZ15">_xll.EQNXTDZ($A$1,$B15,FZ$1)</f>
        <v>0</v>
      </c>
      <c r="GA15" s="110" cm="1">
        <f t="array" ref="GA15">_xll.EQNXTDZ($A$1,$B15,GA$1)</f>
        <v>0</v>
      </c>
      <c r="GB15" s="110" cm="1">
        <f t="array" ref="GB15">_xll.EQNXTDZ($A$1,$B15,GB$1)</f>
        <v>0</v>
      </c>
      <c r="GC15" s="110" cm="1">
        <f t="array" ref="GC15">_xll.EQNXTDZ($A$1,$B15,GC$1)</f>
        <v>0</v>
      </c>
      <c r="GD15" s="110" cm="1">
        <f t="array" ref="GD15">_xll.EQNXTDZ($A$1,$B15,GD$1)</f>
        <v>0</v>
      </c>
      <c r="GE15" s="110" cm="1">
        <f t="array" ref="GE15">_xll.EQNXTDZ($A$1,$B15,GE$1)</f>
        <v>0</v>
      </c>
      <c r="GF15" s="110" cm="1">
        <f t="array" ref="GF15">_xll.EQNXTDZ($A$1,$B15,GF$1)</f>
        <v>0</v>
      </c>
      <c r="GG15" s="110" cm="1">
        <f t="array" ref="GG15">_xll.EQNXTDZ($A$1,$B15,GG$1)</f>
        <v>0</v>
      </c>
      <c r="GH15" s="110" cm="1">
        <f t="array" ref="GH15">_xll.EQNXTDZ($A$1,$B15,GH$1)</f>
        <v>0</v>
      </c>
      <c r="GI15" s="110" cm="1">
        <f t="array" ref="GI15">_xll.EQNXTDZ($A$1,$B15,GI$1)</f>
        <v>0</v>
      </c>
      <c r="GJ15" s="110" cm="1">
        <f t="array" ref="GJ15">_xll.EQNXTDZ($A$1,$B15,GJ$1)</f>
        <v>0</v>
      </c>
      <c r="GK15" s="110" cm="1">
        <f t="array" ref="GK15">_xll.EQNXTDZ($A$1,$B15,GK$1)</f>
        <v>0</v>
      </c>
      <c r="GL15" s="110" cm="1">
        <f t="array" ref="GL15">_xll.EQNXTDZ($A$1,$B15,GL$1)</f>
        <v>0</v>
      </c>
      <c r="GM15" s="110" cm="1">
        <f t="array" ref="GM15">_xll.EQNXTDZ($A$1,$B15,GM$1)</f>
        <v>0</v>
      </c>
      <c r="GN15" s="110" cm="1">
        <f t="array" ref="GN15">_xll.EQNXTDZ($A$1,$B15,GN$1)</f>
        <v>0</v>
      </c>
      <c r="GO15" s="110" cm="1">
        <f t="array" ref="GO15">_xll.EQNXTDZ($A$1,$B15,GO$1)</f>
        <v>0</v>
      </c>
      <c r="GP15" s="110" cm="1">
        <f t="array" ref="GP15">_xll.EQNXTDZ($A$1,$B15,GP$1)</f>
        <v>0</v>
      </c>
      <c r="GQ15" s="110" cm="1">
        <f t="array" ref="GQ15">_xll.EQNXTDZ($A$1,$B15,GQ$1)</f>
        <v>0</v>
      </c>
      <c r="GR15" s="110" cm="1">
        <f t="array" ref="GR15">_xll.EQNXTDZ($A$1,$B15,GR$1)</f>
        <v>0</v>
      </c>
      <c r="GS15" s="110" cm="1">
        <f t="array" ref="GS15">_xll.EQNXTDZ($A$1,$B15,GS$1)</f>
        <v>0</v>
      </c>
      <c r="GT15" s="110" cm="1">
        <f t="array" ref="GT15">_xll.EQNXTDZ($A$1,$B15,GT$1)</f>
        <v>0</v>
      </c>
      <c r="GU15" s="110" cm="1">
        <f t="array" ref="GU15">_xll.EQNXTDZ($A$1,$B15,GU$1)</f>
        <v>0</v>
      </c>
      <c r="GV15" s="110" cm="1">
        <f t="array" ref="GV15">_xll.EQNXTDZ($A$1,$B15,GV$1)</f>
        <v>0</v>
      </c>
      <c r="GW15" s="110" cm="1">
        <f t="array" ref="GW15">_xll.EQNXTDZ($A$1,$B15,GW$1)</f>
        <v>0</v>
      </c>
      <c r="GX15" s="110" cm="1">
        <f t="array" ref="GX15">_xll.EQNXTDZ($A$1,$B15,GX$1)</f>
        <v>0</v>
      </c>
      <c r="GY15" s="110" cm="1">
        <f t="array" ref="GY15">_xll.EQNXTDZ($A$1,$B15,GY$1)</f>
        <v>0</v>
      </c>
      <c r="GZ15" s="110" cm="1">
        <f t="array" ref="GZ15">_xll.EQNXTDZ($A$1,$B15,GZ$1)</f>
        <v>0</v>
      </c>
      <c r="HA15" s="110" cm="1">
        <f t="array" ref="HA15">_xll.EQNXTDZ($A$1,$B15,HA$1)</f>
        <v>0</v>
      </c>
      <c r="HB15" s="110" cm="1">
        <f t="array" ref="HB15">_xll.EQNXTDZ($A$1,$B15,HB$1)</f>
        <v>0</v>
      </c>
      <c r="HC15" s="110" cm="1">
        <f t="array" ref="HC15">_xll.EQNXTDZ($A$1,$B15,HC$1)</f>
        <v>0</v>
      </c>
      <c r="HD15" s="110" cm="1">
        <f t="array" ref="HD15">_xll.EQNXTDZ($A$1,$B15,HD$1)</f>
        <v>0</v>
      </c>
      <c r="HE15" s="110" cm="1">
        <f t="array" ref="HE15">_xll.EQNXTDZ($A$1,$B15,HE$1)</f>
        <v>0</v>
      </c>
      <c r="HF15" s="110" cm="1">
        <f t="array" ref="HF15">_xll.EQNXTDZ($A$1,$B15,HF$1)</f>
        <v>0</v>
      </c>
      <c r="HG15" s="110" cm="1">
        <f t="array" ref="HG15">_xll.EQNXTDZ($A$1,$B15,HG$1)</f>
        <v>0</v>
      </c>
      <c r="HH15" s="110" cm="1">
        <f t="array" ref="HH15">_xll.EQNXTDZ($A$1,$B15,HH$1)</f>
        <v>0</v>
      </c>
      <c r="HP15" s="110">
        <f>+MIN(D15:F15)</f>
        <v>59.527807215592297</v>
      </c>
      <c r="HQ15" s="110">
        <f>+MIN(G15:I15)</f>
        <v>68.067907662535106</v>
      </c>
      <c r="HR15" s="110">
        <f>+MIN(J15:L15)</f>
        <v>69.254573100493005</v>
      </c>
      <c r="HS15" s="110">
        <f>+MIN(M15:O15)</f>
        <v>65.188784960604494</v>
      </c>
      <c r="HT15" s="110">
        <f>+MIN(P15:R15)</f>
        <v>36.942256830852898</v>
      </c>
      <c r="HU15" s="110">
        <f>+MIN(S15:U15)</f>
        <v>42.681048702944302</v>
      </c>
      <c r="HV15" s="110">
        <f>+MIN(V15:X15)</f>
        <v>40.657881398885003</v>
      </c>
      <c r="HW15" s="110">
        <f>+MIN(Y15:AA15)</f>
        <v>48.633829424503503</v>
      </c>
      <c r="HX15" s="110">
        <f>+MIN(AB15:AD15)</f>
        <v>65.1985117264894</v>
      </c>
      <c r="HY15" s="110">
        <f>+MIN(AE15:AG15)</f>
        <v>66.939602819886701</v>
      </c>
      <c r="HZ15" s="110">
        <f>+MIN(AH15:AJ15)</f>
        <v>67.396760816476998</v>
      </c>
      <c r="IA15" s="110">
        <f>+MIN(AK15:AM15)</f>
        <v>53.4485785375294</v>
      </c>
      <c r="IB15" s="110">
        <f>+MIN(AN15:AP15)</f>
        <v>48.799184444546803</v>
      </c>
      <c r="IC15" s="110">
        <f>+MIN(AQ15:AS15)</f>
        <v>45.346182555407097</v>
      </c>
      <c r="ID15" s="110">
        <f>+MIN(AT15:AV15)</f>
        <v>30.386416624429799</v>
      </c>
      <c r="IE15" s="110">
        <f>+MIN(AW15:AY15)</f>
        <v>34.199308851310903</v>
      </c>
      <c r="IF15" s="110">
        <f>+MIN(AZ15:BB15)</f>
        <v>42.272524535778501</v>
      </c>
      <c r="IG15" s="110">
        <f>+MIN(BC15:BE15)</f>
        <v>50.384647283785696</v>
      </c>
      <c r="IH15" s="110">
        <f>+MIN(BF15:BH15)</f>
        <v>50.034483711929198</v>
      </c>
      <c r="II15" s="110">
        <f>+MIN(BI15:BK15)</f>
        <v>60.41</v>
      </c>
      <c r="IJ15" s="110">
        <f>+MIN(BL15:BN15)</f>
        <v>61.37</v>
      </c>
      <c r="IK15" s="110">
        <f>+MIN(BO15:BQ15)</f>
        <v>59.37</v>
      </c>
      <c r="IL15" s="110">
        <f>+MIN(BR15:BT15)</f>
        <v>45.07</v>
      </c>
      <c r="IM15" s="110">
        <f>+MIN(BU15:BW15)</f>
        <v>46.8</v>
      </c>
      <c r="IN15" s="110">
        <f>+MIN(BX15:BZ15)</f>
        <v>41.91</v>
      </c>
      <c r="IO15" s="110">
        <f>+MIN(CA15:CC15)</f>
        <v>41.03</v>
      </c>
      <c r="IP15" s="110">
        <f>+MIN(CD15:CF15)</f>
        <v>42.59</v>
      </c>
      <c r="IQ15" s="110">
        <f>+MIN(CG15:CI15)</f>
        <v>47.76</v>
      </c>
      <c r="IR15" s="110">
        <f>+MIN(CJ15:CL15)</f>
        <v>36</v>
      </c>
      <c r="IS15" s="110">
        <f>+MIN(CM15:CO15)</f>
        <v>34.11</v>
      </c>
      <c r="IT15" s="110">
        <f>+MIN(CP15:CR15)</f>
        <v>14.77</v>
      </c>
      <c r="IU15" s="110">
        <f>+MIN(CS15:CU15)</f>
        <v>15.16</v>
      </c>
      <c r="IV15" s="110">
        <f>+MIN(CV15:CX15)</f>
        <v>16.45</v>
      </c>
      <c r="IW15" s="110">
        <f>+MIN(CY15:DA15)</f>
        <v>16.88</v>
      </c>
      <c r="IX15" s="110">
        <f>+MIN(DB15:DD15)</f>
        <v>24.77</v>
      </c>
      <c r="IY15" s="110">
        <f>+MIN(DE15:DG15)</f>
        <v>24.87</v>
      </c>
      <c r="IZ15" s="110">
        <f>+MIN(DH15:DJ15)</f>
        <v>28.42</v>
      </c>
      <c r="JA15" s="110">
        <f>+MIN(DK15:DM15)</f>
        <v>34</v>
      </c>
      <c r="JB15" s="110">
        <f>+MIN(DN15:DP15)</f>
        <v>39.299999999999997</v>
      </c>
      <c r="JC15" s="110">
        <f>+MIN(DQ15:DS15)</f>
        <v>34.340000000000003</v>
      </c>
      <c r="JD15" s="110">
        <f>+MIN(DT15:DV15)</f>
        <v>35.700000000000003</v>
      </c>
      <c r="JE15" s="110">
        <f>+MIN(DW15:DY15)</f>
        <v>44.1</v>
      </c>
      <c r="JF15" s="110">
        <f>+MIN(DZ15:EB15)</f>
        <v>53.77</v>
      </c>
      <c r="JG15" s="110">
        <f>+MIN(EC15:EE15)</f>
        <v>56.28</v>
      </c>
      <c r="JH15" s="110">
        <f>+MIN(EF15:EH15)</f>
        <v>60.47</v>
      </c>
      <c r="JI15" s="110">
        <f>+MIN(EI15:EK15)</f>
        <v>68.44</v>
      </c>
      <c r="JJ15" s="110">
        <f>+MIN(EL15:EN15)</f>
        <v>87.7</v>
      </c>
      <c r="JK15" s="110">
        <f>MIN(EO15:EQ15)</f>
        <v>99.6</v>
      </c>
      <c r="JL15" s="110">
        <f>MIN(ER15:ET15)</f>
        <v>100.7</v>
      </c>
      <c r="JM15" s="110">
        <f>MIN(EU15:EW15)</f>
        <v>92.55</v>
      </c>
      <c r="JN15" s="110">
        <f>MIN(EX15:EZ15)</f>
        <v>78.58</v>
      </c>
      <c r="JO15" s="110">
        <f>MIN(FA15:FC15)</f>
        <v>83.36</v>
      </c>
      <c r="JP15" s="110">
        <f>MIN(FD15:FF15)</f>
        <v>103.5</v>
      </c>
      <c r="JQ15" s="110">
        <f>MIN(FG15:FI15)</f>
        <v>121.2</v>
      </c>
      <c r="JR15" s="110">
        <f>MIN(FJ15:FL15)</f>
        <v>123</v>
      </c>
      <c r="JS15" s="110">
        <f>MIN(FM15:FO15)</f>
        <v>121.8</v>
      </c>
      <c r="JT15" s="110">
        <f>MIN(FP15:FR15)</f>
        <v>0</v>
      </c>
      <c r="JU15" s="110">
        <f>MIN(FS15:FU15)</f>
        <v>0</v>
      </c>
      <c r="JV15" s="110">
        <f>MIN(FV15:FX15)</f>
        <v>0</v>
      </c>
      <c r="JW15" s="110">
        <f>MIN(FY15:GA15)</f>
        <v>0</v>
      </c>
      <c r="JX15" s="110">
        <f>MIN(GB15:GD15)</f>
        <v>0</v>
      </c>
      <c r="JY15" s="110">
        <f>MIN(GE15:GG15)</f>
        <v>0</v>
      </c>
      <c r="JZ15" s="110">
        <f>MIN(GH15:GJ15)</f>
        <v>0</v>
      </c>
      <c r="KA15" s="110">
        <f>MIN(GK15:GM15)</f>
        <v>0</v>
      </c>
      <c r="KB15" s="110">
        <f>MIN(GN15:GP15)</f>
        <v>0</v>
      </c>
      <c r="KC15" s="110">
        <f>MIN(GQ15:GS15)</f>
        <v>0</v>
      </c>
      <c r="KD15" s="110">
        <f>MIN(GT15:GV15)</f>
        <v>0</v>
      </c>
      <c r="KE15" s="110">
        <f>MIN(GW15:GY15)</f>
        <v>0</v>
      </c>
      <c r="KF15" s="110">
        <f>MIN(GZ15:HB15)</f>
        <v>0</v>
      </c>
      <c r="KG15" s="110">
        <f>MIN(HC15:HE15)</f>
        <v>0</v>
      </c>
      <c r="KH15" s="110">
        <f>MIN(HF15:HH15)</f>
        <v>0</v>
      </c>
    </row>
    <row r="16" spans="1:294" s="110" customFormat="1" x14ac:dyDescent="0.25">
      <c r="A16" s="110" t="s">
        <v>41</v>
      </c>
      <c r="B16" s="110" t="s">
        <v>339</v>
      </c>
      <c r="C16" s="110" cm="1">
        <f t="array" ref="C16">_xll.EQNXTDZ($A$1,$B16,C$1)</f>
        <v>80.226365018660999</v>
      </c>
      <c r="D16" s="110" cm="1">
        <f t="array" ref="D16">_xll.EQNXTDZ($A$1,$B16,D$1)</f>
        <v>71.151292448048693</v>
      </c>
      <c r="E16" s="110" cm="1">
        <f t="array" ref="E16">_xll.EQNXTDZ($A$1,$B16,E$1)</f>
        <v>61.6676957102705</v>
      </c>
      <c r="F16" s="110" cm="1">
        <f t="array" ref="F16">_xll.EQNXTDZ($A$1,$B16,F$1)</f>
        <v>83.873902225498796</v>
      </c>
      <c r="G16" s="110" cm="1">
        <f t="array" ref="G16">_xll.EQNXTDZ($A$1,$B16,G$1)</f>
        <v>78.154563885177197</v>
      </c>
      <c r="H16" s="110" cm="1">
        <f t="array" ref="H16">_xll.EQNXTDZ($A$1,$B16,H$1)</f>
        <v>90.420015666037003</v>
      </c>
      <c r="I16" s="110" cm="1">
        <f t="array" ref="I16">_xll.EQNXTDZ($A$1,$B16,I$1)</f>
        <v>96.392249919365995</v>
      </c>
      <c r="J16" s="110" cm="1">
        <f t="array" ref="J16">_xll.EQNXTDZ($A$1,$B16,J$1)</f>
        <v>93.590941344514604</v>
      </c>
      <c r="K16" s="110" cm="1">
        <f t="array" ref="K16">_xll.EQNXTDZ($A$1,$B16,K$1)</f>
        <v>80.936418928258803</v>
      </c>
      <c r="L16" s="110" cm="1">
        <f t="array" ref="L16">_xll.EQNXTDZ($A$1,$B16,L$1)</f>
        <v>74.789102889001498</v>
      </c>
      <c r="M16" s="110" cm="1">
        <f t="array" ref="M16">_xll.EQNXTDZ($A$1,$B16,M$1)</f>
        <v>80.644615951711799</v>
      </c>
      <c r="N16" s="110" cm="1">
        <f t="array" ref="N16">_xll.EQNXTDZ($A$1,$B16,N$1)</f>
        <v>79.934562042113996</v>
      </c>
      <c r="O16" s="110" cm="1">
        <f t="array" ref="O16">_xll.EQNXTDZ($A$1,$B16,O$1)</f>
        <v>70.100801732479397</v>
      </c>
      <c r="P16" s="110" cm="1">
        <f t="array" ref="P16">_xll.EQNXTDZ($A$1,$B16,P$1)</f>
        <v>53.399944708104897</v>
      </c>
      <c r="Q16" s="110" cm="1">
        <f t="array" ref="Q16">_xll.EQNXTDZ($A$1,$B16,Q$1)</f>
        <v>39.383675067962997</v>
      </c>
      <c r="R16" s="110" cm="1">
        <f t="array" ref="R16">_xll.EQNXTDZ($A$1,$B16,R$1)</f>
        <v>43.060392572455399</v>
      </c>
      <c r="S16" s="110" cm="1">
        <f t="array" ref="S16">_xll.EQNXTDZ($A$1,$B16,S$1)</f>
        <v>50.190111966087599</v>
      </c>
      <c r="T16" s="110" cm="1">
        <f t="array" ref="T16">_xll.EQNXTDZ($A$1,$B16,T$1)</f>
        <v>48.3322996820716</v>
      </c>
      <c r="U16" s="110" cm="1">
        <f t="array" ref="U16">_xll.EQNXTDZ($A$1,$B16,U$1)</f>
        <v>54.888139888494699</v>
      </c>
      <c r="V16" s="110" cm="1">
        <f t="array" ref="V16">_xll.EQNXTDZ($A$1,$B16,V$1)</f>
        <v>43.0506658065705</v>
      </c>
      <c r="W16" s="110" cm="1">
        <f t="array" ref="W16">_xll.EQNXTDZ($A$1,$B16,W$1)</f>
        <v>42.048808920425799</v>
      </c>
      <c r="X16" s="110" cm="1">
        <f t="array" ref="X16">_xll.EQNXTDZ($A$1,$B16,X$1)</f>
        <v>51.425411233470001</v>
      </c>
      <c r="Y16" s="110" cm="1">
        <f t="array" ref="Y16">_xll.EQNXTDZ($A$1,$B16,Y$1)</f>
        <v>55.530106436898102</v>
      </c>
      <c r="Z16" s="110" cm="1">
        <f t="array" ref="Z16">_xll.EQNXTDZ($A$1,$B16,Z$1)</f>
        <v>80.761337142330603</v>
      </c>
      <c r="AA16" s="110" cm="1">
        <f t="array" ref="AA16">_xll.EQNXTDZ($A$1,$B16,AA$1)</f>
        <v>89.914223840022103</v>
      </c>
      <c r="AB16" s="110" cm="1">
        <f t="array" ref="AB16">_xll.EQNXTDZ($A$1,$B16,AB$1)</f>
        <v>77.736312952126397</v>
      </c>
      <c r="AC16" s="110" cm="1">
        <f t="array" ref="AC16">_xll.EQNXTDZ($A$1,$B16,AC$1)</f>
        <v>73.602437451043599</v>
      </c>
      <c r="AD16" s="110" cm="1">
        <f t="array" ref="AD16">_xll.EQNXTDZ($A$1,$B16,AD$1)</f>
        <v>68.135995023729507</v>
      </c>
      <c r="AE16" s="110" cm="1">
        <f t="array" ref="AE16">_xll.EQNXTDZ($A$1,$B16,AE$1)</f>
        <v>78.125383587522506</v>
      </c>
      <c r="AF16" s="110" cm="1">
        <f t="array" ref="AF16">_xll.EQNXTDZ($A$1,$B16,AF$1)</f>
        <v>80.197184721006295</v>
      </c>
      <c r="AG16" s="110" cm="1">
        <f t="array" ref="AG16">_xll.EQNXTDZ($A$1,$B16,AG$1)</f>
        <v>87.307450582868697</v>
      </c>
      <c r="AH16" s="110" cm="1">
        <f t="array" ref="AH16">_xll.EQNXTDZ($A$1,$B16,AH$1)</f>
        <v>86.198599271990105</v>
      </c>
      <c r="AI16" s="110" cm="1">
        <f t="array" ref="AI16">_xll.EQNXTDZ($A$1,$B16,AI$1)</f>
        <v>80.819697737639999</v>
      </c>
      <c r="AJ16" s="110" cm="1">
        <f t="array" ref="AJ16">_xll.EQNXTDZ($A$1,$B16,AJ$1)</f>
        <v>71.569543381099393</v>
      </c>
      <c r="AK16" s="110" cm="1">
        <f t="array" ref="AK16">_xll.EQNXTDZ($A$1,$B16,AK$1)</f>
        <v>73.612164216928505</v>
      </c>
      <c r="AL16" s="110" cm="1">
        <f t="array" ref="AL16">_xll.EQNXTDZ($A$1,$B16,AL$1)</f>
        <v>66.754794268073496</v>
      </c>
      <c r="AM16" s="110" cm="1">
        <f t="array" ref="AM16">_xll.EQNXTDZ($A$1,$B16,AM$1)</f>
        <v>54.071091554162997</v>
      </c>
      <c r="AN16" s="110" cm="1">
        <f t="array" ref="AN16">_xll.EQNXTDZ($A$1,$B16,AN$1)</f>
        <v>53.740381514076397</v>
      </c>
      <c r="AO16" s="110" cm="1">
        <f t="array" ref="AO16">_xll.EQNXTDZ($A$1,$B16,AO$1)</f>
        <v>55.607920563977302</v>
      </c>
      <c r="AP16" s="110" cm="1">
        <f t="array" ref="AP16">_xll.EQNXTDZ($A$1,$B16,AP$1)</f>
        <v>54.411528360134497</v>
      </c>
      <c r="AQ16" s="110" cm="1">
        <f t="array" ref="AQ16">_xll.EQNXTDZ($A$1,$B16,AQ$1)</f>
        <v>53.896009768234798</v>
      </c>
      <c r="AR16" s="110" cm="1">
        <f t="array" ref="AR16">_xll.EQNXTDZ($A$1,$B16,AR$1)</f>
        <v>53.049781136248399</v>
      </c>
      <c r="AS16" s="110" cm="1">
        <f t="array" ref="AS16">_xll.EQNXTDZ($A$1,$B16,AS$1)</f>
        <v>45.453176980141002</v>
      </c>
      <c r="AT16" s="110" cm="1">
        <f t="array" ref="AT16">_xll.EQNXTDZ($A$1,$B16,AT$1)</f>
        <v>37.739851633414702</v>
      </c>
      <c r="AU16" s="110" cm="1">
        <f t="array" ref="AU16">_xll.EQNXTDZ($A$1,$B16,AU$1)</f>
        <v>30.8435746210201</v>
      </c>
      <c r="AV16" s="110" cm="1">
        <f t="array" ref="AV16">_xll.EQNXTDZ($A$1,$B16,AV$1)</f>
        <v>36.932530064967999</v>
      </c>
      <c r="AW16" s="110" cm="1">
        <f t="array" ref="AW16">_xll.EQNXTDZ($A$1,$B16,AW$1)</f>
        <v>40.074275445790903</v>
      </c>
      <c r="AX16" s="110" cm="1">
        <f t="array" ref="AX16">_xll.EQNXTDZ($A$1,$B16,AX$1)</f>
        <v>39.986734552826803</v>
      </c>
      <c r="AY16" s="110" cm="1">
        <f t="array" ref="AY16">_xll.EQNXTDZ($A$1,$B16,AY$1)</f>
        <v>42.496240151131197</v>
      </c>
      <c r="AZ16" s="110" cm="1">
        <f t="array" ref="AZ16">_xll.EQNXTDZ($A$1,$B16,AZ$1)</f>
        <v>48.867271805741098</v>
      </c>
      <c r="BA16" s="110" cm="1">
        <f t="array" ref="BA16">_xll.EQNXTDZ($A$1,$B16,BA$1)</f>
        <v>54.528249550753401</v>
      </c>
      <c r="BB16" s="110" cm="1">
        <f t="array" ref="BB16">_xll.EQNXTDZ($A$1,$B16,BB$1)</f>
        <v>59.984965212182701</v>
      </c>
      <c r="BC16" s="110" cm="1">
        <f t="array" ref="BC16">_xll.EQNXTDZ($A$1,$B16,BC$1)</f>
        <v>61.132723586600903</v>
      </c>
      <c r="BD16" s="110" cm="1">
        <f t="array" ref="BD16">_xll.EQNXTDZ($A$1,$B16,BD$1)</f>
        <v>61.901138091508102</v>
      </c>
      <c r="BE16" s="110" cm="1">
        <f t="array" ref="BE16">_xll.EQNXTDZ($A$1,$B16,BE$1)</f>
        <v>51.133608256922997</v>
      </c>
      <c r="BF16" s="110" cm="1">
        <f t="array" ref="BF16">_xll.EQNXTDZ($A$1,$B16,BF$1)</f>
        <v>55.355024650969902</v>
      </c>
      <c r="BG16" s="110" cm="1">
        <f t="array" ref="BG16">_xll.EQNXTDZ($A$1,$B16,BG$1)</f>
        <v>59.05</v>
      </c>
      <c r="BH16" s="110" cm="1">
        <f t="array" ref="BH16">_xll.EQNXTDZ($A$1,$B16,BH$1)</f>
        <v>60.6</v>
      </c>
      <c r="BI16" s="110" cm="1">
        <f t="array" ref="BI16">_xll.EQNXTDZ($A$1,$B16,BI$1)</f>
        <v>70.95</v>
      </c>
      <c r="BJ16" s="110" cm="1">
        <f t="array" ref="BJ16">_xll.EQNXTDZ($A$1,$B16,BJ$1)</f>
        <v>70.150000000000006</v>
      </c>
      <c r="BK16" s="110" cm="1">
        <f t="array" ref="BK16">_xll.EQNXTDZ($A$1,$B16,BK$1)</f>
        <v>65.8</v>
      </c>
      <c r="BL16" s="110" cm="1">
        <f t="array" ref="BL16">_xll.EQNXTDZ($A$1,$B16,BL$1)</f>
        <v>73.62</v>
      </c>
      <c r="BM16" s="110" cm="1">
        <f t="array" ref="BM16">_xll.EQNXTDZ($A$1,$B16,BM$1)</f>
        <v>67.84</v>
      </c>
      <c r="BN16" s="110" cm="1">
        <f t="array" ref="BN16">_xll.EQNXTDZ($A$1,$B16,BN$1)</f>
        <v>61.61</v>
      </c>
      <c r="BO16" s="110" cm="1">
        <f t="array" ref="BO16">_xll.EQNXTDZ($A$1,$B16,BO$1)</f>
        <v>80.95</v>
      </c>
      <c r="BP16" s="110" cm="1">
        <f t="array" ref="BP16">_xll.EQNXTDZ($A$1,$B16,BP$1)</f>
        <v>74.680000000000007</v>
      </c>
      <c r="BQ16" s="110" cm="1">
        <f t="array" ref="BQ16">_xll.EQNXTDZ($A$1,$B16,BQ$1)</f>
        <v>72.180000000000007</v>
      </c>
      <c r="BR16" s="110" cm="1">
        <f t="array" ref="BR16">_xll.EQNXTDZ($A$1,$B16,BR$1)</f>
        <v>68.25</v>
      </c>
      <c r="BS16" s="110" cm="1">
        <f t="array" ref="BS16">_xll.EQNXTDZ($A$1,$B16,BS$1)</f>
        <v>59.86</v>
      </c>
      <c r="BT16" s="110" cm="1">
        <f t="array" ref="BT16">_xll.EQNXTDZ($A$1,$B16,BT$1)</f>
        <v>52.85</v>
      </c>
      <c r="BU16" s="110" cm="1">
        <f t="array" ref="BU16">_xll.EQNXTDZ($A$1,$B16,BU$1)</f>
        <v>53.16</v>
      </c>
      <c r="BV16" s="110" cm="1">
        <f t="array" ref="BV16">_xll.EQNXTDZ($A$1,$B16,BV$1)</f>
        <v>51.44</v>
      </c>
      <c r="BW16" s="110" cm="1">
        <f t="array" ref="BW16">_xll.EQNXTDZ($A$1,$B16,BW$1)</f>
        <v>50.32</v>
      </c>
      <c r="BX16" s="110" cm="1">
        <f t="array" ref="BX16">_xll.EQNXTDZ($A$1,$B16,BX$1)</f>
        <v>56.89</v>
      </c>
      <c r="BY16" s="110" cm="1">
        <f t="array" ref="BY16">_xll.EQNXTDZ($A$1,$B16,BY$1)</f>
        <v>56.83</v>
      </c>
      <c r="BZ16" s="110" cm="1">
        <f t="array" ref="BZ16">_xll.EQNXTDZ($A$1,$B16,BZ$1)</f>
        <v>44.17</v>
      </c>
      <c r="CA16" s="110" cm="1">
        <f t="array" ref="CA16">_xll.EQNXTDZ($A$1,$B16,CA$1)</f>
        <v>52.39</v>
      </c>
      <c r="CB16" s="110" cm="1">
        <f t="array" ref="CB16">_xll.EQNXTDZ($A$1,$B16,CB$1)</f>
        <v>51.13</v>
      </c>
      <c r="CC16" s="110" cm="1">
        <f t="array" ref="CC16">_xll.EQNXTDZ($A$1,$B16,CC$1)</f>
        <v>55</v>
      </c>
      <c r="CD16" s="110" cm="1">
        <f t="array" ref="CD16">_xll.EQNXTDZ($A$1,$B16,CD$1)</f>
        <v>50.01</v>
      </c>
      <c r="CE16" s="110" cm="1">
        <f t="array" ref="CE16">_xll.EQNXTDZ($A$1,$B16,CE$1)</f>
        <v>46.3</v>
      </c>
      <c r="CF16" s="110" cm="1">
        <f t="array" ref="CF16">_xll.EQNXTDZ($A$1,$B16,CF$1)</f>
        <v>58.39</v>
      </c>
      <c r="CG16" s="110" cm="1">
        <f t="array" ref="CG16">_xll.EQNXTDZ($A$1,$B16,CG$1)</f>
        <v>52.06</v>
      </c>
      <c r="CH16" s="110" cm="1">
        <f t="array" ref="CH16">_xll.EQNXTDZ($A$1,$B16,CH$1)</f>
        <v>53.52</v>
      </c>
      <c r="CI16" s="110" cm="1">
        <f t="array" ref="CI16">_xll.EQNXTDZ($A$1,$B16,CI$1)</f>
        <v>56.88</v>
      </c>
      <c r="CJ16" s="110" cm="1">
        <f t="array" ref="CJ16">_xll.EQNXTDZ($A$1,$B16,CJ$1)</f>
        <v>47.26</v>
      </c>
      <c r="CK16" s="110" cm="1">
        <f t="array" ref="CK16">_xll.EQNXTDZ($A$1,$B16,CK$1)</f>
        <v>44.11</v>
      </c>
      <c r="CL16" s="110" cm="1">
        <f t="array" ref="CL16">_xll.EQNXTDZ($A$1,$B16,CL$1)</f>
        <v>36.46</v>
      </c>
      <c r="CM16" s="110" cm="1">
        <f t="array" ref="CM16">_xll.EQNXTDZ($A$1,$B16,CM$1)</f>
        <v>40.729999999999997</v>
      </c>
      <c r="CN16" s="110" cm="1">
        <f t="array" ref="CN16">_xll.EQNXTDZ($A$1,$B16,CN$1)</f>
        <v>45.44</v>
      </c>
      <c r="CO16" s="110" cm="1">
        <f t="array" ref="CO16">_xll.EQNXTDZ($A$1,$B16,CO$1)</f>
        <v>44.26</v>
      </c>
      <c r="CP16" s="110" cm="1">
        <f t="array" ref="CP16">_xll.EQNXTDZ($A$1,$B16,CP$1)</f>
        <v>40.5</v>
      </c>
      <c r="CQ16" s="110" cm="1">
        <f t="array" ref="CQ16">_xll.EQNXTDZ($A$1,$B16,CQ$1)</f>
        <v>28.81</v>
      </c>
      <c r="CR16" s="110" cm="1">
        <f t="array" ref="CR16">_xll.EQNXTDZ($A$1,$B16,CR$1)</f>
        <v>18.079999999999998</v>
      </c>
      <c r="CS16" s="110" cm="1">
        <f t="array" ref="CS16">_xll.EQNXTDZ($A$1,$B16,CS$1)</f>
        <v>17.579999999999998</v>
      </c>
      <c r="CT16" s="110" cm="1">
        <f t="array" ref="CT16">_xll.EQNXTDZ($A$1,$B16,CT$1)</f>
        <v>16.75</v>
      </c>
      <c r="CU16" s="110" cm="1">
        <f t="array" ref="CU16">_xll.EQNXTDZ($A$1,$B16,CU$1)</f>
        <v>20.12</v>
      </c>
      <c r="CV16" s="110" cm="1">
        <f t="array" ref="CV16">_xll.EQNXTDZ($A$1,$B16,CV$1)</f>
        <v>20.36</v>
      </c>
      <c r="CW16" s="110" cm="1">
        <f t="array" ref="CW16">_xll.EQNXTDZ($A$1,$B16,CW$1)</f>
        <v>21.53</v>
      </c>
      <c r="CX16" s="110" cm="1">
        <f t="array" ref="CX16">_xll.EQNXTDZ($A$1,$B16,CX$1)</f>
        <v>17.78</v>
      </c>
      <c r="CY16" s="110" cm="1">
        <f t="array" ref="CY16">_xll.EQNXTDZ($A$1,$B16,CY$1)</f>
        <v>17.239999999999998</v>
      </c>
      <c r="CZ16" s="110" cm="1">
        <f t="array" ref="CZ16">_xll.EQNXTDZ($A$1,$B16,CZ$1)</f>
        <v>20.75</v>
      </c>
      <c r="DA16" s="110" cm="1">
        <f t="array" ref="DA16">_xll.EQNXTDZ($A$1,$B16,DA$1)</f>
        <v>25.79</v>
      </c>
      <c r="DB16" s="110" cm="1">
        <f t="array" ref="DB16">_xll.EQNXTDZ($A$1,$B16,DB$1)</f>
        <v>26.4</v>
      </c>
      <c r="DC16" s="110" cm="1">
        <f t="array" ref="DC16">_xll.EQNXTDZ($A$1,$B16,DC$1)</f>
        <v>31.4</v>
      </c>
      <c r="DD16" s="110" cm="1">
        <f t="array" ref="DD16">_xll.EQNXTDZ($A$1,$B16,DD$1)</f>
        <v>30.45</v>
      </c>
      <c r="DE16" s="110" cm="1">
        <f t="array" ref="DE16">_xll.EQNXTDZ($A$1,$B16,DE$1)</f>
        <v>27.77</v>
      </c>
      <c r="DF16" s="110" cm="1">
        <f t="array" ref="DF16">_xll.EQNXTDZ($A$1,$B16,DF$1)</f>
        <v>32.15</v>
      </c>
      <c r="DG16" s="110" cm="1">
        <f t="array" ref="DG16">_xll.EQNXTDZ($A$1,$B16,DG$1)</f>
        <v>30.37</v>
      </c>
      <c r="DH16" s="110" cm="1">
        <f t="array" ref="DH16">_xll.EQNXTDZ($A$1,$B16,DH$1)</f>
        <v>30.65</v>
      </c>
      <c r="DI16" s="110" cm="1">
        <f t="array" ref="DI16">_xll.EQNXTDZ($A$1,$B16,DI$1)</f>
        <v>31.82</v>
      </c>
      <c r="DJ16" s="110" cm="1">
        <f t="array" ref="DJ16">_xll.EQNXTDZ($A$1,$B16,DJ$1)</f>
        <v>34.6</v>
      </c>
      <c r="DK16" s="110" cm="1">
        <f t="array" ref="DK16">_xll.EQNXTDZ($A$1,$B16,DK$1)</f>
        <v>42.9</v>
      </c>
      <c r="DL16" s="110" cm="1">
        <f t="array" ref="DL16">_xll.EQNXTDZ($A$1,$B16,DL$1)</f>
        <v>39.81</v>
      </c>
      <c r="DM16" s="110" cm="1">
        <f t="array" ref="DM16">_xll.EQNXTDZ($A$1,$B16,DM$1)</f>
        <v>39.979999999999997</v>
      </c>
      <c r="DN16" s="110" cm="1">
        <f t="array" ref="DN16">_xll.EQNXTDZ($A$1,$B16,DN$1)</f>
        <v>50.62</v>
      </c>
      <c r="DO16" s="110" cm="1">
        <f t="array" ref="DO16">_xll.EQNXTDZ($A$1,$B16,DO$1)</f>
        <v>43.93</v>
      </c>
      <c r="DP16" s="110" cm="1">
        <f t="array" ref="DP16">_xll.EQNXTDZ($A$1,$B16,DP$1)</f>
        <v>45.52</v>
      </c>
      <c r="DQ16" s="110" cm="1">
        <f t="array" ref="DQ16">_xll.EQNXTDZ($A$1,$B16,DQ$1)</f>
        <v>45.93</v>
      </c>
      <c r="DR16" s="110" cm="1">
        <f t="array" ref="DR16">_xll.EQNXTDZ($A$1,$B16,DR$1)</f>
        <v>40.99</v>
      </c>
      <c r="DS16" s="110" cm="1">
        <f t="array" ref="DS16">_xll.EQNXTDZ($A$1,$B16,DS$1)</f>
        <v>36.25</v>
      </c>
      <c r="DT16" s="110" cm="1">
        <f t="array" ref="DT16">_xll.EQNXTDZ($A$1,$B16,DT$1)</f>
        <v>44.4</v>
      </c>
      <c r="DU16" s="110" cm="1">
        <f t="array" ref="DU16">_xll.EQNXTDZ($A$1,$B16,DU$1)</f>
        <v>48.22</v>
      </c>
      <c r="DV16" s="110" cm="1">
        <f t="array" ref="DV16">_xll.EQNXTDZ($A$1,$B16,DV$1)</f>
        <v>45.74</v>
      </c>
      <c r="DW16" s="110" cm="1">
        <f t="array" ref="DW16">_xll.EQNXTDZ($A$1,$B16,DW$1)</f>
        <v>58.05</v>
      </c>
      <c r="DX16" s="110" cm="1">
        <f t="array" ref="DX16">_xll.EQNXTDZ($A$1,$B16,DX$1)</f>
        <v>62.96</v>
      </c>
      <c r="DY16" s="110" cm="1">
        <f t="array" ref="DY16">_xll.EQNXTDZ($A$1,$B16,DY$1)</f>
        <v>66.709999999999994</v>
      </c>
      <c r="DZ16" s="110" cm="1">
        <f t="array" ref="DZ16">_xll.EQNXTDZ($A$1,$B16,DZ$1)</f>
        <v>60.76</v>
      </c>
      <c r="EA16" s="110" cm="1">
        <f t="array" ref="EA16">_xll.EQNXTDZ($A$1,$B16,EA$1)</f>
        <v>55.89</v>
      </c>
      <c r="EB16" s="110" cm="1">
        <f t="array" ref="EB16">_xll.EQNXTDZ($A$1,$B16,EB$1)</f>
        <v>56.9</v>
      </c>
      <c r="EC16" s="110" cm="1">
        <f t="array" ref="EC16">_xll.EQNXTDZ($A$1,$B16,EC$1)</f>
        <v>63.47</v>
      </c>
      <c r="ED16" s="110" cm="1">
        <f t="array" ref="ED16">_xll.EQNXTDZ($A$1,$B16,ED$1)</f>
        <v>61.93</v>
      </c>
      <c r="EE16" s="110" cm="1">
        <f t="array" ref="EE16">_xll.EQNXTDZ($A$1,$B16,EE$1)</f>
        <v>60.36</v>
      </c>
      <c r="EF16" s="110" cm="1">
        <f t="array" ref="EF16">_xll.EQNXTDZ($A$1,$B16,EF$1)</f>
        <v>68.86</v>
      </c>
      <c r="EG16" s="110" cm="1">
        <f t="array" ref="EG16">_xll.EQNXTDZ($A$1,$B16,EG$1)</f>
        <v>64.099999999999994</v>
      </c>
      <c r="EH16" s="110" cm="1">
        <f t="array" ref="EH16">_xll.EQNXTDZ($A$1,$B16,EH$1)</f>
        <v>75.27</v>
      </c>
      <c r="EI16" s="110" cm="1">
        <f t="array" ref="EI16">_xll.EQNXTDZ($A$1,$B16,EI$1)</f>
        <v>76.849999999999994</v>
      </c>
      <c r="EJ16" s="110" cm="1">
        <f t="array" ref="EJ16">_xll.EQNXTDZ($A$1,$B16,EJ$1)</f>
        <v>80.680000000000007</v>
      </c>
      <c r="EK16" s="110" cm="1">
        <f t="array" ref="EK16">_xll.EQNXTDZ($A$1,$B16,EK$1)</f>
        <v>87.54</v>
      </c>
      <c r="EL16" s="110" cm="1">
        <f t="array" ref="EL16">_xll.EQNXTDZ($A$1,$B16,EL$1)</f>
        <v>96.37</v>
      </c>
      <c r="EM16" s="110" cm="1">
        <f t="array" ref="EM16">_xll.EQNXTDZ($A$1,$B16,EM$1)</f>
        <v>112.99</v>
      </c>
      <c r="EN16" s="110" cm="1">
        <f t="array" ref="EN16">_xll.EQNXTDZ($A$1,$B16,EN$1)</f>
        <v>116.22</v>
      </c>
      <c r="EO16" s="110" cm="1">
        <f t="array" ref="EO16">_xll.EQNXTDZ($A$1,$B16,EO$1)</f>
        <v>124.37</v>
      </c>
      <c r="EP16" s="110" cm="1">
        <f t="array" ref="EP16">_xll.EQNXTDZ($A$1,$B16,EP$1)</f>
        <v>118</v>
      </c>
      <c r="EQ16" s="110" cm="1">
        <f t="array" ref="EQ16">_xll.EQNXTDZ($A$1,$B16,EQ$1)</f>
        <v>119.4</v>
      </c>
      <c r="ER16" s="110" cm="1">
        <f t="array" ref="ER16">_xll.EQNXTDZ($A$1,$B16,ER$1)</f>
        <v>114.7</v>
      </c>
      <c r="ES16" s="110" cm="1">
        <f t="array" ref="ES16">_xll.EQNXTDZ($A$1,$B16,ES$1)</f>
        <v>111.5</v>
      </c>
      <c r="ET16" s="110" cm="1">
        <f t="array" ref="ET16">_xll.EQNXTDZ($A$1,$B16,ET$1)</f>
        <v>111.45</v>
      </c>
      <c r="EU16" s="110" cm="1">
        <f t="array" ref="EU16">_xll.EQNXTDZ($A$1,$B16,EU$1)</f>
        <v>102.65</v>
      </c>
      <c r="EV16" s="110" cm="1">
        <f t="array" ref="EV16">_xll.EQNXTDZ($A$1,$B16,EV$1)</f>
        <v>101.95</v>
      </c>
      <c r="EW16" s="110" cm="1">
        <f t="array" ref="EW16">_xll.EQNXTDZ($A$1,$B16,EW$1)</f>
        <v>100.15</v>
      </c>
      <c r="EX16" s="110" cm="1">
        <f t="array" ref="EX16">_xll.EQNXTDZ($A$1,$B16,EX$1)</f>
        <v>93.3</v>
      </c>
      <c r="EY16" s="110" cm="1">
        <f t="array" ref="EY16">_xll.EQNXTDZ($A$1,$B16,EY$1)</f>
        <v>80.91</v>
      </c>
      <c r="EZ16" s="110" cm="1">
        <f t="array" ref="EZ16">_xll.EQNXTDZ($A$1,$B16,EZ$1)</f>
        <v>89.02</v>
      </c>
      <c r="FA16" s="110" cm="1">
        <f t="array" ref="FA16">_xll.EQNXTDZ($A$1,$B16,FA$1)</f>
        <v>97.42</v>
      </c>
      <c r="FB16" s="110" cm="1">
        <f t="array" ref="FB16">_xll.EQNXTDZ($A$1,$B16,FB$1)</f>
        <v>114.82</v>
      </c>
      <c r="FC16" s="110" cm="1">
        <f t="array" ref="FC16">_xll.EQNXTDZ($A$1,$B16,FC$1)</f>
        <v>114.2</v>
      </c>
      <c r="FD16" s="110" cm="1">
        <f t="array" ref="FD16">_xll.EQNXTDZ($A$1,$B16,FD$1)</f>
        <v>107.25</v>
      </c>
      <c r="FE16" s="110" cm="1">
        <f t="array" ref="FE16">_xll.EQNXTDZ($A$1,$B16,FE$1)</f>
        <v>103.8</v>
      </c>
      <c r="FF16" s="110" cm="1">
        <f t="array" ref="FF16">_xll.EQNXTDZ($A$1,$B16,FF$1)</f>
        <v>123.7</v>
      </c>
      <c r="FG16" s="110" cm="1">
        <f t="array" ref="FG16">_xll.EQNXTDZ($A$1,$B16,FG$1)</f>
        <v>136.94999999999999</v>
      </c>
      <c r="FH16" s="110" cm="1">
        <f t="array" ref="FH16">_xll.EQNXTDZ($A$1,$B16,FH$1)</f>
        <v>151.65</v>
      </c>
      <c r="FI16" s="110" cm="1">
        <f t="array" ref="FI16">_xll.EQNXTDZ($A$1,$B16,FI$1)</f>
        <v>154.9</v>
      </c>
      <c r="FJ16" s="110" cm="1">
        <f t="array" ref="FJ16">_xll.EQNXTDZ($A$1,$B16,FJ$1)</f>
        <v>147.4</v>
      </c>
      <c r="FK16" s="110" cm="1">
        <f t="array" ref="FK16">_xll.EQNXTDZ($A$1,$B16,FK$1)</f>
        <v>157.44999999999999</v>
      </c>
      <c r="FL16" s="110" cm="1">
        <f t="array" ref="FL16">_xll.EQNXTDZ($A$1,$B16,FL$1)</f>
        <v>123.55</v>
      </c>
      <c r="FM16" s="110" cm="1">
        <f t="array" ref="FM16">_xll.EQNXTDZ($A$1,$B16,FM$1)</f>
        <v>134.65</v>
      </c>
      <c r="FN16" s="110" cm="1">
        <f t="array" ref="FN16">_xll.EQNXTDZ($A$1,$B16,FN$1)</f>
        <v>130.9</v>
      </c>
      <c r="FO16" s="110" cm="1">
        <f t="array" ref="FO16">_xll.EQNXTDZ($A$1,$B16,FO$1)</f>
        <v>131.6</v>
      </c>
      <c r="FP16" s="110" cm="1">
        <f t="array" ref="FP16">_xll.EQNXTDZ($A$1,$B16,FP$1)</f>
        <v>0</v>
      </c>
      <c r="FQ16" s="110" cm="1">
        <f t="array" ref="FQ16">_xll.EQNXTDZ($A$1,$B16,FQ$1)</f>
        <v>0</v>
      </c>
      <c r="FR16" s="110" cm="1">
        <f t="array" ref="FR16">_xll.EQNXTDZ($A$1,$B16,FR$1)</f>
        <v>0</v>
      </c>
      <c r="FS16" s="110" cm="1">
        <f t="array" ref="FS16">_xll.EQNXTDZ($A$1,$B16,FS$1)</f>
        <v>0</v>
      </c>
      <c r="FT16" s="110" cm="1">
        <f t="array" ref="FT16">_xll.EQNXTDZ($A$1,$B16,FT$1)</f>
        <v>0</v>
      </c>
      <c r="FU16" s="110" cm="1">
        <f t="array" ref="FU16">_xll.EQNXTDZ($A$1,$B16,FU$1)</f>
        <v>0</v>
      </c>
      <c r="FV16" s="110" cm="1">
        <f t="array" ref="FV16">_xll.EQNXTDZ($A$1,$B16,FV$1)</f>
        <v>0</v>
      </c>
      <c r="FW16" s="110" cm="1">
        <f t="array" ref="FW16">_xll.EQNXTDZ($A$1,$B16,FW$1)</f>
        <v>0</v>
      </c>
      <c r="FX16" s="110" cm="1">
        <f t="array" ref="FX16">_xll.EQNXTDZ($A$1,$B16,FX$1)</f>
        <v>0</v>
      </c>
      <c r="FY16" s="110" cm="1">
        <f t="array" ref="FY16">_xll.EQNXTDZ($A$1,$B16,FY$1)</f>
        <v>0</v>
      </c>
      <c r="FZ16" s="110" cm="1">
        <f t="array" ref="FZ16">_xll.EQNXTDZ($A$1,$B16,FZ$1)</f>
        <v>0</v>
      </c>
      <c r="GA16" s="110" cm="1">
        <f t="array" ref="GA16">_xll.EQNXTDZ($A$1,$B16,GA$1)</f>
        <v>0</v>
      </c>
      <c r="GB16" s="110" cm="1">
        <f t="array" ref="GB16">_xll.EQNXTDZ($A$1,$B16,GB$1)</f>
        <v>0</v>
      </c>
      <c r="GC16" s="110" cm="1">
        <f t="array" ref="GC16">_xll.EQNXTDZ($A$1,$B16,GC$1)</f>
        <v>0</v>
      </c>
      <c r="GD16" s="110" cm="1">
        <f t="array" ref="GD16">_xll.EQNXTDZ($A$1,$B16,GD$1)</f>
        <v>0</v>
      </c>
      <c r="GE16" s="110" cm="1">
        <f t="array" ref="GE16">_xll.EQNXTDZ($A$1,$B16,GE$1)</f>
        <v>0</v>
      </c>
      <c r="GF16" s="110" cm="1">
        <f t="array" ref="GF16">_xll.EQNXTDZ($A$1,$B16,GF$1)</f>
        <v>0</v>
      </c>
      <c r="GG16" s="110" cm="1">
        <f t="array" ref="GG16">_xll.EQNXTDZ($A$1,$B16,GG$1)</f>
        <v>0</v>
      </c>
      <c r="GH16" s="110" cm="1">
        <f t="array" ref="GH16">_xll.EQNXTDZ($A$1,$B16,GH$1)</f>
        <v>0</v>
      </c>
      <c r="GI16" s="110" cm="1">
        <f t="array" ref="GI16">_xll.EQNXTDZ($A$1,$B16,GI$1)</f>
        <v>0</v>
      </c>
      <c r="GJ16" s="110" cm="1">
        <f t="array" ref="GJ16">_xll.EQNXTDZ($A$1,$B16,GJ$1)</f>
        <v>0</v>
      </c>
      <c r="GK16" s="110" cm="1">
        <f t="array" ref="GK16">_xll.EQNXTDZ($A$1,$B16,GK$1)</f>
        <v>0</v>
      </c>
      <c r="GL16" s="110" cm="1">
        <f t="array" ref="GL16">_xll.EQNXTDZ($A$1,$B16,GL$1)</f>
        <v>0</v>
      </c>
      <c r="GM16" s="110" cm="1">
        <f t="array" ref="GM16">_xll.EQNXTDZ($A$1,$B16,GM$1)</f>
        <v>0</v>
      </c>
      <c r="GN16" s="110" cm="1">
        <f t="array" ref="GN16">_xll.EQNXTDZ($A$1,$B16,GN$1)</f>
        <v>0</v>
      </c>
      <c r="GO16" s="110" cm="1">
        <f t="array" ref="GO16">_xll.EQNXTDZ($A$1,$B16,GO$1)</f>
        <v>0</v>
      </c>
      <c r="GP16" s="110" cm="1">
        <f t="array" ref="GP16">_xll.EQNXTDZ($A$1,$B16,GP$1)</f>
        <v>0</v>
      </c>
      <c r="GQ16" s="110" cm="1">
        <f t="array" ref="GQ16">_xll.EQNXTDZ($A$1,$B16,GQ$1)</f>
        <v>0</v>
      </c>
      <c r="GR16" s="110" cm="1">
        <f t="array" ref="GR16">_xll.EQNXTDZ($A$1,$B16,GR$1)</f>
        <v>0</v>
      </c>
      <c r="GS16" s="110" cm="1">
        <f t="array" ref="GS16">_xll.EQNXTDZ($A$1,$B16,GS$1)</f>
        <v>0</v>
      </c>
      <c r="GT16" s="110" cm="1">
        <f t="array" ref="GT16">_xll.EQNXTDZ($A$1,$B16,GT$1)</f>
        <v>0</v>
      </c>
      <c r="GU16" s="110" cm="1">
        <f t="array" ref="GU16">_xll.EQNXTDZ($A$1,$B16,GU$1)</f>
        <v>0</v>
      </c>
      <c r="GV16" s="110" cm="1">
        <f t="array" ref="GV16">_xll.EQNXTDZ($A$1,$B16,GV$1)</f>
        <v>0</v>
      </c>
      <c r="GW16" s="110" cm="1">
        <f t="array" ref="GW16">_xll.EQNXTDZ($A$1,$B16,GW$1)</f>
        <v>0</v>
      </c>
      <c r="GX16" s="110" cm="1">
        <f t="array" ref="GX16">_xll.EQNXTDZ($A$1,$B16,GX$1)</f>
        <v>0</v>
      </c>
      <c r="GY16" s="110" cm="1">
        <f t="array" ref="GY16">_xll.EQNXTDZ($A$1,$B16,GY$1)</f>
        <v>0</v>
      </c>
      <c r="GZ16" s="110" cm="1">
        <f t="array" ref="GZ16">_xll.EQNXTDZ($A$1,$B16,GZ$1)</f>
        <v>0</v>
      </c>
      <c r="HA16" s="110" cm="1">
        <f t="array" ref="HA16">_xll.EQNXTDZ($A$1,$B16,HA$1)</f>
        <v>0</v>
      </c>
      <c r="HB16" s="110" cm="1">
        <f t="array" ref="HB16">_xll.EQNXTDZ($A$1,$B16,HB$1)</f>
        <v>0</v>
      </c>
      <c r="HC16" s="110" cm="1">
        <f t="array" ref="HC16">_xll.EQNXTDZ($A$1,$B16,HC$1)</f>
        <v>0</v>
      </c>
      <c r="HD16" s="110" cm="1">
        <f t="array" ref="HD16">_xll.EQNXTDZ($A$1,$B16,HD$1)</f>
        <v>0</v>
      </c>
      <c r="HE16" s="110" cm="1">
        <f t="array" ref="HE16">_xll.EQNXTDZ($A$1,$B16,HE$1)</f>
        <v>0</v>
      </c>
      <c r="HF16" s="110" cm="1">
        <f t="array" ref="HF16">_xll.EQNXTDZ($A$1,$B16,HF$1)</f>
        <v>0</v>
      </c>
      <c r="HG16" s="110" cm="1">
        <f t="array" ref="HG16">_xll.EQNXTDZ($A$1,$B16,HG$1)</f>
        <v>0</v>
      </c>
      <c r="HH16" s="110" cm="1">
        <f t="array" ref="HH16">_xll.EQNXTDZ($A$1,$B16,HH$1)</f>
        <v>0</v>
      </c>
      <c r="HP16" s="110">
        <f>+F16</f>
        <v>83.873902225498796</v>
      </c>
      <c r="HQ16" s="110">
        <f>+I16</f>
        <v>96.392249919365995</v>
      </c>
      <c r="HR16" s="110">
        <f>+L16</f>
        <v>74.789102889001498</v>
      </c>
      <c r="HS16" s="110">
        <f>+O16</f>
        <v>70.100801732479397</v>
      </c>
      <c r="HT16" s="110">
        <f>+R16</f>
        <v>43.060392572455399</v>
      </c>
      <c r="HU16" s="110">
        <f>+U16</f>
        <v>54.888139888494699</v>
      </c>
      <c r="HV16" s="110">
        <f>+X16</f>
        <v>51.425411233470001</v>
      </c>
      <c r="HW16" s="110">
        <f>+AA16</f>
        <v>89.914223840022103</v>
      </c>
      <c r="HX16" s="110">
        <f>+AD16</f>
        <v>68.135995023729507</v>
      </c>
      <c r="HY16" s="110">
        <f>+AG16</f>
        <v>87.307450582868697</v>
      </c>
      <c r="HZ16" s="110">
        <f>+AJ16</f>
        <v>71.569543381099393</v>
      </c>
      <c r="IA16" s="110">
        <f>+AM16</f>
        <v>54.071091554162997</v>
      </c>
      <c r="IB16" s="110">
        <f>+AP16</f>
        <v>54.411528360134497</v>
      </c>
      <c r="IC16" s="110">
        <f>+AS16</f>
        <v>45.453176980141002</v>
      </c>
      <c r="ID16" s="110">
        <f>+AV16</f>
        <v>36.932530064967999</v>
      </c>
      <c r="IE16" s="110">
        <f>+AY16</f>
        <v>42.496240151131197</v>
      </c>
      <c r="IF16" s="110">
        <f>+BB16</f>
        <v>59.984965212182701</v>
      </c>
      <c r="IG16" s="110">
        <f>+BE16</f>
        <v>51.133608256922997</v>
      </c>
      <c r="IH16" s="110">
        <f>+BH16</f>
        <v>60.6</v>
      </c>
      <c r="II16" s="110">
        <f>+BK16</f>
        <v>65.8</v>
      </c>
      <c r="IJ16" s="110">
        <f>+BN16</f>
        <v>61.61</v>
      </c>
      <c r="IK16" s="110">
        <f>+BQ16</f>
        <v>72.180000000000007</v>
      </c>
      <c r="IL16" s="110">
        <f>+BT16</f>
        <v>52.85</v>
      </c>
      <c r="IM16" s="110">
        <f>+BW16</f>
        <v>50.32</v>
      </c>
      <c r="IN16" s="110">
        <f>+BZ16</f>
        <v>44.17</v>
      </c>
      <c r="IO16" s="110">
        <f>+CC16</f>
        <v>55</v>
      </c>
      <c r="IP16" s="110">
        <f>+CF16</f>
        <v>58.39</v>
      </c>
      <c r="IQ16" s="110">
        <f>+CI16</f>
        <v>56.88</v>
      </c>
      <c r="IR16" s="110">
        <f>+CL16</f>
        <v>36.46</v>
      </c>
      <c r="IS16" s="110">
        <f>+CO16</f>
        <v>44.26</v>
      </c>
      <c r="IT16" s="110">
        <f>+CR16</f>
        <v>18.079999999999998</v>
      </c>
      <c r="IU16" s="110">
        <f>+CU16</f>
        <v>20.12</v>
      </c>
      <c r="IV16" s="110">
        <f>+CX16</f>
        <v>17.78</v>
      </c>
      <c r="IW16" s="110">
        <f>+DA16</f>
        <v>25.79</v>
      </c>
      <c r="IX16" s="110">
        <f>+DD16</f>
        <v>30.45</v>
      </c>
      <c r="IY16" s="110">
        <f>+DG16</f>
        <v>30.37</v>
      </c>
      <c r="IZ16" s="110">
        <f>+DJ16</f>
        <v>34.6</v>
      </c>
      <c r="JA16" s="110">
        <f>+DM16</f>
        <v>39.979999999999997</v>
      </c>
      <c r="JB16" s="110">
        <f>+DP16</f>
        <v>45.52</v>
      </c>
      <c r="JC16" s="110">
        <f>+DS16</f>
        <v>36.25</v>
      </c>
      <c r="JD16" s="110">
        <f>+DV16</f>
        <v>45.74</v>
      </c>
      <c r="JE16" s="110">
        <f>+DY16</f>
        <v>66.709999999999994</v>
      </c>
      <c r="JF16" s="110">
        <f>+EB16</f>
        <v>56.9</v>
      </c>
      <c r="JG16" s="110">
        <f>+EE16</f>
        <v>60.36</v>
      </c>
      <c r="JH16" s="110">
        <f>+EH16</f>
        <v>75.27</v>
      </c>
      <c r="JI16" s="110">
        <f>+EK16</f>
        <v>87.54</v>
      </c>
      <c r="JJ16" s="110">
        <f>+EN16</f>
        <v>116.22</v>
      </c>
      <c r="JK16" s="110">
        <f>EQ16</f>
        <v>119.4</v>
      </c>
      <c r="JL16" s="110">
        <f>ET16</f>
        <v>111.45</v>
      </c>
      <c r="JM16" s="110">
        <f>EW16</f>
        <v>100.15</v>
      </c>
      <c r="JN16" s="110">
        <f>EZ16</f>
        <v>89.02</v>
      </c>
      <c r="JO16" s="110">
        <f>FC16</f>
        <v>114.2</v>
      </c>
      <c r="JP16" s="110">
        <f>FF16</f>
        <v>123.7</v>
      </c>
      <c r="JQ16" s="110">
        <f>FI16</f>
        <v>154.9</v>
      </c>
      <c r="JR16" s="110">
        <f>FL16</f>
        <v>123.55</v>
      </c>
      <c r="JS16" s="110">
        <f>FO16</f>
        <v>131.6</v>
      </c>
      <c r="JT16" s="110">
        <f>FR16</f>
        <v>0</v>
      </c>
      <c r="JU16" s="110">
        <f>FU16</f>
        <v>0</v>
      </c>
      <c r="JV16" s="110">
        <f>FX16</f>
        <v>0</v>
      </c>
      <c r="JW16" s="110">
        <f>GA16</f>
        <v>0</v>
      </c>
      <c r="JX16" s="110">
        <f>GD16</f>
        <v>0</v>
      </c>
      <c r="JY16" s="110">
        <f>GG16</f>
        <v>0</v>
      </c>
      <c r="JZ16" s="110">
        <f>GJ16</f>
        <v>0</v>
      </c>
      <c r="KA16" s="110">
        <f>GM16</f>
        <v>0</v>
      </c>
      <c r="KB16" s="110">
        <f>GP16</f>
        <v>0</v>
      </c>
      <c r="KC16" s="110">
        <f>GS16</f>
        <v>0</v>
      </c>
      <c r="KD16" s="110">
        <f>GV16</f>
        <v>0</v>
      </c>
      <c r="KE16" s="110">
        <f>GY16</f>
        <v>0</v>
      </c>
      <c r="KF16" s="110">
        <f>HB16</f>
        <v>0</v>
      </c>
      <c r="KG16" s="110">
        <f>HE16</f>
        <v>0</v>
      </c>
      <c r="KH16" s="110">
        <f>HH16</f>
        <v>0</v>
      </c>
    </row>
    <row r="17" spans="1:294" s="110" customFormat="1" x14ac:dyDescent="0.25"/>
    <row r="18" spans="1:294" s="110" customFormat="1" x14ac:dyDescent="0.25"/>
    <row r="19" spans="1:294" s="110" customFormat="1" x14ac:dyDescent="0.25">
      <c r="A19" s="110" t="s">
        <v>38</v>
      </c>
      <c r="HP19" s="110">
        <f>+IF(HP14=0,HP7,HP14)</f>
        <v>88.591383679675602</v>
      </c>
      <c r="HQ19" s="110">
        <f t="shared" ref="HQ19:JO21" si="0">+IF(HQ14=0,HQ7,HQ14)</f>
        <v>97.209298253697696</v>
      </c>
      <c r="HR19" s="110">
        <f t="shared" si="0"/>
        <v>106.99442473390801</v>
      </c>
      <c r="HS19" s="110">
        <f t="shared" si="0"/>
        <v>88.805372529143398</v>
      </c>
      <c r="HT19" s="110">
        <f t="shared" si="0"/>
        <v>75.576970925678495</v>
      </c>
      <c r="HU19" s="110">
        <f t="shared" si="0"/>
        <v>57.290651062065201</v>
      </c>
      <c r="HV19" s="110">
        <f t="shared" si="0"/>
        <v>56.843219831359697</v>
      </c>
      <c r="HW19" s="110">
        <f t="shared" si="0"/>
        <v>96.878588213610996</v>
      </c>
      <c r="HX19" s="110">
        <f t="shared" si="0"/>
        <v>91.412145786296804</v>
      </c>
      <c r="HY19" s="110">
        <f t="shared" si="0"/>
        <v>88.319034234898396</v>
      </c>
      <c r="HZ19" s="110">
        <f t="shared" si="0"/>
        <v>93.065695986729907</v>
      </c>
      <c r="IA19" s="110">
        <f t="shared" si="0"/>
        <v>80.041556466847894</v>
      </c>
      <c r="IB19" s="110">
        <f t="shared" si="0"/>
        <v>70.003534073630405</v>
      </c>
      <c r="IC19" s="110">
        <f t="shared" si="0"/>
        <v>59.333271897894299</v>
      </c>
      <c r="ID19" s="110">
        <f t="shared" si="0"/>
        <v>46.591208588674398</v>
      </c>
      <c r="IE19" s="110">
        <f t="shared" si="0"/>
        <v>43.011758743030903</v>
      </c>
      <c r="IF19" s="110">
        <f t="shared" si="0"/>
        <v>62.047039579781597</v>
      </c>
      <c r="IG19" s="110">
        <f t="shared" si="0"/>
        <v>65.986379763166397</v>
      </c>
      <c r="IH19" s="110">
        <f t="shared" si="0"/>
        <v>61.910864857393001</v>
      </c>
      <c r="II19" s="110">
        <f t="shared" si="0"/>
        <v>82.98</v>
      </c>
      <c r="IJ19" s="110">
        <f t="shared" si="0"/>
        <v>74.88</v>
      </c>
      <c r="IK19" s="110">
        <f t="shared" si="0"/>
        <v>92.68</v>
      </c>
      <c r="IL19" s="110">
        <f t="shared" si="0"/>
        <v>76.989999999999995</v>
      </c>
      <c r="IM19" s="110">
        <f t="shared" si="0"/>
        <v>59.18</v>
      </c>
      <c r="IN19" s="110">
        <f t="shared" si="0"/>
        <v>60.42</v>
      </c>
      <c r="IO19" s="110">
        <f t="shared" si="0"/>
        <v>56.3</v>
      </c>
      <c r="IP19" s="110">
        <f t="shared" si="0"/>
        <v>59.67</v>
      </c>
      <c r="IQ19" s="110">
        <f t="shared" si="0"/>
        <v>60.4</v>
      </c>
      <c r="IR19" s="110">
        <f t="shared" si="0"/>
        <v>59.3</v>
      </c>
      <c r="IS19" s="110">
        <f t="shared" si="0"/>
        <v>46.86</v>
      </c>
      <c r="IT19" s="110">
        <f t="shared" si="0"/>
        <v>46</v>
      </c>
      <c r="IU19" s="110">
        <f t="shared" si="0"/>
        <v>23.65</v>
      </c>
      <c r="IV19" s="110">
        <f t="shared" si="0"/>
        <v>23.86</v>
      </c>
      <c r="IW19" s="110">
        <f t="shared" si="0"/>
        <v>29.28</v>
      </c>
      <c r="IX19" s="110">
        <f t="shared" si="0"/>
        <v>34.880000000000003</v>
      </c>
      <c r="IY19" s="110">
        <f t="shared" si="0"/>
        <v>33.130000000000003</v>
      </c>
      <c r="IZ19" s="110">
        <f t="shared" si="0"/>
        <v>35.479999999999997</v>
      </c>
      <c r="JA19" s="110">
        <f t="shared" si="0"/>
        <v>49.52</v>
      </c>
      <c r="JB19" s="110">
        <f t="shared" si="0"/>
        <v>54.56</v>
      </c>
      <c r="JC19" s="110">
        <f t="shared" si="0"/>
        <v>50.5</v>
      </c>
      <c r="JD19" s="110">
        <f t="shared" si="0"/>
        <v>51.51</v>
      </c>
      <c r="JE19" s="110">
        <f t="shared" si="0"/>
        <v>67.33</v>
      </c>
      <c r="JF19" s="110">
        <f t="shared" si="0"/>
        <v>68.319999999999993</v>
      </c>
      <c r="JG19" s="110">
        <f t="shared" si="0"/>
        <v>65.33</v>
      </c>
      <c r="JH19" s="110">
        <f t="shared" si="0"/>
        <v>77.17</v>
      </c>
      <c r="JI19" s="110">
        <f t="shared" si="0"/>
        <v>90.94</v>
      </c>
      <c r="JJ19" s="110">
        <f t="shared" si="0"/>
        <v>121.2</v>
      </c>
      <c r="JK19" s="110">
        <f t="shared" si="0"/>
        <v>129.35</v>
      </c>
      <c r="JL19" s="110">
        <f t="shared" si="0"/>
        <v>120.2</v>
      </c>
      <c r="JM19" s="110">
        <f t="shared" si="0"/>
        <v>112.45</v>
      </c>
      <c r="JN19" s="110">
        <f t="shared" si="0"/>
        <v>103.1</v>
      </c>
      <c r="JO19" s="110">
        <f t="shared" si="0"/>
        <v>119.3</v>
      </c>
      <c r="JP19" s="110">
        <f t="shared" ref="JP19:KH21" si="1">+IF(JP14=0,JP7,JP14)</f>
        <v>124.6</v>
      </c>
      <c r="JQ19" s="110">
        <f t="shared" si="1"/>
        <v>158</v>
      </c>
      <c r="JR19" s="110">
        <f t="shared" si="1"/>
        <v>162.9</v>
      </c>
      <c r="JS19" s="110">
        <f t="shared" si="1"/>
        <v>146.85</v>
      </c>
      <c r="JT19" s="110">
        <f t="shared" si="1"/>
        <v>0</v>
      </c>
      <c r="JU19" s="110">
        <f t="shared" si="1"/>
        <v>0</v>
      </c>
      <c r="JV19" s="110">
        <f t="shared" si="1"/>
        <v>0</v>
      </c>
      <c r="JW19" s="110">
        <f t="shared" si="1"/>
        <v>0</v>
      </c>
      <c r="JX19" s="110">
        <f t="shared" si="1"/>
        <v>0</v>
      </c>
      <c r="JY19" s="110">
        <f t="shared" si="1"/>
        <v>0</v>
      </c>
      <c r="JZ19" s="110">
        <f t="shared" si="1"/>
        <v>0</v>
      </c>
      <c r="KA19" s="110">
        <f t="shared" si="1"/>
        <v>0</v>
      </c>
      <c r="KB19" s="110">
        <f t="shared" si="1"/>
        <v>0</v>
      </c>
      <c r="KC19" s="110">
        <f t="shared" si="1"/>
        <v>0</v>
      </c>
      <c r="KD19" s="110">
        <f t="shared" si="1"/>
        <v>0</v>
      </c>
      <c r="KE19" s="110">
        <f t="shared" si="1"/>
        <v>0</v>
      </c>
      <c r="KF19" s="110">
        <f t="shared" si="1"/>
        <v>0</v>
      </c>
      <c r="KG19" s="110">
        <f t="shared" si="1"/>
        <v>0</v>
      </c>
      <c r="KH19" s="110">
        <f t="shared" si="1"/>
        <v>0</v>
      </c>
    </row>
    <row r="20" spans="1:294" s="110" customFormat="1" x14ac:dyDescent="0.25">
      <c r="A20" s="110" t="s">
        <v>39</v>
      </c>
      <c r="HP20" s="110">
        <f t="shared" ref="HP20:IE21" si="2">+IF(HP15=0,HP8,HP15)</f>
        <v>59.527807215592297</v>
      </c>
      <c r="HQ20" s="110">
        <f t="shared" si="2"/>
        <v>68.067907662535106</v>
      </c>
      <c r="HR20" s="110">
        <f t="shared" si="2"/>
        <v>69.254573100493005</v>
      </c>
      <c r="HS20" s="110">
        <f t="shared" si="2"/>
        <v>65.188784960604494</v>
      </c>
      <c r="HT20" s="110">
        <f t="shared" si="2"/>
        <v>36.942256830852898</v>
      </c>
      <c r="HU20" s="110">
        <f t="shared" si="2"/>
        <v>42.681048702944302</v>
      </c>
      <c r="HV20" s="110">
        <f t="shared" si="2"/>
        <v>40.657881398885003</v>
      </c>
      <c r="HW20" s="110">
        <f t="shared" si="2"/>
        <v>48.633829424503503</v>
      </c>
      <c r="HX20" s="110">
        <f t="shared" si="2"/>
        <v>65.1985117264894</v>
      </c>
      <c r="HY20" s="110">
        <f t="shared" si="2"/>
        <v>66.939602819886701</v>
      </c>
      <c r="HZ20" s="110">
        <f t="shared" si="2"/>
        <v>67.396760816476998</v>
      </c>
      <c r="IA20" s="110">
        <f t="shared" si="2"/>
        <v>53.4485785375294</v>
      </c>
      <c r="IB20" s="110">
        <f t="shared" si="2"/>
        <v>48.799184444546803</v>
      </c>
      <c r="IC20" s="110">
        <f t="shared" si="2"/>
        <v>45.346182555407097</v>
      </c>
      <c r="ID20" s="110">
        <f t="shared" si="2"/>
        <v>30.386416624429799</v>
      </c>
      <c r="IE20" s="110">
        <f t="shared" si="2"/>
        <v>34.199308851310903</v>
      </c>
      <c r="IF20" s="110">
        <f t="shared" si="0"/>
        <v>42.272524535778501</v>
      </c>
      <c r="IG20" s="110">
        <f t="shared" si="0"/>
        <v>50.384647283785696</v>
      </c>
      <c r="IH20" s="110">
        <f t="shared" si="0"/>
        <v>50.034483711929198</v>
      </c>
      <c r="II20" s="110">
        <f t="shared" si="0"/>
        <v>60.41</v>
      </c>
      <c r="IJ20" s="110">
        <f t="shared" si="0"/>
        <v>61.37</v>
      </c>
      <c r="IK20" s="110">
        <f t="shared" si="0"/>
        <v>59.37</v>
      </c>
      <c r="IL20" s="110">
        <f t="shared" si="0"/>
        <v>45.07</v>
      </c>
      <c r="IM20" s="110">
        <f t="shared" si="0"/>
        <v>46.8</v>
      </c>
      <c r="IN20" s="110">
        <f t="shared" si="0"/>
        <v>41.91</v>
      </c>
      <c r="IO20" s="110">
        <f t="shared" si="0"/>
        <v>41.03</v>
      </c>
      <c r="IP20" s="110">
        <f t="shared" si="0"/>
        <v>42.59</v>
      </c>
      <c r="IQ20" s="110">
        <f t="shared" si="0"/>
        <v>47.76</v>
      </c>
      <c r="IR20" s="110">
        <f t="shared" si="0"/>
        <v>36</v>
      </c>
      <c r="IS20" s="110">
        <f t="shared" si="0"/>
        <v>34.11</v>
      </c>
      <c r="IT20" s="110">
        <f t="shared" si="0"/>
        <v>14.77</v>
      </c>
      <c r="IU20" s="110">
        <f t="shared" si="0"/>
        <v>15.16</v>
      </c>
      <c r="IV20" s="110">
        <f t="shared" si="0"/>
        <v>16.45</v>
      </c>
      <c r="IW20" s="110">
        <f t="shared" si="0"/>
        <v>16.88</v>
      </c>
      <c r="IX20" s="110">
        <f t="shared" si="0"/>
        <v>24.77</v>
      </c>
      <c r="IY20" s="110">
        <f t="shared" si="0"/>
        <v>24.87</v>
      </c>
      <c r="IZ20" s="110">
        <f t="shared" si="0"/>
        <v>28.42</v>
      </c>
      <c r="JA20" s="110">
        <f t="shared" si="0"/>
        <v>34</v>
      </c>
      <c r="JB20" s="110">
        <f t="shared" si="0"/>
        <v>39.299999999999997</v>
      </c>
      <c r="JC20" s="110">
        <f t="shared" si="0"/>
        <v>34.340000000000003</v>
      </c>
      <c r="JD20" s="110">
        <f t="shared" si="0"/>
        <v>35.700000000000003</v>
      </c>
      <c r="JE20" s="110">
        <f t="shared" si="0"/>
        <v>44.1</v>
      </c>
      <c r="JF20" s="110">
        <f t="shared" si="0"/>
        <v>53.77</v>
      </c>
      <c r="JG20" s="110">
        <f t="shared" si="0"/>
        <v>56.28</v>
      </c>
      <c r="JH20" s="110">
        <f t="shared" si="0"/>
        <v>60.47</v>
      </c>
      <c r="JI20" s="110">
        <f t="shared" si="0"/>
        <v>68.44</v>
      </c>
      <c r="JJ20" s="110">
        <f t="shared" si="0"/>
        <v>87.7</v>
      </c>
      <c r="JK20" s="110">
        <f t="shared" si="0"/>
        <v>99.6</v>
      </c>
      <c r="JL20" s="110">
        <f t="shared" si="0"/>
        <v>100.7</v>
      </c>
      <c r="JM20" s="110">
        <f t="shared" si="0"/>
        <v>92.55</v>
      </c>
      <c r="JN20" s="110">
        <f t="shared" si="0"/>
        <v>78.58</v>
      </c>
      <c r="JO20" s="110">
        <f t="shared" si="0"/>
        <v>83.36</v>
      </c>
      <c r="JP20" s="110">
        <f t="shared" ref="JP20" si="3">+IF(JP15=0,JP8,JP15)</f>
        <v>103.5</v>
      </c>
      <c r="JQ20" s="110">
        <f t="shared" si="1"/>
        <v>121.2</v>
      </c>
      <c r="JR20" s="110">
        <f t="shared" si="1"/>
        <v>123</v>
      </c>
      <c r="JS20" s="110">
        <f t="shared" si="1"/>
        <v>121.8</v>
      </c>
      <c r="JT20" s="110">
        <f t="shared" si="1"/>
        <v>0</v>
      </c>
      <c r="JU20" s="110">
        <f t="shared" si="1"/>
        <v>0</v>
      </c>
      <c r="JV20" s="110">
        <f t="shared" si="1"/>
        <v>0</v>
      </c>
      <c r="JW20" s="110">
        <f t="shared" si="1"/>
        <v>0</v>
      </c>
      <c r="JX20" s="110">
        <f t="shared" si="1"/>
        <v>0</v>
      </c>
      <c r="JY20" s="110">
        <f t="shared" si="1"/>
        <v>0</v>
      </c>
      <c r="JZ20" s="110">
        <f t="shared" si="1"/>
        <v>0</v>
      </c>
      <c r="KA20" s="110">
        <f t="shared" si="1"/>
        <v>0</v>
      </c>
      <c r="KB20" s="110">
        <f t="shared" si="1"/>
        <v>0</v>
      </c>
      <c r="KC20" s="110">
        <f t="shared" si="1"/>
        <v>0</v>
      </c>
      <c r="KD20" s="110">
        <f t="shared" si="1"/>
        <v>0</v>
      </c>
      <c r="KE20" s="110">
        <f t="shared" si="1"/>
        <v>0</v>
      </c>
      <c r="KF20" s="110">
        <f t="shared" si="1"/>
        <v>0</v>
      </c>
      <c r="KG20" s="110">
        <f t="shared" si="1"/>
        <v>0</v>
      </c>
      <c r="KH20" s="110">
        <f t="shared" si="1"/>
        <v>0</v>
      </c>
    </row>
    <row r="21" spans="1:294" s="110" customFormat="1" x14ac:dyDescent="0.25">
      <c r="A21" s="110" t="s">
        <v>41</v>
      </c>
      <c r="HP21" s="110">
        <f t="shared" si="2"/>
        <v>83.873902225498796</v>
      </c>
      <c r="HQ21" s="110">
        <f t="shared" si="0"/>
        <v>96.392249919365995</v>
      </c>
      <c r="HR21" s="110">
        <f t="shared" si="0"/>
        <v>74.789102889001498</v>
      </c>
      <c r="HS21" s="110">
        <f t="shared" si="0"/>
        <v>70.100801732479397</v>
      </c>
      <c r="HT21" s="110">
        <f t="shared" si="0"/>
        <v>43.060392572455399</v>
      </c>
      <c r="HU21" s="110">
        <f t="shared" si="0"/>
        <v>54.888139888494699</v>
      </c>
      <c r="HV21" s="110">
        <f t="shared" si="0"/>
        <v>51.425411233470001</v>
      </c>
      <c r="HW21" s="110">
        <f t="shared" si="0"/>
        <v>89.914223840022103</v>
      </c>
      <c r="HX21" s="110">
        <f t="shared" si="0"/>
        <v>68.135995023729507</v>
      </c>
      <c r="HY21" s="110">
        <f t="shared" si="0"/>
        <v>87.307450582868697</v>
      </c>
      <c r="HZ21" s="110">
        <f t="shared" si="0"/>
        <v>71.569543381099393</v>
      </c>
      <c r="IA21" s="110">
        <f t="shared" si="0"/>
        <v>54.071091554162997</v>
      </c>
      <c r="IB21" s="110">
        <f t="shared" si="0"/>
        <v>54.411528360134497</v>
      </c>
      <c r="IC21" s="110">
        <f t="shared" si="0"/>
        <v>45.453176980141002</v>
      </c>
      <c r="ID21" s="110">
        <f t="shared" si="0"/>
        <v>36.932530064967999</v>
      </c>
      <c r="IE21" s="110">
        <f t="shared" si="0"/>
        <v>42.496240151131197</v>
      </c>
      <c r="IF21" s="110">
        <f t="shared" si="0"/>
        <v>59.984965212182701</v>
      </c>
      <c r="IG21" s="110">
        <f t="shared" si="0"/>
        <v>51.133608256922997</v>
      </c>
      <c r="IH21" s="110">
        <f t="shared" si="0"/>
        <v>60.6</v>
      </c>
      <c r="II21" s="110">
        <f t="shared" si="0"/>
        <v>65.8</v>
      </c>
      <c r="IJ21" s="110">
        <f t="shared" si="0"/>
        <v>61.61</v>
      </c>
      <c r="IK21" s="110">
        <f t="shared" si="0"/>
        <v>72.180000000000007</v>
      </c>
      <c r="IL21" s="110">
        <f t="shared" si="0"/>
        <v>52.85</v>
      </c>
      <c r="IM21" s="110">
        <f t="shared" si="0"/>
        <v>50.32</v>
      </c>
      <c r="IN21" s="110">
        <f t="shared" si="0"/>
        <v>44.17</v>
      </c>
      <c r="IO21" s="110">
        <f t="shared" si="0"/>
        <v>55</v>
      </c>
      <c r="IP21" s="110">
        <f t="shared" si="0"/>
        <v>58.39</v>
      </c>
      <c r="IQ21" s="110">
        <f t="shared" si="0"/>
        <v>56.88</v>
      </c>
      <c r="IR21" s="110">
        <f t="shared" si="0"/>
        <v>36.46</v>
      </c>
      <c r="IS21" s="110">
        <f t="shared" si="0"/>
        <v>44.26</v>
      </c>
      <c r="IT21" s="110">
        <f t="shared" si="0"/>
        <v>18.079999999999998</v>
      </c>
      <c r="IU21" s="110">
        <f t="shared" si="0"/>
        <v>20.12</v>
      </c>
      <c r="IV21" s="110">
        <f t="shared" si="0"/>
        <v>17.78</v>
      </c>
      <c r="IW21" s="110">
        <f t="shared" si="0"/>
        <v>25.79</v>
      </c>
      <c r="IX21" s="110">
        <f t="shared" si="0"/>
        <v>30.45</v>
      </c>
      <c r="IY21" s="110">
        <f t="shared" si="0"/>
        <v>30.37</v>
      </c>
      <c r="IZ21" s="110">
        <f t="shared" si="0"/>
        <v>34.6</v>
      </c>
      <c r="JA21" s="110">
        <f t="shared" si="0"/>
        <v>39.979999999999997</v>
      </c>
      <c r="JB21" s="110">
        <f t="shared" si="0"/>
        <v>45.52</v>
      </c>
      <c r="JC21" s="110">
        <f t="shared" si="0"/>
        <v>36.25</v>
      </c>
      <c r="JD21" s="110">
        <f t="shared" si="0"/>
        <v>45.74</v>
      </c>
      <c r="JE21" s="110">
        <f t="shared" si="0"/>
        <v>66.709999999999994</v>
      </c>
      <c r="JF21" s="110">
        <f t="shared" si="0"/>
        <v>56.9</v>
      </c>
      <c r="JG21" s="110">
        <f t="shared" si="0"/>
        <v>60.36</v>
      </c>
      <c r="JH21" s="110">
        <f t="shared" si="0"/>
        <v>75.27</v>
      </c>
      <c r="JI21" s="110">
        <f t="shared" si="0"/>
        <v>87.54</v>
      </c>
      <c r="JJ21" s="110">
        <f t="shared" si="0"/>
        <v>116.22</v>
      </c>
      <c r="JK21" s="110">
        <f t="shared" si="0"/>
        <v>119.4</v>
      </c>
      <c r="JL21" s="110">
        <f t="shared" si="0"/>
        <v>111.45</v>
      </c>
      <c r="JM21" s="110">
        <f t="shared" si="0"/>
        <v>100.15</v>
      </c>
      <c r="JN21" s="110">
        <f t="shared" si="0"/>
        <v>89.02</v>
      </c>
      <c r="JO21" s="110">
        <f t="shared" si="0"/>
        <v>114.2</v>
      </c>
      <c r="JP21" s="110">
        <f t="shared" ref="JP21" si="4">+IF(JP16=0,JP9,JP16)</f>
        <v>123.7</v>
      </c>
      <c r="JQ21" s="110">
        <f t="shared" si="1"/>
        <v>154.9</v>
      </c>
      <c r="JR21" s="110">
        <f t="shared" si="1"/>
        <v>123.55</v>
      </c>
      <c r="JS21" s="110">
        <f t="shared" si="1"/>
        <v>131.6</v>
      </c>
      <c r="JT21" s="110">
        <f t="shared" si="1"/>
        <v>0</v>
      </c>
      <c r="JU21" s="110">
        <f t="shared" si="1"/>
        <v>0</v>
      </c>
      <c r="JV21" s="110">
        <f t="shared" si="1"/>
        <v>0</v>
      </c>
      <c r="JW21" s="110">
        <f t="shared" si="1"/>
        <v>0</v>
      </c>
      <c r="JX21" s="110">
        <f t="shared" si="1"/>
        <v>0</v>
      </c>
      <c r="JY21" s="110">
        <f t="shared" si="1"/>
        <v>0</v>
      </c>
      <c r="JZ21" s="110">
        <f t="shared" si="1"/>
        <v>0</v>
      </c>
      <c r="KA21" s="110">
        <f t="shared" si="1"/>
        <v>0</v>
      </c>
      <c r="KB21" s="110">
        <f t="shared" si="1"/>
        <v>0</v>
      </c>
      <c r="KC21" s="110">
        <f t="shared" si="1"/>
        <v>0</v>
      </c>
      <c r="KD21" s="110">
        <f t="shared" si="1"/>
        <v>0</v>
      </c>
      <c r="KE21" s="110">
        <f t="shared" si="1"/>
        <v>0</v>
      </c>
      <c r="KF21" s="110">
        <f t="shared" si="1"/>
        <v>0</v>
      </c>
      <c r="KG21" s="110">
        <f t="shared" si="1"/>
        <v>0</v>
      </c>
      <c r="KH21" s="110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7">
        <v>132215</v>
      </c>
    </row>
    <row r="3" spans="1:31" x14ac:dyDescent="0.25">
      <c r="A3" t="str">
        <f>_xll.EQNXTV("Company-Profit And Loss",A1,"Crores/INR/40/Asc/N2",C3,D3,E3,F3,G3,H3)</f>
        <v>EQNXTV</v>
      </c>
      <c r="C3" s="101" t="s">
        <v>105</v>
      </c>
      <c r="D3" s="101" t="s">
        <v>106</v>
      </c>
      <c r="E3" s="101" t="s">
        <v>107</v>
      </c>
      <c r="F3" s="101">
        <v>202503</v>
      </c>
      <c r="G3" s="101" t="s">
        <v>108</v>
      </c>
      <c r="H3" s="101" t="s">
        <v>109</v>
      </c>
    </row>
    <row r="5" spans="1:31" x14ac:dyDescent="0.25">
      <c r="A5" s="105" t="s">
        <v>117</v>
      </c>
      <c r="B5" s="103"/>
      <c r="C5" s="105" t="s">
        <v>119</v>
      </c>
      <c r="D5" s="103"/>
      <c r="E5" s="105" t="s">
        <v>118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 x14ac:dyDescent="0.25">
      <c r="A6" s="102" t="s">
        <v>110</v>
      </c>
      <c r="B6" s="104">
        <v>34759</v>
      </c>
      <c r="C6" s="104">
        <v>35490</v>
      </c>
      <c r="D6" s="104">
        <v>35855</v>
      </c>
      <c r="E6" s="104">
        <v>36220</v>
      </c>
      <c r="F6" s="104">
        <v>36586</v>
      </c>
      <c r="G6" s="104">
        <v>36951</v>
      </c>
      <c r="H6" s="104">
        <v>37316</v>
      </c>
      <c r="I6" s="104">
        <v>37681</v>
      </c>
      <c r="J6" s="104">
        <v>38047</v>
      </c>
      <c r="K6" s="104">
        <v>38412</v>
      </c>
      <c r="L6" s="104">
        <v>38777</v>
      </c>
      <c r="M6" s="104">
        <v>39142</v>
      </c>
      <c r="N6" s="104">
        <v>39508</v>
      </c>
      <c r="O6" s="104">
        <v>39873</v>
      </c>
      <c r="P6" s="104">
        <v>40238</v>
      </c>
      <c r="Q6" s="104">
        <v>40603</v>
      </c>
      <c r="R6" s="104">
        <v>40969</v>
      </c>
      <c r="S6" s="104">
        <v>41334</v>
      </c>
      <c r="T6" s="104">
        <v>41699</v>
      </c>
      <c r="U6" s="104">
        <v>42064</v>
      </c>
      <c r="V6" s="104">
        <v>42430</v>
      </c>
      <c r="W6" s="104">
        <v>42795</v>
      </c>
      <c r="X6" s="104">
        <v>43160</v>
      </c>
      <c r="Y6" s="104">
        <v>43525</v>
      </c>
      <c r="Z6" s="104">
        <v>43891</v>
      </c>
      <c r="AA6" s="104">
        <v>44256</v>
      </c>
      <c r="AB6" s="104">
        <v>44621</v>
      </c>
      <c r="AC6" s="104">
        <v>44986</v>
      </c>
      <c r="AD6" s="104">
        <v>45352</v>
      </c>
      <c r="AE6" s="104">
        <v>45717</v>
      </c>
    </row>
    <row r="7" spans="1:31" x14ac:dyDescent="0.25"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</row>
    <row r="8" spans="1:31" x14ac:dyDescent="0.25">
      <c r="A8" t="s">
        <v>59</v>
      </c>
      <c r="B8" s="106">
        <v>12</v>
      </c>
      <c r="C8" s="106">
        <v>12</v>
      </c>
      <c r="D8" s="106">
        <v>12</v>
      </c>
      <c r="E8" s="106">
        <v>12</v>
      </c>
      <c r="F8" s="106">
        <v>12</v>
      </c>
      <c r="G8" s="106">
        <v>12</v>
      </c>
      <c r="H8" s="106">
        <v>12</v>
      </c>
      <c r="I8" s="106">
        <v>12</v>
      </c>
      <c r="J8" s="106">
        <v>12</v>
      </c>
      <c r="K8" s="106">
        <v>12</v>
      </c>
      <c r="L8" s="106">
        <v>12</v>
      </c>
      <c r="M8" s="106">
        <v>12</v>
      </c>
      <c r="N8" s="106">
        <v>12</v>
      </c>
      <c r="O8" s="106">
        <v>12</v>
      </c>
      <c r="P8" s="106">
        <v>12</v>
      </c>
      <c r="Q8" s="106">
        <v>12</v>
      </c>
      <c r="R8" s="106">
        <v>12</v>
      </c>
      <c r="S8" s="106">
        <v>12</v>
      </c>
      <c r="T8" s="106">
        <v>12</v>
      </c>
      <c r="U8" s="106">
        <v>12</v>
      </c>
      <c r="V8" s="106">
        <v>12</v>
      </c>
      <c r="W8" s="106">
        <v>12</v>
      </c>
      <c r="X8" s="106">
        <v>12</v>
      </c>
      <c r="Y8" s="106">
        <v>12</v>
      </c>
      <c r="Z8" s="106">
        <v>12</v>
      </c>
      <c r="AA8" s="106">
        <v>12</v>
      </c>
      <c r="AB8" s="106">
        <v>12</v>
      </c>
      <c r="AC8" s="106">
        <v>12</v>
      </c>
      <c r="AD8" s="106">
        <v>12</v>
      </c>
      <c r="AE8" s="106">
        <v>12</v>
      </c>
    </row>
    <row r="9" spans="1:31" x14ac:dyDescent="0.25">
      <c r="A9" t="s">
        <v>111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</row>
    <row r="10" spans="1:31" x14ac:dyDescent="0.25">
      <c r="A10" t="s">
        <v>60</v>
      </c>
      <c r="B10" s="106">
        <v>29.171900000000001</v>
      </c>
      <c r="C10" s="106">
        <v>157.6474</v>
      </c>
      <c r="D10" s="106">
        <v>255.61</v>
      </c>
      <c r="E10" s="106">
        <v>373.28100000000001</v>
      </c>
      <c r="F10" s="106">
        <v>483.25990000000002</v>
      </c>
      <c r="G10" s="106">
        <v>889.63139999999999</v>
      </c>
      <c r="H10" s="106">
        <v>1178.53</v>
      </c>
      <c r="I10" s="106">
        <v>1464.81</v>
      </c>
      <c r="J10" s="106">
        <v>1598.5429999999999</v>
      </c>
      <c r="K10" s="106">
        <v>1924.1582000000001</v>
      </c>
      <c r="L10" s="106">
        <v>2888.7903999999999</v>
      </c>
      <c r="M10" s="106">
        <v>4461.6552000000001</v>
      </c>
      <c r="N10" s="106">
        <v>7005.3150999999998</v>
      </c>
      <c r="O10" s="106">
        <v>10835.4856</v>
      </c>
      <c r="P10" s="106">
        <v>11638.021500000001</v>
      </c>
      <c r="Q10" s="106">
        <v>15154.8058</v>
      </c>
      <c r="R10" s="106">
        <v>21994.647400000002</v>
      </c>
      <c r="S10" s="106">
        <v>27182.574400000001</v>
      </c>
      <c r="T10" s="106">
        <v>30641.1554</v>
      </c>
      <c r="U10" s="106">
        <v>35478.597699999998</v>
      </c>
      <c r="V10" s="106">
        <v>40988.036399999997</v>
      </c>
      <c r="W10" s="106">
        <v>44542.157899999998</v>
      </c>
      <c r="X10" s="106">
        <v>45780.312299999998</v>
      </c>
      <c r="Y10" s="106">
        <v>54985.770700000001</v>
      </c>
      <c r="Z10" s="106">
        <v>62635.157399999996</v>
      </c>
      <c r="AA10" s="106">
        <v>63346.232100000001</v>
      </c>
      <c r="AB10" s="106">
        <v>67376.829599999997</v>
      </c>
      <c r="AC10" s="106">
        <v>85163.765599999999</v>
      </c>
      <c r="AD10" s="106">
        <v>109368.6327</v>
      </c>
      <c r="AE10" s="106">
        <v>122677.0401</v>
      </c>
    </row>
    <row r="11" spans="1:31" x14ac:dyDescent="0.25">
      <c r="A11" t="s">
        <v>3</v>
      </c>
      <c r="B11" s="106">
        <v>1.8346</v>
      </c>
      <c r="C11" s="106">
        <v>24.102900000000002</v>
      </c>
      <c r="D11" s="106">
        <v>60.899099999999997</v>
      </c>
      <c r="E11" s="106">
        <v>46.628700000000002</v>
      </c>
      <c r="F11" s="106">
        <v>91.165899999999993</v>
      </c>
      <c r="G11" s="106">
        <v>163.0001</v>
      </c>
      <c r="H11" s="106">
        <v>415.87</v>
      </c>
      <c r="I11" s="106">
        <v>410.47</v>
      </c>
      <c r="J11" s="106">
        <v>540.14559999999994</v>
      </c>
      <c r="K11" s="106">
        <v>415.81959999999998</v>
      </c>
      <c r="L11" s="106">
        <v>729.63440000000003</v>
      </c>
      <c r="M11" s="106">
        <v>1010.1113</v>
      </c>
      <c r="N11" s="106">
        <v>1795.4888000000001</v>
      </c>
      <c r="O11" s="106">
        <v>2896.8780999999999</v>
      </c>
      <c r="P11" s="106">
        <v>3945.7819</v>
      </c>
      <c r="Q11" s="106">
        <v>4632.1337999999996</v>
      </c>
      <c r="R11" s="106">
        <v>5420.2163</v>
      </c>
      <c r="S11" s="106">
        <v>6551.1063000000004</v>
      </c>
      <c r="T11" s="106">
        <v>7405.2246999999998</v>
      </c>
      <c r="U11" s="106">
        <v>8365.0457999999999</v>
      </c>
      <c r="V11" s="106">
        <v>9371.4644000000008</v>
      </c>
      <c r="W11" s="106">
        <v>11691.3107</v>
      </c>
      <c r="X11" s="106">
        <v>10967.086499999999</v>
      </c>
      <c r="Y11" s="106">
        <v>13130.339400000001</v>
      </c>
      <c r="Z11" s="106">
        <v>15536.5607</v>
      </c>
      <c r="AA11" s="106">
        <v>12263.5985</v>
      </c>
      <c r="AB11" s="106">
        <v>15220.5453</v>
      </c>
      <c r="AC11" s="106">
        <v>16143.4195</v>
      </c>
      <c r="AD11" s="106">
        <v>22441.9552</v>
      </c>
      <c r="AE11" s="106">
        <v>25257.056199999999</v>
      </c>
    </row>
    <row r="12" spans="1:31" x14ac:dyDescent="0.25">
      <c r="A12" t="s">
        <v>61</v>
      </c>
      <c r="B12" s="106">
        <v>31.006499999999999</v>
      </c>
      <c r="C12" s="106">
        <v>181.75030000000001</v>
      </c>
      <c r="D12" s="106">
        <v>316.50909999999999</v>
      </c>
      <c r="E12" s="106">
        <v>419.90969999999999</v>
      </c>
      <c r="F12" s="106">
        <v>574.42579999999998</v>
      </c>
      <c r="G12" s="106">
        <v>1052.6315</v>
      </c>
      <c r="H12" s="106">
        <v>1594.4</v>
      </c>
      <c r="I12" s="106">
        <v>1875.28</v>
      </c>
      <c r="J12" s="106">
        <v>2138.6886</v>
      </c>
      <c r="K12" s="106">
        <v>2339.9778000000001</v>
      </c>
      <c r="L12" s="106">
        <v>3618.4247999999998</v>
      </c>
      <c r="M12" s="106">
        <v>5471.7664999999997</v>
      </c>
      <c r="N12" s="106">
        <v>8800.8039000000008</v>
      </c>
      <c r="O12" s="106">
        <v>13732.3637</v>
      </c>
      <c r="P12" s="106">
        <v>15583.803400000001</v>
      </c>
      <c r="Q12" s="106">
        <v>19786.939600000002</v>
      </c>
      <c r="R12" s="106">
        <v>27414.863700000002</v>
      </c>
      <c r="S12" s="106">
        <v>33733.680699999997</v>
      </c>
      <c r="T12" s="106">
        <v>38046.380100000002</v>
      </c>
      <c r="U12" s="106">
        <v>43843.643499999998</v>
      </c>
      <c r="V12" s="106">
        <v>50359.500800000002</v>
      </c>
      <c r="W12" s="106">
        <v>56233.4686</v>
      </c>
      <c r="X12" s="106">
        <v>56747.398800000003</v>
      </c>
      <c r="Y12" s="106">
        <v>68116.110100000005</v>
      </c>
      <c r="Z12" s="106">
        <v>78171.718099999998</v>
      </c>
      <c r="AA12" s="106">
        <v>75609.830600000001</v>
      </c>
      <c r="AB12" s="106">
        <v>82597.374899999995</v>
      </c>
      <c r="AC12" s="106">
        <v>101307.1851</v>
      </c>
      <c r="AD12" s="106">
        <v>131810.58790000001</v>
      </c>
      <c r="AE12" s="106">
        <v>147934.0963</v>
      </c>
    </row>
    <row r="13" spans="1:31" x14ac:dyDescent="0.25">
      <c r="A13" t="s">
        <v>112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</row>
    <row r="14" spans="1:31" x14ac:dyDescent="0.25">
      <c r="A14" t="s">
        <v>62</v>
      </c>
      <c r="B14" s="106">
        <v>14.0985</v>
      </c>
      <c r="C14" s="106">
        <v>122.0736</v>
      </c>
      <c r="D14" s="106">
        <v>222.18979999999999</v>
      </c>
      <c r="E14" s="106">
        <v>300.63279999999997</v>
      </c>
      <c r="F14" s="106">
        <v>392.85640000000001</v>
      </c>
      <c r="G14" s="106">
        <v>791.36379999999997</v>
      </c>
      <c r="H14" s="106">
        <v>980</v>
      </c>
      <c r="I14" s="106">
        <v>1142.4100000000001</v>
      </c>
      <c r="J14" s="106">
        <v>1021.4487</v>
      </c>
      <c r="K14" s="106">
        <v>1192.9808</v>
      </c>
      <c r="L14" s="106">
        <v>1810.556</v>
      </c>
      <c r="M14" s="106">
        <v>2993.3172</v>
      </c>
      <c r="N14" s="106">
        <v>4419.9616999999998</v>
      </c>
      <c r="O14" s="106">
        <v>7149.2741999999998</v>
      </c>
      <c r="P14" s="106">
        <v>6633.5261</v>
      </c>
      <c r="Q14" s="106">
        <v>8591.8230000000003</v>
      </c>
      <c r="R14" s="106">
        <v>13976.902400000001</v>
      </c>
      <c r="S14" s="106">
        <v>17516.311099999999</v>
      </c>
      <c r="T14" s="106">
        <v>18689.522000000001</v>
      </c>
      <c r="U14" s="106">
        <v>21254.459500000001</v>
      </c>
      <c r="V14" s="106">
        <v>24155.067500000001</v>
      </c>
      <c r="W14" s="106">
        <v>26449.042000000001</v>
      </c>
      <c r="X14" s="106">
        <v>27162.5818</v>
      </c>
      <c r="Y14" s="106">
        <v>33277.597000000002</v>
      </c>
      <c r="Z14" s="106">
        <v>37428.953800000003</v>
      </c>
      <c r="AA14" s="106">
        <v>34107.1103</v>
      </c>
      <c r="AB14" s="106">
        <v>34244.613100000002</v>
      </c>
      <c r="AC14" s="106">
        <v>42218.021200000003</v>
      </c>
      <c r="AD14" s="106">
        <v>59474.145900000003</v>
      </c>
      <c r="AE14" s="106">
        <v>68329.2212</v>
      </c>
    </row>
    <row r="15" spans="1:31" x14ac:dyDescent="0.25">
      <c r="A15" t="s">
        <v>63</v>
      </c>
      <c r="B15" s="106">
        <v>7.8484999999999996</v>
      </c>
      <c r="C15" s="106">
        <v>26.697099999999999</v>
      </c>
      <c r="D15" s="106">
        <v>39.755800000000001</v>
      </c>
      <c r="E15" s="106">
        <v>51.026200000000003</v>
      </c>
      <c r="F15" s="106">
        <v>65.400899999999993</v>
      </c>
      <c r="G15" s="106">
        <v>128.7637</v>
      </c>
      <c r="H15" s="106">
        <v>207.12</v>
      </c>
      <c r="I15" s="106">
        <v>322.85000000000002</v>
      </c>
      <c r="J15" s="106">
        <v>419.20549999999997</v>
      </c>
      <c r="K15" s="106">
        <v>581.37890000000004</v>
      </c>
      <c r="L15" s="106">
        <v>814.05070000000001</v>
      </c>
      <c r="M15" s="106">
        <v>1214.5984000000001</v>
      </c>
      <c r="N15" s="106">
        <v>2154.9268999999999</v>
      </c>
      <c r="O15" s="106">
        <v>2858.2127</v>
      </c>
      <c r="P15" s="106">
        <v>3709.7222999999999</v>
      </c>
      <c r="Q15" s="106">
        <v>4779.4281000000001</v>
      </c>
      <c r="R15" s="106">
        <v>6007.0995000000003</v>
      </c>
      <c r="S15" s="106">
        <v>6914.2375000000002</v>
      </c>
      <c r="T15" s="106">
        <v>7900.7739000000001</v>
      </c>
      <c r="U15" s="106">
        <v>9203.7456000000002</v>
      </c>
      <c r="V15" s="106">
        <v>10100.818600000001</v>
      </c>
      <c r="W15" s="106">
        <v>12199.9053</v>
      </c>
      <c r="X15" s="106">
        <v>13990.3398</v>
      </c>
      <c r="Y15" s="106">
        <v>15833.4077</v>
      </c>
      <c r="Z15" s="106">
        <v>17304.624299999999</v>
      </c>
      <c r="AA15" s="106">
        <v>18375.149099999999</v>
      </c>
      <c r="AB15" s="106">
        <v>23610.754300000001</v>
      </c>
      <c r="AC15" s="106">
        <v>39298.537700000001</v>
      </c>
      <c r="AD15" s="106">
        <v>35213.284</v>
      </c>
      <c r="AE15" s="106">
        <v>37499.942799999997</v>
      </c>
    </row>
    <row r="16" spans="1:31" x14ac:dyDescent="0.25">
      <c r="A16" t="s">
        <v>2</v>
      </c>
      <c r="B16" s="106">
        <v>3.077</v>
      </c>
      <c r="C16" s="106">
        <v>17.758700000000001</v>
      </c>
      <c r="D16" s="106">
        <v>25.206800000000001</v>
      </c>
      <c r="E16" s="106">
        <v>21.970700000000001</v>
      </c>
      <c r="F16" s="106">
        <v>37.493200000000002</v>
      </c>
      <c r="G16" s="106">
        <v>28.051300000000001</v>
      </c>
      <c r="H16" s="106">
        <v>193.91</v>
      </c>
      <c r="I16" s="106">
        <v>108.73</v>
      </c>
      <c r="J16" s="106">
        <v>268.67239999999998</v>
      </c>
      <c r="K16" s="106">
        <v>51.010399999999997</v>
      </c>
      <c r="L16" s="106">
        <v>262.38440000000003</v>
      </c>
      <c r="M16" s="106">
        <v>267.36259999999999</v>
      </c>
      <c r="N16" s="106">
        <v>579.41629999999998</v>
      </c>
      <c r="O16" s="106">
        <v>939.39840000000004</v>
      </c>
      <c r="P16" s="106">
        <v>1388.8416999999999</v>
      </c>
      <c r="Q16" s="106">
        <v>1279.2779</v>
      </c>
      <c r="R16" s="106">
        <v>1142.6664000000001</v>
      </c>
      <c r="S16" s="106">
        <v>1750.0591999999999</v>
      </c>
      <c r="T16" s="106">
        <v>2107.0376000000001</v>
      </c>
      <c r="U16" s="106">
        <v>2327.6761000000001</v>
      </c>
      <c r="V16" s="106">
        <v>3709.9119000000001</v>
      </c>
      <c r="W16" s="106">
        <v>12116.962100000001</v>
      </c>
      <c r="X16" s="106">
        <v>15472.9059</v>
      </c>
      <c r="Y16" s="106">
        <v>12031.017099999999</v>
      </c>
      <c r="Z16" s="106">
        <v>18533.9146</v>
      </c>
      <c r="AA16" s="106">
        <v>14321.720600000001</v>
      </c>
      <c r="AB16" s="106">
        <v>7359.4490999999998</v>
      </c>
      <c r="AC16" s="106">
        <v>2884.7777000000001</v>
      </c>
      <c r="AD16" s="106">
        <v>4063.0947999999999</v>
      </c>
      <c r="AE16" s="106">
        <v>7758.3504000000003</v>
      </c>
    </row>
    <row r="17" spans="1:31" x14ac:dyDescent="0.25">
      <c r="A17" t="s">
        <v>65</v>
      </c>
      <c r="B17" s="106">
        <v>5.9824999999999999</v>
      </c>
      <c r="C17" s="106">
        <v>15.2209</v>
      </c>
      <c r="D17" s="106">
        <v>29.3567</v>
      </c>
      <c r="E17" s="106">
        <v>46.28</v>
      </c>
      <c r="F17" s="106">
        <v>78.675299999999993</v>
      </c>
      <c r="G17" s="106">
        <v>104.45269999999999</v>
      </c>
      <c r="H17" s="106">
        <v>213.3700000000002</v>
      </c>
      <c r="I17" s="106">
        <v>301.28999999999974</v>
      </c>
      <c r="J17" s="106">
        <v>429.36200000000002</v>
      </c>
      <c r="K17" s="106">
        <v>514.60770000000002</v>
      </c>
      <c r="L17" s="106">
        <v>731.43370000000004</v>
      </c>
      <c r="M17" s="106">
        <v>996.48829999999998</v>
      </c>
      <c r="N17" s="106">
        <v>1646.499</v>
      </c>
      <c r="O17" s="106">
        <v>2785.4784</v>
      </c>
      <c r="P17" s="106">
        <v>3851.7132999999999</v>
      </c>
      <c r="Q17" s="106">
        <v>5136.4106000000002</v>
      </c>
      <c r="R17" s="106">
        <v>6288.1953999999996</v>
      </c>
      <c r="S17" s="106">
        <v>7553.0729000000001</v>
      </c>
      <c r="T17" s="106">
        <v>9349.0465999999997</v>
      </c>
      <c r="U17" s="106">
        <v>11057.7623</v>
      </c>
      <c r="V17" s="106">
        <v>12393.702799999999</v>
      </c>
      <c r="W17" s="106">
        <v>5467.5591999999997</v>
      </c>
      <c r="X17" s="106">
        <v>121.57129999999999</v>
      </c>
      <c r="Y17" s="106">
        <v>6974.0883000000003</v>
      </c>
      <c r="Z17" s="106">
        <v>4904.2254000000003</v>
      </c>
      <c r="AA17" s="106">
        <v>8805.8505999999998</v>
      </c>
      <c r="AB17" s="106">
        <v>17382.558400000002</v>
      </c>
      <c r="AC17" s="106">
        <v>16905.8485</v>
      </c>
      <c r="AD17" s="106">
        <v>33060.063199999997</v>
      </c>
      <c r="AE17" s="106">
        <v>34346.581899999997</v>
      </c>
    </row>
    <row r="18" spans="1:31" x14ac:dyDescent="0.25">
      <c r="A18" t="s">
        <v>64</v>
      </c>
      <c r="B18" s="106">
        <v>3.6732999999999998</v>
      </c>
      <c r="C18" s="106">
        <v>0</v>
      </c>
      <c r="D18" s="106">
        <v>11.739800000000001</v>
      </c>
      <c r="E18" s="106">
        <v>15.21</v>
      </c>
      <c r="F18" s="106">
        <v>27.75</v>
      </c>
      <c r="G18" s="106">
        <v>18.329999999999998</v>
      </c>
      <c r="H18" s="106">
        <v>79.23</v>
      </c>
      <c r="I18" s="106">
        <v>109.11</v>
      </c>
      <c r="J18" s="106">
        <v>151.05000000000001</v>
      </c>
      <c r="K18" s="106">
        <v>180.03</v>
      </c>
      <c r="L18" s="106">
        <v>246.35</v>
      </c>
      <c r="M18" s="106">
        <v>337.46</v>
      </c>
      <c r="N18" s="106">
        <v>575.47</v>
      </c>
      <c r="O18" s="106">
        <v>970.12</v>
      </c>
      <c r="P18" s="106">
        <v>1337.18</v>
      </c>
      <c r="Q18" s="106">
        <v>1747.92</v>
      </c>
      <c r="R18" s="106">
        <v>2045.99</v>
      </c>
      <c r="S18" s="106">
        <v>2373.64</v>
      </c>
      <c r="T18" s="106">
        <v>3131.38</v>
      </c>
      <c r="U18" s="106">
        <v>3699.94</v>
      </c>
      <c r="V18" s="106">
        <v>4170.04</v>
      </c>
      <c r="W18" s="106">
        <v>1788.28</v>
      </c>
      <c r="X18" s="106">
        <v>-154.11000000000001</v>
      </c>
      <c r="Y18" s="106">
        <v>2297.48</v>
      </c>
      <c r="Z18" s="106">
        <v>3277.01</v>
      </c>
      <c r="AA18" s="106">
        <v>2217.35</v>
      </c>
      <c r="AB18" s="106">
        <v>4357.08</v>
      </c>
      <c r="AC18" s="106">
        <v>7326.17</v>
      </c>
      <c r="AD18" s="106">
        <v>8198.6299999999992</v>
      </c>
      <c r="AE18" s="106">
        <v>7973.1</v>
      </c>
    </row>
    <row r="19" spans="1:31" x14ac:dyDescent="0.25">
      <c r="A19" t="s">
        <v>66</v>
      </c>
      <c r="B19" s="106">
        <v>28.697299999999998</v>
      </c>
      <c r="C19" s="106">
        <v>166.52940000000001</v>
      </c>
      <c r="D19" s="106">
        <v>298.8922</v>
      </c>
      <c r="E19" s="106">
        <v>388.83969999999999</v>
      </c>
      <c r="F19" s="106">
        <v>523.50049999999999</v>
      </c>
      <c r="G19" s="106">
        <v>966.50879999999995</v>
      </c>
      <c r="H19" s="106">
        <v>1460.26</v>
      </c>
      <c r="I19" s="106">
        <v>1683.1</v>
      </c>
      <c r="J19" s="106">
        <v>1860.3766000000001</v>
      </c>
      <c r="K19" s="106">
        <v>2005.4001000000001</v>
      </c>
      <c r="L19" s="106">
        <v>3133.3411000000001</v>
      </c>
      <c r="M19" s="106">
        <v>4812.7381999999998</v>
      </c>
      <c r="N19" s="106">
        <v>7729.7749000000003</v>
      </c>
      <c r="O19" s="106">
        <v>11917.005300000001</v>
      </c>
      <c r="P19" s="106">
        <v>13069.2701</v>
      </c>
      <c r="Q19" s="106">
        <v>16398.449000000001</v>
      </c>
      <c r="R19" s="106">
        <v>23172.658299999999</v>
      </c>
      <c r="S19" s="106">
        <v>28554.247800000001</v>
      </c>
      <c r="T19" s="106">
        <v>31828.713500000002</v>
      </c>
      <c r="U19" s="106">
        <v>36485.821199999998</v>
      </c>
      <c r="V19" s="106">
        <v>42135.838000000003</v>
      </c>
      <c r="W19" s="106">
        <v>52554.189400000003</v>
      </c>
      <c r="X19" s="106">
        <v>56471.717499999999</v>
      </c>
      <c r="Y19" s="106">
        <v>63439.501799999998</v>
      </c>
      <c r="Z19" s="106">
        <v>76544.502699999997</v>
      </c>
      <c r="AA19" s="106">
        <v>69021.33</v>
      </c>
      <c r="AB19" s="106">
        <v>69571.896500000003</v>
      </c>
      <c r="AC19" s="106">
        <v>91727.506599999993</v>
      </c>
      <c r="AD19" s="106">
        <v>106949.1547</v>
      </c>
      <c r="AE19" s="106">
        <v>121560.61440000001</v>
      </c>
    </row>
    <row r="20" spans="1:31" x14ac:dyDescent="0.25">
      <c r="A20" t="s">
        <v>113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</row>
    <row r="21" spans="1:31" x14ac:dyDescent="0.25">
      <c r="A21" t="s">
        <v>67</v>
      </c>
      <c r="B21" s="106">
        <v>2.3092000000000001</v>
      </c>
      <c r="C21" s="106">
        <v>15.2209</v>
      </c>
      <c r="D21" s="106">
        <v>17.616900000000001</v>
      </c>
      <c r="E21" s="106">
        <v>31.07</v>
      </c>
      <c r="F21" s="106">
        <v>50.9253</v>
      </c>
      <c r="G21" s="106">
        <v>86.122699999999995</v>
      </c>
      <c r="H21" s="106">
        <v>134.13999999999999</v>
      </c>
      <c r="I21" s="106">
        <v>192.18</v>
      </c>
      <c r="J21" s="106">
        <v>278.31200000000001</v>
      </c>
      <c r="K21" s="106">
        <v>334.57769999999999</v>
      </c>
      <c r="L21" s="106">
        <v>485.08370000000002</v>
      </c>
      <c r="M21" s="106">
        <v>659.02829999999994</v>
      </c>
      <c r="N21" s="106">
        <v>1071.029</v>
      </c>
      <c r="O21" s="106">
        <v>1815.3584000000001</v>
      </c>
      <c r="P21" s="106">
        <v>2514.5333000000001</v>
      </c>
      <c r="Q21" s="106">
        <v>3388.4906000000001</v>
      </c>
      <c r="R21" s="106">
        <v>4242.2053999999998</v>
      </c>
      <c r="S21" s="106">
        <v>5179.4328999999998</v>
      </c>
      <c r="T21" s="106">
        <v>6217.6665999999996</v>
      </c>
      <c r="U21" s="106">
        <v>7357.8222999999998</v>
      </c>
      <c r="V21" s="106">
        <v>8223.6628000000001</v>
      </c>
      <c r="W21" s="106">
        <v>3679.2791999999999</v>
      </c>
      <c r="X21" s="106">
        <v>275.68130000000002</v>
      </c>
      <c r="Y21" s="106">
        <v>4676.6082999999999</v>
      </c>
      <c r="Z21" s="106">
        <v>1627.2154</v>
      </c>
      <c r="AA21" s="106">
        <v>6588.5006000000003</v>
      </c>
      <c r="AB21" s="106">
        <v>13025.4784</v>
      </c>
      <c r="AC21" s="106">
        <v>9579.6785</v>
      </c>
      <c r="AD21" s="106">
        <v>24861.433199999999</v>
      </c>
      <c r="AE21" s="106">
        <v>26373.481899999999</v>
      </c>
    </row>
    <row r="22" spans="1:31" x14ac:dyDescent="0.25">
      <c r="A22" t="s">
        <v>68</v>
      </c>
      <c r="B22" s="106"/>
      <c r="C22" s="106">
        <v>0</v>
      </c>
      <c r="D22" s="106">
        <v>-1.0306999999999999</v>
      </c>
      <c r="E22" s="106"/>
      <c r="F22" s="106"/>
      <c r="G22" s="106"/>
      <c r="H22" s="106"/>
      <c r="I22" s="106"/>
      <c r="J22" s="106"/>
      <c r="K22" s="106"/>
      <c r="L22" s="106">
        <v>0</v>
      </c>
      <c r="M22" s="106">
        <v>0</v>
      </c>
      <c r="N22" s="106">
        <v>0</v>
      </c>
      <c r="O22" s="106">
        <v>0</v>
      </c>
      <c r="P22" s="106">
        <v>0</v>
      </c>
      <c r="Q22" s="106"/>
      <c r="R22" s="106">
        <v>0</v>
      </c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</row>
    <row r="23" spans="1:31" x14ac:dyDescent="0.25">
      <c r="A23" t="s">
        <v>69</v>
      </c>
      <c r="B23" s="106"/>
      <c r="C23" s="106">
        <v>10.817600000000001</v>
      </c>
      <c r="D23" s="106">
        <v>20.533799999999999</v>
      </c>
      <c r="E23" s="106">
        <v>30.710799999999999</v>
      </c>
      <c r="F23" s="106">
        <v>41.9893</v>
      </c>
      <c r="G23" s="106">
        <v>52.597999999999999</v>
      </c>
      <c r="H23" s="106">
        <v>74.37</v>
      </c>
      <c r="I23" s="106">
        <v>78.64</v>
      </c>
      <c r="J23" s="106">
        <v>122.4667</v>
      </c>
      <c r="K23" s="106">
        <v>182.10239999999999</v>
      </c>
      <c r="L23" s="106">
        <v>197.4076</v>
      </c>
      <c r="M23" s="106">
        <v>731.03899999999999</v>
      </c>
      <c r="N23" s="106">
        <v>1029.0740000000001</v>
      </c>
      <c r="O23" s="106">
        <v>1553.8688999999999</v>
      </c>
      <c r="P23" s="106">
        <v>2348.0864999999999</v>
      </c>
      <c r="Q23" s="106">
        <v>3427.4337</v>
      </c>
      <c r="R23" s="106">
        <v>4969.7707</v>
      </c>
      <c r="S23" s="106">
        <v>7329.4476000000004</v>
      </c>
      <c r="T23" s="106">
        <v>10029.2624</v>
      </c>
      <c r="U23" s="106">
        <v>13501.446099999999</v>
      </c>
      <c r="V23" s="106">
        <v>17623.491399999999</v>
      </c>
      <c r="W23" s="106">
        <v>23766.455900000001</v>
      </c>
      <c r="X23" s="106">
        <v>24448.327499999999</v>
      </c>
      <c r="Y23" s="106">
        <v>23043.051800000001</v>
      </c>
      <c r="Z23" s="106">
        <v>24322.995299999999</v>
      </c>
      <c r="AA23" s="106">
        <v>26190.454699999998</v>
      </c>
      <c r="AB23" s="106">
        <v>29985.280999999999</v>
      </c>
      <c r="AC23" s="106">
        <v>38100.659099999997</v>
      </c>
      <c r="AD23" s="106">
        <v>44144.930200000003</v>
      </c>
      <c r="AE23" s="106">
        <v>60254.0556</v>
      </c>
    </row>
    <row r="24" spans="1:31" x14ac:dyDescent="0.25">
      <c r="A24" t="s">
        <v>72</v>
      </c>
      <c r="B24" s="106"/>
      <c r="C24" s="106">
        <v>-0.2039</v>
      </c>
      <c r="D24" s="106">
        <v>-0.56140000000000001</v>
      </c>
      <c r="E24" s="106">
        <v>1.24E-2</v>
      </c>
      <c r="F24" s="106">
        <v>0.1358</v>
      </c>
      <c r="G24" s="106">
        <v>1.4E-3</v>
      </c>
      <c r="H24" s="106">
        <v>2.39</v>
      </c>
      <c r="I24" s="106"/>
      <c r="J24" s="106"/>
      <c r="K24" s="106"/>
      <c r="L24" s="106"/>
      <c r="M24" s="106">
        <v>-31.802800000000001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</row>
    <row r="25" spans="1:31" x14ac:dyDescent="0.25">
      <c r="A25" t="s">
        <v>73</v>
      </c>
      <c r="B25" s="106">
        <v>2.3092000000000001</v>
      </c>
      <c r="C25" s="106">
        <v>25.834599999999998</v>
      </c>
      <c r="D25" s="106">
        <v>37.589300000000001</v>
      </c>
      <c r="E25" s="106">
        <v>61.793199999999999</v>
      </c>
      <c r="F25" s="106">
        <v>93.050399999999996</v>
      </c>
      <c r="G25" s="106">
        <v>138.72210000000001</v>
      </c>
      <c r="H25" s="106">
        <v>210.89999999999998</v>
      </c>
      <c r="I25" s="106">
        <v>270.82</v>
      </c>
      <c r="J25" s="106">
        <v>400.77870000000001</v>
      </c>
      <c r="K25" s="106">
        <v>516.68010000000004</v>
      </c>
      <c r="L25" s="106">
        <v>682.49130000000002</v>
      </c>
      <c r="M25" s="106">
        <v>1358.2645</v>
      </c>
      <c r="N25" s="106">
        <v>2100.1030000000001</v>
      </c>
      <c r="O25" s="106">
        <v>3369.2273</v>
      </c>
      <c r="P25" s="106">
        <v>4862.6198000000004</v>
      </c>
      <c r="Q25" s="106">
        <v>6815.9242999999997</v>
      </c>
      <c r="R25" s="106">
        <v>9211.9760999999999</v>
      </c>
      <c r="S25" s="106">
        <v>12508.880499999999</v>
      </c>
      <c r="T25" s="106">
        <v>16246.929</v>
      </c>
      <c r="U25" s="106">
        <v>20859.268400000001</v>
      </c>
      <c r="V25" s="106">
        <v>25847.154200000001</v>
      </c>
      <c r="W25" s="106">
        <v>27445.735100000002</v>
      </c>
      <c r="X25" s="106">
        <v>24724.0088</v>
      </c>
      <c r="Y25" s="106">
        <v>27719.660100000001</v>
      </c>
      <c r="Z25" s="106">
        <v>25950.2107</v>
      </c>
      <c r="AA25" s="106">
        <v>32778.955300000001</v>
      </c>
      <c r="AB25" s="106">
        <v>43010.759400000003</v>
      </c>
      <c r="AC25" s="106">
        <v>47680.337599999999</v>
      </c>
      <c r="AD25" s="106">
        <v>69006.363400000002</v>
      </c>
      <c r="AE25" s="106">
        <v>86627.537500000006</v>
      </c>
    </row>
    <row r="26" spans="1:31" x14ac:dyDescent="0.25">
      <c r="A26" t="s">
        <v>74</v>
      </c>
      <c r="B26" s="106">
        <v>2.3092000000000001</v>
      </c>
      <c r="C26" s="106">
        <v>25.834599999999998</v>
      </c>
      <c r="D26" s="106">
        <v>36.558599999999998</v>
      </c>
      <c r="E26" s="106">
        <v>61.793199999999999</v>
      </c>
      <c r="F26" s="106">
        <v>93.050399999999996</v>
      </c>
      <c r="G26" s="106">
        <v>138.72210000000001</v>
      </c>
      <c r="H26" s="106">
        <v>210.9</v>
      </c>
      <c r="I26" s="106">
        <v>270.82</v>
      </c>
      <c r="J26" s="106">
        <v>400.77870000000001</v>
      </c>
      <c r="K26" s="106">
        <v>516.68010000000004</v>
      </c>
      <c r="L26" s="106">
        <v>682.49130000000002</v>
      </c>
      <c r="M26" s="106">
        <v>1358.2645</v>
      </c>
      <c r="N26" s="106">
        <v>2100.1030000000001</v>
      </c>
      <c r="O26" s="106">
        <v>3369.2273</v>
      </c>
      <c r="P26" s="106">
        <v>4862.6198000000004</v>
      </c>
      <c r="Q26" s="106">
        <v>6815.9242999999997</v>
      </c>
      <c r="R26" s="106">
        <v>9211.9760999999999</v>
      </c>
      <c r="S26" s="106">
        <v>12508.880499999999</v>
      </c>
      <c r="T26" s="106">
        <v>16246.929</v>
      </c>
      <c r="U26" s="106">
        <v>20859.268400000001</v>
      </c>
      <c r="V26" s="106">
        <v>25847.154200000001</v>
      </c>
      <c r="W26" s="106">
        <v>27445.735100000002</v>
      </c>
      <c r="X26" s="106">
        <v>24724.0088</v>
      </c>
      <c r="Y26" s="106">
        <v>27719.660100000001</v>
      </c>
      <c r="Z26" s="106">
        <v>25950.2107</v>
      </c>
      <c r="AA26" s="106">
        <v>32778.955300000001</v>
      </c>
      <c r="AB26" s="106">
        <v>43010.759400000003</v>
      </c>
      <c r="AC26" s="106">
        <v>47680.337599999999</v>
      </c>
      <c r="AD26" s="106">
        <v>69006.363400000002</v>
      </c>
      <c r="AE26" s="106">
        <v>86627.537500000006</v>
      </c>
    </row>
    <row r="27" spans="1:31" x14ac:dyDescent="0.25">
      <c r="A27" t="s">
        <v>75</v>
      </c>
      <c r="B27" s="106"/>
      <c r="C27" s="106"/>
      <c r="D27" s="106"/>
      <c r="E27" s="106">
        <v>10</v>
      </c>
      <c r="F27" s="106">
        <v>12</v>
      </c>
      <c r="G27" s="106">
        <v>15</v>
      </c>
      <c r="H27" s="106">
        <v>20</v>
      </c>
      <c r="I27" s="106">
        <v>22</v>
      </c>
      <c r="J27" s="106">
        <v>25</v>
      </c>
      <c r="K27" s="106">
        <v>28</v>
      </c>
      <c r="L27" s="106">
        <v>35</v>
      </c>
      <c r="M27" s="106">
        <v>45</v>
      </c>
      <c r="N27" s="106">
        <v>60</v>
      </c>
      <c r="O27" s="106">
        <v>100</v>
      </c>
      <c r="P27" s="106">
        <v>120</v>
      </c>
      <c r="Q27" s="106">
        <v>140</v>
      </c>
      <c r="R27" s="106">
        <v>160</v>
      </c>
      <c r="S27" s="106">
        <v>180</v>
      </c>
      <c r="T27" s="106">
        <v>200</v>
      </c>
      <c r="U27" s="106">
        <v>230</v>
      </c>
      <c r="V27" s="106">
        <v>250</v>
      </c>
      <c r="W27" s="106">
        <v>250</v>
      </c>
      <c r="X27" s="106"/>
      <c r="Y27" s="106">
        <v>50</v>
      </c>
      <c r="Z27" s="106"/>
      <c r="AA27" s="106"/>
      <c r="AB27" s="106">
        <v>50</v>
      </c>
      <c r="AC27" s="106">
        <v>50</v>
      </c>
      <c r="AD27" s="106">
        <v>50</v>
      </c>
      <c r="AE27" s="106">
        <v>50</v>
      </c>
    </row>
    <row r="28" spans="1:31" x14ac:dyDescent="0.25">
      <c r="A28" t="s">
        <v>114</v>
      </c>
      <c r="B28" s="106">
        <v>0.20079982539145616</v>
      </c>
      <c r="C28" s="106">
        <v>1.3235553708214165</v>
      </c>
      <c r="D28" s="106">
        <v>1.5319030157365079</v>
      </c>
      <c r="E28" s="106">
        <v>2.3555152566427497</v>
      </c>
      <c r="F28" s="106">
        <v>3.8608085323176389</v>
      </c>
      <c r="G28" s="106">
        <v>6.529235075418943</v>
      </c>
      <c r="H28" s="106">
        <v>6.9933788645013282</v>
      </c>
      <c r="I28" s="106">
        <v>8.3487553759937452</v>
      </c>
      <c r="J28" s="106">
        <v>12.017932417482292</v>
      </c>
      <c r="K28" s="106">
        <v>12.219945185546631</v>
      </c>
      <c r="L28" s="106">
        <v>17.405799999999999</v>
      </c>
      <c r="M28" s="106">
        <v>23.400400000000001</v>
      </c>
      <c r="N28" s="106">
        <v>29.941299999999998</v>
      </c>
      <c r="O28" s="106">
        <v>50.566400000000002</v>
      </c>
      <c r="P28" s="106">
        <v>62.060600000000001</v>
      </c>
      <c r="Q28" s="106">
        <v>82.536199999999994</v>
      </c>
      <c r="R28" s="106">
        <v>102.6662</v>
      </c>
      <c r="S28" s="106">
        <v>110.6824</v>
      </c>
      <c r="T28" s="106">
        <v>132.33449999999999</v>
      </c>
      <c r="U28" s="106">
        <v>31.038799999999998</v>
      </c>
      <c r="V28" s="106">
        <v>34.512099999999997</v>
      </c>
      <c r="W28" s="106">
        <v>15.3621</v>
      </c>
      <c r="X28" s="106">
        <v>1.0741000000000001</v>
      </c>
      <c r="Y28" s="106">
        <v>18.185300000000002</v>
      </c>
      <c r="Z28" s="106">
        <v>5.7667999999999999</v>
      </c>
      <c r="AA28" s="106">
        <v>21.5047</v>
      </c>
      <c r="AB28" s="106">
        <v>42.431800000000003</v>
      </c>
      <c r="AC28" s="106">
        <v>31.134674335977198</v>
      </c>
      <c r="AD28" s="106">
        <v>80.5471</v>
      </c>
      <c r="AE28" s="106">
        <v>85.147999999999996</v>
      </c>
    </row>
    <row r="29" spans="1:31" x14ac:dyDescent="0.25">
      <c r="A29" t="s">
        <v>77</v>
      </c>
      <c r="B29" s="106">
        <v>4.0159965078291233E-2</v>
      </c>
      <c r="C29" s="106">
        <v>0.2647110741642833</v>
      </c>
      <c r="D29" s="106">
        <v>0.30638060314730159</v>
      </c>
      <c r="E29" s="106">
        <v>0.47110305132854996</v>
      </c>
      <c r="F29" s="106">
        <v>0.77216170646352777</v>
      </c>
      <c r="G29" s="106">
        <v>1.3058470150837886</v>
      </c>
      <c r="H29" s="106">
        <v>1.3986757729002657</v>
      </c>
      <c r="I29" s="106">
        <v>1.669751075198749</v>
      </c>
      <c r="J29" s="106">
        <v>2.4035864834964586</v>
      </c>
      <c r="K29" s="106">
        <v>2.4439890371093265</v>
      </c>
      <c r="L29" s="106">
        <v>3.4811999999999999</v>
      </c>
      <c r="M29" s="106">
        <v>4.6801000000000004</v>
      </c>
      <c r="N29" s="106">
        <v>5.9882999999999997</v>
      </c>
      <c r="O29" s="106">
        <v>10.113300000000001</v>
      </c>
      <c r="P29" s="106">
        <v>12.412100000000001</v>
      </c>
      <c r="Q29" s="106">
        <v>16.507200000000001</v>
      </c>
      <c r="R29" s="106">
        <v>20.533200000000001</v>
      </c>
      <c r="S29" s="106">
        <v>22.136500000000002</v>
      </c>
      <c r="T29" s="106">
        <v>26.466899999999999</v>
      </c>
      <c r="U29" s="106">
        <v>31.038799999999998</v>
      </c>
      <c r="V29" s="106">
        <v>34.512099999999997</v>
      </c>
      <c r="W29" s="106">
        <v>15.3621</v>
      </c>
      <c r="X29" s="106">
        <v>1.0741000000000001</v>
      </c>
      <c r="Y29" s="106">
        <v>18.185300000000002</v>
      </c>
      <c r="Z29" s="106">
        <v>5.7667999999999999</v>
      </c>
      <c r="AA29" s="106">
        <v>21.5047</v>
      </c>
      <c r="AB29" s="106">
        <v>42.431800000000003</v>
      </c>
      <c r="AC29" s="106">
        <v>31.134699999999999</v>
      </c>
      <c r="AD29" s="106">
        <v>80.5471</v>
      </c>
      <c r="AE29" s="106">
        <v>85.147999999999996</v>
      </c>
    </row>
    <row r="30" spans="1:31" x14ac:dyDescent="0.25">
      <c r="A30" t="s">
        <v>115</v>
      </c>
      <c r="B30" s="106"/>
      <c r="C30" s="106"/>
      <c r="D30" s="106"/>
      <c r="E30" s="106">
        <v>2.36</v>
      </c>
      <c r="F30" s="106">
        <v>3.86</v>
      </c>
      <c r="G30" s="106">
        <v>6.53</v>
      </c>
      <c r="H30" s="106">
        <v>6.99</v>
      </c>
      <c r="I30" s="106">
        <v>8.35</v>
      </c>
      <c r="J30" s="106">
        <v>12.02</v>
      </c>
      <c r="K30" s="106">
        <v>12.22</v>
      </c>
      <c r="L30" s="106">
        <v>17.45</v>
      </c>
      <c r="M30" s="106">
        <v>23.5</v>
      </c>
      <c r="N30" s="106">
        <v>32.15</v>
      </c>
      <c r="O30" s="106">
        <v>50.61</v>
      </c>
      <c r="P30" s="106">
        <v>65.78</v>
      </c>
      <c r="Q30" s="106">
        <v>82.95</v>
      </c>
      <c r="R30" s="106">
        <v>102.94</v>
      </c>
      <c r="S30" s="106">
        <v>119.67</v>
      </c>
      <c r="T30" s="106">
        <v>26.51</v>
      </c>
      <c r="U30" s="106">
        <v>31.18</v>
      </c>
      <c r="V30" s="106">
        <v>34.590000000000003</v>
      </c>
      <c r="W30" s="106">
        <v>15.4</v>
      </c>
      <c r="X30" s="106">
        <v>1.1299999999999999</v>
      </c>
      <c r="Y30" s="106">
        <v>18.2</v>
      </c>
      <c r="Z30" s="106">
        <v>5.99</v>
      </c>
      <c r="AA30" s="106">
        <v>22.15</v>
      </c>
      <c r="AB30" s="106">
        <v>42.48</v>
      </c>
      <c r="AC30" s="106">
        <v>31.17</v>
      </c>
      <c r="AD30" s="106">
        <v>80.67</v>
      </c>
      <c r="AE30" s="106">
        <v>85.28</v>
      </c>
    </row>
    <row r="31" spans="1:31" x14ac:dyDescent="0.25">
      <c r="A31" t="s">
        <v>116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>
        <v>81.61</v>
      </c>
      <c r="R31" s="106">
        <v>102.2</v>
      </c>
      <c r="S31" s="106"/>
      <c r="T31" s="106"/>
      <c r="U31" s="106">
        <v>30.85</v>
      </c>
      <c r="V31" s="106">
        <v>34.4</v>
      </c>
      <c r="W31" s="106"/>
      <c r="X31" s="106">
        <v>1.1200000000000001</v>
      </c>
      <c r="Y31" s="106">
        <v>18.09</v>
      </c>
      <c r="Z31" s="106">
        <v>5.97</v>
      </c>
      <c r="AA31" s="106">
        <v>22.09</v>
      </c>
      <c r="AB31" s="106">
        <v>42.35</v>
      </c>
      <c r="AC31" s="106">
        <v>31.02</v>
      </c>
      <c r="AD31" s="106">
        <v>80.099999999999994</v>
      </c>
      <c r="AE31" s="106">
        <v>84.77</v>
      </c>
    </row>
    <row r="32" spans="1:31" x14ac:dyDescent="0.25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2026-06-15T09:32:44Z</dcterms:modified>
</cp:coreProperties>
</file>