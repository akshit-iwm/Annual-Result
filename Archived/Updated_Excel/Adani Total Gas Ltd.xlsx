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22A2769-86CD-4BAA-B993-AA95AFDBC47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E69" i="2"/>
  <c r="AE93" i="2"/>
  <c r="AD6" i="2"/>
  <c r="AD14" i="2"/>
  <c r="AD22" i="2"/>
  <c r="AE13" i="2"/>
  <c r="AC61" i="2"/>
  <c r="AC73" i="2"/>
  <c r="AB32" i="2"/>
  <c r="AF64" i="2"/>
  <c r="AB74" i="2"/>
  <c r="AC70" i="2"/>
  <c r="AB94" i="2"/>
  <c r="AE78" i="2"/>
  <c r="AF49" i="2"/>
  <c r="AD75" i="2"/>
  <c r="AE63" i="2"/>
  <c r="AD97" i="2"/>
  <c r="AB64" i="2"/>
  <c r="AF84" i="2"/>
  <c r="AD30" i="2"/>
  <c r="AE14" i="2"/>
  <c r="AD13" i="2"/>
  <c r="AD48" i="2"/>
  <c r="AF69" i="2"/>
  <c r="AF93" i="2"/>
  <c r="AF105" i="2"/>
  <c r="AE106" i="2"/>
  <c r="AB84" i="2"/>
  <c r="AE61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F112" i="2"/>
  <c r="AE73" i="2"/>
  <c r="AE97" i="2"/>
  <c r="AD93" i="2"/>
  <c r="AC74" i="2"/>
  <c r="AB78" i="2"/>
  <c r="AE105" i="2"/>
  <c r="AE90" i="2"/>
  <c r="AD91" i="2"/>
  <c r="AE80" i="2"/>
  <c r="AE19" i="2"/>
  <c r="AF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E27" i="2"/>
  <c r="AE109" i="2"/>
  <c r="AF6" i="2"/>
  <c r="AE92" i="2"/>
  <c r="AE50" i="2"/>
  <c r="AF68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C24" i="2"/>
  <c r="AC78" i="2"/>
  <c r="AC106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D31" i="2"/>
  <c r="AF62" i="2"/>
  <c r="AC22" i="2"/>
  <c r="AC49" i="2"/>
  <c r="AE75" i="2"/>
  <c r="AC26" i="2"/>
  <c r="AE68" i="2"/>
  <c r="AD54" i="2"/>
  <c r="AF78" i="2"/>
  <c r="AF9" i="2"/>
  <c r="AF17" i="2"/>
  <c r="AF25" i="2"/>
  <c r="AF33" i="2"/>
  <c r="AF44" i="2"/>
  <c r="AF52" i="2"/>
  <c r="AC7" i="2"/>
  <c r="AC19" i="2"/>
  <c r="AC31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C43" i="2"/>
  <c r="AC82" i="2"/>
  <c r="AC110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C53" i="2"/>
  <c r="AF94" i="2"/>
  <c r="AE107" i="2"/>
  <c r="AE46" i="2"/>
  <c r="AB11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D68" i="2"/>
  <c r="AE98" i="2"/>
  <c r="AF66" i="2"/>
  <c r="AC51" i="2"/>
  <c r="AC84" i="2"/>
  <c r="AC20" i="2"/>
  <c r="AF72" i="2"/>
  <c r="AF108" i="2"/>
  <c r="AC66" i="2"/>
  <c r="AD49" i="2"/>
  <c r="AE26" i="2"/>
  <c r="AE53" i="2"/>
  <c r="AD29" i="2"/>
  <c r="AF61" i="2"/>
  <c r="AF77" i="2"/>
  <c r="AB104" i="2"/>
  <c r="AC88" i="2"/>
  <c r="AB90" i="2"/>
  <c r="AC8" i="2"/>
  <c r="AE58" i="2"/>
  <c r="AE77" i="2"/>
  <c r="AE66" i="2"/>
  <c r="AF14" i="2"/>
  <c r="AE31" i="2"/>
  <c r="AE99" i="2"/>
  <c r="AD81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11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B5" i="2"/>
  <c r="AB13" i="2"/>
  <c r="AB21" i="2"/>
  <c r="AB29" i="2"/>
  <c r="AB40" i="2"/>
  <c r="AB48" i="2"/>
  <c r="AB56" i="2"/>
  <c r="AE24" i="2"/>
  <c r="AE36" i="2"/>
  <c r="AE51" i="2"/>
  <c r="AB26" i="2"/>
  <c r="AB45" i="2"/>
  <c r="AD76" i="2"/>
  <c r="AD92" i="2"/>
  <c r="AE9" i="2"/>
  <c r="AC59" i="2"/>
  <c r="AC83" i="2"/>
  <c r="AD27" i="2"/>
  <c r="AF88" i="2"/>
  <c r="AC90" i="2"/>
  <c r="AD41" i="2"/>
  <c r="AD57" i="2"/>
  <c r="AE41" i="2"/>
  <c r="AF85" i="2"/>
  <c r="AC93" i="2"/>
  <c r="AF18" i="2"/>
  <c r="AF53" i="2"/>
  <c r="AE40" i="2"/>
  <c r="AC85" i="2"/>
  <c r="AB68" i="2"/>
  <c r="AC36" i="2"/>
  <c r="AB110" i="2"/>
  <c r="AC94" i="2"/>
  <c r="AC98" i="2"/>
  <c r="AE11" i="2"/>
  <c r="AE81" i="2"/>
  <c r="AB36" i="2"/>
  <c r="AD19" i="2"/>
  <c r="AE79" i="2"/>
  <c r="AE85" i="2"/>
  <c r="AE12" i="2"/>
  <c r="AB10" i="2"/>
  <c r="AD60" i="2"/>
  <c r="AD84" i="2"/>
  <c r="AD104" i="2"/>
  <c r="AB12" i="2"/>
  <c r="AB47" i="2"/>
  <c r="AE33" i="2"/>
  <c r="AC71" i="2"/>
  <c r="AD61" i="2"/>
  <c r="AF82" i="2"/>
  <c r="AF98" i="2"/>
  <c r="AB11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134" i="1"/>
  <c r="AA138" i="1" s="1"/>
  <c r="AA37" i="1"/>
  <c r="AA33" i="1"/>
  <c r="AA252" i="1"/>
  <c r="AA194" i="1"/>
  <c r="AA182" i="1"/>
  <c r="AA154" i="1"/>
  <c r="AA120" i="1"/>
  <c r="AA10" i="1"/>
  <c r="AA253" i="1"/>
  <c r="AA231" i="1"/>
  <c r="AB112" i="2"/>
  <c r="AA73" i="1" s="1"/>
  <c r="AB111" i="2"/>
  <c r="B1" i="9"/>
  <c r="AE111" i="2"/>
  <c r="AC113" i="2"/>
  <c r="AC112" i="2"/>
  <c r="AE112" i="2"/>
  <c r="AD112" i="2"/>
  <c r="AC111" i="2"/>
  <c r="AD111" i="2"/>
  <c r="AE113" i="2"/>
  <c r="L1" i="9"/>
  <c r="A1" i="9"/>
  <c r="AD113" i="2"/>
  <c r="AA183" i="1" l="1"/>
  <c r="AA180" i="1"/>
  <c r="AA179" i="1"/>
  <c r="AA173" i="1"/>
  <c r="AA156" i="1"/>
  <c r="AA161" i="1"/>
  <c r="AA168" i="1" s="1"/>
  <c r="AA109" i="1" s="1"/>
  <c r="AA181" i="1"/>
  <c r="AA16" i="1"/>
  <c r="AA98" i="1"/>
  <c r="AA244" i="1"/>
  <c r="AA248" i="1"/>
  <c r="AA246" i="1"/>
  <c r="AA27" i="1"/>
  <c r="AA157" i="1"/>
  <c r="AA165" i="1" s="1"/>
  <c r="AA175" i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5" i="1" l="1"/>
  <c r="AA184" i="1" s="1"/>
  <c r="AA17" i="1"/>
  <c r="AA28" i="1"/>
  <c r="AA166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56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D36" i="3"/>
  <c r="AA10" i="2"/>
  <c r="Y65" i="2"/>
  <c r="Z81" i="2"/>
  <c r="Y106" i="2"/>
  <c r="Y25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AA106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19" i="3"/>
  <c r="BK6" i="3"/>
  <c r="BI11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H62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I39" i="3"/>
  <c r="BJ21" i="3"/>
  <c r="BL46" i="3"/>
  <c r="BE24" i="3"/>
  <c r="BL11" i="3"/>
  <c r="BI46" i="3"/>
  <c r="BP25" i="3"/>
  <c r="BP3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Y28" i="2"/>
  <c r="AA29" i="2"/>
  <c r="Z13" i="2"/>
  <c r="BA45" i="3"/>
  <c r="BD18" i="3"/>
  <c r="BB30" i="3"/>
  <c r="BC12" i="3"/>
  <c r="AA87" i="2"/>
  <c r="AA66" i="2"/>
  <c r="AA30" i="2"/>
  <c r="Y62" i="2"/>
  <c r="Z61" i="2"/>
  <c r="AA58" i="2"/>
  <c r="Z35" i="2"/>
  <c r="Z90" i="2"/>
  <c r="Y45" i="2"/>
  <c r="AA21" i="2"/>
  <c r="BB33" i="3"/>
  <c r="BB8" i="3"/>
  <c r="Y66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C4" i="2"/>
  <c r="BA15" i="3"/>
  <c r="BA32" i="3"/>
  <c r="BA41" i="3"/>
  <c r="BC45" i="3"/>
  <c r="Z23" i="2"/>
  <c r="Y81" i="2"/>
  <c r="AA97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U9" i="3"/>
  <c r="BU15" i="3"/>
  <c r="BU21" i="3"/>
  <c r="BU27" i="3"/>
  <c r="BU33" i="3"/>
  <c r="BU39" i="3"/>
  <c r="BQ62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7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CL2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L12" i="3"/>
  <c r="BG10" i="3"/>
  <c r="BE23" i="3"/>
  <c r="BJ23" i="3"/>
  <c r="BE32" i="3"/>
  <c r="BH17" i="3"/>
  <c r="BK15" i="3"/>
  <c r="BC16" i="3"/>
  <c r="Z5" i="2"/>
  <c r="BA34" i="3"/>
  <c r="FD8" i="4" a="1"/>
  <c r="Y15" i="2"/>
  <c r="Z87" i="2"/>
  <c r="FE5" i="4" a="1"/>
  <c r="FE12" i="4" a="1"/>
  <c r="FD11" i="4" a="1"/>
  <c r="BL36" i="3"/>
  <c r="BG12" i="3"/>
  <c r="BI23" i="3"/>
  <c r="BN27" i="3"/>
  <c r="BM36" i="3"/>
  <c r="BF22" i="3"/>
  <c r="BF40" i="3"/>
  <c r="BP20" i="3"/>
  <c r="BJ19" i="3"/>
  <c r="BK19" i="3"/>
  <c r="BN16" i="3"/>
  <c r="Z67" i="2"/>
  <c r="Y68" i="2"/>
  <c r="AA47" i="2"/>
  <c r="BB22" i="3"/>
  <c r="Z107" i="2"/>
  <c r="BE16" i="3"/>
  <c r="BI13" i="3"/>
  <c r="BK24" i="3"/>
  <c r="BJ31" i="3"/>
  <c r="BM38" i="3"/>
  <c r="BN26" i="3"/>
  <c r="BF24" i="3"/>
  <c r="BP34" i="3"/>
  <c r="BH22" i="3"/>
  <c r="BG21" i="3"/>
  <c r="BJ34" i="3"/>
  <c r="AA110" i="2"/>
  <c r="Y23" i="2"/>
  <c r="BC38" i="3"/>
  <c r="BA9" i="3"/>
  <c r="Z20" i="2"/>
  <c r="Z53" i="2"/>
  <c r="Y71" i="2"/>
  <c r="BA36" i="3"/>
  <c r="AA88" i="2"/>
  <c r="Y47" i="2"/>
  <c r="AA13" i="2"/>
  <c r="AA82" i="2"/>
  <c r="BC36" i="3"/>
  <c r="BD16" i="3"/>
  <c r="Y59" i="2"/>
  <c r="Y27" i="2"/>
  <c r="BA46" i="3"/>
  <c r="Y105" i="2"/>
  <c r="BD20" i="3"/>
  <c r="FC14" i="4" a="1"/>
  <c r="EZ14" i="4" a="1"/>
  <c r="FC16" i="4" a="1"/>
  <c r="EZ15" i="4" a="1"/>
  <c r="FC15" i="4" a="1"/>
  <c r="FE15" i="4" a="1"/>
  <c r="EX14" i="4" a="1"/>
  <c r="EZ6" i="4" a="1"/>
  <c r="BN34" i="3"/>
  <c r="BJ22" i="3"/>
  <c r="BG30" i="3"/>
  <c r="BM28" i="3"/>
  <c r="AA17" i="2"/>
  <c r="Z22" i="2"/>
  <c r="BD32" i="3"/>
  <c r="AA86" i="2"/>
  <c r="AA73" i="2"/>
  <c r="Z106" i="2"/>
  <c r="AA70" i="2"/>
  <c r="BD41" i="3"/>
  <c r="BA11" i="3"/>
  <c r="Z33" i="2"/>
  <c r="BB36" i="3"/>
  <c r="FD7" i="4" a="1"/>
  <c r="FC13" i="4" a="1"/>
  <c r="Y94" i="2"/>
  <c r="AA84" i="2"/>
  <c r="BE36" i="3"/>
  <c r="BM13" i="3"/>
  <c r="BE27" i="3"/>
  <c r="BN35" i="3"/>
  <c r="BN6" i="3"/>
  <c r="BF30" i="3"/>
  <c r="BN36" i="3"/>
  <c r="BI27" i="3"/>
  <c r="BH26" i="3"/>
  <c r="BG25" i="3"/>
  <c r="BK45" i="3"/>
  <c r="AA24" i="2"/>
  <c r="Z108" i="2"/>
  <c r="BB20" i="3"/>
  <c r="BC27" i="3"/>
  <c r="Y20" i="2"/>
  <c r="Z96" i="2"/>
  <c r="Y61" i="2"/>
  <c r="BC39" i="3"/>
  <c r="Z73" i="2"/>
  <c r="Z85" i="2"/>
  <c r="Y57" i="2"/>
  <c r="Y74" i="2"/>
  <c r="BC23" i="3"/>
  <c r="BC33" i="3"/>
  <c r="Y70" i="2"/>
  <c r="Y52" i="2"/>
  <c r="BD14" i="3"/>
  <c r="Z93" i="2"/>
  <c r="BD34" i="3"/>
  <c r="FC12" i="4" a="1"/>
  <c r="FA5" i="4" a="1"/>
  <c r="FD6" i="4" a="1"/>
  <c r="EZ7" i="4" a="1"/>
  <c r="BJ27" i="3"/>
  <c r="BD39" i="3"/>
  <c r="Z110" i="2"/>
  <c r="Z29" i="2"/>
  <c r="BD30" i="3"/>
  <c r="Z24" i="2"/>
  <c r="BB29" i="3"/>
  <c r="EX15" i="4" a="1"/>
  <c r="AA52" i="2"/>
  <c r="Z28" i="2"/>
  <c r="BD15" i="3"/>
  <c r="BA30" i="3"/>
  <c r="EX16" i="4" a="1"/>
  <c r="BB46" i="3"/>
  <c r="BA33" i="3"/>
  <c r="Z26" i="2"/>
  <c r="BF12" i="3"/>
  <c r="CL14" i="1" s="1"/>
  <c r="BE15" i="3"/>
  <c r="BK30" i="3"/>
  <c r="BN37" i="3"/>
  <c r="BL27" i="3"/>
  <c r="Y56" i="2"/>
  <c r="Y54" i="2"/>
  <c r="FD15" i="4" a="1"/>
  <c r="FF9" i="4" a="1"/>
  <c r="FD9" i="4" a="1"/>
  <c r="Z64" i="2"/>
  <c r="Y50" i="2"/>
  <c r="BC14" i="3"/>
  <c r="FB15" i="4" a="1"/>
  <c r="AA46" i="2"/>
  <c r="BT36" i="3"/>
  <c r="BG16" i="3"/>
  <c r="BG38" i="3"/>
  <c r="BL42" i="3"/>
  <c r="BF42" i="3"/>
  <c r="CL51" i="1" s="1"/>
  <c r="BJ36" i="3"/>
  <c r="BL41" i="3"/>
  <c r="BI33" i="3"/>
  <c r="BH32" i="3"/>
  <c r="BK31" i="3"/>
  <c r="Z48" i="2"/>
  <c r="AA90" i="2"/>
  <c r="BC18" i="3"/>
  <c r="BD37" i="3"/>
  <c r="Y42" i="2"/>
  <c r="AA50" i="2"/>
  <c r="AA41" i="2"/>
  <c r="BA37" i="3"/>
  <c r="AA16" i="2"/>
  <c r="Z10" i="2"/>
  <c r="Z98" i="2"/>
  <c r="BA12" i="3"/>
  <c r="AA27" i="2"/>
  <c r="BB42" i="3"/>
  <c r="Z71" i="2"/>
  <c r="Z34" i="2"/>
  <c r="BD27" i="3"/>
  <c r="Z51" i="2"/>
  <c r="AA57" i="2"/>
  <c r="FA6" i="4" a="1"/>
  <c r="FC8" i="4" a="1"/>
  <c r="EY5" i="4" a="1"/>
  <c r="FA9" i="4" a="1"/>
  <c r="FC6" i="4" a="1"/>
  <c r="FE13" i="4" a="1"/>
  <c r="AB39" i="3"/>
  <c r="Y36" i="2"/>
  <c r="Z109" i="2"/>
  <c r="BC37" i="3"/>
  <c r="BA19" i="3"/>
  <c r="AA9" i="2"/>
  <c r="Z77" i="2"/>
  <c r="Z68" i="2"/>
  <c r="BA40" i="3"/>
  <c r="Y11" i="2"/>
  <c r="FC9" i="4" a="1"/>
  <c r="FB9" i="4" a="1"/>
  <c r="EX8" i="4" a="1"/>
  <c r="FB16" i="4" a="1"/>
  <c r="Z65" i="2"/>
  <c r="BC5" i="3"/>
  <c r="EX5" i="4" a="1"/>
  <c r="FC11" i="4" a="1"/>
  <c r="FE16" i="4" a="1"/>
  <c r="Y40" i="2"/>
  <c r="BC24" i="3"/>
  <c r="Y26" i="2"/>
  <c r="Z18" i="2"/>
  <c r="BB12" i="3"/>
  <c r="Y8" i="2"/>
  <c r="BC30" i="3"/>
  <c r="BP39" i="3"/>
  <c r="BE17" i="3"/>
  <c r="BM39" i="3"/>
  <c r="BE8" i="3"/>
  <c r="BL21" i="3"/>
  <c r="BH41" i="3"/>
  <c r="BJ30" i="3"/>
  <c r="BK34" i="3"/>
  <c r="BH36" i="3"/>
  <c r="BK35" i="3"/>
  <c r="AA108" i="2"/>
  <c r="Y77" i="2"/>
  <c r="BC31" i="3"/>
  <c r="AA31" i="2"/>
  <c r="BA13" i="3"/>
  <c r="Z27" i="2"/>
  <c r="AA83" i="2"/>
  <c r="BC40" i="3"/>
  <c r="AA107" i="2"/>
  <c r="Y53" i="2"/>
  <c r="EX13" i="4" a="1"/>
  <c r="EY15" i="4" a="1"/>
  <c r="BB6" i="3"/>
  <c r="Z97" i="2"/>
  <c r="BD5" i="3"/>
  <c r="AA95" i="2"/>
  <c r="AA15" i="2"/>
  <c r="EZ12" i="4" a="1"/>
  <c r="FB14" i="4" a="1"/>
  <c r="Z17" i="2"/>
  <c r="FA12" i="4" a="1"/>
  <c r="EY8" i="4" a="1"/>
  <c r="BJ15" i="3"/>
  <c r="BD45" i="3"/>
  <c r="BP29" i="3"/>
  <c r="BG18" i="3"/>
  <c r="BK46" i="3"/>
  <c r="BK11" i="3"/>
  <c r="BL29" i="3"/>
  <c r="BJ46" i="3"/>
  <c r="BT9" i="3"/>
  <c r="BK38" i="3"/>
  <c r="BF39" i="3"/>
  <c r="BG37" i="3"/>
  <c r="AA40" i="2"/>
  <c r="Z89" i="2"/>
  <c r="AA105" i="2"/>
  <c r="BA20" i="3"/>
  <c r="BA22" i="3"/>
  <c r="Y19" i="2"/>
  <c r="AA6" i="2"/>
  <c r="BC28" i="3"/>
  <c r="BC29" i="3"/>
  <c r="Y96" i="2"/>
  <c r="AA98" i="2"/>
  <c r="Y90" i="2"/>
  <c r="BA8" i="3"/>
  <c r="FF8" i="4" a="1"/>
  <c r="BI5" i="3"/>
  <c r="BK18" i="3"/>
  <c r="BH8" i="3"/>
  <c r="BI16" i="3"/>
  <c r="BE85" i="3"/>
  <c r="BJ6" i="3"/>
  <c r="BT13" i="3"/>
  <c r="BG42" i="3"/>
  <c r="BF45" i="3"/>
  <c r="CL63" i="1" s="1"/>
  <c r="BM40" i="3"/>
  <c r="Y85" i="2"/>
  <c r="AA72" i="2"/>
  <c r="AA78" i="2"/>
  <c r="BB9" i="3"/>
  <c r="BB15" i="3"/>
  <c r="Y58" i="2"/>
  <c r="Y98" i="2"/>
  <c r="BC13" i="3"/>
  <c r="BC42" i="3"/>
  <c r="AA20" i="2"/>
  <c r="Z94" i="2"/>
  <c r="AA32" i="2"/>
  <c r="AV10" i="3"/>
  <c r="Z83" i="2"/>
  <c r="BB35" i="3"/>
  <c r="BD24" i="3"/>
  <c r="AA25" i="2"/>
  <c r="AA75" i="2"/>
  <c r="Z7" i="2"/>
  <c r="Y87" i="2"/>
  <c r="FF16" i="4" a="1"/>
  <c r="FF14" i="4" a="1"/>
  <c r="EZ16" i="4" a="1"/>
  <c r="FD16" i="4" a="1"/>
  <c r="EZ5" i="4" a="1"/>
  <c r="BA6" i="3"/>
  <c r="AA12" i="2"/>
  <c r="Y34" i="2"/>
  <c r="Z58" i="2"/>
  <c r="BC22" i="3"/>
  <c r="Y89" i="2"/>
  <c r="Y41" i="2"/>
  <c r="BB11" i="3"/>
  <c r="EY7" i="4" a="1"/>
  <c r="FE9" i="4" a="1"/>
  <c r="FB5" i="4" a="1"/>
  <c r="EX9" i="4" a="1"/>
  <c r="BI28" i="3"/>
  <c r="BL15" i="3"/>
  <c r="BT30" i="3"/>
  <c r="BJ11" i="3"/>
  <c r="BC21" i="3"/>
  <c r="BA10" i="3"/>
  <c r="AA69" i="2"/>
  <c r="FF5" i="4" a="1"/>
  <c r="BP14" i="3"/>
  <c r="Z47" i="2"/>
  <c r="Z84" i="2"/>
  <c r="FF13" i="4" a="1"/>
  <c r="EY9" i="4" a="1"/>
  <c r="BC7" i="3"/>
  <c r="Z105" i="2"/>
  <c r="FA11" i="4" a="1"/>
  <c r="BI7" i="3"/>
  <c r="BM19" i="3"/>
  <c r="BN11" i="3"/>
  <c r="BI18" i="3"/>
  <c r="BL7" i="3"/>
  <c r="BL25" i="3"/>
  <c r="BT31" i="3"/>
  <c r="BJ5" i="3"/>
  <c r="BK5" i="3"/>
  <c r="BH13" i="3"/>
  <c r="Y60" i="2"/>
  <c r="Y46" i="2"/>
  <c r="Y12" i="2"/>
  <c r="BA31" i="3"/>
  <c r="BB37" i="3"/>
  <c r="Y49" i="2"/>
  <c r="AA63" i="2"/>
  <c r="BD35" i="3"/>
  <c r="Y109" i="2"/>
  <c r="BA7" i="3"/>
  <c r="BB10" i="3"/>
  <c r="Z56" i="2"/>
  <c r="FC5" i="4" a="1"/>
  <c r="EZ13" i="4" a="1"/>
  <c r="EZ9" i="4" a="1"/>
  <c r="BM21" i="3"/>
  <c r="BF8" i="3"/>
  <c r="BM12" i="3"/>
  <c r="BJ40" i="3"/>
  <c r="AA61" i="2"/>
  <c r="Z36" i="2"/>
  <c r="AA93" i="2"/>
  <c r="Y6" i="2"/>
  <c r="AA79" i="2"/>
  <c r="Z95" i="2"/>
  <c r="BD11" i="3"/>
  <c r="BD19" i="3"/>
  <c r="AA5" i="2"/>
  <c r="AA71" i="2"/>
  <c r="AA23" i="2"/>
  <c r="FE14" i="4" a="1"/>
  <c r="BH27" i="3"/>
  <c r="Z69" i="2"/>
  <c r="FF12" i="4" a="1"/>
  <c r="Z49" i="2"/>
  <c r="BB39" i="3"/>
  <c r="FA13" i="4" a="1"/>
  <c r="BK8" i="3"/>
  <c r="BE21" i="3"/>
  <c r="BL16" i="3"/>
  <c r="BG23" i="3"/>
  <c r="BN10" i="3"/>
  <c r="BF32" i="3"/>
  <c r="BT8" i="3"/>
  <c r="BN9" i="3"/>
  <c r="BG9" i="3"/>
  <c r="BN22" i="3"/>
  <c r="AA55" i="2"/>
  <c r="AA14" i="2"/>
  <c r="Z9" i="2"/>
  <c r="BD22" i="3"/>
  <c r="BC15" i="3"/>
  <c r="AA36" i="2"/>
  <c r="Z70" i="2"/>
  <c r="BA39" i="3"/>
  <c r="BB18" i="3"/>
  <c r="AA74" i="2"/>
  <c r="Z74" i="2"/>
  <c r="Y82" i="2"/>
  <c r="BB26" i="3"/>
  <c r="Z32" i="2"/>
  <c r="BD38" i="3"/>
  <c r="AA67" i="2"/>
  <c r="Y79" i="2"/>
  <c r="Z60" i="2"/>
  <c r="Y63" i="2"/>
  <c r="BB34" i="3"/>
  <c r="FA7" i="4" a="1"/>
  <c r="FD12" i="4" a="1"/>
  <c r="FD13" i="4" a="1"/>
  <c r="BH18" i="3"/>
  <c r="BB32" i="3"/>
  <c r="Z99" i="2"/>
  <c r="Z8" i="2"/>
  <c r="EZ8" i="4" a="1"/>
  <c r="BH45" i="3"/>
  <c r="Y110" i="2"/>
  <c r="BE9" i="3"/>
  <c r="BC35" i="3"/>
  <c r="FF7" i="4" a="1"/>
  <c r="CL9" i="1" l="1"/>
  <c r="CL8" i="1"/>
  <c r="CL47" i="1"/>
  <c r="AA52" i="1"/>
  <c r="AA54" i="1"/>
  <c r="AA193" i="1"/>
  <c r="AA195" i="1" s="1"/>
  <c r="CL10" i="1"/>
  <c r="CL231" i="1"/>
  <c r="CL253" i="1"/>
  <c r="CL194" i="1"/>
  <c r="CL252" i="1"/>
  <c r="CL65" i="1"/>
  <c r="CK22" i="1"/>
  <c r="CK21" i="1"/>
  <c r="CK24" i="1"/>
  <c r="CK20" i="1"/>
  <c r="CK35" i="1"/>
  <c r="CK64" i="1"/>
  <c r="CK51" i="1"/>
  <c r="CK23" i="1"/>
  <c r="CK14" i="1"/>
  <c r="CK9" i="1"/>
  <c r="CK25" i="1"/>
  <c r="CK63" i="1"/>
  <c r="CK65" i="1" s="1"/>
  <c r="CK47" i="1"/>
  <c r="Z47" i="1"/>
  <c r="CK46" i="1"/>
  <c r="CK39" i="1"/>
  <c r="CK13" i="1"/>
  <c r="CK32" i="1"/>
  <c r="CK8" i="1"/>
  <c r="CK15" i="1"/>
  <c r="CK36" i="1"/>
  <c r="CK4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T49" i="3"/>
  <c r="BG7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K84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BP67" i="3"/>
  <c r="BF79" i="3"/>
  <c r="CL143" i="1" s="1"/>
  <c r="BA87" i="3"/>
  <c r="BA93" i="3"/>
  <c r="BQ77" i="3"/>
  <c r="BH87" i="3"/>
  <c r="BG59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P57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BP5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P9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BG66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BH61" i="3"/>
  <c r="BH63" i="3"/>
  <c r="BP89" i="3"/>
  <c r="BM57" i="3"/>
  <c r="BG64" i="3"/>
  <c r="BD93" i="3"/>
  <c r="BA66" i="3"/>
  <c r="BH92" i="3"/>
  <c r="BE84" i="3"/>
  <c r="BF49" i="3"/>
  <c r="CL73" i="1" s="1"/>
  <c r="BQ95" i="3"/>
  <c r="BV65" i="3"/>
  <c r="BO71" i="3"/>
  <c r="BS83" i="3"/>
  <c r="BS57" i="3"/>
  <c r="BU65" i="3"/>
  <c r="BR77" i="3"/>
  <c r="BV74" i="3"/>
  <c r="BT57" i="3"/>
  <c r="BN77" i="3"/>
  <c r="BN56" i="3"/>
  <c r="BF67" i="3"/>
  <c r="BO78" i="3"/>
  <c r="BG62" i="3"/>
  <c r="BE73" i="3"/>
  <c r="BM89" i="3"/>
  <c r="BJ76" i="3"/>
  <c r="BJ71" i="3"/>
  <c r="BK60" i="3"/>
  <c r="GT14" i="4" a="1"/>
  <c r="GY6" i="4" a="1"/>
  <c r="GZ8" i="4" a="1"/>
  <c r="FH14" i="4" a="1"/>
  <c r="HD6" i="4" a="1"/>
  <c r="GA7" i="4" a="1"/>
  <c r="GO12" i="4" a="1"/>
  <c r="FH6" i="4" a="1"/>
  <c r="FQ6" i="4" a="1"/>
  <c r="GH11" i="4" a="1"/>
  <c r="FT5" i="4" a="1"/>
  <c r="GP5" i="4" a="1"/>
  <c r="FP11" i="4" a="1"/>
  <c r="FI9" i="4" a="1"/>
  <c r="FM7" i="4" a="1"/>
  <c r="GV8" i="4" a="1"/>
  <c r="GN14" i="4" a="1"/>
  <c r="GM7" i="4" a="1"/>
  <c r="GM9" i="4" a="1"/>
  <c r="FL12" i="4" a="1"/>
  <c r="FO11" i="4" a="1"/>
  <c r="FW12" i="4" a="1"/>
  <c r="FY13" i="4" a="1"/>
  <c r="GA9" i="4" a="1"/>
  <c r="GC12" i="4" a="1"/>
  <c r="GE13" i="4" a="1"/>
  <c r="GJ14" i="4" a="1"/>
  <c r="FQ11" i="4" a="1"/>
  <c r="GU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GY14" i="4" a="1"/>
  <c r="GV13" i="4" a="1"/>
  <c r="HC15" i="4" a="1"/>
  <c r="BC86" i="3"/>
  <c r="GT12" i="4" a="1"/>
  <c r="GG15" i="4" a="1"/>
  <c r="GA16" i="4" a="1"/>
  <c r="FS14" i="4" a="1"/>
  <c r="BD48" i="3"/>
  <c r="BD81" i="3"/>
  <c r="FM13" i="4" a="1"/>
  <c r="FI7" i="4" a="1"/>
  <c r="BD71" i="3"/>
  <c r="BL89" i="3"/>
  <c r="FG9" i="4" a="1"/>
  <c r="FQ8" i="4" a="1"/>
  <c r="GW9" i="4" a="1"/>
  <c r="FO13" i="4" a="1"/>
  <c r="FJ16" i="4" a="1"/>
  <c r="HG9" i="4" a="1"/>
  <c r="BC67" i="3"/>
  <c r="BD59" i="3"/>
  <c r="GZ12" i="4" a="1"/>
  <c r="GN15" i="4" a="1"/>
  <c r="FU11" i="4" a="1"/>
  <c r="BC95" i="3"/>
  <c r="BD66" i="3"/>
  <c r="BB93" i="3"/>
  <c r="BH59" i="3"/>
  <c r="BH72" i="3"/>
  <c r="BG70" i="3"/>
  <c r="BM76" i="3"/>
  <c r="BG72" i="3"/>
  <c r="BU47" i="3"/>
  <c r="BA77" i="3"/>
  <c r="BH90" i="3"/>
  <c r="BE78" i="3"/>
  <c r="BF66" i="3"/>
  <c r="CL151" i="1" s="1"/>
  <c r="BU72" i="3"/>
  <c r="BV60" i="3"/>
  <c r="BO80" i="3"/>
  <c r="BS84" i="3"/>
  <c r="BF91" i="3"/>
  <c r="CL154" i="1" s="1"/>
  <c r="BU81" i="3"/>
  <c r="BR96" i="3"/>
  <c r="BV86" i="3"/>
  <c r="BT47" i="3"/>
  <c r="BN79" i="3"/>
  <c r="BN66" i="3"/>
  <c r="BF77" i="3"/>
  <c r="CL140" i="1" s="1"/>
  <c r="BO91" i="3"/>
  <c r="BG47" i="3"/>
  <c r="BE77" i="3"/>
  <c r="BM55" i="3"/>
  <c r="BJ78" i="3"/>
  <c r="BJ73" i="3"/>
  <c r="BK87" i="3"/>
  <c r="FK15" i="4" a="1"/>
  <c r="FU7" i="4" a="1"/>
  <c r="GH9" i="4" a="1"/>
  <c r="GF14" i="4" a="1"/>
  <c r="GE7" i="4" a="1"/>
  <c r="GJ9" i="4" a="1"/>
  <c r="FK13" i="4" a="1"/>
  <c r="GF6" i="4" a="1"/>
  <c r="FV7" i="4" a="1"/>
  <c r="HF11" i="4" a="1"/>
  <c r="GF5" i="4" a="1"/>
  <c r="FL6" i="4" a="1"/>
  <c r="FX11" i="4" a="1"/>
  <c r="FQ5" i="4" a="1"/>
  <c r="GF7" i="4" a="1"/>
  <c r="GR9" i="4" a="1"/>
  <c r="FJ15" i="4" a="1"/>
  <c r="FL8" i="4" a="1"/>
  <c r="FL7" i="4" a="1"/>
  <c r="GR12" i="4" a="1"/>
  <c r="FW11" i="4" a="1"/>
  <c r="FZ12" i="4" a="1"/>
  <c r="GB13" i="4" a="1"/>
  <c r="GF9" i="4" a="1"/>
  <c r="GF12" i="4" a="1"/>
  <c r="GM13" i="4" a="1"/>
  <c r="GO14" i="4" a="1"/>
  <c r="GG11" i="4" a="1"/>
  <c r="HF14" i="4" a="1"/>
  <c r="GX15" i="4" a="1"/>
  <c r="GI12" i="4" a="1"/>
  <c r="FI15" i="4" a="1"/>
  <c r="GB15" i="4" a="1"/>
  <c r="FY16" i="4" a="1"/>
  <c r="GN13" i="4" a="1"/>
  <c r="BD91" i="3"/>
  <c r="GD8" i="4" a="1"/>
  <c r="BC79" i="3"/>
  <c r="BD57" i="3"/>
  <c r="FH7" i="4" a="1"/>
  <c r="FR5" i="4" a="1"/>
  <c r="FR8" i="4" a="1"/>
  <c r="HC12" i="4" a="1"/>
  <c r="HG11" i="4" a="1"/>
  <c r="GH16" i="4" a="1"/>
  <c r="HH11" i="4" a="1"/>
  <c r="BI78" i="3"/>
  <c r="FH5" i="4" a="1"/>
  <c r="GZ9" i="4" a="1"/>
  <c r="GK7" i="4" a="1"/>
  <c r="FZ7" i="4" a="1"/>
  <c r="HD11" i="4" a="1"/>
  <c r="GI7" i="4" a="1"/>
  <c r="FQ14" i="4" a="1"/>
  <c r="GL16" i="4" a="1"/>
  <c r="GA12" i="4" a="1"/>
  <c r="GX14" i="4" a="1"/>
  <c r="BC68" i="3"/>
  <c r="GO6" i="4" a="1"/>
  <c r="FN16" i="4" a="1"/>
  <c r="FS12" i="4" a="1"/>
  <c r="GL14" i="4" a="1"/>
  <c r="GO16" i="4" a="1"/>
  <c r="BC61" i="3"/>
  <c r="BP80" i="3"/>
  <c r="BL72" i="3"/>
  <c r="BG61" i="3"/>
  <c r="BK72" i="3"/>
  <c r="BG60" i="3"/>
  <c r="BU79" i="3"/>
  <c r="BA97" i="3"/>
  <c r="BL77" i="3"/>
  <c r="BE76" i="3"/>
  <c r="BF80" i="3"/>
  <c r="CL159" i="1" s="1"/>
  <c r="BU74" i="3"/>
  <c r="BT69" i="3"/>
  <c r="BO84" i="3"/>
  <c r="BS73" i="3"/>
  <c r="BU56" i="3"/>
  <c r="BU88" i="3"/>
  <c r="BR73" i="3"/>
  <c r="BV92" i="3"/>
  <c r="BT55" i="3"/>
  <c r="BN67" i="3"/>
  <c r="BN70" i="3"/>
  <c r="BF69" i="3"/>
  <c r="BO96" i="3"/>
  <c r="BG90" i="3"/>
  <c r="BI63" i="3"/>
  <c r="BF74" i="3"/>
  <c r="BJ96" i="3"/>
  <c r="BJ77" i="3"/>
  <c r="BK76" i="3"/>
  <c r="FM5" i="4" a="1"/>
  <c r="FO8" i="4" a="1"/>
  <c r="GX9" i="4" a="1"/>
  <c r="HA14" i="4" a="1"/>
  <c r="GW5" i="4" a="1"/>
  <c r="GX6" i="4" a="1"/>
  <c r="GI13" i="4" a="1"/>
  <c r="FW7" i="4" a="1"/>
  <c r="HF8" i="4" a="1"/>
  <c r="GB12" i="4" a="1"/>
  <c r="FP6" i="4" a="1"/>
  <c r="FR6" i="4" a="1"/>
  <c r="GU6" i="4" a="1"/>
  <c r="GE5" i="4" a="1"/>
  <c r="FG8" i="4" a="1"/>
  <c r="HD9" i="4" a="1"/>
  <c r="GE6" i="4" a="1"/>
  <c r="GA6" i="4" a="1"/>
  <c r="FK8" i="4" a="1"/>
  <c r="FN13" i="4" a="1"/>
  <c r="GA11" i="4" a="1"/>
  <c r="GE12" i="4" a="1"/>
  <c r="GJ13" i="4" a="1"/>
  <c r="GI11" i="4" a="1"/>
  <c r="GK12" i="4" a="1"/>
  <c r="GP13" i="4" a="1"/>
  <c r="GR14" i="4" a="1"/>
  <c r="FK12" i="4" a="1"/>
  <c r="FL15" i="4" a="1"/>
  <c r="GZ15" i="4" a="1"/>
  <c r="FX16" i="4" a="1"/>
  <c r="GX16" i="4" a="1"/>
  <c r="FV15" i="4" a="1"/>
  <c r="FM15" i="4" a="1"/>
  <c r="HD13" i="4" a="1"/>
  <c r="HE15" i="4" a="1"/>
  <c r="BC64" i="3"/>
  <c r="FZ16" i="4" a="1"/>
  <c r="FG14" i="4" a="1"/>
  <c r="GC16" i="4" a="1"/>
  <c r="GW7" i="4" a="1"/>
  <c r="FT11" i="4" a="1"/>
  <c r="FV14" i="4" a="1"/>
  <c r="GQ15" i="4" a="1"/>
  <c r="BC91" i="3"/>
  <c r="BB47" i="3"/>
  <c r="BQ64" i="3"/>
  <c r="BS92" i="3"/>
  <c r="BR59" i="3"/>
  <c r="BT63" i="3"/>
  <c r="BT62" i="3"/>
  <c r="BJ82" i="3"/>
  <c r="BJ92" i="3"/>
  <c r="FJ7" i="4" a="1"/>
  <c r="FG5" i="4" a="1"/>
  <c r="GP8" i="4" a="1"/>
  <c r="GF8" i="4" a="1"/>
  <c r="FO9" i="4" a="1"/>
  <c r="HF5" i="4" a="1"/>
  <c r="FQ16" i="4" a="1"/>
  <c r="BP83" i="3"/>
  <c r="BK68" i="3"/>
  <c r="BG96" i="3"/>
  <c r="BB50" i="3"/>
  <c r="BH55" i="3"/>
  <c r="BP59" i="3"/>
  <c r="BC56" i="3"/>
  <c r="BL47" i="3"/>
  <c r="BE61" i="3"/>
  <c r="BQ68" i="3"/>
  <c r="BU76" i="3"/>
  <c r="BT94" i="3"/>
  <c r="BO88" i="3"/>
  <c r="BS75" i="3"/>
  <c r="BU59" i="3"/>
  <c r="BU70" i="3"/>
  <c r="BR87" i="3"/>
  <c r="BV94" i="3"/>
  <c r="BT82" i="3"/>
  <c r="BN50" i="3"/>
  <c r="BN73" i="3"/>
  <c r="AA112" i="2"/>
  <c r="BS70" i="3"/>
  <c r="BH89" i="3"/>
  <c r="BI75" i="3"/>
  <c r="BF57" i="3"/>
  <c r="CL118" i="1" s="1"/>
  <c r="BJ97" i="3"/>
  <c r="BJ85" i="3"/>
  <c r="BK92" i="3"/>
  <c r="FS5" i="4" a="1"/>
  <c r="GK8" i="4" a="1"/>
  <c r="FR11" i="4" a="1"/>
  <c r="FR15" i="4" a="1"/>
  <c r="FS6" i="4" a="1"/>
  <c r="FT8" i="4" a="1"/>
  <c r="HG13" i="4" a="1"/>
  <c r="GU7" i="4" a="1"/>
  <c r="GM6" i="4" a="1"/>
  <c r="GW12" i="4" a="1"/>
  <c r="GV6" i="4" a="1"/>
  <c r="FK7" i="4" a="1"/>
  <c r="FH9" i="4" a="1"/>
  <c r="FN5" i="4" a="1"/>
  <c r="GI8" i="4" a="1"/>
  <c r="FN11" i="4" a="1"/>
  <c r="FZ8" i="4" a="1"/>
  <c r="FP7" i="4" a="1"/>
  <c r="GJ8" i="4" a="1"/>
  <c r="FM14" i="4" a="1"/>
  <c r="GE11" i="4" a="1"/>
  <c r="GH12" i="4" a="1"/>
  <c r="GO13" i="4" a="1"/>
  <c r="GL11" i="4" a="1"/>
  <c r="GS12" i="4" a="1"/>
  <c r="GU13" i="4" a="1"/>
  <c r="GW14" i="4" a="1"/>
  <c r="FV12" i="4" a="1"/>
  <c r="FP15" i="4" a="1"/>
  <c r="HB15" i="4" a="1"/>
  <c r="GZ16" i="4" a="1"/>
  <c r="FT15" i="4" a="1"/>
  <c r="GU9" i="4" a="1"/>
  <c r="HG15" i="4" a="1"/>
  <c r="BC55" i="3"/>
  <c r="BC69" i="3"/>
  <c r="BD58" i="3"/>
  <c r="GD13" i="4" a="1"/>
  <c r="HA11" i="4" a="1"/>
  <c r="FY7" i="4" a="1"/>
  <c r="FH16" i="4" a="1"/>
  <c r="BC70" i="3"/>
  <c r="BP93" i="3"/>
  <c r="BS54" i="3"/>
  <c r="BJ88" i="3"/>
  <c r="BK50" i="3"/>
  <c r="BG89" i="3"/>
  <c r="BB79" i="3"/>
  <c r="BH54" i="3"/>
  <c r="BI49" i="3"/>
  <c r="BC85" i="3"/>
  <c r="BL71" i="3"/>
  <c r="BE48" i="3"/>
  <c r="BQ86" i="3"/>
  <c r="BR89" i="3"/>
  <c r="BT92" i="3"/>
  <c r="BO94" i="3"/>
  <c r="BS95" i="3"/>
  <c r="BU60" i="3"/>
  <c r="BR48" i="3"/>
  <c r="BR67" i="3"/>
  <c r="BV63" i="3"/>
  <c r="BT65" i="3"/>
  <c r="BN54" i="3"/>
  <c r="BN81" i="3"/>
  <c r="AA111" i="2"/>
  <c r="BS74" i="3"/>
  <c r="BL54" i="3"/>
  <c r="BI79" i="3"/>
  <c r="BF96" i="3"/>
  <c r="CL163" i="1" s="1"/>
  <c r="BJ87" i="3"/>
  <c r="BK73" i="3"/>
  <c r="BK94" i="3"/>
  <c r="FP5" i="4" a="1"/>
  <c r="GU8" i="4" a="1"/>
  <c r="FZ11" i="4" a="1"/>
  <c r="FT7" i="4" a="1"/>
  <c r="HG6" i="4" a="1"/>
  <c r="GR8" i="4" a="1"/>
  <c r="GC14" i="4" a="1"/>
  <c r="FK6" i="4" a="1"/>
  <c r="GB7" i="4" a="1"/>
  <c r="FS13" i="4" a="1"/>
  <c r="GP7" i="4" a="1"/>
  <c r="FW9" i="4" a="1"/>
  <c r="GM11" i="4" a="1"/>
  <c r="FZ5" i="4" a="1"/>
  <c r="GW8" i="4" a="1"/>
  <c r="GF11" i="4" a="1"/>
  <c r="FK5" i="4" a="1"/>
  <c r="GN7" i="4" a="1"/>
  <c r="HG8" i="4" a="1"/>
  <c r="GK14" i="4" a="1"/>
  <c r="GK11" i="4" a="1"/>
  <c r="GP12" i="4" a="1"/>
  <c r="GR13" i="4" a="1"/>
  <c r="GQ11" i="4" a="1"/>
  <c r="GV12" i="4" a="1"/>
  <c r="GX13" i="4" a="1"/>
  <c r="HE14" i="4" a="1"/>
  <c r="GQ12" i="4" a="1"/>
  <c r="FS15" i="4" a="1"/>
  <c r="HD15" i="4" a="1"/>
  <c r="GB16" i="4" a="1"/>
  <c r="HB16" i="4" a="1"/>
  <c r="GJ7" i="4" a="1"/>
  <c r="FX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M72" i="3"/>
  <c r="BV68" i="3"/>
  <c r="BN48" i="3"/>
  <c r="BE79" i="3"/>
  <c r="BK97" i="3"/>
  <c r="GX11" i="4" a="1"/>
  <c r="HB13" i="4" a="1"/>
  <c r="FH12" i="4" a="1"/>
  <c r="GG9" i="4" a="1"/>
  <c r="GN5" i="4" a="1"/>
  <c r="FT14" i="4" a="1"/>
  <c r="HE13" i="4" a="1"/>
  <c r="HC14" i="4" a="1"/>
  <c r="GU15" i="4" a="1"/>
  <c r="GY9" i="4" a="1"/>
  <c r="BA81" i="3"/>
  <c r="BC58" i="3"/>
  <c r="BG81" i="3"/>
  <c r="BB97" i="3"/>
  <c r="BE90" i="3"/>
  <c r="BI95" i="3"/>
  <c r="BD61" i="3"/>
  <c r="BL76" i="3"/>
  <c r="BI82" i="3"/>
  <c r="BQ79" i="3"/>
  <c r="BR93" i="3"/>
  <c r="BT75" i="3"/>
  <c r="BO62" i="3"/>
  <c r="BS55" i="3"/>
  <c r="BU71" i="3"/>
  <c r="BR76" i="3"/>
  <c r="BV62" i="3"/>
  <c r="BV97" i="3"/>
  <c r="BT85" i="3"/>
  <c r="BN75" i="3"/>
  <c r="BN85" i="3"/>
  <c r="Y112" i="2"/>
  <c r="BS79" i="3"/>
  <c r="BL85" i="3"/>
  <c r="BI60" i="3"/>
  <c r="BF70" i="3"/>
  <c r="CL133" i="1" s="1"/>
  <c r="BJ54" i="3"/>
  <c r="BK69" i="3"/>
  <c r="BK95" i="3"/>
  <c r="GB5" i="4" a="1"/>
  <c r="FI6" i="4" a="1"/>
  <c r="FW6" i="4" a="1"/>
  <c r="FY9" i="4" a="1"/>
  <c r="GC7" i="4" a="1"/>
  <c r="FM9" i="4" a="1"/>
  <c r="FW15" i="4" a="1"/>
  <c r="GI6" i="4" a="1"/>
  <c r="FP8" i="4" a="1"/>
  <c r="FU14" i="4" a="1"/>
  <c r="FI8" i="4" a="1"/>
  <c r="HA5" i="4" a="1"/>
  <c r="FI12" i="4" a="1"/>
  <c r="FM6" i="4" a="1"/>
  <c r="GU5" i="4" a="1"/>
  <c r="GZ6" i="4" a="1"/>
  <c r="FW5" i="4" a="1"/>
  <c r="FJ8" i="4" a="1"/>
  <c r="GV9" i="4" a="1"/>
  <c r="FG15" i="4" a="1"/>
  <c r="GN11" i="4" a="1"/>
  <c r="GU12" i="4" a="1"/>
  <c r="GW13" i="4" a="1"/>
  <c r="GY11" i="4" a="1"/>
  <c r="HA12" i="4" a="1"/>
  <c r="HC13" i="4" a="1"/>
  <c r="HH14" i="4" a="1"/>
  <c r="HB12" i="4" a="1"/>
  <c r="GF15" i="4" a="1"/>
  <c r="HF15" i="4" a="1"/>
  <c r="GD16" i="4" a="1"/>
  <c r="HD16" i="4" a="1"/>
  <c r="FV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F16" i="4" a="1"/>
  <c r="FM11" i="4" a="1"/>
  <c r="GH14" i="4" a="1"/>
  <c r="FK16" i="4" a="1"/>
  <c r="HG16" i="4" a="1"/>
  <c r="BC90" i="3"/>
  <c r="BC88" i="3"/>
  <c r="BC93" i="3"/>
  <c r="BD74" i="3"/>
  <c r="BD96" i="3"/>
  <c r="FJ9" i="4" a="1"/>
  <c r="FL14" i="4" a="1"/>
  <c r="GQ9" i="4" a="1"/>
  <c r="GM14" i="4" a="1"/>
  <c r="FM16" i="4" a="1"/>
  <c r="GK16" i="4" a="1"/>
  <c r="GL8" i="4" a="1"/>
  <c r="BD87" i="3"/>
  <c r="BH65" i="3"/>
  <c r="BR54" i="3"/>
  <c r="BO77" i="3"/>
  <c r="BO54" i="3"/>
  <c r="BK83" i="3"/>
  <c r="GQ8" i="4" a="1"/>
  <c r="FY12" i="4" a="1"/>
  <c r="GD11" i="4" a="1"/>
  <c r="HF12" i="4" a="1"/>
  <c r="FN8" i="4" a="1"/>
  <c r="GM16" i="4" a="1"/>
  <c r="BC77" i="3"/>
  <c r="HE9" i="4" a="1"/>
  <c r="BA96" i="3"/>
  <c r="BU63" i="3"/>
  <c r="BE82" i="3"/>
  <c r="BB71" i="3"/>
  <c r="BM88" i="3"/>
  <c r="BI92" i="3"/>
  <c r="BQ50" i="3"/>
  <c r="BL96" i="3"/>
  <c r="BI90" i="3"/>
  <c r="BQ76" i="3"/>
  <c r="BR50" i="3"/>
  <c r="BT84" i="3"/>
  <c r="BO70" i="3"/>
  <c r="BS78" i="3"/>
  <c r="BU80" i="3"/>
  <c r="BR64" i="3"/>
  <c r="BV79" i="3"/>
  <c r="BV66" i="3"/>
  <c r="BT87" i="3"/>
  <c r="BN61" i="3"/>
  <c r="BN91" i="3"/>
  <c r="BO47" i="3"/>
  <c r="BS87" i="3"/>
  <c r="BL50" i="3"/>
  <c r="BI91" i="3"/>
  <c r="BF50" i="3"/>
  <c r="CL74" i="1" s="1"/>
  <c r="BJ55" i="3"/>
  <c r="BK77" i="3"/>
  <c r="BK54" i="3"/>
  <c r="HG5" i="4" a="1"/>
  <c r="FG6" i="4" a="1"/>
  <c r="FZ6" i="4" a="1"/>
  <c r="HA9" i="4" a="1"/>
  <c r="FS8" i="4" a="1"/>
  <c r="GP9" i="4" a="1"/>
  <c r="GO7" i="4" a="1"/>
  <c r="FX7" i="4" a="1"/>
  <c r="GN8" i="4" a="1"/>
  <c r="GS14" i="4" a="1"/>
  <c r="GD6" i="4" a="1"/>
  <c r="HC6" i="4" a="1"/>
  <c r="GG12" i="4" a="1"/>
  <c r="GK6" i="4" a="1"/>
  <c r="FT6" i="4" a="1"/>
  <c r="GN9" i="4" a="1"/>
  <c r="FJ5" i="4" a="1"/>
  <c r="GA8" i="4" a="1"/>
  <c r="FH11" i="4" a="1"/>
  <c r="GV5" i="4" a="1"/>
  <c r="GV11" i="4" a="1"/>
  <c r="GX12" i="4" a="1"/>
  <c r="GZ13" i="4" a="1"/>
  <c r="HB11" i="4" a="1"/>
  <c r="HD12" i="4" a="1"/>
  <c r="FI14" i="4" a="1"/>
  <c r="FO6" i="4" a="1"/>
  <c r="FU13" i="4" a="1"/>
  <c r="GH15" i="4" a="1"/>
  <c r="HH15" i="4" a="1"/>
  <c r="HF16" i="4" a="1"/>
  <c r="FV9" i="4" a="1"/>
  <c r="FK14" i="4" a="1"/>
  <c r="GW11" i="4" a="1"/>
  <c r="GO15" i="4" a="1"/>
  <c r="GI16" i="4" a="1"/>
  <c r="BA69" i="3"/>
  <c r="BR71" i="3"/>
  <c r="BE74" i="3"/>
  <c r="BB56" i="3"/>
  <c r="BM92" i="3"/>
  <c r="BI86" i="3"/>
  <c r="BQ54" i="3"/>
  <c r="BL74" i="3"/>
  <c r="BI94" i="3"/>
  <c r="BQ92" i="3"/>
  <c r="BR58" i="3"/>
  <c r="BN88" i="3"/>
  <c r="BO74" i="3"/>
  <c r="BS77" i="3"/>
  <c r="BU83" i="3"/>
  <c r="BR74" i="3"/>
  <c r="BV72" i="3"/>
  <c r="BT68" i="3"/>
  <c r="BT54" i="3"/>
  <c r="BN55" i="3"/>
  <c r="BN97" i="3"/>
  <c r="BO48" i="3"/>
  <c r="BS89" i="3"/>
  <c r="BE49" i="3"/>
  <c r="BI61" i="3"/>
  <c r="BJ49" i="3"/>
  <c r="BJ62" i="3"/>
  <c r="BK55" i="3"/>
  <c r="BK49" i="3"/>
  <c r="GN6" i="4" a="1"/>
  <c r="GQ7" i="4" a="1"/>
  <c r="HE8" i="4" a="1"/>
  <c r="GA5" i="4" a="1"/>
  <c r="GE8" i="4" a="1"/>
  <c r="HB9" i="4" a="1"/>
  <c r="GS9" i="4" a="1"/>
  <c r="GV7" i="4" a="1"/>
  <c r="GL15" i="4" a="1"/>
  <c r="GC13" i="4" a="1"/>
  <c r="GS15" i="4" a="1"/>
  <c r="BD79" i="3"/>
  <c r="Y113" i="2"/>
  <c r="FU6" i="4" a="1"/>
  <c r="BC76" i="3"/>
  <c r="BV48" i="3"/>
  <c r="BA84" i="3"/>
  <c r="BM73" i="3"/>
  <c r="BM84" i="3"/>
  <c r="BB94" i="3"/>
  <c r="BD82" i="3"/>
  <c r="BB77" i="3"/>
  <c r="BH60" i="3"/>
  <c r="BL59" i="3"/>
  <c r="BF89" i="3"/>
  <c r="CL153" i="1" s="1"/>
  <c r="CL183" i="1" s="1"/>
  <c r="BQ71" i="3"/>
  <c r="BV59" i="3"/>
  <c r="BO97" i="3"/>
  <c r="BO82" i="3"/>
  <c r="BS82" i="3"/>
  <c r="BU85" i="3"/>
  <c r="BR95" i="3"/>
  <c r="BV90" i="3"/>
  <c r="BT59" i="3"/>
  <c r="BT97" i="3"/>
  <c r="BN74" i="3"/>
  <c r="BP74" i="3"/>
  <c r="BO60" i="3"/>
  <c r="BP63" i="3"/>
  <c r="BE91" i="3"/>
  <c r="BM85" i="3"/>
  <c r="BJ60" i="3"/>
  <c r="BJ61" i="3"/>
  <c r="BK58" i="3"/>
  <c r="BK71" i="3"/>
  <c r="HF7" i="4" a="1"/>
  <c r="GE9" i="4" a="1"/>
  <c r="FT12" i="4" a="1"/>
  <c r="GH5" i="4" a="1"/>
  <c r="HC8" i="4" a="1"/>
  <c r="GJ6" i="4" a="1"/>
  <c r="GG5" i="4" a="1"/>
  <c r="GC8" i="4" a="1"/>
  <c r="FJ11" i="4" a="1"/>
  <c r="FI5" i="4" a="1"/>
  <c r="HD7" i="4" a="1"/>
  <c r="FZ9" i="4" a="1"/>
  <c r="FX14" i="4" a="1"/>
  <c r="HC7" i="4" a="1"/>
  <c r="FJ6" i="4" a="1"/>
  <c r="FG12" i="4" a="1"/>
  <c r="FL13" i="4" a="1"/>
  <c r="GT7" i="4" a="1"/>
  <c r="FM12" i="4" a="1"/>
  <c r="FQ9" i="4" a="1"/>
  <c r="FO14" i="4" a="1"/>
  <c r="GN16" i="4" a="1"/>
  <c r="GL12" i="4" a="1"/>
  <c r="BQ61" i="3"/>
  <c r="BM77" i="3"/>
  <c r="BM49" i="3"/>
  <c r="BB90" i="3"/>
  <c r="BD88" i="3"/>
  <c r="BB80" i="3"/>
  <c r="BH79" i="3"/>
  <c r="BL56" i="3"/>
  <c r="BF71" i="3"/>
  <c r="BQ80" i="3"/>
  <c r="BV77" i="3"/>
  <c r="BO49" i="3"/>
  <c r="BO95" i="3"/>
  <c r="BS69" i="3"/>
  <c r="BU90" i="3"/>
  <c r="BR84" i="3"/>
  <c r="BV88" i="3"/>
  <c r="BT77" i="3"/>
  <c r="BT66" i="3"/>
  <c r="BN94" i="3"/>
  <c r="BP79" i="3"/>
  <c r="BO61" i="3"/>
  <c r="BP65" i="3"/>
  <c r="BE65" i="3"/>
  <c r="BM87" i="3"/>
  <c r="BJ66" i="3"/>
  <c r="BJ63" i="3"/>
  <c r="BK48" i="3"/>
  <c r="BK79" i="3"/>
  <c r="GR5" i="4" a="1"/>
  <c r="FQ7" i="4" a="1"/>
  <c r="HE12" i="4" a="1"/>
  <c r="HB5" i="4" a="1"/>
  <c r="HC5" i="4" a="1"/>
  <c r="FX9" i="4" a="1"/>
  <c r="FX5" i="4" a="1"/>
  <c r="GM8" i="4" a="1"/>
  <c r="GS5" i="4" a="1"/>
  <c r="FY5" i="4" a="1"/>
  <c r="FU8" i="4" a="1"/>
  <c r="GT9" i="4" a="1"/>
  <c r="GV14" i="4" a="1"/>
  <c r="FV6" i="4" a="1"/>
  <c r="GG7" i="4" a="1"/>
  <c r="FV13" i="4" a="1"/>
  <c r="GS6" i="4" a="1"/>
  <c r="GW6" i="4" a="1"/>
  <c r="FS9" i="4" a="1"/>
  <c r="FG11" i="4" a="1"/>
  <c r="FJ12" i="4" a="1"/>
  <c r="FQ13" i="4" a="1"/>
  <c r="FM8" i="4" a="1"/>
  <c r="FU12" i="4" a="1"/>
  <c r="FW13" i="4" a="1"/>
  <c r="FY14" i="4" a="1"/>
  <c r="GL9" i="4" a="1"/>
  <c r="FZ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A65" i="3"/>
  <c r="GV16" i="4" a="1"/>
  <c r="BD68" i="3"/>
  <c r="GP6" i="4" a="1"/>
  <c r="BD95" i="3"/>
  <c r="FG7" i="4" a="1"/>
  <c r="FG13" i="4" a="1"/>
  <c r="HA13" i="4" a="1"/>
  <c r="HE7" i="4" a="1"/>
  <c r="GD12" i="4" a="1"/>
  <c r="BC81" i="3"/>
  <c r="BC48" i="3"/>
  <c r="BM66" i="3"/>
  <c r="BN65" i="3"/>
  <c r="BP69" i="3"/>
  <c r="GB11" i="4" a="1"/>
  <c r="GD5" i="4" a="1"/>
  <c r="FJ14" i="4" a="1"/>
  <c r="GO11" i="4" a="1"/>
  <c r="GA14" i="4" a="1"/>
  <c r="FO16" i="4" a="1"/>
  <c r="FR13" i="4" a="1"/>
  <c r="BD97" i="3"/>
  <c r="BQ58" i="3"/>
  <c r="BP94" i="3"/>
  <c r="BM67" i="3"/>
  <c r="BB60" i="3"/>
  <c r="BD83" i="3"/>
  <c r="BA64" i="3"/>
  <c r="BH85" i="3"/>
  <c r="BE94" i="3"/>
  <c r="BF61" i="3"/>
  <c r="BQ78" i="3"/>
  <c r="BV47" i="3"/>
  <c r="BO59" i="3"/>
  <c r="BS80" i="3"/>
  <c r="BS64" i="3"/>
  <c r="BU94" i="3"/>
  <c r="BR80" i="3"/>
  <c r="BV80" i="3"/>
  <c r="BT64" i="3"/>
  <c r="BN86" i="3"/>
  <c r="BN96" i="3"/>
  <c r="BP85" i="3"/>
  <c r="BO64" i="3"/>
  <c r="BG68" i="3"/>
  <c r="BE67" i="3"/>
  <c r="BM83" i="3"/>
  <c r="BJ70" i="3"/>
  <c r="BJ67" i="3"/>
  <c r="BK80" i="3"/>
  <c r="BK93" i="3"/>
  <c r="GL6" i="4" a="1"/>
  <c r="GB8" i="4" a="1"/>
  <c r="GA13" i="4" a="1"/>
  <c r="GC6" i="4" a="1"/>
  <c r="GG6" i="4" a="1"/>
  <c r="GU11" i="4" a="1"/>
  <c r="GL5" i="4" a="1"/>
  <c r="GX5" i="4" a="1"/>
  <c r="GK5" i="4" a="1"/>
  <c r="GI5" i="4" a="1"/>
  <c r="GS8" i="4" a="1"/>
  <c r="HF9" i="4" a="1"/>
  <c r="FZ15" i="4" a="1"/>
  <c r="GT6" i="4" a="1"/>
  <c r="FX8" i="4" a="1"/>
  <c r="FP14" i="4" a="1"/>
  <c r="FR7" i="4" a="1"/>
  <c r="HB7" i="4" a="1"/>
  <c r="GP11" i="4" a="1"/>
  <c r="FK11" i="4" a="1"/>
  <c r="FR12" i="4" a="1"/>
  <c r="FT13" i="4" a="1"/>
  <c r="FK9" i="4" a="1"/>
  <c r="FX12" i="4" a="1"/>
  <c r="FZ13" i="4" a="1"/>
  <c r="GG14" i="4" a="1"/>
  <c r="HC9" i="4" a="1"/>
  <c r="GE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Z112" i="2"/>
  <c r="FV16" i="4" a="1"/>
  <c r="HF6" i="4" a="1"/>
  <c r="GW16" i="4" a="1"/>
  <c r="BC63" i="3"/>
  <c r="BD47" i="3"/>
  <c r="GY16" i="4" a="1"/>
  <c r="GI15" i="4" a="1"/>
  <c r="HA16" i="4" a="1"/>
  <c r="BC84" i="3"/>
  <c r="BD84" i="3"/>
  <c r="GR6" i="4" a="1"/>
  <c r="HC11" i="4" a="1"/>
  <c r="HA8" i="4" a="1"/>
  <c r="FN7" i="4" a="1"/>
  <c r="GJ15" i="4" a="1"/>
  <c r="BA71" i="3"/>
  <c r="BI59" i="3"/>
  <c r="BU77" i="3"/>
  <c r="BM69" i="3"/>
  <c r="CO20" i="1" l="1"/>
  <c r="CS20" i="1" s="1"/>
  <c r="CL137" i="1"/>
  <c r="CH140" i="1"/>
  <c r="CI140" i="1" s="1"/>
  <c r="AA202" i="1"/>
  <c r="CL120" i="1"/>
  <c r="CL138" i="1"/>
  <c r="CL98" i="1"/>
  <c r="CL99" i="1" s="1"/>
  <c r="CL27" i="1"/>
  <c r="CL16" i="1"/>
  <c r="X10" i="1"/>
  <c r="CL129" i="1"/>
  <c r="CL92" i="1"/>
  <c r="CL161" i="1"/>
  <c r="CL168" i="1" s="1"/>
  <c r="CL109" i="1" s="1"/>
  <c r="CL156" i="1"/>
  <c r="CL185" i="1" s="1"/>
  <c r="CL184" i="1" s="1"/>
  <c r="CL148" i="1"/>
  <c r="X180" i="1"/>
  <c r="CK26" i="1"/>
  <c r="CK10" i="1"/>
  <c r="CK16" i="1" s="1"/>
  <c r="X179" i="1"/>
  <c r="Y183" i="1"/>
  <c r="Z131" i="1"/>
  <c r="CJ146" i="1"/>
  <c r="KE16" i="4" s="1"/>
  <c r="CJ159" i="1"/>
  <c r="CJ150" i="1"/>
  <c r="KC16" i="4" s="1"/>
  <c r="JU16" i="4" s="1"/>
  <c r="JU21" i="4" s="1"/>
  <c r="JT16" i="4" s="1"/>
  <c r="KD15" i="4" s="1"/>
  <c r="CJ160" i="1"/>
  <c r="JS16" i="4" s="1"/>
  <c r="JS21" i="4" s="1"/>
  <c r="KG7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34" i="1"/>
  <c r="CK33" i="1" s="1"/>
  <c r="KD16" i="4" s="1"/>
  <c r="KD21" i="4" s="1"/>
  <c r="CJ140" i="1"/>
  <c r="CJ202" i="1" s="1"/>
  <c r="CJ117" i="1"/>
  <c r="KC14" i="4" s="1"/>
  <c r="KB16" i="4" s="1"/>
  <c r="KB21" i="4" s="1"/>
  <c r="JU8" i="4" s="1"/>
  <c r="JV9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J143" i="1"/>
  <c r="KC9" i="4" s="1"/>
  <c r="KF9" i="4" s="1"/>
  <c r="CK73" i="1"/>
  <c r="KB9" i="4" s="1"/>
  <c r="KG9" i="4" s="1"/>
  <c r="KA16" i="4" s="1"/>
  <c r="CJ152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KG21" i="4" s="1"/>
  <c r="JY16" i="4" s="1"/>
  <c r="JQ16" i="4" s="1"/>
  <c r="JX16" i="4" s="1"/>
  <c r="KD9" i="4" s="1"/>
  <c r="X73" i="1"/>
  <c r="KE9" i="4" s="1"/>
  <c r="JY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KF21" i="4" s="1"/>
  <c r="KA14" i="4" s="1"/>
  <c r="KE8" i="4" s="1"/>
  <c r="CJ119" i="1"/>
  <c r="KH15" i="4" s="1"/>
  <c r="KE14" i="4" s="1"/>
  <c r="JR7" i="4" s="1"/>
  <c r="Z73" i="1"/>
  <c r="CH74" i="1"/>
  <c r="JS9" i="4" s="1"/>
  <c r="JV16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54" i="1"/>
  <c r="JR8" i="4" s="1"/>
  <c r="JZ9" i="4" s="1"/>
  <c r="JY14" i="4" s="1"/>
  <c r="JR15" i="4" s="1"/>
  <c r="CJ151" i="1"/>
  <c r="CJ144" i="1"/>
  <c r="CJ179" i="1" s="1"/>
  <c r="CK179" i="1" s="1"/>
  <c r="JU14" i="4" s="1"/>
  <c r="JW16" i="4" s="1"/>
  <c r="JW21" i="4" s="1"/>
  <c r="CJ149" i="1"/>
  <c r="JW9" i="4" s="1"/>
  <c r="KA9" i="4" s="1"/>
  <c r="JQ9" i="4" s="1"/>
  <c r="JR9" i="4" s="1"/>
  <c r="JT9" i="4" s="1"/>
  <c r="CJ133" i="1"/>
  <c r="CK133" i="1" s="1"/>
  <c r="CM133" i="1" s="1"/>
  <c r="CN133" i="1" s="1"/>
  <c r="CO133" i="1" s="1"/>
  <c r="CP133" i="1" s="1"/>
  <c r="CI73" i="1"/>
  <c r="JU9" i="4" s="1"/>
  <c r="Z74" i="1"/>
  <c r="CJ153" i="1"/>
  <c r="CJ183" i="1" s="1"/>
  <c r="CK183" i="1" s="1"/>
  <c r="CJ147" i="1"/>
  <c r="Y74" i="1"/>
  <c r="CI74" i="1"/>
  <c r="CK74" i="1"/>
  <c r="CJ142" i="1"/>
  <c r="CH73" i="1"/>
  <c r="KH16" i="4" s="1"/>
  <c r="JZ16" i="4" s="1"/>
  <c r="JR16" i="4" s="1"/>
  <c r="JX9" i="4" s="1"/>
  <c r="CJ74" i="1"/>
  <c r="CJ155" i="1"/>
  <c r="CJ124" i="1"/>
  <c r="CK124" i="1" s="1"/>
  <c r="CM124" i="1" s="1"/>
  <c r="CG73" i="1"/>
  <c r="CJ73" i="1"/>
  <c r="CG74" i="1"/>
  <c r="Z154" i="1"/>
  <c r="CH154" i="1" s="1"/>
  <c r="CH156" i="1" s="1"/>
  <c r="CH185" i="1" s="1"/>
  <c r="Y179" i="1"/>
  <c r="Y252" i="1"/>
  <c r="Y26" i="1"/>
  <c r="CK98" i="1"/>
  <c r="CK99" i="1" s="1"/>
  <c r="X252" i="1"/>
  <c r="X148" i="1"/>
  <c r="X182" i="1" s="1"/>
  <c r="Y148" i="1"/>
  <c r="Z148" i="1"/>
  <c r="CH144" i="1"/>
  <c r="CH179" i="1" s="1"/>
  <c r="CI179" i="1" s="1"/>
  <c r="Z179" i="1"/>
  <c r="Z231" i="1"/>
  <c r="Z180" i="1"/>
  <c r="Z253" i="1"/>
  <c r="Z183" i="1"/>
  <c r="Y10" i="1"/>
  <c r="Y134" i="1"/>
  <c r="X183" i="1"/>
  <c r="Y173" i="1"/>
  <c r="Y161" i="1"/>
  <c r="Z209" i="1" s="1"/>
  <c r="Z252" i="1"/>
  <c r="X173" i="1"/>
  <c r="Z161" i="1"/>
  <c r="AA209" i="1" s="1"/>
  <c r="CH159" i="1"/>
  <c r="CH161" i="1" s="1"/>
  <c r="CI209" i="1" s="1"/>
  <c r="X253" i="1"/>
  <c r="X194" i="1"/>
  <c r="Y194" i="1"/>
  <c r="Y253" i="1"/>
  <c r="CH119" i="1"/>
  <c r="CH120" i="1" s="1"/>
  <c r="Z120" i="1"/>
  <c r="CG194" i="1"/>
  <c r="CG253" i="1"/>
  <c r="Y156" i="1"/>
  <c r="CH253" i="1"/>
  <c r="CG252" i="1"/>
  <c r="X134" i="1"/>
  <c r="CI231" i="1"/>
  <c r="CI10" i="1"/>
  <c r="JR21" i="4"/>
  <c r="CL77" i="1" s="1"/>
  <c r="CJ98" i="1"/>
  <c r="Y202" i="1"/>
  <c r="Y180" i="1"/>
  <c r="KH21" i="4"/>
  <c r="JV8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KC7" i="4"/>
  <c r="JX8" i="4"/>
  <c r="KF8" i="4"/>
  <c r="JT8" i="4"/>
  <c r="KB8" i="4"/>
  <c r="KE7" i="4"/>
  <c r="KF7" i="4"/>
  <c r="JQ15" i="4"/>
  <c r="JR14" i="4"/>
  <c r="KH14" i="4"/>
  <c r="JT15" i="4"/>
  <c r="KB15" i="4"/>
  <c r="JS15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48" i="1"/>
  <c r="CH182" i="1" s="1"/>
  <c r="CH128" i="1"/>
  <c r="Y98" i="1"/>
  <c r="Y188" i="1"/>
  <c r="Y27" i="1"/>
  <c r="Y16" i="1"/>
  <c r="Y11" i="1"/>
  <c r="X98" i="1"/>
  <c r="X16" i="1"/>
  <c r="Y182" i="1"/>
  <c r="Z196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27" i="1" l="1"/>
  <c r="JY21" i="4"/>
  <c r="JX21" i="4"/>
  <c r="KH7" i="4" s="1"/>
  <c r="KH9" i="4" s="1"/>
  <c r="X27" i="1"/>
  <c r="JT21" i="4"/>
  <c r="CH131" i="1"/>
  <c r="KE21" i="4"/>
  <c r="Z134" i="1"/>
  <c r="Z182" i="1"/>
  <c r="AA196" i="1"/>
  <c r="Z175" i="1"/>
  <c r="AA207" i="1"/>
  <c r="AA11" i="1"/>
  <c r="AA188" i="1"/>
  <c r="AA249" i="1"/>
  <c r="AA206" i="1"/>
  <c r="KC21" i="4"/>
  <c r="JT7" i="4"/>
  <c r="JT14" i="4"/>
  <c r="JT19" i="4" s="1"/>
  <c r="KA21" i="4"/>
  <c r="JX15" i="4"/>
  <c r="JX20" i="4" s="1"/>
  <c r="KD8" i="4"/>
  <c r="KD20" i="4" s="1"/>
  <c r="KG14" i="4"/>
  <c r="JV15" i="4"/>
  <c r="CL28" i="1"/>
  <c r="CL17" i="1"/>
  <c r="CL246" i="1"/>
  <c r="CL248" i="1"/>
  <c r="CL157" i="1"/>
  <c r="CL165" i="1" s="1"/>
  <c r="CL166" i="1" s="1"/>
  <c r="CL182" i="1"/>
  <c r="JZ15" i="4"/>
  <c r="JZ20" i="4" s="1"/>
  <c r="CJ161" i="1"/>
  <c r="KD7" i="4"/>
  <c r="KG8" i="4"/>
  <c r="JY8" i="4"/>
  <c r="JV7" i="4"/>
  <c r="KC8" i="4"/>
  <c r="JQ21" i="4"/>
  <c r="CK77" i="1" s="1"/>
  <c r="CK102" i="1" s="1"/>
  <c r="KA15" i="4"/>
  <c r="KA20" i="4" s="1"/>
  <c r="JY15" i="4"/>
  <c r="JY20" i="4" s="1"/>
  <c r="JW15" i="4"/>
  <c r="JU15" i="4"/>
  <c r="JU20" i="4" s="1"/>
  <c r="KH8" i="4"/>
  <c r="KH20" i="4" s="1"/>
  <c r="JZ8" i="4"/>
  <c r="KG15" i="4"/>
  <c r="KG20" i="4" s="1"/>
  <c r="KF14" i="4"/>
  <c r="KF19" i="4" s="1"/>
  <c r="KA8" i="4"/>
  <c r="JQ14" i="4"/>
  <c r="JQ19" i="4" s="1"/>
  <c r="CK78" i="1" s="1"/>
  <c r="JV21" i="4"/>
  <c r="JQ8" i="4"/>
  <c r="JS8" i="4"/>
  <c r="JZ7" i="4"/>
  <c r="KA7" i="4"/>
  <c r="KA19" i="4" s="1"/>
  <c r="JQ7" i="4"/>
  <c r="KE15" i="4"/>
  <c r="KE20" i="4" s="1"/>
  <c r="JY7" i="4"/>
  <c r="JY19" i="4" s="1"/>
  <c r="JZ21" i="4"/>
  <c r="JU7" i="4"/>
  <c r="JU19" i="4" s="1"/>
  <c r="KD14" i="4"/>
  <c r="JZ14" i="4"/>
  <c r="JZ19" i="4" s="1"/>
  <c r="KB14" i="4"/>
  <c r="KB19" i="4" s="1"/>
  <c r="JS7" i="4"/>
  <c r="Z181" i="1"/>
  <c r="CL188" i="1"/>
  <c r="CL12" i="1"/>
  <c r="CK17" i="1"/>
  <c r="CL19" i="1"/>
  <c r="CI16" i="1"/>
  <c r="CL244" i="1"/>
  <c r="CL225" i="1"/>
  <c r="CL102" i="1"/>
  <c r="CL94" i="1"/>
  <c r="CJ156" i="1"/>
  <c r="CJ185" i="1" s="1"/>
  <c r="CJ184" i="1" s="1"/>
  <c r="CK184" i="1" s="1"/>
  <c r="CJ120" i="1"/>
  <c r="CJ92" i="1" s="1"/>
  <c r="CJ94" i="1" s="1"/>
  <c r="CK140" i="1"/>
  <c r="JS20" i="4"/>
  <c r="CJ148" i="1"/>
  <c r="JX14" i="4"/>
  <c r="JX19" i="4" s="1"/>
  <c r="KF15" i="4"/>
  <c r="KF20" i="4" s="1"/>
  <c r="KB7" i="4"/>
  <c r="JX7" i="4"/>
  <c r="KC15" i="4"/>
  <c r="KC20" i="4" s="1"/>
  <c r="JS14" i="4"/>
  <c r="JS19" i="4" s="1"/>
  <c r="JW14" i="4"/>
  <c r="JV14" i="4"/>
  <c r="JV19" i="4" s="1"/>
  <c r="Y196" i="1"/>
  <c r="Z156" i="1"/>
  <c r="AA197" i="1" s="1"/>
  <c r="AA198" i="1" s="1"/>
  <c r="AA199" i="1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JW8" i="4"/>
  <c r="JW7" i="4"/>
  <c r="CJ128" i="1"/>
  <c r="CJ138" i="1"/>
  <c r="CJ131" i="1"/>
  <c r="CK131" i="1" s="1"/>
  <c r="CK28" i="1"/>
  <c r="X157" i="1"/>
  <c r="Y138" i="1"/>
  <c r="Y33" i="1"/>
  <c r="Z248" i="1"/>
  <c r="AB133" i="1"/>
  <c r="CQ133" i="1"/>
  <c r="CR133" i="1" s="1"/>
  <c r="CS133" i="1" s="1"/>
  <c r="CT133" i="1" s="1"/>
  <c r="Z27" i="1"/>
  <c r="CG27" i="1"/>
  <c r="CG16" i="1"/>
  <c r="CK18" i="1" s="1"/>
  <c r="X129" i="1"/>
  <c r="JQ20" i="4"/>
  <c r="CK79" i="1" s="1"/>
  <c r="CI27" i="1"/>
  <c r="Y181" i="1"/>
  <c r="Y185" i="1"/>
  <c r="Y157" i="1"/>
  <c r="X138" i="1"/>
  <c r="X246" i="1" s="1"/>
  <c r="X33" i="1"/>
  <c r="CH184" i="1"/>
  <c r="CI184" i="1" s="1"/>
  <c r="X248" i="1"/>
  <c r="Y209" i="1"/>
  <c r="KC19" i="4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JR19" i="4"/>
  <c r="CL78" i="1" s="1"/>
  <c r="KH19" i="4"/>
  <c r="JT20" i="4"/>
  <c r="KB20" i="4"/>
  <c r="Y249" i="1"/>
  <c r="Y206" i="1"/>
  <c r="Y168" i="1"/>
  <c r="Y109" i="1" s="1"/>
  <c r="CK128" i="1"/>
  <c r="KE19" i="4"/>
  <c r="Y37" i="1"/>
  <c r="Y129" i="1"/>
  <c r="Z168" i="1"/>
  <c r="Z109" i="1" s="1"/>
  <c r="Z206" i="1"/>
  <c r="JR20" i="4"/>
  <c r="CL79" i="1" s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CH248" i="1"/>
  <c r="Y18" i="1"/>
  <c r="X28" i="1"/>
  <c r="X17" i="1"/>
  <c r="Y28" i="1"/>
  <c r="Y17" i="1"/>
  <c r="X181" i="1"/>
  <c r="CH12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AA205" i="1" l="1"/>
  <c r="KD19" i="4"/>
  <c r="CK29" i="1"/>
  <c r="CK34" i="1"/>
  <c r="CK38" i="1" s="1"/>
  <c r="JV20" i="4"/>
  <c r="Z33" i="1"/>
  <c r="CI131" i="1"/>
  <c r="CI134" i="1" s="1"/>
  <c r="CJ33" i="1" s="1"/>
  <c r="KG19" i="4"/>
  <c r="Z138" i="1"/>
  <c r="AA203" i="1" s="1"/>
  <c r="AA201" i="1" s="1"/>
  <c r="AA213" i="1" s="1"/>
  <c r="CH134" i="1"/>
  <c r="JW20" i="4"/>
  <c r="CJ129" i="1"/>
  <c r="CL31" i="1"/>
  <c r="CK209" i="1"/>
  <c r="CJ248" i="1"/>
  <c r="CI28" i="1"/>
  <c r="CI17" i="1"/>
  <c r="CL202" i="1"/>
  <c r="CK202" i="1"/>
  <c r="CJ182" i="1"/>
  <c r="CJ157" i="1"/>
  <c r="CJ165" i="1" s="1"/>
  <c r="Z197" i="1"/>
  <c r="Z198" i="1" s="1"/>
  <c r="Z157" i="1"/>
  <c r="CJ249" i="1"/>
  <c r="CJ206" i="1"/>
  <c r="CL29" i="1"/>
  <c r="CL250" i="1"/>
  <c r="CL232" i="1"/>
  <c r="CL233" i="1" s="1"/>
  <c r="CL34" i="1"/>
  <c r="CL38" i="1" s="1"/>
  <c r="CL181" i="1"/>
  <c r="CL186" i="1"/>
  <c r="CL189" i="1" s="1"/>
  <c r="CJ244" i="1"/>
  <c r="JW19" i="4"/>
  <c r="CL103" i="1"/>
  <c r="CL95" i="1"/>
  <c r="CL107" i="1"/>
  <c r="CL110" i="1" s="1"/>
  <c r="CL249" i="1"/>
  <c r="CL206" i="1"/>
  <c r="CL104" i="1"/>
  <c r="CL96" i="1"/>
  <c r="CL108" i="1"/>
  <c r="CL111" i="1" s="1"/>
  <c r="CJ246" i="1"/>
  <c r="Y198" i="1"/>
  <c r="Z185" i="1"/>
  <c r="CK40" i="1"/>
  <c r="CK41" i="1"/>
  <c r="CK108" i="1"/>
  <c r="CK104" i="1"/>
  <c r="CK107" i="1"/>
  <c r="CK103" i="1"/>
  <c r="Y165" i="1"/>
  <c r="Y166" i="1" s="1"/>
  <c r="Y246" i="1"/>
  <c r="Y244" i="1"/>
  <c r="CU133" i="1"/>
  <c r="CV133" i="1" s="1"/>
  <c r="CW133" i="1" s="1"/>
  <c r="CX133" i="1" s="1"/>
  <c r="AC133" i="1"/>
  <c r="X244" i="1"/>
  <c r="X165" i="1"/>
  <c r="X166" i="1" s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Z165" i="1" l="1"/>
  <c r="Z166" i="1" s="1"/>
  <c r="CJ166" i="1"/>
  <c r="AA210" i="1"/>
  <c r="AA211" i="1" s="1"/>
  <c r="CI33" i="1"/>
  <c r="CH138" i="1"/>
  <c r="Z30" i="1"/>
  <c r="AA30" i="1"/>
  <c r="AA250" i="1"/>
  <c r="AA251" i="1" s="1"/>
  <c r="CI232" i="1"/>
  <c r="CI233" i="1" s="1"/>
  <c r="CI29" i="1"/>
  <c r="CI34" i="1"/>
  <c r="CJ181" i="1"/>
  <c r="CK181" i="1" s="1"/>
  <c r="CJ186" i="1"/>
  <c r="Z186" i="1"/>
  <c r="AA189" i="1" s="1"/>
  <c r="AA190" i="1" s="1"/>
  <c r="Z184" i="1"/>
  <c r="CL40" i="1"/>
  <c r="CL41" i="1"/>
  <c r="CL251" i="1"/>
  <c r="CK31" i="1"/>
  <c r="CL226" i="1"/>
  <c r="CL112" i="1"/>
  <c r="Y189" i="1"/>
  <c r="Y190" i="1" s="1"/>
  <c r="Z189" i="1"/>
  <c r="Z190" i="1" s="1"/>
  <c r="CK48" i="1"/>
  <c r="CK42" i="1"/>
  <c r="CI250" i="1"/>
  <c r="CI251" i="1" s="1"/>
  <c r="CK112" i="1"/>
  <c r="CG29" i="1"/>
  <c r="CG34" i="1"/>
  <c r="CG38" i="1" s="1"/>
  <c r="CG232" i="1"/>
  <c r="CG233" i="1" s="1"/>
  <c r="CY133" i="1"/>
  <c r="CZ133" i="1" s="1"/>
  <c r="DA133" i="1" s="1"/>
  <c r="DB133" i="1" s="1"/>
  <c r="AE133" i="1" s="1"/>
  <c r="AD133" i="1"/>
  <c r="CM17" i="1"/>
  <c r="Z250" i="1"/>
  <c r="Z251" i="1" s="1"/>
  <c r="Z34" i="1"/>
  <c r="Z112" i="1"/>
  <c r="Z29" i="1"/>
  <c r="Z232" i="1"/>
  <c r="Z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X38" i="1"/>
  <c r="X55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K182" i="1"/>
  <c r="CK186" i="1" s="1"/>
  <c r="CH246" i="1"/>
  <c r="CI203" i="1"/>
  <c r="CI201" i="1" s="1"/>
  <c r="CH165" i="1"/>
  <c r="CH166" i="1" s="1"/>
  <c r="CI41" i="1"/>
  <c r="CI40" i="1"/>
  <c r="CL44" i="1"/>
  <c r="CL234" i="1"/>
  <c r="CL48" i="1"/>
  <c r="CL42" i="1"/>
  <c r="CL245" i="1" s="1"/>
  <c r="CL114" i="1"/>
  <c r="CL113" i="1"/>
  <c r="CJ38" i="1"/>
  <c r="CL55" i="1"/>
  <c r="CK134" i="1"/>
  <c r="CL132" i="1"/>
  <c r="CL131" i="1" s="1"/>
  <c r="CK52" i="1"/>
  <c r="CK66" i="1"/>
  <c r="CG41" i="1"/>
  <c r="CK43" i="1" s="1"/>
  <c r="CG40" i="1"/>
  <c r="Z55" i="1"/>
  <c r="Z38" i="1"/>
  <c r="CN202" i="1"/>
  <c r="CO140" i="1"/>
  <c r="CN184" i="1"/>
  <c r="CM185" i="1"/>
  <c r="CH41" i="1"/>
  <c r="CH40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4" i="1" l="1"/>
  <c r="CI234" i="1"/>
  <c r="CI48" i="1"/>
  <c r="CI42" i="1"/>
  <c r="CI245" i="1" s="1"/>
  <c r="CJ41" i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I44" i="1"/>
  <c r="CL43" i="1"/>
  <c r="CK203" i="1"/>
  <c r="CK201" i="1" s="1"/>
  <c r="CL203" i="1"/>
  <c r="CL201" i="1" s="1"/>
  <c r="CI119" i="1"/>
  <c r="CG42" i="1"/>
  <c r="CG245" i="1" s="1"/>
  <c r="CG234" i="1"/>
  <c r="CG48" i="1"/>
  <c r="Z41" i="1"/>
  <c r="Z40" i="1"/>
  <c r="CP140" i="1"/>
  <c r="CP202" i="1" s="1"/>
  <c r="CO202" i="1"/>
  <c r="CJ227" i="1"/>
  <c r="CH44" i="1"/>
  <c r="CH48" i="1"/>
  <c r="CH42" i="1"/>
  <c r="CH245" i="1" s="1"/>
  <c r="CH234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R16" i="4" a="1"/>
  <c r="EP12" i="4" a="1"/>
  <c r="EM11" i="4" a="1"/>
  <c r="ES16" i="4" a="1"/>
  <c r="ET8" i="4" a="1"/>
  <c r="EM13" i="4" a="1"/>
  <c r="EL14" i="4" a="1"/>
  <c r="AY19" i="3"/>
  <c r="AY11" i="3"/>
  <c r="AY28" i="3"/>
  <c r="W5" i="6" a="1"/>
  <c r="AF28" i="3"/>
  <c r="AY16" i="3"/>
  <c r="AF33" i="3"/>
  <c r="AT6" i="3"/>
  <c r="AV15" i="3"/>
  <c r="ER13" i="4" a="1"/>
  <c r="EW12" i="4" a="1"/>
  <c r="EQ5" i="4" a="1"/>
  <c r="EU16" i="4" a="1"/>
  <c r="EO13" i="4" a="1"/>
  <c r="EV5" i="4" a="1"/>
  <c r="ER15" i="4" a="1"/>
  <c r="EV14" i="4" a="1"/>
  <c r="EW11" i="4" a="1"/>
  <c r="EN12" i="4" a="1"/>
  <c r="AZ5" i="3"/>
  <c r="AS16" i="3"/>
  <c r="AF15" i="3"/>
  <c r="AS31" i="3"/>
  <c r="AX9" i="3"/>
  <c r="EO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F36" i="3"/>
  <c r="AS42" i="3"/>
  <c r="EP5" i="4" a="1"/>
  <c r="EN14" i="4" a="1"/>
  <c r="EU15" i="4" a="1"/>
  <c r="EL7" i="4" a="1"/>
  <c r="ES11" i="4" a="1"/>
  <c r="AV34" i="3"/>
  <c r="J5" i="6" a="1"/>
  <c r="AS23" i="3"/>
  <c r="AX18" i="3"/>
  <c r="AY39" i="3"/>
  <c r="EN5" i="4" a="1"/>
  <c r="EW8" i="4" a="1"/>
  <c r="EO8" i="4" a="1"/>
  <c r="ES9" i="4" a="1"/>
  <c r="AX42" i="3"/>
  <c r="AY15" i="3"/>
  <c r="ET12" i="4" a="1"/>
  <c r="EV13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W18" i="3"/>
  <c r="AL6" i="6" a="1"/>
  <c r="AZ13" i="3"/>
  <c r="EW16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T14" i="3"/>
  <c r="AV30" i="3"/>
  <c r="AS33" i="3"/>
  <c r="AD5" i="6" a="1"/>
  <c r="AT12" i="3"/>
  <c r="T6" i="6" a="1"/>
  <c r="AX14" i="3"/>
  <c r="AX37" i="3"/>
  <c r="AW24" i="3"/>
  <c r="AS21" i="3"/>
  <c r="M5" i="6" a="1"/>
  <c r="AR5" i="6" a="1"/>
  <c r="EU11" i="4" a="1"/>
  <c r="EN13" i="4" a="1"/>
  <c r="EP6" i="4" a="1"/>
  <c r="ER14" i="4" a="1"/>
  <c r="EN6" i="4" a="1"/>
  <c r="EQ7" i="4" a="1"/>
  <c r="AZ24" i="3"/>
  <c r="AU7" i="3"/>
  <c r="EN7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17" i="3"/>
  <c r="AY5" i="3"/>
  <c r="N6" i="6" a="1"/>
  <c r="AF18" i="3"/>
  <c r="AS40" i="3"/>
  <c r="AE5" i="6" a="1"/>
  <c r="AY9" i="3"/>
  <c r="AV9" i="3"/>
  <c r="AU14" i="3"/>
  <c r="AV19" i="3"/>
  <c r="C6" i="4" a="1"/>
  <c r="EL8" i="4" a="1"/>
  <c r="EU13" i="4" a="1"/>
  <c r="EW7" i="4" a="1"/>
  <c r="AF38" i="3"/>
  <c r="AY42" i="3"/>
  <c r="EM5" i="4" a="1"/>
  <c r="ET15" i="4" a="1"/>
  <c r="ES13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22" i="3"/>
  <c r="AZ14" i="3"/>
  <c r="AT40" i="3"/>
  <c r="AV39" i="3"/>
  <c r="AX25" i="3"/>
  <c r="C6" i="6" a="1"/>
  <c r="AS38" i="3"/>
  <c r="AW42" i="3"/>
  <c r="F6" i="6" a="1"/>
  <c r="EO15" i="4" a="1"/>
  <c r="AT35" i="3"/>
  <c r="AV5" i="6" a="1"/>
  <c r="AS35" i="3"/>
  <c r="AX29" i="3"/>
  <c r="AK5" i="6" a="1"/>
  <c r="AX36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AV7" i="3"/>
  <c r="G5" i="6" a="1"/>
  <c r="AN5" i="6" a="1"/>
  <c r="AV35" i="3"/>
  <c r="AT19" i="3"/>
  <c r="D5" i="6" a="1"/>
  <c r="AC6" i="6" a="1"/>
  <c r="ET6" i="4" a="1"/>
  <c r="EQ6" i="4" a="1"/>
  <c r="EW6" i="4" a="1"/>
  <c r="J6" i="6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U12" i="3"/>
  <c r="AZ46" i="3"/>
  <c r="AX46" i="3"/>
  <c r="AY37" i="3"/>
  <c r="ER11" i="4" a="1"/>
  <c r="EL13" i="4" a="1"/>
  <c r="EQ8" i="4" a="1"/>
  <c r="EW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Q12" i="4" a="1"/>
  <c r="EM14" i="4" a="1"/>
  <c r="EV9" i="4" a="1"/>
  <c r="EV16" i="4" a="1"/>
  <c r="AY18" i="3"/>
  <c r="AW38" i="3"/>
  <c r="AH5" i="6" a="1"/>
  <c r="AX11" i="3"/>
  <c r="S6" i="6" a="1"/>
  <c r="AT16" i="3"/>
  <c r="AT34" i="3"/>
  <c r="X6" i="6" a="1"/>
  <c r="Z43" i="1" l="1"/>
  <c r="AA43" i="1"/>
  <c r="CL227" i="1"/>
  <c r="CJ48" i="1"/>
  <c r="CJ234" i="1"/>
  <c r="CJ42" i="1"/>
  <c r="CJ245" i="1" s="1"/>
  <c r="CK44" i="1"/>
  <c r="AB131" i="1"/>
  <c r="CQ131" i="1"/>
  <c r="CR131" i="1" s="1"/>
  <c r="CS131" i="1" s="1"/>
  <c r="CT131" i="1" s="1"/>
  <c r="CQ140" i="1"/>
  <c r="CQ202" i="1" s="1"/>
  <c r="CJ54" i="1"/>
  <c r="CH193" i="1"/>
  <c r="CH195" i="1" s="1"/>
  <c r="CH66" i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T87" i="3"/>
  <c r="AV77" i="3"/>
  <c r="AS67" i="3"/>
  <c r="AU95" i="3"/>
  <c r="AT96" i="3"/>
  <c r="AS73" i="3"/>
  <c r="AY71" i="3"/>
  <c r="AF49" i="3"/>
  <c r="AZ94" i="3"/>
  <c r="AZ69" i="3"/>
  <c r="AU73" i="3"/>
  <c r="AF93" i="3"/>
  <c r="AV55" i="3"/>
  <c r="AF69" i="3"/>
  <c r="C94" i="3"/>
  <c r="AT49" i="3"/>
  <c r="AX58" i="3"/>
  <c r="AW74" i="3"/>
  <c r="AZ85" i="3"/>
  <c r="AW47" i="3"/>
  <c r="AZ89" i="3"/>
  <c r="AU85" i="3"/>
  <c r="C55" i="3"/>
  <c r="AW87" i="3"/>
  <c r="AX62" i="3"/>
  <c r="AW92" i="3"/>
  <c r="AU84" i="3"/>
  <c r="C74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U90" i="3"/>
  <c r="AY59" i="3"/>
  <c r="AY92" i="3"/>
  <c r="AF96" i="3"/>
  <c r="AX94" i="3"/>
  <c r="C59" i="3"/>
  <c r="AV63" i="3"/>
  <c r="AV95" i="3"/>
  <c r="AX59" i="3"/>
  <c r="AY91" i="3"/>
  <c r="C58" i="3"/>
  <c r="AT55" i="3"/>
  <c r="C78" i="3"/>
  <c r="AU87" i="3"/>
  <c r="AW70" i="3"/>
  <c r="AW75" i="3"/>
  <c r="AS83" i="3"/>
  <c r="AF86" i="3"/>
  <c r="AX66" i="3"/>
  <c r="AY55" i="3"/>
  <c r="AZ84" i="3"/>
  <c r="AU72" i="3"/>
  <c r="AW89" i="3"/>
  <c r="AV5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F75" i="3"/>
  <c r="AT50" i="3"/>
  <c r="AF71" i="3"/>
  <c r="AS62" i="3"/>
  <c r="AW83" i="3"/>
  <c r="AZ81" i="3"/>
  <c r="AU61" i="3"/>
  <c r="AF82" i="3"/>
  <c r="AT93" i="3"/>
  <c r="AF79" i="3"/>
  <c r="AU76" i="3"/>
  <c r="AU83" i="3"/>
  <c r="AS59" i="3"/>
  <c r="AY67" i="3"/>
  <c r="AV50" i="3"/>
  <c r="AU65" i="3"/>
  <c r="AY74" i="3"/>
  <c r="AU80" i="3"/>
  <c r="AF72" i="3"/>
  <c r="AU54" i="3"/>
  <c r="AY82" i="3"/>
  <c r="AX68" i="3"/>
  <c r="AW48" i="3"/>
  <c r="AV64" i="3"/>
  <c r="AW77" i="3"/>
  <c r="AV97" i="3"/>
  <c r="AX75" i="3"/>
  <c r="AS77" i="3"/>
  <c r="C68" i="3"/>
  <c r="AU88" i="3"/>
  <c r="AW62" i="3"/>
  <c r="AX88" i="3"/>
  <c r="AX82" i="3"/>
  <c r="AF7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U49" i="3"/>
  <c r="AT95" i="3"/>
  <c r="AW80" i="3"/>
  <c r="C92" i="3"/>
  <c r="AX61" i="3"/>
  <c r="AS64" i="3"/>
  <c r="AV80" i="3"/>
  <c r="AZ54" i="3"/>
  <c r="AX49" i="3"/>
  <c r="AW76" i="3"/>
  <c r="AX74" i="3"/>
  <c r="AX89" i="3"/>
  <c r="AX73" i="3"/>
  <c r="AW94" i="3"/>
  <c r="AX54" i="3"/>
  <c r="AS85" i="3"/>
  <c r="AT70" i="3"/>
  <c r="AT80" i="3"/>
  <c r="AW69" i="3"/>
  <c r="AV85" i="3"/>
  <c r="AY48" i="3"/>
  <c r="AZ71" i="3"/>
  <c r="AU91" i="3"/>
  <c r="AZ93" i="3"/>
  <c r="AU77" i="3"/>
  <c r="AT65" i="3"/>
  <c r="AF77" i="3"/>
  <c r="AF54" i="3"/>
  <c r="AS78" i="3"/>
  <c r="AY50" i="3"/>
  <c r="AT86" i="3"/>
  <c r="AZ7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65" i="3"/>
  <c r="AU56" i="3"/>
  <c r="AX81" i="3"/>
  <c r="AY62" i="3"/>
  <c r="AX63" i="3"/>
  <c r="AY68" i="3"/>
  <c r="AX84" i="3"/>
  <c r="AY76" i="3"/>
  <c r="AT5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U60" i="3"/>
  <c r="AY78" i="3"/>
  <c r="AT89" i="3"/>
  <c r="AV8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W78" i="3"/>
  <c r="AF80" i="3"/>
  <c r="AS58" i="3"/>
  <c r="C93" i="3"/>
  <c r="AS86" i="3"/>
  <c r="AY94" i="3"/>
  <c r="AW96" i="3"/>
  <c r="AW63" i="3"/>
  <c r="AS76" i="3"/>
  <c r="C56" i="3"/>
  <c r="AT84" i="3"/>
  <c r="AW54" i="3"/>
  <c r="C90" i="3"/>
  <c r="AT92" i="3"/>
  <c r="AX67" i="3"/>
  <c r="AZ49" i="3"/>
  <c r="AY73" i="3"/>
  <c r="AT66" i="3"/>
  <c r="AX96" i="3"/>
  <c r="AT68" i="3"/>
  <c r="AZ97" i="3"/>
  <c r="AS93" i="3"/>
  <c r="AF60" i="3"/>
  <c r="AT47" i="3"/>
  <c r="AS75" i="3"/>
  <c r="AZ90" i="3"/>
  <c r="AW65" i="3"/>
  <c r="AF55" i="3"/>
  <c r="AX70" i="3"/>
  <c r="AW58" i="3"/>
  <c r="AT71" i="3"/>
  <c r="AW49" i="3"/>
  <c r="AV75" i="3"/>
  <c r="AZ92" i="3"/>
  <c r="AU82" i="3"/>
  <c r="AT77" i="3"/>
  <c r="C60" i="3"/>
  <c r="AY66" i="3"/>
  <c r="AV83" i="3"/>
  <c r="AX48" i="3"/>
  <c r="AW97" i="3"/>
  <c r="C91" i="3"/>
  <c r="AY72" i="3"/>
  <c r="AW86" i="3"/>
  <c r="AW59" i="3"/>
  <c r="AX50" i="3"/>
  <c r="AZ73" i="3"/>
  <c r="AT69" i="3"/>
  <c r="AV81" i="3"/>
  <c r="AZ88" i="3"/>
  <c r="AV89" i="3"/>
  <c r="AU58" i="3"/>
  <c r="AY56" i="3"/>
  <c r="AZ82" i="3"/>
  <c r="C77" i="3"/>
  <c r="C67" i="3"/>
  <c r="AV84" i="3"/>
  <c r="AU89" i="3"/>
  <c r="AY81" i="3"/>
  <c r="AX85" i="3"/>
  <c r="AV71" i="3"/>
  <c r="AV87" i="3"/>
  <c r="AV91" i="3"/>
  <c r="C61" i="3"/>
  <c r="AT83" i="3"/>
  <c r="AT79" i="3"/>
  <c r="AY61" i="3"/>
  <c r="AX55" i="3"/>
  <c r="AT72" i="3"/>
  <c r="AW64" i="3"/>
  <c r="AY87" i="3"/>
  <c r="C70" i="3"/>
  <c r="AZ61" i="3"/>
  <c r="AX69" i="3"/>
  <c r="AU47" i="3"/>
  <c r="AF58" i="3"/>
  <c r="AF85" i="3"/>
  <c r="AY85" i="3"/>
  <c r="AF68" i="3"/>
  <c r="C72" i="3"/>
  <c r="AT63" i="3"/>
  <c r="AW93" i="3"/>
  <c r="AT78" i="3"/>
  <c r="AW55" i="3"/>
  <c r="AS89" i="3"/>
  <c r="AF57" i="3"/>
  <c r="C89" i="3"/>
  <c r="AZ78" i="3"/>
  <c r="AW61" i="3"/>
  <c r="AW82" i="3"/>
  <c r="AV82" i="3"/>
  <c r="AU63" i="3"/>
  <c r="AY75" i="3"/>
  <c r="C97" i="3"/>
  <c r="AZ62" i="3"/>
  <c r="AU4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X79" i="3"/>
  <c r="AV58" i="3"/>
  <c r="AU57" i="3"/>
  <c r="AZ55" i="3"/>
  <c r="CJ52" i="1" l="1"/>
  <c r="CJ193" i="1"/>
  <c r="CJ195" i="1" s="1"/>
  <c r="CL54" i="1"/>
  <c r="CJ66" i="1"/>
  <c r="AC131" i="1"/>
  <c r="CU131" i="1"/>
  <c r="CV131" i="1" s="1"/>
  <c r="CW131" i="1" s="1"/>
  <c r="CX131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K69" i="1" l="1"/>
  <c r="CL69" i="1"/>
  <c r="CJ69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K86" i="1"/>
  <c r="CK87" i="1"/>
  <c r="CK85" i="1"/>
  <c r="CL87" i="1"/>
  <c r="CL86" i="1"/>
  <c r="CL85" i="1"/>
  <c r="CJ87" i="1"/>
  <c r="CJ86" i="1"/>
  <c r="CJ85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T184" i="1"/>
  <c r="CS185" i="1"/>
  <c r="CF166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CH7" i="4" a="1"/>
  <c r="CC8" i="4" a="1"/>
  <c r="AM5" i="4" a="1"/>
  <c r="CW7" i="4" a="1"/>
  <c r="AL5" i="4" a="1"/>
  <c r="CU9" i="4" a="1"/>
  <c r="BE7" i="4" a="1"/>
  <c r="CM6" i="4" a="1"/>
  <c r="DN12" i="4" a="1"/>
  <c r="DG5" i="4" a="1"/>
  <c r="T35" i="2"/>
  <c r="F6" i="2"/>
  <c r="N14" i="2"/>
  <c r="H27" i="2"/>
  <c r="R36" i="2"/>
  <c r="C65" i="2"/>
  <c r="M9" i="2"/>
  <c r="AR86" i="3"/>
  <c r="D37" i="3"/>
  <c r="G31" i="3"/>
  <c r="E6" i="3"/>
  <c r="E42" i="3"/>
  <c r="G6" i="3"/>
  <c r="F27" i="3"/>
  <c r="G19" i="3"/>
  <c r="AD6" i="3"/>
  <c r="F35" i="3"/>
  <c r="DA11" i="4" a="1"/>
  <c r="F12" i="4" a="1"/>
  <c r="Z15" i="4" a="1"/>
  <c r="BX8" i="4" a="1"/>
  <c r="DB14" i="4" a="1"/>
  <c r="BV13" i="4" a="1"/>
  <c r="DQ16" i="4" a="1"/>
  <c r="AP9" i="4" a="1"/>
  <c r="DM15" i="4" a="1"/>
  <c r="BU8" i="4" a="1"/>
  <c r="AA12" i="4" a="1"/>
  <c r="BP11" i="4" a="1"/>
  <c r="DY8" i="4" a="1"/>
  <c r="BY5" i="4" a="1"/>
  <c r="AF9" i="4" a="1"/>
  <c r="X19" i="2"/>
  <c r="I31" i="2"/>
  <c r="C22" i="2"/>
  <c r="L21" i="2"/>
  <c r="T11" i="2"/>
  <c r="S14" i="2"/>
  <c r="E13" i="2"/>
  <c r="AR59" i="3"/>
  <c r="E25" i="3"/>
  <c r="E20" i="3"/>
  <c r="G46" i="3"/>
  <c r="AD45" i="3"/>
  <c r="O46" i="3"/>
  <c r="D6" i="3"/>
  <c r="G12" i="3"/>
  <c r="E27" i="3"/>
  <c r="G25" i="3"/>
  <c r="BY8" i="4" a="1"/>
  <c r="CM12" i="4" a="1"/>
  <c r="AI16" i="4" a="1"/>
  <c r="BV5" i="4" a="1"/>
  <c r="BD6" i="4" a="1"/>
  <c r="EC7" i="4" a="1"/>
  <c r="DH15" i="4" a="1"/>
  <c r="DE14" i="4" a="1"/>
  <c r="AQ12" i="4" a="1"/>
  <c r="W5" i="4" a="1"/>
  <c r="CJ5" i="4" a="1"/>
  <c r="P14" i="4" a="1"/>
  <c r="BR5" i="4" a="1"/>
  <c r="Y8" i="4" a="1"/>
  <c r="DQ9" i="4" a="1"/>
  <c r="CP14" i="4" a="1"/>
  <c r="BD5" i="4" a="1"/>
  <c r="BC5" i="4" a="1"/>
  <c r="AK5" i="4" a="1"/>
  <c r="DG16" i="4" a="1"/>
  <c r="DU5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T5" i="2"/>
  <c r="T12" i="2"/>
  <c r="O22" i="2"/>
  <c r="D33" i="2"/>
  <c r="AR55" i="3"/>
  <c r="K19" i="2"/>
  <c r="C11" i="2"/>
  <c r="AR81" i="3"/>
  <c r="E11" i="3"/>
  <c r="G26" i="3"/>
  <c r="D15" i="3"/>
  <c r="AD8" i="3"/>
  <c r="AR46" i="3"/>
  <c r="G28" i="3"/>
  <c r="F23" i="3"/>
  <c r="D35" i="3"/>
  <c r="EH5" i="4" a="1"/>
  <c r="BF11" i="4" a="1"/>
  <c r="AI9" i="4" a="1"/>
  <c r="CM16" i="4" a="1"/>
  <c r="DK5" i="4" a="1"/>
  <c r="L9" i="4" a="1"/>
  <c r="DF5" i="4" a="1"/>
  <c r="DH12" i="4" a="1"/>
  <c r="EK15" i="4" a="1"/>
  <c r="Q14" i="4" a="1"/>
  <c r="CN8" i="4" a="1"/>
  <c r="CS8" i="4" a="1"/>
  <c r="CV6" i="4" a="1"/>
  <c r="CV12" i="4" a="1"/>
  <c r="AY7" i="4" a="1"/>
  <c r="CU8" i="4" a="1"/>
  <c r="BR13" i="4" a="1"/>
  <c r="EC11" i="4" a="1"/>
  <c r="AU11" i="4" a="1"/>
  <c r="EI6" i="4" a="1"/>
  <c r="U9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19" i="2"/>
  <c r="U25" i="2"/>
  <c r="J7" i="2"/>
  <c r="F19" i="2"/>
  <c r="AR93" i="3"/>
  <c r="E20" i="2"/>
  <c r="X29" i="2"/>
  <c r="I26" i="2"/>
  <c r="F36" i="3"/>
  <c r="T46" i="3"/>
  <c r="E17" i="3"/>
  <c r="U45" i="3"/>
  <c r="P45" i="3"/>
  <c r="AD9" i="3"/>
  <c r="F30" i="3"/>
  <c r="E19" i="3"/>
  <c r="AD9" i="4" a="1"/>
  <c r="DZ14" i="4" a="1"/>
  <c r="AM11" i="4" a="1"/>
  <c r="AX11" i="4" a="1"/>
  <c r="DL14" i="4" a="1"/>
  <c r="W11" i="4" a="1"/>
  <c r="AM7" i="4" a="1"/>
  <c r="T7" i="4" a="1"/>
  <c r="CT8" i="4" a="1"/>
  <c r="BA9" i="4" a="1"/>
  <c r="BL12" i="4" a="1"/>
  <c r="BH12" i="4" a="1"/>
  <c r="DA7" i="4" a="1"/>
  <c r="DE15" i="4" a="1"/>
  <c r="X5" i="4" a="1"/>
  <c r="BZ9" i="4" a="1"/>
  <c r="DD9" i="4" a="1"/>
  <c r="DZ12" i="4" a="1"/>
  <c r="DF13" i="4" a="1"/>
  <c r="BS12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G17" i="2"/>
  <c r="U11" i="2"/>
  <c r="S15" i="2"/>
  <c r="H11" i="2"/>
  <c r="M24" i="2"/>
  <c r="S29" i="2"/>
  <c r="R30" i="2"/>
  <c r="F18" i="2"/>
  <c r="AI46" i="3"/>
  <c r="E18" i="3"/>
  <c r="E21" i="3"/>
  <c r="AD14" i="3"/>
  <c r="H46" i="3"/>
  <c r="G24" i="3"/>
  <c r="AR28" i="3"/>
  <c r="F40" i="3"/>
  <c r="F11" i="4" a="1"/>
  <c r="CK15" i="4" a="1"/>
  <c r="BV14" i="4" a="1"/>
  <c r="BW11" i="4" a="1"/>
  <c r="AG12" i="4" a="1"/>
  <c r="BZ8" i="4" a="1"/>
  <c r="BG5" i="4" a="1"/>
  <c r="T16" i="4" a="1"/>
  <c r="K15" i="4" a="1"/>
  <c r="BE12" i="4" a="1"/>
  <c r="BX16" i="4" a="1"/>
  <c r="AQ13" i="4" a="1"/>
  <c r="AC15" i="4" a="1"/>
  <c r="DG11" i="4" a="1"/>
  <c r="DI16" i="4" a="1"/>
  <c r="AX6" i="4" a="1"/>
  <c r="C7" i="4" a="1"/>
  <c r="ED9" i="4" a="1"/>
  <c r="CP13" i="4" a="1"/>
  <c r="T8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N11" i="2"/>
  <c r="U34" i="2"/>
  <c r="V10" i="2"/>
  <c r="P32" i="2"/>
  <c r="P18" i="2"/>
  <c r="AR48" i="3"/>
  <c r="M21" i="2"/>
  <c r="AR37" i="3"/>
  <c r="AR36" i="3"/>
  <c r="L46" i="3"/>
  <c r="E22" i="3"/>
  <c r="AR38" i="3"/>
  <c r="AR45" i="3"/>
  <c r="F9" i="3"/>
  <c r="G29" i="3"/>
  <c r="AM45" i="3"/>
  <c r="AZ15" i="4" a="1"/>
  <c r="BN7" i="4" a="1"/>
  <c r="CZ16" i="4" a="1"/>
  <c r="CR13" i="4" a="1"/>
  <c r="BT7" i="4" a="1"/>
  <c r="AI7" i="4" a="1"/>
  <c r="CQ6" i="4" a="1"/>
  <c r="V15" i="4" a="1"/>
  <c r="BA5" i="4" a="1"/>
  <c r="BM15" i="4" a="1"/>
  <c r="P7" i="4" a="1"/>
  <c r="DC12" i="4" a="1"/>
  <c r="CO13" i="4" a="1"/>
  <c r="AI13" i="4" a="1"/>
  <c r="CB9" i="4" a="1"/>
  <c r="AD5" i="4" a="1"/>
  <c r="BF12" i="4" a="1"/>
  <c r="DP11" i="4" a="1"/>
  <c r="EB8" i="4" a="1"/>
  <c r="DF11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N9" i="2"/>
  <c r="P23" i="2"/>
  <c r="D10" i="2"/>
  <c r="Q20" i="2"/>
  <c r="V20" i="2"/>
  <c r="AR95" i="3"/>
  <c r="I21" i="2"/>
  <c r="AJ46" i="3"/>
  <c r="S45" i="3"/>
  <c r="E10" i="3"/>
  <c r="D30" i="3"/>
  <c r="AK46" i="3"/>
  <c r="E38" i="3"/>
  <c r="AO46" i="3"/>
  <c r="F21" i="3"/>
  <c r="D41" i="3"/>
  <c r="BB8" i="4" a="1"/>
  <c r="CI15" i="4" a="1"/>
  <c r="CF16" i="4" a="1"/>
  <c r="BU12" i="4" a="1"/>
  <c r="BE11" i="4" a="1"/>
  <c r="BP7" i="4" a="1"/>
  <c r="CO6" i="4" a="1"/>
  <c r="EH16" i="4" a="1"/>
  <c r="BY13" i="4" a="1"/>
  <c r="J5" i="4" a="1"/>
  <c r="AC14" i="4" a="1"/>
  <c r="CO9" i="4" a="1"/>
  <c r="CZ15" i="4" a="1"/>
  <c r="CA8" i="4" a="1"/>
  <c r="AC12" i="4" a="1"/>
  <c r="DL13" i="4" a="1"/>
  <c r="EF13" i="4" a="1"/>
  <c r="AB9" i="4" a="1"/>
  <c r="AH5" i="4" a="1"/>
  <c r="DK13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D32" i="2"/>
  <c r="K17" i="2"/>
  <c r="X63" i="2"/>
  <c r="G11" i="2"/>
  <c r="V17" i="2"/>
  <c r="AR63" i="3"/>
  <c r="F30" i="2"/>
  <c r="E40" i="3"/>
  <c r="D36" i="3"/>
  <c r="AI45" i="3"/>
  <c r="AR32" i="3"/>
  <c r="E33" i="3"/>
  <c r="F24" i="3"/>
  <c r="G16" i="3"/>
  <c r="E45" i="3"/>
  <c r="F26" i="3"/>
  <c r="DT7" i="4" a="1"/>
  <c r="Y16" i="4" a="1"/>
  <c r="EI16" i="4" a="1"/>
  <c r="DE11" i="4" a="1"/>
  <c r="BD15" i="4" a="1"/>
  <c r="CN11" i="4" a="1"/>
  <c r="CS14" i="4" a="1"/>
  <c r="S15" i="4" a="1"/>
  <c r="EE14" i="4" a="1"/>
  <c r="R14" i="4" a="1"/>
  <c r="BT13" i="4" a="1"/>
  <c r="V14" i="4" a="1"/>
  <c r="BH6" i="4" a="1"/>
  <c r="DQ8" i="4" a="1"/>
  <c r="CX15" i="4" a="1"/>
  <c r="DP16" i="4" a="1"/>
  <c r="DW6" i="4" a="1"/>
  <c r="CN7" i="4" a="1"/>
  <c r="BO5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Q16" i="2"/>
  <c r="I19" i="2"/>
  <c r="U13" i="2"/>
  <c r="L6" i="2"/>
  <c r="R26" i="2"/>
  <c r="AR83" i="3"/>
  <c r="H25" i="2"/>
  <c r="AR19" i="3"/>
  <c r="AD17" i="3"/>
  <c r="D40" i="3"/>
  <c r="AR30" i="3"/>
  <c r="G9" i="3"/>
  <c r="D22" i="3"/>
  <c r="E16" i="3"/>
  <c r="D25" i="3"/>
  <c r="L45" i="3"/>
  <c r="E16" i="4" a="1"/>
  <c r="BF13" i="4" a="1"/>
  <c r="J9" i="4" a="1"/>
  <c r="AS6" i="4" a="1"/>
  <c r="BO8" i="4" a="1"/>
  <c r="DV7" i="4" a="1"/>
  <c r="CN16" i="4" a="1"/>
  <c r="AC16" i="4" a="1"/>
  <c r="CW14" i="4" a="1"/>
  <c r="DH8" i="4" a="1"/>
  <c r="CV9" i="4" a="1"/>
  <c r="DL6" i="4" a="1"/>
  <c r="CJ9" i="4" a="1"/>
  <c r="O7" i="4" a="1"/>
  <c r="C8" i="4" a="1"/>
  <c r="AD7" i="4" a="1"/>
  <c r="X8" i="4" a="1"/>
  <c r="AF8" i="4" a="1"/>
  <c r="DQ11" i="4" a="1"/>
  <c r="EJ7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Q56" i="2"/>
  <c r="W12" i="2"/>
  <c r="I24" i="2"/>
  <c r="E23" i="2"/>
  <c r="H14" i="2"/>
  <c r="X26" i="2"/>
  <c r="C30" i="2"/>
  <c r="H45" i="3"/>
  <c r="E26" i="3"/>
  <c r="W46" i="3"/>
  <c r="D10" i="3"/>
  <c r="D32" i="3"/>
  <c r="AN46" i="3"/>
  <c r="AR20" i="3"/>
  <c r="F7" i="3"/>
  <c r="D28" i="3"/>
  <c r="BV7" i="4" a="1"/>
  <c r="AJ12" i="4" a="1"/>
  <c r="AT14" i="4" a="1"/>
  <c r="AH13" i="4" a="1"/>
  <c r="BU7" i="4" a="1"/>
  <c r="D6" i="4" a="1"/>
  <c r="DC9" i="4" a="1"/>
  <c r="DR5" i="4" a="1"/>
  <c r="CA15" i="4" a="1"/>
  <c r="R6" i="4" a="1"/>
  <c r="AE16" i="4" a="1"/>
  <c r="I11" i="4" a="1"/>
  <c r="CD8" i="4" a="1"/>
  <c r="BE8" i="4" a="1"/>
  <c r="BO12" i="4" a="1"/>
  <c r="DX13" i="4" a="1"/>
  <c r="AY9" i="4" a="1"/>
  <c r="EK8" i="4" a="1"/>
  <c r="DR11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K33" i="2"/>
  <c r="D28" i="2"/>
  <c r="G24" i="2"/>
  <c r="C14" i="2"/>
  <c r="C26" i="2"/>
  <c r="AR67" i="3"/>
  <c r="P10" i="2"/>
  <c r="F10" i="3"/>
  <c r="AQ46" i="3"/>
  <c r="F14" i="3"/>
  <c r="D23" i="3"/>
  <c r="AD46" i="3"/>
  <c r="E36" i="3"/>
  <c r="AR31" i="3"/>
  <c r="Y45" i="3"/>
  <c r="D5" i="3"/>
  <c r="AL12" i="4" a="1"/>
  <c r="CC11" i="4" a="1"/>
  <c r="CT11" i="4" a="1"/>
  <c r="DV5" i="4" a="1"/>
  <c r="AN8" i="4" a="1"/>
  <c r="DY11" i="4" a="1"/>
  <c r="EG14" i="4" a="1"/>
  <c r="EK5" i="4" a="1"/>
  <c r="R13" i="4" a="1"/>
  <c r="DG13" i="4" a="1"/>
  <c r="DO12" i="4" a="1"/>
  <c r="DI8" i="4" a="1"/>
  <c r="AQ15" i="4" a="1"/>
  <c r="CK14" i="4" a="1"/>
  <c r="DX6" i="4" a="1"/>
  <c r="BI16" i="4" a="1"/>
  <c r="BL8" i="4" a="1"/>
  <c r="EA13" i="4" a="1"/>
  <c r="AP16" i="4" a="1"/>
  <c r="G12" i="4" a="1"/>
  <c r="DQ14" i="4" a="1"/>
  <c r="AU13" i="4" a="1"/>
  <c r="CF6" i="4" a="1"/>
  <c r="CE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R33" i="2"/>
  <c r="AD5" i="3"/>
  <c r="AR11" i="4" a="1"/>
  <c r="DB16" i="4" a="1"/>
  <c r="CA12" i="4" a="1"/>
  <c r="EI9" i="4" a="1"/>
  <c r="F15" i="4" a="1"/>
  <c r="DW14" i="4" a="1"/>
  <c r="BC16" i="4" a="1"/>
  <c r="AV11" i="4" a="1"/>
  <c r="R8" i="4" a="1"/>
  <c r="CF13" i="4" a="1"/>
  <c r="DZ13" i="4" a="1"/>
  <c r="EE15" i="4" a="1"/>
  <c r="DO15" i="4" a="1"/>
  <c r="ED7" i="4" a="1"/>
  <c r="AK16" i="4" a="1"/>
  <c r="Q8" i="4" a="1"/>
  <c r="CV15" i="4" a="1"/>
  <c r="DL7" i="4" a="1"/>
  <c r="CJ6" i="4" a="1"/>
  <c r="AG13" i="4" a="1"/>
  <c r="F14" i="4" a="1"/>
  <c r="AW11" i="4" a="1"/>
  <c r="DH9" i="4" a="1"/>
  <c r="AV6" i="4" a="1"/>
  <c r="AG8" i="4" a="1"/>
  <c r="BF16" i="4" a="1"/>
  <c r="CR15" i="4" a="1"/>
  <c r="BW8" i="4" a="1"/>
  <c r="CV16" i="4" a="1"/>
  <c r="DU15" i="4" a="1"/>
  <c r="DS7" i="4" a="1"/>
  <c r="BX15" i="4" a="1"/>
  <c r="S16" i="4" a="1"/>
  <c r="DI12" i="4" a="1"/>
  <c r="CE16" i="4" a="1"/>
  <c r="Q6" i="4" a="1"/>
  <c r="BI11" i="4" a="1"/>
  <c r="AF6" i="4" a="1"/>
  <c r="CU11" i="4" a="1"/>
  <c r="DA16" i="4" a="1"/>
  <c r="BW5" i="4" a="1"/>
  <c r="CM5" i="4" a="1"/>
  <c r="BK14" i="4" a="1"/>
  <c r="DO7" i="4" a="1"/>
  <c r="CH9" i="4" a="1"/>
  <c r="D5" i="4" a="1"/>
  <c r="AH14" i="4" a="1"/>
  <c r="AC8" i="4" a="1"/>
  <c r="EB14" i="4" a="1"/>
  <c r="EJ11" i="4" a="1"/>
  <c r="AA5" i="4" a="1"/>
  <c r="BF6" i="4" a="1"/>
  <c r="N16" i="4" a="1"/>
  <c r="ED12" i="4" a="1"/>
  <c r="DD16" i="4" a="1"/>
  <c r="AJ6" i="4" a="1"/>
  <c r="DS11" i="4" a="1"/>
  <c r="DW16" i="4" a="1"/>
  <c r="DS14" i="4" a="1"/>
  <c r="O5" i="4" a="1"/>
  <c r="AH11" i="4" a="1"/>
  <c r="DC6" i="4" a="1"/>
  <c r="DE7" i="4" a="1"/>
  <c r="Z14" i="4" a="1"/>
  <c r="AM9" i="4" a="1"/>
  <c r="BE14" i="4" a="1"/>
  <c r="DN16" i="4" a="1"/>
  <c r="AM15" i="4" a="1"/>
  <c r="BN14" i="4" a="1"/>
  <c r="N8" i="4" a="1"/>
  <c r="BV12" i="4" a="1"/>
  <c r="AO6" i="4" a="1"/>
  <c r="CZ6" i="4" a="1"/>
  <c r="EK11" i="4" a="1"/>
  <c r="AP12" i="4" a="1"/>
  <c r="DD15" i="4" a="1"/>
  <c r="AP5" i="4" a="1"/>
  <c r="H16" i="4" a="1"/>
  <c r="CG11" i="4" a="1"/>
  <c r="CU15" i="4" a="1"/>
  <c r="CW15" i="4" a="1"/>
  <c r="H13" i="4" a="1"/>
  <c r="DY13" i="4" a="1"/>
  <c r="CS9" i="4" a="1"/>
  <c r="CI6" i="4" a="1"/>
  <c r="N35" i="2"/>
  <c r="E29" i="3"/>
  <c r="AD11" i="4" a="1"/>
  <c r="X6" i="4" a="1"/>
  <c r="DZ6" i="4" a="1"/>
  <c r="L6" i="4" a="1"/>
  <c r="AN13" i="4" a="1"/>
  <c r="Y12" i="4" a="1"/>
  <c r="AS5" i="4" a="1"/>
  <c r="EH7" i="4" a="1"/>
  <c r="AZ9" i="4" a="1"/>
  <c r="EK16" i="4" a="1"/>
  <c r="I8" i="4" a="1"/>
  <c r="BW13" i="4" a="1"/>
  <c r="BQ16" i="4" a="1"/>
  <c r="BK5" i="4" a="1"/>
  <c r="CY13" i="4" a="1"/>
  <c r="CL15" i="4" a="1"/>
  <c r="BD16" i="4" a="1"/>
  <c r="BY9" i="4" a="1"/>
  <c r="AA14" i="4" a="1"/>
  <c r="R7" i="4" a="1"/>
  <c r="BG16" i="4" a="1"/>
  <c r="CU16" i="4" a="1"/>
  <c r="CK8" i="4" a="1"/>
  <c r="CH11" i="4" a="1"/>
  <c r="BX7" i="4" a="1"/>
  <c r="CP5" i="4" a="1"/>
  <c r="AR6" i="4" a="1"/>
  <c r="DY9" i="4" a="1"/>
  <c r="Q7" i="4" a="1"/>
  <c r="ED13" i="4" a="1"/>
  <c r="BL5" i="4" a="1"/>
  <c r="BQ6" i="4" a="1"/>
  <c r="EJ15" i="4" a="1"/>
  <c r="DB5" i="4" a="1"/>
  <c r="BI12" i="4" a="1"/>
  <c r="G25" i="2"/>
  <c r="Q46" i="3"/>
  <c r="DU8" i="4" a="1"/>
  <c r="BE6" i="4" a="1"/>
  <c r="DP15" i="4" a="1"/>
  <c r="Z5" i="4" a="1"/>
  <c r="AZ12" i="4" a="1"/>
  <c r="AO9" i="4" a="1"/>
  <c r="CJ12" i="4" a="1"/>
  <c r="CE7" i="4" a="1"/>
  <c r="O8" i="4" a="1"/>
  <c r="DL16" i="4" a="1"/>
  <c r="I12" i="4" a="1"/>
  <c r="BY11" i="4" a="1"/>
  <c r="AS11" i="4" a="1"/>
  <c r="DJ8" i="4" a="1"/>
  <c r="E13" i="4" a="1"/>
  <c r="EK14" i="4" a="1"/>
  <c r="AW13" i="4" a="1"/>
  <c r="BE13" i="4" a="1"/>
  <c r="DC5" i="4" a="1"/>
  <c r="DI15" i="4" a="1"/>
  <c r="CB8" i="4" a="1"/>
  <c r="CZ11" i="4" a="1"/>
  <c r="BN12" i="4" a="1"/>
  <c r="BU9" i="4" a="1"/>
  <c r="DS9" i="4" a="1"/>
  <c r="AM12" i="4" a="1"/>
  <c r="AR14" i="4" a="1"/>
  <c r="DW11" i="4" a="1"/>
  <c r="BR16" i="4" a="1"/>
  <c r="BA8" i="4" a="1"/>
  <c r="L15" i="4" a="1"/>
  <c r="AM16" i="4" a="1"/>
  <c r="CL14" i="4" a="1"/>
  <c r="EE5" i="4" a="1"/>
  <c r="T14" i="4" a="1"/>
  <c r="AN14" i="4" a="1"/>
  <c r="CE12" i="4" a="1"/>
  <c r="EK13" i="4" a="1"/>
  <c r="AV7" i="4" a="1"/>
  <c r="DW8" i="4" a="1"/>
  <c r="DI6" i="4" a="1"/>
  <c r="S6" i="4" a="1"/>
  <c r="AV13" i="4" a="1"/>
  <c r="U13" i="4" a="1"/>
  <c r="DW12" i="4" a="1"/>
  <c r="AX5" i="4" a="1"/>
  <c r="DK8" i="4" a="1"/>
  <c r="DA13" i="4" a="1"/>
  <c r="DB6" i="4" a="1"/>
  <c r="BD14" i="4" a="1"/>
  <c r="M12" i="4" a="1"/>
  <c r="BD9" i="4" a="1"/>
  <c r="S5" i="4" a="1"/>
  <c r="AR15" i="4" a="1"/>
  <c r="AO13" i="4" a="1"/>
  <c r="EG9" i="4" a="1"/>
  <c r="DV12" i="4" a="1"/>
  <c r="BR8" i="4" a="1"/>
  <c r="CT16" i="4" a="1"/>
  <c r="BM11" i="4" a="1"/>
  <c r="CK7" i="4" a="1"/>
  <c r="CY11" i="4" a="1"/>
  <c r="AE5" i="4" a="1"/>
  <c r="CO8" i="4" a="1"/>
  <c r="Y13" i="4" a="1"/>
  <c r="AL16" i="4" a="1"/>
  <c r="AI12" i="4" a="1"/>
  <c r="CG15" i="4" a="1"/>
  <c r="DE9" i="4" a="1"/>
  <c r="AT11" i="4" a="1"/>
  <c r="DK12" i="4" a="1"/>
  <c r="Q11" i="4" a="1"/>
  <c r="CO12" i="4" a="1"/>
  <c r="DK9" i="4" a="1"/>
  <c r="CE14" i="4" a="1"/>
  <c r="O14" i="4" a="1"/>
  <c r="Z12" i="4" a="1"/>
  <c r="CV8" i="4" a="1"/>
  <c r="BI8" i="4" a="1"/>
  <c r="BY12" i="4" a="1"/>
  <c r="BC11" i="4" a="1"/>
  <c r="BA16" i="4" a="1"/>
  <c r="G5" i="4" a="1"/>
  <c r="P25" i="2"/>
  <c r="F38" i="3"/>
  <c r="D13" i="4" a="1"/>
  <c r="BY15" i="4" a="1"/>
  <c r="T12" i="4" a="1"/>
  <c r="U12" i="4" a="1"/>
  <c r="AB15" i="4" a="1"/>
  <c r="EC9" i="4" a="1"/>
  <c r="AO7" i="4" a="1"/>
  <c r="BN9" i="4" a="1"/>
  <c r="AZ5" i="4" a="1"/>
  <c r="AX14" i="4" a="1"/>
  <c r="H14" i="4" a="1"/>
  <c r="BX13" i="4" a="1"/>
  <c r="DR7" i="4" a="1"/>
  <c r="J16" i="2"/>
  <c r="AX8" i="4" a="1"/>
  <c r="CN14" i="4" a="1"/>
  <c r="AH15" i="4" a="1"/>
  <c r="DF16" i="4" a="1"/>
  <c r="AT8" i="4" a="1"/>
  <c r="BW12" i="4" a="1"/>
  <c r="DN15" i="4" a="1"/>
  <c r="BD12" i="4" a="1"/>
  <c r="BC13" i="4" a="1"/>
  <c r="DC13" i="4" a="1"/>
  <c r="K12" i="4" a="1"/>
  <c r="ED11" i="4" a="1"/>
  <c r="DJ9" i="4" a="1"/>
  <c r="DJ7" i="4" a="1"/>
  <c r="CW13" i="4" a="1"/>
  <c r="K8" i="4" a="1"/>
  <c r="EF11" i="4" a="1"/>
  <c r="DD5" i="4" a="1"/>
  <c r="CA5" i="4" a="1"/>
  <c r="C14" i="4" a="1"/>
  <c r="BZ16" i="4" a="1"/>
  <c r="EF8" i="4" a="1"/>
  <c r="EK9" i="4" a="1"/>
  <c r="DI9" i="4" a="1"/>
  <c r="AD13" i="4" a="1"/>
  <c r="AC13" i="4" a="1"/>
  <c r="EE9" i="4" a="1"/>
  <c r="EH15" i="4" a="1"/>
  <c r="H8" i="4" a="1"/>
  <c r="AU6" i="4" a="1"/>
  <c r="DS15" i="4" a="1"/>
  <c r="BA12" i="4" a="1"/>
  <c r="BS8" i="4" a="1"/>
  <c r="EB7" i="4" a="1"/>
  <c r="E7" i="4" a="1"/>
  <c r="AN16" i="4" a="1"/>
  <c r="L12" i="4" a="1"/>
  <c r="BG9" i="4" a="1"/>
  <c r="DE5" i="4" a="1"/>
  <c r="N5" i="4" a="1"/>
  <c r="DR13" i="4" a="1"/>
  <c r="AC7" i="4" a="1"/>
  <c r="BK16" i="4" a="1"/>
  <c r="BU5" i="4" a="1"/>
  <c r="AW6" i="4" a="1"/>
  <c r="Q16" i="4" a="1"/>
  <c r="EI15" i="4" a="1"/>
  <c r="CN5" i="4" a="1"/>
  <c r="BQ13" i="4" a="1"/>
  <c r="CF5" i="4" a="1"/>
  <c r="AO8" i="4" a="1"/>
  <c r="CL8" i="4" a="1"/>
  <c r="BU16" i="4" a="1"/>
  <c r="DB15" i="4" a="1"/>
  <c r="DJ15" i="4" a="1"/>
  <c r="EB9" i="4" a="1"/>
  <c r="EE7" i="4" a="1"/>
  <c r="BO6" i="4" a="1"/>
  <c r="BP13" i="4" a="1"/>
  <c r="BL6" i="4" a="1"/>
  <c r="DK11" i="4" a="1"/>
  <c r="EG15" i="4" a="1"/>
  <c r="EH12" i="4" a="1"/>
  <c r="CR14" i="4" a="1"/>
  <c r="O13" i="4" a="1"/>
  <c r="BS6" i="4" a="1"/>
  <c r="DD13" i="4" a="1"/>
  <c r="BM14" i="4" a="1"/>
  <c r="DX8" i="4" a="1"/>
  <c r="EG7" i="4" a="1"/>
  <c r="CY9" i="4" a="1"/>
  <c r="CD7" i="4" a="1"/>
  <c r="CV11" i="4" a="1"/>
  <c r="BO7" i="4" a="1"/>
  <c r="E5" i="4" a="1"/>
  <c r="CC15" i="4" a="1"/>
  <c r="AF15" i="4" a="1"/>
  <c r="AQ6" i="4" a="1"/>
  <c r="S7" i="4" a="1"/>
  <c r="P12" i="2"/>
  <c r="BJ11" i="4" a="1"/>
  <c r="P9" i="4" a="1"/>
  <c r="AZ8" i="4" a="1"/>
  <c r="BA7" i="4" a="1"/>
  <c r="BE5" i="4" a="1"/>
  <c r="EA7" i="4" a="1"/>
  <c r="L16" i="4" a="1"/>
  <c r="F7" i="4" a="1"/>
  <c r="CR6" i="4" a="1"/>
  <c r="N7" i="4" a="1"/>
  <c r="AC5" i="4" a="1"/>
  <c r="DZ9" i="4" a="1"/>
  <c r="CG6" i="4" a="1"/>
  <c r="BB9" i="4" a="1"/>
  <c r="CD14" i="4" a="1"/>
  <c r="Z9" i="4" a="1"/>
  <c r="DS16" i="4" a="1"/>
  <c r="DT14" i="4" a="1"/>
  <c r="CX5" i="4" a="1"/>
  <c r="BH8" i="4" a="1"/>
  <c r="R9" i="4" a="1"/>
  <c r="L14" i="4" a="1"/>
  <c r="DJ11" i="4" a="1"/>
  <c r="CN6" i="4" a="1"/>
  <c r="AU8" i="4" a="1"/>
  <c r="M15" i="4" a="1"/>
  <c r="AM13" i="4" a="1"/>
  <c r="DE6" i="4" a="1"/>
  <c r="EB13" i="4" a="1"/>
  <c r="G16" i="4" a="1"/>
  <c r="AS7" i="4" a="1"/>
  <c r="AE8" i="4" a="1"/>
  <c r="BF15" i="4" a="1"/>
  <c r="CQ16" i="4" a="1"/>
  <c r="DA5" i="4" a="1"/>
  <c r="BK7" i="4" a="1"/>
  <c r="C12" i="4" a="1"/>
  <c r="DT15" i="4" a="1"/>
  <c r="DV13" i="4" a="1"/>
  <c r="DV14" i="4" a="1"/>
  <c r="DJ12" i="4" a="1"/>
  <c r="EG13" i="4" a="1"/>
  <c r="CK12" i="4" a="1"/>
  <c r="AL11" i="4" a="1"/>
  <c r="BH11" i="4" a="1"/>
  <c r="BF8" i="4" a="1"/>
  <c r="DG6" i="4" a="1"/>
  <c r="DJ14" i="4" a="1"/>
  <c r="BM9" i="4" a="1"/>
  <c r="P6" i="4" a="1"/>
  <c r="U6" i="4" a="1"/>
  <c r="DX11" i="4" a="1"/>
  <c r="DP6" i="4" a="1"/>
  <c r="X14" i="4" a="1"/>
  <c r="EA14" i="4" a="1"/>
  <c r="N6" i="4" a="1"/>
  <c r="G8" i="4" a="1"/>
  <c r="N15" i="4" a="1"/>
  <c r="EB12" i="4" a="1"/>
  <c r="F5" i="4" a="1"/>
  <c r="CB16" i="4" a="1"/>
  <c r="DV9" i="4" a="1"/>
  <c r="I6" i="4" a="1"/>
  <c r="AO15" i="4" a="1"/>
  <c r="S13" i="4" a="1"/>
  <c r="CA13" i="4" a="1"/>
  <c r="T11" i="4" a="1"/>
  <c r="DU9" i="4" a="1"/>
  <c r="DU14" i="4" a="1"/>
  <c r="AQ11" i="4" a="1"/>
  <c r="EJ8" i="4" a="1"/>
  <c r="CO11" i="4" a="1"/>
  <c r="AW16" i="4" a="1"/>
  <c r="DT8" i="4" a="1"/>
  <c r="E21" i="2"/>
  <c r="BR12" i="4" a="1"/>
  <c r="AK7" i="4" a="1"/>
  <c r="CL9" i="4" a="1"/>
  <c r="BA6" i="4" a="1"/>
  <c r="EH13" i="4" a="1"/>
  <c r="U11" i="4" a="1"/>
  <c r="BW7" i="4" a="1"/>
  <c r="EC8" i="4" a="1"/>
  <c r="DQ7" i="4" a="1"/>
  <c r="AJ7" i="4" a="1"/>
  <c r="EK12" i="4" a="1"/>
  <c r="BN6" i="4" a="1"/>
  <c r="CY14" i="4" a="1"/>
  <c r="BL11" i="4" a="1"/>
  <c r="DF9" i="4" a="1"/>
  <c r="DX14" i="4" a="1"/>
  <c r="EE8" i="4" a="1"/>
  <c r="DX15" i="4" a="1"/>
  <c r="BL14" i="4" a="1"/>
  <c r="CY12" i="4" a="1"/>
  <c r="CA16" i="4" a="1"/>
  <c r="V7" i="4" a="1"/>
  <c r="DJ5" i="4" a="1"/>
  <c r="BJ13" i="4" a="1"/>
  <c r="DY7" i="4" a="1"/>
  <c r="S14" i="4" a="1"/>
  <c r="AZ11" i="4" a="1"/>
  <c r="DB9" i="4" a="1"/>
  <c r="O16" i="4" a="1"/>
  <c r="DW9" i="4" a="1"/>
  <c r="EH11" i="4" a="1"/>
  <c r="DD14" i="4" a="1"/>
  <c r="BG14" i="4" a="1"/>
  <c r="CX13" i="4" a="1"/>
  <c r="CC9" i="4" a="1"/>
  <c r="CW8" i="4" a="1"/>
  <c r="K5" i="4" a="1"/>
  <c r="AR22" i="3"/>
  <c r="DM6" i="4" a="1"/>
  <c r="F16" i="4" a="1"/>
  <c r="DS6" i="4" a="1"/>
  <c r="AY11" i="4" a="1"/>
  <c r="BY14" i="4" a="1"/>
  <c r="E9" i="4" a="1"/>
  <c r="AX15" i="4" a="1"/>
  <c r="DG7" i="4" a="1"/>
  <c r="BJ7" i="4" a="1"/>
  <c r="BT5" i="4" a="1"/>
  <c r="AE11" i="4" a="1"/>
  <c r="W15" i="4" a="1"/>
  <c r="CM11" i="4" a="1"/>
  <c r="AN12" i="4" a="1"/>
  <c r="F6" i="4" a="1"/>
  <c r="BT8" i="4" a="1"/>
  <c r="CW5" i="4" a="1"/>
  <c r="P11" i="4" a="1"/>
  <c r="DD8" i="4" a="1"/>
  <c r="BV6" i="4" a="1"/>
  <c r="CX8" i="4" a="1"/>
  <c r="EH6" i="4" a="1"/>
  <c r="BT12" i="4" a="1"/>
  <c r="DR15" i="4" a="1"/>
  <c r="AB7" i="4" a="1"/>
  <c r="CS11" i="4" a="1"/>
  <c r="CP16" i="4" a="1"/>
  <c r="CW12" i="4" a="1"/>
  <c r="CY5" i="4" a="1"/>
  <c r="H11" i="4" a="1"/>
  <c r="O15" i="4" a="1"/>
  <c r="Y15" i="4" a="1"/>
  <c r="AN6" i="4" a="1"/>
  <c r="CA14" i="4" a="1"/>
  <c r="DE13" i="4" a="1"/>
  <c r="J6" i="4" a="1"/>
  <c r="CB11" i="4" a="1"/>
  <c r="CP11" i="4" a="1"/>
  <c r="AD14" i="4" a="1"/>
  <c r="BS9" i="4" a="1"/>
  <c r="DH11" i="4" a="1"/>
  <c r="Q9" i="4" a="1"/>
  <c r="BQ5" i="4" a="1"/>
  <c r="C45" i="3"/>
  <c r="AF13" i="4" a="1"/>
  <c r="P5" i="4" a="1"/>
  <c r="CG9" i="4" a="1"/>
  <c r="CJ7" i="4" a="1"/>
  <c r="DQ12" i="4" a="1"/>
  <c r="DN5" i="4" a="1"/>
  <c r="M8" i="4" a="1"/>
  <c r="F42" i="3"/>
  <c r="K7" i="4" a="1"/>
  <c r="CF14" i="4" a="1"/>
  <c r="BB16" i="4" a="1"/>
  <c r="DJ6" i="4" a="1"/>
  <c r="DH6" i="4" a="1"/>
  <c r="AS9" i="4" a="1"/>
  <c r="CD9" i="4" a="1"/>
  <c r="DF14" i="4" a="1"/>
  <c r="M16" i="4" a="1"/>
  <c r="EA6" i="4" a="1"/>
  <c r="AH9" i="4" a="1"/>
  <c r="DA12" i="4" a="1"/>
  <c r="CQ12" i="4" a="1"/>
  <c r="CC6" i="4" a="1"/>
  <c r="O9" i="4" a="1"/>
  <c r="J15" i="4" a="1"/>
  <c r="BM12" i="4" a="1"/>
  <c r="AF14" i="4" a="1"/>
  <c r="DJ13" i="4" a="1"/>
  <c r="J11" i="4" a="1"/>
  <c r="H7" i="4" a="1"/>
  <c r="AB8" i="4" a="1"/>
  <c r="CZ14" i="4" a="1"/>
  <c r="DN13" i="4" a="1"/>
  <c r="AS12" i="4" a="1"/>
  <c r="D11" i="3"/>
  <c r="CM8" i="4" a="1"/>
  <c r="O6" i="4" a="1"/>
  <c r="DP5" i="4" a="1"/>
  <c r="V16" i="4" a="1"/>
  <c r="BT16" i="4" a="1"/>
  <c r="EB6" i="4" a="1"/>
  <c r="AG11" i="4" a="1"/>
  <c r="DC14" i="4" a="1"/>
  <c r="CB15" i="4" a="1"/>
  <c r="AY5" i="4" a="1"/>
  <c r="AQ16" i="4" a="1"/>
  <c r="AP14" i="4" a="1"/>
  <c r="AQ9" i="4" a="1"/>
  <c r="BR15" i="4" a="1"/>
  <c r="AS14" i="4" a="1"/>
  <c r="CI5" i="4" a="1"/>
  <c r="C11" i="4" a="1"/>
  <c r="W9" i="4" a="1"/>
  <c r="EA11" i="4" a="1"/>
  <c r="AR7" i="4" a="1"/>
  <c r="Y14" i="4" a="1"/>
  <c r="V13" i="4" a="1"/>
  <c r="AS16" i="4" a="1"/>
  <c r="AZ16" i="4" a="1"/>
  <c r="DU13" i="4" a="1"/>
  <c r="AU9" i="4" a="1"/>
  <c r="AQ14" i="4" a="1"/>
  <c r="CB6" i="4" a="1"/>
  <c r="EG11" i="4" a="1"/>
  <c r="EA12" i="4" a="1"/>
  <c r="AO16" i="4" a="1"/>
  <c r="BE16" i="4" a="1"/>
  <c r="DB11" i="4" a="1"/>
  <c r="R15" i="4" a="1"/>
  <c r="CG13" i="4" a="1"/>
  <c r="BC6" i="4" a="1"/>
  <c r="AT12" i="4" a="1"/>
  <c r="EJ9" i="4" a="1"/>
  <c r="K13" i="4" a="1"/>
  <c r="AP8" i="4" a="1"/>
  <c r="DU12" i="4" a="1"/>
  <c r="EH14" i="4" a="1"/>
  <c r="DY15" i="4" a="1"/>
  <c r="BM7" i="4" a="1"/>
  <c r="DA6" i="4" a="1"/>
  <c r="DF8" i="4" a="1"/>
  <c r="DP13" i="4" a="1"/>
  <c r="CQ9" i="4" a="1"/>
  <c r="EC13" i="4" a="1"/>
  <c r="AW15" i="4" a="1"/>
  <c r="BZ12" i="4" a="1"/>
  <c r="T5" i="4" a="1"/>
  <c r="E15" i="4" a="1"/>
  <c r="EK7" i="4" a="1"/>
  <c r="BH15" i="4" a="1"/>
  <c r="DK15" i="4" a="1"/>
  <c r="AL9" i="4" a="1"/>
  <c r="AP6" i="4" a="1"/>
  <c r="CE9" i="4" a="1"/>
  <c r="DH16" i="4" a="1"/>
  <c r="CU7" i="4" a="1"/>
  <c r="BA13" i="4" a="1"/>
  <c r="BQ12" i="4" a="1"/>
  <c r="CU13" i="4" a="1"/>
  <c r="EK6" i="4" a="1"/>
  <c r="EI13" i="4" a="1"/>
  <c r="BW14" i="4" a="1"/>
  <c r="BW9" i="4" a="1"/>
  <c r="CE15" i="4" a="1"/>
  <c r="BT11" i="4" a="1"/>
  <c r="BU15" i="4" a="1"/>
  <c r="AG6" i="4" a="1"/>
  <c r="DM7" i="4" a="1"/>
  <c r="D42" i="3"/>
  <c r="BN11" i="4" a="1"/>
  <c r="BK12" i="4" a="1"/>
  <c r="BK11" i="4" a="1"/>
  <c r="CJ13" i="4" a="1"/>
  <c r="AA6" i="4" a="1"/>
  <c r="AS15" i="4" a="1"/>
  <c r="D12" i="4" a="1"/>
  <c r="CL6" i="4" a="1"/>
  <c r="DX12" i="4" a="1"/>
  <c r="AX9" i="4" a="1"/>
  <c r="AC9" i="4" a="1"/>
  <c r="CI11" i="4" a="1"/>
  <c r="CP7" i="4" a="1"/>
  <c r="DZ7" i="4" a="1"/>
  <c r="BT6" i="4" a="1"/>
  <c r="DK6" i="4" a="1"/>
  <c r="DT5" i="4" a="1"/>
  <c r="E57" i="3"/>
  <c r="F77" i="3"/>
  <c r="AD66" i="3"/>
  <c r="F69" i="3"/>
  <c r="G58" i="3"/>
  <c r="E69" i="3"/>
  <c r="D58" i="3"/>
  <c r="AD77" i="3"/>
  <c r="AD90" i="3"/>
  <c r="E87" i="3"/>
  <c r="D77" i="3"/>
  <c r="AD65" i="3"/>
  <c r="E89" i="3"/>
  <c r="G56" i="3"/>
  <c r="F59" i="3"/>
  <c r="D82" i="3"/>
  <c r="F55" i="3"/>
  <c r="F60" i="3"/>
  <c r="E97" i="3"/>
  <c r="AD95" i="3"/>
  <c r="G69" i="3"/>
  <c r="E90" i="3"/>
  <c r="D69" i="3"/>
  <c r="F85" i="3"/>
  <c r="F57" i="3"/>
  <c r="E54" i="3"/>
  <c r="D90" i="3"/>
  <c r="F93" i="3"/>
  <c r="G65" i="3"/>
  <c r="E85" i="3"/>
  <c r="F56" i="3"/>
  <c r="AD78" i="3"/>
  <c r="F71" i="3"/>
  <c r="D72" i="3"/>
  <c r="D68" i="3"/>
  <c r="D95" i="3"/>
  <c r="F79" i="3"/>
  <c r="G55" i="3"/>
  <c r="E55" i="3"/>
  <c r="D93" i="3"/>
  <c r="AD72" i="3"/>
  <c r="F89" i="3"/>
  <c r="D85" i="3"/>
  <c r="AD56" i="3"/>
  <c r="AD73" i="3"/>
  <c r="F88" i="3"/>
  <c r="G86" i="3"/>
  <c r="E61" i="3"/>
  <c r="D63" i="3"/>
  <c r="AD61" i="3"/>
  <c r="E56" i="3"/>
  <c r="G81" i="3"/>
  <c r="D91" i="3"/>
  <c r="AD93" i="3"/>
  <c r="E64" i="3"/>
  <c r="AD86" i="3"/>
  <c r="G79" i="3"/>
  <c r="D84" i="3"/>
  <c r="F84" i="3"/>
  <c r="G67" i="3"/>
  <c r="AD82" i="3"/>
  <c r="E79" i="3"/>
  <c r="E71" i="3"/>
  <c r="AD89" i="3"/>
  <c r="G64" i="3"/>
  <c r="D83" i="3"/>
  <c r="F61" i="3"/>
  <c r="G82" i="3"/>
  <c r="AD68" i="3"/>
  <c r="E94" i="3"/>
  <c r="F72" i="3"/>
  <c r="AD85" i="3"/>
  <c r="F68" i="3"/>
  <c r="G62" i="3"/>
  <c r="AD88" i="3"/>
  <c r="F92" i="3"/>
  <c r="E92" i="3"/>
  <c r="F96" i="3"/>
  <c r="E60" i="3"/>
  <c r="F75" i="3"/>
  <c r="AD83" i="3"/>
  <c r="F78" i="3"/>
  <c r="G92" i="3"/>
  <c r="F97" i="3"/>
  <c r="D88" i="3"/>
  <c r="AD69" i="3"/>
  <c r="E68" i="3"/>
  <c r="E65" i="3"/>
  <c r="E78" i="3"/>
  <c r="D65" i="3"/>
  <c r="AD94" i="3"/>
  <c r="D60" i="3"/>
  <c r="E95" i="3"/>
  <c r="AD57" i="3"/>
  <c r="G93" i="3"/>
  <c r="D74" i="3"/>
  <c r="E96" i="3"/>
  <c r="D80" i="3"/>
  <c r="E62" i="3"/>
  <c r="D96" i="3"/>
  <c r="E75" i="3"/>
  <c r="D67" i="3"/>
  <c r="D59" i="3"/>
  <c r="E70" i="3"/>
  <c r="F49" i="3"/>
  <c r="F90" i="3"/>
  <c r="D81" i="3"/>
  <c r="F86" i="3"/>
  <c r="E59" i="3"/>
  <c r="F47" i="3"/>
  <c r="E93" i="3"/>
  <c r="D86" i="3"/>
  <c r="AD74" i="3"/>
  <c r="F65" i="3"/>
  <c r="G68" i="3"/>
  <c r="D76" i="3"/>
  <c r="F67" i="3"/>
  <c r="G91" i="3"/>
  <c r="E74" i="3"/>
  <c r="D66" i="3"/>
  <c r="AD79" i="3"/>
  <c r="G95" i="3"/>
  <c r="F81" i="3"/>
  <c r="D64" i="3"/>
  <c r="F95" i="3"/>
  <c r="AD91" i="3"/>
  <c r="D87" i="3"/>
  <c r="G60" i="3"/>
  <c r="E63" i="3"/>
  <c r="AD60" i="3"/>
  <c r="F83" i="3"/>
  <c r="E67" i="3"/>
  <c r="D70" i="3"/>
  <c r="E72" i="3"/>
  <c r="F70" i="3"/>
  <c r="E82" i="3"/>
  <c r="G63" i="3"/>
  <c r="G57" i="3"/>
  <c r="F76" i="3"/>
  <c r="D79" i="3"/>
  <c r="AD55" i="3"/>
  <c r="G96" i="3"/>
  <c r="G71" i="3"/>
  <c r="F80" i="3"/>
  <c r="D71" i="3"/>
  <c r="E88" i="3"/>
  <c r="F48" i="3"/>
  <c r="D73" i="3"/>
  <c r="F62" i="3"/>
  <c r="E83" i="3"/>
  <c r="D57" i="3"/>
  <c r="E58" i="3"/>
  <c r="E81" i="3"/>
  <c r="AD63" i="3"/>
  <c r="G85" i="3"/>
  <c r="D61" i="3"/>
  <c r="E84" i="3"/>
  <c r="E77" i="3"/>
  <c r="D55" i="3"/>
  <c r="AD80" i="3"/>
  <c r="AD71" i="3"/>
  <c r="G88" i="3"/>
  <c r="D62" i="3"/>
  <c r="F94" i="3"/>
  <c r="AD81" i="3"/>
  <c r="G89" i="3"/>
  <c r="D54" i="3"/>
  <c r="G72" i="3"/>
  <c r="E66" i="3"/>
  <c r="G73" i="3"/>
  <c r="AD67" i="3"/>
  <c r="G54" i="3"/>
  <c r="F63" i="3"/>
  <c r="AD75" i="3"/>
  <c r="AD96" i="3"/>
  <c r="G84" i="3"/>
  <c r="F50" i="3"/>
  <c r="D94" i="3"/>
  <c r="AD97" i="3"/>
  <c r="E86" i="3"/>
  <c r="AD87" i="3"/>
  <c r="G75" i="3"/>
  <c r="G74" i="3"/>
  <c r="E76" i="3"/>
  <c r="D97" i="3"/>
  <c r="F58" i="3"/>
  <c r="F82" i="3"/>
  <c r="E91" i="3"/>
  <c r="AD76" i="3"/>
  <c r="G83" i="3"/>
  <c r="E73" i="3"/>
  <c r="G76" i="3"/>
  <c r="G70" i="3"/>
  <c r="G94" i="3"/>
  <c r="G61" i="3"/>
  <c r="G59" i="3"/>
  <c r="D92" i="3"/>
  <c r="F73" i="3"/>
  <c r="AD54" i="3"/>
  <c r="G90" i="3"/>
  <c r="F66" i="3"/>
  <c r="G78" i="3"/>
  <c r="F74" i="3"/>
  <c r="F64" i="3"/>
  <c r="G66" i="3"/>
  <c r="G80" i="3"/>
  <c r="D78" i="3"/>
  <c r="AD84" i="3"/>
  <c r="E80" i="3"/>
  <c r="AD70" i="3"/>
  <c r="G77" i="3"/>
  <c r="F91" i="3"/>
  <c r="F87" i="3"/>
  <c r="G87" i="3"/>
  <c r="AD62" i="3"/>
  <c r="AD59" i="3"/>
  <c r="F54" i="3"/>
  <c r="G97" i="3"/>
  <c r="D56" i="3" l="1"/>
  <c r="AJ117" i="1" s="1"/>
  <c r="AK117" i="1" s="1"/>
  <c r="D89" i="3"/>
  <c r="AJ153" i="1" s="1"/>
  <c r="D75" i="3"/>
  <c r="AJ137" i="1" s="1"/>
  <c r="AK137" i="1" s="1"/>
  <c r="AD58" i="3"/>
  <c r="BJ119" i="1" s="1"/>
  <c r="AD64" i="3"/>
  <c r="BJ149" i="1" s="1"/>
  <c r="AD92" i="3"/>
  <c r="BJ155" i="1" s="1"/>
  <c r="BK155" i="1" s="1"/>
  <c r="AJ51" i="1"/>
  <c r="IM9" i="4" s="1"/>
  <c r="IG16" i="4" s="1"/>
  <c r="IC16" i="4" s="1"/>
  <c r="IL16" i="4" s="1"/>
  <c r="AJ15" i="1"/>
  <c r="HS9" i="4" s="1"/>
  <c r="IC9" i="4" s="1"/>
  <c r="IF16" i="4" s="1"/>
  <c r="AL51" i="1"/>
  <c r="HS8" i="4" s="1"/>
  <c r="HP16" i="4" s="1"/>
  <c r="IO9" i="4" s="1"/>
  <c r="HS16" i="4" s="1"/>
  <c r="IR9" i="4" s="1"/>
  <c r="JD9" i="4" s="1"/>
  <c r="HT9" i="4" s="1"/>
  <c r="JC16" i="4" s="1"/>
  <c r="IF9" i="4" s="1"/>
  <c r="HR16" i="4" s="1"/>
  <c r="O15" i="1"/>
  <c r="JF9" i="4" s="1"/>
  <c r="II16" i="4" s="1"/>
  <c r="II21" i="4" s="1"/>
  <c r="BC77" i="1" s="1"/>
  <c r="HQ8" i="4" s="1"/>
  <c r="JG9" i="4" s="1"/>
  <c r="JI9" i="4" s="1"/>
  <c r="IN16" i="4" s="1"/>
  <c r="IZ9" i="4" s="1"/>
  <c r="IS14" i="4" s="1"/>
  <c r="IE8" i="4" s="1"/>
  <c r="JC7" i="4" s="1"/>
  <c r="IE14" i="4" s="1"/>
  <c r="IJ9" i="4" s="1"/>
  <c r="O36" i="1"/>
  <c r="IV8" i="4" s="1"/>
  <c r="IR7" i="4" s="1"/>
  <c r="IA16" i="4" s="1"/>
  <c r="JC9" i="4" s="1"/>
  <c r="F36" i="1"/>
  <c r="JE9" i="4" s="1"/>
  <c r="IU16" i="4" s="1"/>
  <c r="IK16" i="4" s="1"/>
  <c r="JI16" i="4" s="1"/>
  <c r="AK39" i="1"/>
  <c r="M51" i="1"/>
  <c r="IA9" i="4" s="1"/>
  <c r="IA21" i="4" s="1"/>
  <c r="AU77" i="1" s="1"/>
  <c r="IX16" i="4" s="1"/>
  <c r="IW16" i="4" s="1"/>
  <c r="HP15" i="4" s="1"/>
  <c r="Q46" i="1"/>
  <c r="HV16" i="4" s="1"/>
  <c r="IX8" i="4" s="1"/>
  <c r="JF16" i="4" s="1"/>
  <c r="IH16" i="4" s="1"/>
  <c r="IB16" i="4" s="1"/>
  <c r="IC15" i="4" s="1"/>
  <c r="AJ35" i="1"/>
  <c r="AL23" i="1"/>
  <c r="AL13" i="1"/>
  <c r="B20" i="1"/>
  <c r="J46" i="1"/>
  <c r="HT15" i="4" s="1"/>
  <c r="IV16" i="4" s="1"/>
  <c r="IS16" i="4" s="1"/>
  <c r="HQ9" i="4" s="1"/>
  <c r="HW8" i="4" s="1"/>
  <c r="IG9" i="4" s="1"/>
  <c r="JB8" i="4" s="1"/>
  <c r="HP9" i="4" s="1"/>
  <c r="IQ16" i="4" s="1"/>
  <c r="IQ21" i="4" s="1"/>
  <c r="BK77" i="1" s="1"/>
  <c r="JG16" i="4" s="1"/>
  <c r="JG21" i="4" s="1"/>
  <c r="CA77" i="1" s="1"/>
  <c r="IE9" i="4" s="1"/>
  <c r="ID14" i="4" s="1"/>
  <c r="AJ32" i="1"/>
  <c r="BX9" i="1"/>
  <c r="AJ13" i="1"/>
  <c r="AK47" i="1"/>
  <c r="B39" i="1"/>
  <c r="G20" i="1"/>
  <c r="D35" i="1"/>
  <c r="V15" i="1"/>
  <c r="P127" i="1"/>
  <c r="IW9" i="4" s="1"/>
  <c r="JG14" i="4" s="1"/>
  <c r="JH7" i="4" s="1"/>
  <c r="JA16" i="4" s="1"/>
  <c r="JA21" i="4" s="1"/>
  <c r="BU77" i="1" s="1"/>
  <c r="HX16" i="4" s="1"/>
  <c r="AJ36" i="1"/>
  <c r="AK20" i="1"/>
  <c r="BJ21" i="1"/>
  <c r="G36" i="1"/>
  <c r="BX160" i="1"/>
  <c r="K8" i="1"/>
  <c r="K231" i="1" s="1"/>
  <c r="T24" i="1"/>
  <c r="H22" i="1"/>
  <c r="JA9" i="4" s="1"/>
  <c r="IH9" i="4" s="1"/>
  <c r="JH9" i="4" s="1"/>
  <c r="IM16" i="4" s="1"/>
  <c r="HV9" i="4" s="1"/>
  <c r="JB16" i="4" s="1"/>
  <c r="AL47" i="1"/>
  <c r="AM20" i="1"/>
  <c r="E39" i="1"/>
  <c r="BX125" i="1"/>
  <c r="BY125" i="1" s="1"/>
  <c r="U21" i="1"/>
  <c r="F13" i="1"/>
  <c r="W132" i="1"/>
  <c r="J21" i="1"/>
  <c r="C45" i="1"/>
  <c r="JI7" i="4" s="1"/>
  <c r="IE7" i="4" s="1"/>
  <c r="IN14" i="4" s="1"/>
  <c r="IE16" i="4" s="1"/>
  <c r="IO16" i="4" s="1"/>
  <c r="IS9" i="4" s="1"/>
  <c r="JH16" i="4" s="1"/>
  <c r="IP16" i="4" s="1"/>
  <c r="IP21" i="4" s="1"/>
  <c r="BJ77" i="1" s="1"/>
  <c r="AL22" i="1"/>
  <c r="AK13" i="1"/>
  <c r="BX164" i="1"/>
  <c r="BY164" i="1" s="1"/>
  <c r="O35" i="1"/>
  <c r="IQ9" i="4" s="1"/>
  <c r="IV9" i="4" s="1"/>
  <c r="JA14" i="4" s="1"/>
  <c r="HV7" i="4" s="1"/>
  <c r="JC8" i="4" s="1"/>
  <c r="II9" i="4" s="1"/>
  <c r="IC7" i="4" s="1"/>
  <c r="IY9" i="4" s="1"/>
  <c r="IT16" i="4" s="1"/>
  <c r="IS15" i="4" s="1"/>
  <c r="HW16" i="4" s="1"/>
  <c r="IZ16" i="4" s="1"/>
  <c r="HZ9" i="4" s="1"/>
  <c r="IT9" i="4" s="1"/>
  <c r="HT7" i="4" s="1"/>
  <c r="IJ15" i="4" s="1"/>
  <c r="HV15" i="4" s="1"/>
  <c r="IF15" i="4" s="1"/>
  <c r="AM39" i="1"/>
  <c r="O25" i="1"/>
  <c r="O45" i="1"/>
  <c r="M13" i="1"/>
  <c r="HW9" i="4" s="1"/>
  <c r="IR16" i="4" s="1"/>
  <c r="IR21" i="4" s="1"/>
  <c r="BL77" i="1" s="1"/>
  <c r="BL94" i="1" s="1"/>
  <c r="BX32" i="1"/>
  <c r="BX194" i="1" s="1"/>
  <c r="BJ23" i="1"/>
  <c r="AK22" i="1"/>
  <c r="AK25" i="1"/>
  <c r="E25" i="1"/>
  <c r="Q39" i="1"/>
  <c r="R47" i="1"/>
  <c r="G13" i="1"/>
  <c r="R23" i="1"/>
  <c r="T13" i="1"/>
  <c r="F21" i="1"/>
  <c r="IX9" i="4" s="1"/>
  <c r="IN9" i="4" s="1"/>
  <c r="HX9" i="4" s="1"/>
  <c r="AK21" i="1"/>
  <c r="W47" i="1"/>
  <c r="E22" i="1"/>
  <c r="I9" i="1"/>
  <c r="T36" i="1"/>
  <c r="C22" i="1"/>
  <c r="HZ16" i="4" s="1"/>
  <c r="HQ16" i="4" s="1"/>
  <c r="HU9" i="4" s="1"/>
  <c r="HR9" i="4" s="1"/>
  <c r="AJ46" i="1"/>
  <c r="AL35" i="1"/>
  <c r="AM32" i="1"/>
  <c r="AM194" i="1" s="1"/>
  <c r="AJ24" i="1"/>
  <c r="AK15" i="1"/>
  <c r="BX144" i="1"/>
  <c r="B13" i="1"/>
  <c r="J22" i="1"/>
  <c r="C46" i="1"/>
  <c r="S15" i="1"/>
  <c r="HY16" i="4" s="1"/>
  <c r="JE15" i="4" s="1"/>
  <c r="IY16" i="4" s="1"/>
  <c r="AM36" i="1"/>
  <c r="AM14" i="1"/>
  <c r="AJ8" i="1"/>
  <c r="AJ231" i="1" s="1"/>
  <c r="AK9" i="1"/>
  <c r="AK36" i="1"/>
  <c r="D24" i="1"/>
  <c r="R20" i="1"/>
  <c r="S13" i="1"/>
  <c r="W22" i="1"/>
  <c r="IB9" i="4" s="1"/>
  <c r="IX14" i="4" s="1"/>
  <c r="AL46" i="1"/>
  <c r="BJ8" i="1"/>
  <c r="BJ231" i="1" s="1"/>
  <c r="AM8" i="1"/>
  <c r="AM231" i="1" s="1"/>
  <c r="AK51" i="1"/>
  <c r="AK8" i="1"/>
  <c r="AK10" i="1" s="1"/>
  <c r="G32" i="1"/>
  <c r="G194" i="1" s="1"/>
  <c r="M20" i="1"/>
  <c r="E8" i="1"/>
  <c r="E231" i="1" s="1"/>
  <c r="S51" i="1"/>
  <c r="IU9" i="4" s="1"/>
  <c r="HY7" i="4" s="1"/>
  <c r="IL7" i="4" s="1"/>
  <c r="HU16" i="4" s="1"/>
  <c r="JI14" i="4" s="1"/>
  <c r="HZ14" i="4" s="1"/>
  <c r="AL32" i="1"/>
  <c r="AL194" i="1" s="1"/>
  <c r="BX35" i="1"/>
  <c r="AM9" i="1"/>
  <c r="AL24" i="1"/>
  <c r="AK14" i="1"/>
  <c r="BX23" i="1"/>
  <c r="AM13" i="1"/>
  <c r="AL15" i="1"/>
  <c r="AM25" i="1"/>
  <c r="AL8" i="1"/>
  <c r="AL231" i="1" s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JD16" i="4" s="1"/>
  <c r="JD21" i="4" s="1"/>
  <c r="BX77" i="1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C252" i="1" s="1"/>
  <c r="P153" i="1"/>
  <c r="P183" i="1" s="1"/>
  <c r="G46" i="1"/>
  <c r="V22" i="1"/>
  <c r="BX159" i="1"/>
  <c r="BX161" i="1" s="1"/>
  <c r="BY209" i="1" s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J16" i="4" s="1"/>
  <c r="IJ21" i="4" s="1"/>
  <c r="BD77" i="1" s="1"/>
  <c r="IT14" i="4" s="1"/>
  <c r="IB7" i="4" s="1"/>
  <c r="II8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K9" i="4" s="1"/>
  <c r="IL9" i="4" s="1"/>
  <c r="IL21" i="4" s="1"/>
  <c r="BF77" i="1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HS14" i="4" s="1"/>
  <c r="ID16" i="4" s="1"/>
  <c r="IA14" i="4" s="1"/>
  <c r="IV14" i="4" s="1"/>
  <c r="JD7" i="4" s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BX118" i="1"/>
  <c r="BY118" i="1" s="1"/>
  <c r="B9" i="1"/>
  <c r="B10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R7" i="4" s="1"/>
  <c r="HY9" i="4" s="1"/>
  <c r="AK24" i="1"/>
  <c r="BX8" i="1"/>
  <c r="CA98" i="1" s="1"/>
  <c r="CA99" i="1" s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D26" i="1" s="1"/>
  <c r="J47" i="1"/>
  <c r="B21" i="1"/>
  <c r="Q153" i="1"/>
  <c r="W35" i="1"/>
  <c r="C124" i="1"/>
  <c r="U15" i="1"/>
  <c r="T8" i="1"/>
  <c r="T231" i="1" s="1"/>
  <c r="W117" i="1"/>
  <c r="R51" i="1"/>
  <c r="HQ14" i="4" s="1"/>
  <c r="HP8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3" i="1" s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AJ21" i="1"/>
  <c r="BX22" i="1"/>
  <c r="AL25" i="1"/>
  <c r="AL26" i="1" s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52" i="1" s="1"/>
  <c r="K20" i="1"/>
  <c r="D8" i="1"/>
  <c r="D253" i="1" s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AJ150" i="1"/>
  <c r="AK150" i="1" s="1"/>
  <c r="AJ151" i="1"/>
  <c r="AK151" i="1" s="1"/>
  <c r="AL135" i="1"/>
  <c r="AM13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L137" i="1"/>
  <c r="AM137" i="1" s="1"/>
  <c r="BJ137" i="1"/>
  <c r="BK137" i="1" s="1"/>
  <c r="BJ143" i="1"/>
  <c r="AL143" i="1"/>
  <c r="IL15" i="4"/>
  <c r="IC14" i="4"/>
  <c r="IL8" i="4"/>
  <c r="IC21" i="4"/>
  <c r="AW77" i="1" s="1"/>
  <c r="II7" i="4"/>
  <c r="IU15" i="4"/>
  <c r="IK8" i="4"/>
  <c r="IN8" i="4"/>
  <c r="IW8" i="4"/>
  <c r="JI15" i="4"/>
  <c r="F194" i="1"/>
  <c r="IQ8" i="4"/>
  <c r="IW7" i="4"/>
  <c r="HX14" i="4"/>
  <c r="IL14" i="4"/>
  <c r="HZ7" i="4"/>
  <c r="JI8" i="4"/>
  <c r="JE8" i="4"/>
  <c r="HY14" i="4"/>
  <c r="IB14" i="4"/>
  <c r="IS21" i="4"/>
  <c r="BM77" i="1" s="1"/>
  <c r="IX21" i="4"/>
  <c r="BR77" i="1" s="1"/>
  <c r="HZ15" i="4"/>
  <c r="IT15" i="4"/>
  <c r="IO7" i="4"/>
  <c r="IZ15" i="4"/>
  <c r="IY14" i="4"/>
  <c r="IY7" i="4"/>
  <c r="IJ8" i="4"/>
  <c r="IY8" i="4"/>
  <c r="IV21" i="4"/>
  <c r="BP77" i="1" s="1"/>
  <c r="IH8" i="4"/>
  <c r="HS21" i="4"/>
  <c r="AM77" i="1" s="1"/>
  <c r="IN21" i="4"/>
  <c r="BH77" i="1" s="1"/>
  <c r="JI21" i="4"/>
  <c r="CC77" i="1" s="1"/>
  <c r="CC85" i="1" s="1"/>
  <c r="HX15" i="4"/>
  <c r="JE7" i="4"/>
  <c r="II14" i="4"/>
  <c r="JC15" i="4"/>
  <c r="P231" i="1"/>
  <c r="IB8" i="4"/>
  <c r="IE15" i="4"/>
  <c r="JG8" i="4"/>
  <c r="JC14" i="4"/>
  <c r="HS15" i="4"/>
  <c r="JC21" i="4"/>
  <c r="BW77" i="1" s="1"/>
  <c r="JH8" i="4"/>
  <c r="IR15" i="4"/>
  <c r="JF8" i="4"/>
  <c r="JB7" i="4"/>
  <c r="IQ14" i="4"/>
  <c r="IH14" i="4"/>
  <c r="IM14" i="4"/>
  <c r="IT7" i="4"/>
  <c r="JD15" i="4"/>
  <c r="IP14" i="4"/>
  <c r="IK14" i="4"/>
  <c r="JF14" i="4"/>
  <c r="HV8" i="4"/>
  <c r="U16" i="1"/>
  <c r="U98" i="1"/>
  <c r="IB21" i="4"/>
  <c r="AV77" i="1" s="1"/>
  <c r="J253" i="1"/>
  <c r="JH14" i="4"/>
  <c r="BX10" i="1"/>
  <c r="AJ37" i="1"/>
  <c r="IR8" i="4"/>
  <c r="CP77" i="1"/>
  <c r="CN63" i="1"/>
  <c r="CM65" i="1"/>
  <c r="G183" i="1" l="1"/>
  <c r="H26" i="1"/>
  <c r="S252" i="1"/>
  <c r="P252" i="1"/>
  <c r="H252" i="1"/>
  <c r="S194" i="1"/>
  <c r="K10" i="1"/>
  <c r="I253" i="1"/>
  <c r="O231" i="1"/>
  <c r="O253" i="1"/>
  <c r="U253" i="1"/>
  <c r="U194" i="1"/>
  <c r="D231" i="1"/>
  <c r="HY21" i="4"/>
  <c r="AS77" i="1" s="1"/>
  <c r="IX7" i="4" s="1"/>
  <c r="JE16" i="4" s="1"/>
  <c r="JE21" i="4" s="1"/>
  <c r="BY77" i="1" s="1"/>
  <c r="JB9" i="4" s="1"/>
  <c r="JB21" i="4" s="1"/>
  <c r="BV77" i="1" s="1"/>
  <c r="IY15" i="4" s="1"/>
  <c r="ID9" i="4" s="1"/>
  <c r="ID21" i="4" s="1"/>
  <c r="AX77" i="1" s="1"/>
  <c r="HT16" i="4" s="1"/>
  <c r="B252" i="1"/>
  <c r="BY120" i="1"/>
  <c r="IU21" i="4"/>
  <c r="BO77" i="1" s="1"/>
  <c r="HX21" i="4"/>
  <c r="AR77" i="1" s="1"/>
  <c r="D194" i="1"/>
  <c r="IH21" i="4"/>
  <c r="BB77" i="1" s="1"/>
  <c r="JF21" i="4"/>
  <c r="BZ77" i="1" s="1"/>
  <c r="BZ94" i="1" s="1"/>
  <c r="IO21" i="4"/>
  <c r="BI77" i="1" s="1"/>
  <c r="V194" i="1"/>
  <c r="V253" i="1"/>
  <c r="B231" i="1"/>
  <c r="JH21" i="4"/>
  <c r="CB77" i="1" s="1"/>
  <c r="HU21" i="4"/>
  <c r="AO77" i="1" s="1"/>
  <c r="HW21" i="4"/>
  <c r="AQ77" i="1" s="1"/>
  <c r="AL10" i="1"/>
  <c r="H10" i="1"/>
  <c r="H16" i="1" s="1"/>
  <c r="H17" i="1" s="1"/>
  <c r="IT21" i="4"/>
  <c r="BN77" i="1" s="1"/>
  <c r="X11" i="1"/>
  <c r="G253" i="1"/>
  <c r="O252" i="1"/>
  <c r="S253" i="1"/>
  <c r="W253" i="1"/>
  <c r="W194" i="1"/>
  <c r="O10" i="1"/>
  <c r="X188" i="1"/>
  <c r="P10" i="1"/>
  <c r="G10" i="1"/>
  <c r="G252" i="1"/>
  <c r="W98" i="1"/>
  <c r="D10" i="1"/>
  <c r="IV15" i="4"/>
  <c r="IV20" i="4" s="1"/>
  <c r="BP79" i="1" s="1"/>
  <c r="BP108" i="1" s="1"/>
  <c r="BX252" i="1"/>
  <c r="IQ7" i="4"/>
  <c r="T26" i="1"/>
  <c r="P26" i="1"/>
  <c r="BJ179" i="1"/>
  <c r="BK179" i="1" s="1"/>
  <c r="BJ180" i="1"/>
  <c r="BK180" i="1" s="1"/>
  <c r="AL183" i="1"/>
  <c r="AM183" i="1" s="1"/>
  <c r="AL179" i="1"/>
  <c r="AM179" i="1" s="1"/>
  <c r="AJ179" i="1"/>
  <c r="BJ183" i="1"/>
  <c r="BK183" i="1" s="1"/>
  <c r="AL16" i="1"/>
  <c r="AL17" i="1" s="1"/>
  <c r="AJ194" i="1"/>
  <c r="AJ33" i="1"/>
  <c r="S231" i="1"/>
  <c r="S10" i="1"/>
  <c r="P194" i="1"/>
  <c r="P253" i="1"/>
  <c r="F26" i="1"/>
  <c r="IP15" i="4"/>
  <c r="IP20" i="4" s="1"/>
  <c r="BJ79" i="1" s="1"/>
  <c r="BJ108" i="1" s="1"/>
  <c r="JA15" i="4"/>
  <c r="IG21" i="4"/>
  <c r="BA77" i="1" s="1"/>
  <c r="IO15" i="4"/>
  <c r="HX8" i="4"/>
  <c r="IF21" i="4"/>
  <c r="AZ77" i="1" s="1"/>
  <c r="HX7" i="4"/>
  <c r="HP21" i="4"/>
  <c r="AJ77" i="1" s="1"/>
  <c r="HU14" i="4"/>
  <c r="IA7" i="4"/>
  <c r="IB15" i="4"/>
  <c r="IB20" i="4" s="1"/>
  <c r="AV79" i="1" s="1"/>
  <c r="AV108" i="1" s="1"/>
  <c r="HV14" i="4"/>
  <c r="JD14" i="4"/>
  <c r="IH15" i="4"/>
  <c r="JF7" i="4"/>
  <c r="IF7" i="4"/>
  <c r="IP7" i="4"/>
  <c r="JH15" i="4"/>
  <c r="JH20" i="4" s="1"/>
  <c r="CB79" i="1" s="1"/>
  <c r="IZ7" i="4"/>
  <c r="IZ21" i="4"/>
  <c r="BT77" i="1" s="1"/>
  <c r="IN15" i="4"/>
  <c r="IN20" i="4" s="1"/>
  <c r="BH79" i="1" s="1"/>
  <c r="BH108" i="1" s="1"/>
  <c r="IG14" i="4"/>
  <c r="ID7" i="4"/>
  <c r="ID19" i="4" s="1"/>
  <c r="AX78" i="1" s="1"/>
  <c r="AX107" i="1" s="1"/>
  <c r="IZ8" i="4"/>
  <c r="JB15" i="4"/>
  <c r="JD8" i="4"/>
  <c r="IN7" i="4"/>
  <c r="IK21" i="4"/>
  <c r="BE77" i="1" s="1"/>
  <c r="IX15" i="4"/>
  <c r="IW21" i="4"/>
  <c r="BQ77" i="1" s="1"/>
  <c r="HT8" i="4"/>
  <c r="JE14" i="4"/>
  <c r="JE19" i="4" s="1"/>
  <c r="BY78" i="1" s="1"/>
  <c r="IP8" i="4"/>
  <c r="IO14" i="4"/>
  <c r="IO19" i="4" s="1"/>
  <c r="BI78" i="1" s="1"/>
  <c r="BI107" i="1" s="1"/>
  <c r="HY15" i="4"/>
  <c r="HP7" i="4"/>
  <c r="IR14" i="4"/>
  <c r="HW15" i="4"/>
  <c r="HW20" i="4" s="1"/>
  <c r="AQ79" i="1" s="1"/>
  <c r="AQ108" i="1" s="1"/>
  <c r="BY128" i="1"/>
  <c r="HY8" i="4"/>
  <c r="HS7" i="4"/>
  <c r="HS19" i="4" s="1"/>
  <c r="AM78" i="1" s="1"/>
  <c r="IC8" i="4"/>
  <c r="JA8" i="4"/>
  <c r="JA20" i="4" s="1"/>
  <c r="BU79" i="1" s="1"/>
  <c r="BU108" i="1" s="1"/>
  <c r="HQ15" i="4"/>
  <c r="II15" i="4"/>
  <c r="II20" i="4" s="1"/>
  <c r="BC79" i="1" s="1"/>
  <c r="BC108" i="1" s="1"/>
  <c r="HV21" i="4"/>
  <c r="AP77" i="1" s="1"/>
  <c r="IW14" i="4"/>
  <c r="IW19" i="4" s="1"/>
  <c r="BQ78" i="1" s="1"/>
  <c r="BQ107" i="1" s="1"/>
  <c r="IS7" i="4"/>
  <c r="IG15" i="4"/>
  <c r="IE21" i="4"/>
  <c r="AY77" i="1" s="1"/>
  <c r="HQ7" i="4"/>
  <c r="HQ19" i="4" s="1"/>
  <c r="AK78" i="1" s="1"/>
  <c r="HR14" i="4"/>
  <c r="HR19" i="4" s="1"/>
  <c r="AL78" i="1" s="1"/>
  <c r="IO8" i="4"/>
  <c r="IW15" i="4"/>
  <c r="IW20" i="4" s="1"/>
  <c r="BQ79" i="1" s="1"/>
  <c r="BQ108" i="1" s="1"/>
  <c r="IG7" i="4"/>
  <c r="IG8" i="4"/>
  <c r="JF15" i="4"/>
  <c r="JF20" i="4" s="1"/>
  <c r="BZ79" i="1" s="1"/>
  <c r="JG15" i="4"/>
  <c r="JG20" i="4" s="1"/>
  <c r="CA79" i="1" s="1"/>
  <c r="IU14" i="4"/>
  <c r="IH7" i="4"/>
  <c r="IH19" i="4" s="1"/>
  <c r="BB78" i="1" s="1"/>
  <c r="BB107" i="1" s="1"/>
  <c r="IM15" i="4"/>
  <c r="HU8" i="4"/>
  <c r="HR15" i="4"/>
  <c r="IU8" i="4"/>
  <c r="HU7" i="4"/>
  <c r="I10" i="1"/>
  <c r="T252" i="1"/>
  <c r="HZ21" i="4"/>
  <c r="AT77" i="1" s="1"/>
  <c r="IA8" i="4"/>
  <c r="HQ21" i="4"/>
  <c r="AK77" i="1" s="1"/>
  <c r="IA15" i="4"/>
  <c r="IA20" i="4" s="1"/>
  <c r="AU79" i="1" s="1"/>
  <c r="AU108" i="1" s="1"/>
  <c r="HT14" i="4"/>
  <c r="HR21" i="4"/>
  <c r="AL77" i="1" s="1"/>
  <c r="BX179" i="1"/>
  <c r="BY179" i="1" s="1"/>
  <c r="HU15" i="4"/>
  <c r="HU20" i="4" s="1"/>
  <c r="AO79" i="1" s="1"/>
  <c r="AO108" i="1" s="1"/>
  <c r="IY21" i="4"/>
  <c r="BS77" i="1" s="1"/>
  <c r="JG7" i="4"/>
  <c r="JG19" i="4" s="1"/>
  <c r="CA78" i="1" s="1"/>
  <c r="R26" i="1"/>
  <c r="M26" i="1"/>
  <c r="S26" i="1"/>
  <c r="I252" i="1"/>
  <c r="IV7" i="4"/>
  <c r="N26" i="1"/>
  <c r="BX26" i="1"/>
  <c r="BX27" i="1" s="1"/>
  <c r="E26" i="1"/>
  <c r="V26" i="1"/>
  <c r="V27" i="1" s="1"/>
  <c r="L253" i="1"/>
  <c r="Q252" i="1"/>
  <c r="AM26" i="1"/>
  <c r="C253" i="1"/>
  <c r="D252" i="1"/>
  <c r="B253" i="1"/>
  <c r="W26" i="1"/>
  <c r="W27" i="1" s="1"/>
  <c r="AL180" i="1"/>
  <c r="AM180" i="1" s="1"/>
  <c r="M252" i="1"/>
  <c r="BX148" i="1"/>
  <c r="BX182" i="1" s="1"/>
  <c r="AJ26" i="1"/>
  <c r="Q183" i="1"/>
  <c r="BX134" i="1"/>
  <c r="U26" i="1"/>
  <c r="JA7" i="4"/>
  <c r="JA19" i="4" s="1"/>
  <c r="BU78" i="1" s="1"/>
  <c r="BU107" i="1" s="1"/>
  <c r="IZ14" i="4"/>
  <c r="IZ19" i="4" s="1"/>
  <c r="BT78" i="1" s="1"/>
  <c r="BT107" i="1" s="1"/>
  <c r="W16" i="1"/>
  <c r="JB14" i="4"/>
  <c r="JB19" i="4" s="1"/>
  <c r="BV78" i="1" s="1"/>
  <c r="BV107" i="1" s="1"/>
  <c r="IF14" i="4"/>
  <c r="IF19" i="4" s="1"/>
  <c r="AZ78" i="1" s="1"/>
  <c r="AZ107" i="1" s="1"/>
  <c r="IM21" i="4"/>
  <c r="BG77" i="1" s="1"/>
  <c r="IJ7" i="4"/>
  <c r="ID15" i="4"/>
  <c r="HP14" i="4"/>
  <c r="IF8" i="4"/>
  <c r="IF20" i="4" s="1"/>
  <c r="AZ79" i="1" s="1"/>
  <c r="AZ108" i="1" s="1"/>
  <c r="ID8" i="4"/>
  <c r="HT21" i="4"/>
  <c r="AN77" i="1" s="1"/>
  <c r="IM7" i="4"/>
  <c r="IM19" i="4" s="1"/>
  <c r="BG78" i="1" s="1"/>
  <c r="BG107" i="1" s="1"/>
  <c r="IJ14" i="4"/>
  <c r="IS8" i="4"/>
  <c r="IS20" i="4" s="1"/>
  <c r="BM79" i="1" s="1"/>
  <c r="BM108" i="1" s="1"/>
  <c r="IU7" i="4"/>
  <c r="IU19" i="4" s="1"/>
  <c r="BO78" i="1" s="1"/>
  <c r="BO107" i="1" s="1"/>
  <c r="K26" i="1"/>
  <c r="J26" i="1"/>
  <c r="R10" i="1"/>
  <c r="C26" i="1"/>
  <c r="M253" i="1"/>
  <c r="L26" i="1"/>
  <c r="AK26" i="1"/>
  <c r="AK27" i="1" s="1"/>
  <c r="IK7" i="4"/>
  <c r="IK19" i="4" s="1"/>
  <c r="BE78" i="1" s="1"/>
  <c r="BE107" i="1" s="1"/>
  <c r="HW7" i="4"/>
  <c r="F252" i="1"/>
  <c r="BX183" i="1"/>
  <c r="BY183" i="1" s="1"/>
  <c r="F253" i="1"/>
  <c r="HR8" i="4"/>
  <c r="B16" i="1"/>
  <c r="B17" i="1" s="1"/>
  <c r="HZ8" i="4"/>
  <c r="HZ20" i="4" s="1"/>
  <c r="AT79" i="1" s="1"/>
  <c r="AT108" i="1" s="1"/>
  <c r="I26" i="1"/>
  <c r="C10" i="1"/>
  <c r="IK15" i="4"/>
  <c r="IK20" i="4" s="1"/>
  <c r="BE79" i="1" s="1"/>
  <c r="BE108" i="1" s="1"/>
  <c r="O26" i="1"/>
  <c r="IM8" i="4"/>
  <c r="IT8" i="4"/>
  <c r="IT20" i="4" s="1"/>
  <c r="BN79" i="1" s="1"/>
  <c r="BN108" i="1" s="1"/>
  <c r="HW14" i="4"/>
  <c r="HW19" i="4" s="1"/>
  <c r="AQ78" i="1" s="1"/>
  <c r="AQ107" i="1" s="1"/>
  <c r="G26" i="1"/>
  <c r="BX231" i="1"/>
  <c r="F10" i="1"/>
  <c r="G11" i="1" s="1"/>
  <c r="B26" i="1"/>
  <c r="B27" i="1" s="1"/>
  <c r="Q26" i="1"/>
  <c r="IQ15" i="4"/>
  <c r="IQ20" i="4" s="1"/>
  <c r="BK79" i="1" s="1"/>
  <c r="BK108" i="1" s="1"/>
  <c r="BX120" i="1"/>
  <c r="V188" i="1"/>
  <c r="C194" i="1"/>
  <c r="AM252" i="1"/>
  <c r="M10" i="1"/>
  <c r="H253" i="1"/>
  <c r="N252" i="1"/>
  <c r="W11" i="1"/>
  <c r="R253" i="1"/>
  <c r="T10" i="1"/>
  <c r="J252" i="1"/>
  <c r="N10" i="1"/>
  <c r="N98" i="1" s="1"/>
  <c r="L252" i="1"/>
  <c r="AL253" i="1"/>
  <c r="L10" i="1"/>
  <c r="AJ183" i="1"/>
  <c r="E10" i="1"/>
  <c r="AK231" i="1"/>
  <c r="W188" i="1"/>
  <c r="Q231" i="1"/>
  <c r="BX128" i="1"/>
  <c r="AJ10" i="1"/>
  <c r="AJ16" i="1" s="1"/>
  <c r="AJ17" i="1" s="1"/>
  <c r="V16" i="1"/>
  <c r="L194" i="1"/>
  <c r="Q10" i="1"/>
  <c r="N253" i="1"/>
  <c r="AM98" i="1"/>
  <c r="AM99" i="1" s="1"/>
  <c r="AM102" i="1" s="1"/>
  <c r="BX180" i="1"/>
  <c r="BY180" i="1" s="1"/>
  <c r="AM253" i="1"/>
  <c r="T253" i="1"/>
  <c r="AM10" i="1"/>
  <c r="AM16" i="1" s="1"/>
  <c r="J10" i="1"/>
  <c r="K11" i="1" s="1"/>
  <c r="BX156" i="1"/>
  <c r="BX185" i="1" s="1"/>
  <c r="BX253" i="1"/>
  <c r="V11" i="1"/>
  <c r="R252" i="1"/>
  <c r="K253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CB94" i="1"/>
  <c r="CB102" i="1"/>
  <c r="CB85" i="1"/>
  <c r="HP20" i="4"/>
  <c r="AJ79" i="1" s="1"/>
  <c r="IU20" i="4"/>
  <c r="BO79" i="1" s="1"/>
  <c r="BO108" i="1" s="1"/>
  <c r="IL19" i="4"/>
  <c r="BF78" i="1" s="1"/>
  <c r="BF107" i="1" s="1"/>
  <c r="JF19" i="4"/>
  <c r="BZ78" i="1" s="1"/>
  <c r="IL20" i="4"/>
  <c r="BF79" i="1" s="1"/>
  <c r="BF108" i="1" s="1"/>
  <c r="HR20" i="4"/>
  <c r="AL79" i="1" s="1"/>
  <c r="IX19" i="4"/>
  <c r="BR78" i="1" s="1"/>
  <c r="BR107" i="1" s="1"/>
  <c r="S98" i="1"/>
  <c r="S16" i="1"/>
  <c r="S17" i="1" s="1"/>
  <c r="IB19" i="4"/>
  <c r="AV78" i="1" s="1"/>
  <c r="AV107" i="1" s="1"/>
  <c r="HX19" i="4"/>
  <c r="AR78" i="1" s="1"/>
  <c r="AR107" i="1" s="1"/>
  <c r="JD19" i="4"/>
  <c r="BX78" i="1" s="1"/>
  <c r="JE20" i="4"/>
  <c r="BY79" i="1" s="1"/>
  <c r="BY108" i="1" s="1"/>
  <c r="II19" i="4"/>
  <c r="BC78" i="1" s="1"/>
  <c r="BC107" i="1" s="1"/>
  <c r="JC20" i="4"/>
  <c r="BW79" i="1" s="1"/>
  <c r="BW108" i="1" s="1"/>
  <c r="IA19" i="4"/>
  <c r="AU78" i="1" s="1"/>
  <c r="AU107" i="1" s="1"/>
  <c r="JC19" i="4"/>
  <c r="BW78" i="1" s="1"/>
  <c r="BW107" i="1" s="1"/>
  <c r="IC19" i="4"/>
  <c r="AW78" i="1" s="1"/>
  <c r="AW107" i="1" s="1"/>
  <c r="HT20" i="4"/>
  <c r="AN79" i="1" s="1"/>
  <c r="AN108" i="1" s="1"/>
  <c r="HV20" i="4"/>
  <c r="AP79" i="1" s="1"/>
  <c r="AP108" i="1" s="1"/>
  <c r="JH19" i="4"/>
  <c r="CB78" i="1" s="1"/>
  <c r="CA94" i="1"/>
  <c r="CA102" i="1"/>
  <c r="IN19" i="4"/>
  <c r="BH78" i="1" s="1"/>
  <c r="BH107" i="1" s="1"/>
  <c r="JI19" i="4"/>
  <c r="CC78" i="1" s="1"/>
  <c r="IV19" i="4"/>
  <c r="BP78" i="1" s="1"/>
  <c r="BP107" i="1" s="1"/>
  <c r="IS19" i="4"/>
  <c r="BM78" i="1" s="1"/>
  <c r="BM107" i="1" s="1"/>
  <c r="IC20" i="4"/>
  <c r="AW79" i="1" s="1"/>
  <c r="AW108" i="1" s="1"/>
  <c r="JI20" i="4"/>
  <c r="CC79" i="1" s="1"/>
  <c r="HZ19" i="4"/>
  <c r="AT78" i="1" s="1"/>
  <c r="AT107" i="1" s="1"/>
  <c r="IJ20" i="4"/>
  <c r="BD79" i="1" s="1"/>
  <c r="BD108" i="1" s="1"/>
  <c r="CC102" i="1"/>
  <c r="IE19" i="4"/>
  <c r="AY78" i="1" s="1"/>
  <c r="AY107" i="1" s="1"/>
  <c r="CC94" i="1"/>
  <c r="IP19" i="4"/>
  <c r="BJ78" i="1" s="1"/>
  <c r="BJ107" i="1" s="1"/>
  <c r="IE20" i="4"/>
  <c r="AY79" i="1" s="1"/>
  <c r="AY108" i="1" s="1"/>
  <c r="IY19" i="4"/>
  <c r="BS78" i="1" s="1"/>
  <c r="BS107" i="1" s="1"/>
  <c r="IQ19" i="4"/>
  <c r="BK78" i="1" s="1"/>
  <c r="BK107" i="1" s="1"/>
  <c r="IZ20" i="4"/>
  <c r="BT79" i="1" s="1"/>
  <c r="BT108" i="1" s="1"/>
  <c r="HY19" i="4"/>
  <c r="AS78" i="1" s="1"/>
  <c r="AS107" i="1" s="1"/>
  <c r="HS20" i="4"/>
  <c r="AM79" i="1" s="1"/>
  <c r="IR20" i="4"/>
  <c r="BL79" i="1" s="1"/>
  <c r="BL96" i="1" s="1"/>
  <c r="JD20" i="4"/>
  <c r="BX79" i="1" s="1"/>
  <c r="BX108" i="1" s="1"/>
  <c r="IT19" i="4"/>
  <c r="BN78" i="1" s="1"/>
  <c r="BN107" i="1" s="1"/>
  <c r="BY12" i="1"/>
  <c r="CB11" i="1"/>
  <c r="CC188" i="1"/>
  <c r="BX16" i="1"/>
  <c r="U17" i="1"/>
  <c r="AL202" i="1"/>
  <c r="AK202" i="1"/>
  <c r="BK202" i="1"/>
  <c r="AL12" i="1"/>
  <c r="AK16" i="1"/>
  <c r="K98" i="1"/>
  <c r="K16" i="1"/>
  <c r="BY202" i="1"/>
  <c r="CM32" i="1"/>
  <c r="AB77" i="1"/>
  <c r="CQ77" i="1"/>
  <c r="AC140" i="1"/>
  <c r="CN65" i="1"/>
  <c r="CO63" i="1"/>
  <c r="HU19" i="4" l="1"/>
  <c r="AO78" i="1" s="1"/>
  <c r="AO107" i="1" s="1"/>
  <c r="IR19" i="4"/>
  <c r="BL78" i="1" s="1"/>
  <c r="IH20" i="4"/>
  <c r="BB79" i="1" s="1"/>
  <c r="BB108" i="1" s="1"/>
  <c r="P188" i="1"/>
  <c r="HQ20" i="4"/>
  <c r="AK79" i="1" s="1"/>
  <c r="I16" i="1"/>
  <c r="I98" i="1"/>
  <c r="IO20" i="4"/>
  <c r="BI79" i="1" s="1"/>
  <c r="BI108" i="1" s="1"/>
  <c r="HY20" i="4"/>
  <c r="AS79" i="1" s="1"/>
  <c r="AS108" i="1" s="1"/>
  <c r="IM20" i="4"/>
  <c r="BG79" i="1" s="1"/>
  <c r="BG108" i="1" s="1"/>
  <c r="IG20" i="4"/>
  <c r="BA79" i="1" s="1"/>
  <c r="BA108" i="1" s="1"/>
  <c r="ID20" i="4"/>
  <c r="AX79" i="1" s="1"/>
  <c r="AX108" i="1" s="1"/>
  <c r="O16" i="1"/>
  <c r="O17" i="1" s="1"/>
  <c r="D27" i="1"/>
  <c r="JB20" i="4"/>
  <c r="BV79" i="1" s="1"/>
  <c r="BV108" i="1" s="1"/>
  <c r="O98" i="1"/>
  <c r="IX20" i="4"/>
  <c r="BR79" i="1" s="1"/>
  <c r="BR108" i="1" s="1"/>
  <c r="HT19" i="4"/>
  <c r="AN78" i="1" s="1"/>
  <c r="AN107" i="1" s="1"/>
  <c r="HV19" i="4"/>
  <c r="AP78" i="1" s="1"/>
  <c r="AP107" i="1" s="1"/>
  <c r="IY20" i="4"/>
  <c r="BS79" i="1" s="1"/>
  <c r="BS108" i="1" s="1"/>
  <c r="AL27" i="1"/>
  <c r="H98" i="1"/>
  <c r="H11" i="1"/>
  <c r="BY92" i="1"/>
  <c r="BZ207" i="1"/>
  <c r="G98" i="1"/>
  <c r="G16" i="1"/>
  <c r="H188" i="1"/>
  <c r="AL28" i="1"/>
  <c r="P98" i="1"/>
  <c r="P16" i="1"/>
  <c r="P11" i="1"/>
  <c r="D16" i="1"/>
  <c r="R11" i="1"/>
  <c r="IG19" i="4"/>
  <c r="BA78" i="1" s="1"/>
  <c r="BA107" i="1" s="1"/>
  <c r="HP19" i="4"/>
  <c r="AJ78" i="1" s="1"/>
  <c r="IJ19" i="4"/>
  <c r="BD78" i="1" s="1"/>
  <c r="BD107" i="1" s="1"/>
  <c r="BY206" i="1"/>
  <c r="M98" i="1"/>
  <c r="M188" i="1"/>
  <c r="M16" i="1"/>
  <c r="M17" i="1" s="1"/>
  <c r="L16" i="1"/>
  <c r="L98" i="1"/>
  <c r="AM19" i="1"/>
  <c r="AM28" i="1"/>
  <c r="E27" i="1"/>
  <c r="C27" i="1"/>
  <c r="Q188" i="1"/>
  <c r="Q98" i="1"/>
  <c r="Q11" i="1"/>
  <c r="Q16" i="1"/>
  <c r="Q17" i="1" s="1"/>
  <c r="M11" i="1"/>
  <c r="BX186" i="1"/>
  <c r="CB189" i="1" s="1"/>
  <c r="BZ206" i="1"/>
  <c r="BY129" i="1"/>
  <c r="BZ249" i="1"/>
  <c r="BZ251" i="1" s="1"/>
  <c r="I188" i="1"/>
  <c r="I11" i="1"/>
  <c r="BY134" i="1"/>
  <c r="BX138" i="1"/>
  <c r="BX246" i="1" s="1"/>
  <c r="X18" i="1"/>
  <c r="W17" i="1"/>
  <c r="R98" i="1"/>
  <c r="R188" i="1"/>
  <c r="R16" i="1"/>
  <c r="S11" i="1"/>
  <c r="S188" i="1"/>
  <c r="D188" i="1"/>
  <c r="D11" i="1"/>
  <c r="C16" i="1"/>
  <c r="C188" i="1"/>
  <c r="C11" i="1"/>
  <c r="BX92" i="1"/>
  <c r="BX248" i="1"/>
  <c r="BY207" i="1"/>
  <c r="T16" i="1"/>
  <c r="T11" i="1"/>
  <c r="T188" i="1"/>
  <c r="L188" i="1"/>
  <c r="L11" i="1"/>
  <c r="E188" i="1"/>
  <c r="E11" i="1"/>
  <c r="E16" i="1"/>
  <c r="E98" i="1"/>
  <c r="V17" i="1"/>
  <c r="V28" i="1"/>
  <c r="V18" i="1"/>
  <c r="BY33" i="1"/>
  <c r="F11" i="1"/>
  <c r="W28" i="1"/>
  <c r="AM17" i="1"/>
  <c r="BX181" i="1"/>
  <c r="BK249" i="1"/>
  <c r="AM225" i="1"/>
  <c r="F16" i="1"/>
  <c r="F17" i="1" s="1"/>
  <c r="F188" i="1"/>
  <c r="AJ28" i="1"/>
  <c r="BY249" i="1"/>
  <c r="AK12" i="1"/>
  <c r="G188" i="1"/>
  <c r="F98" i="1"/>
  <c r="BX129" i="1"/>
  <c r="U11" i="1"/>
  <c r="AM27" i="1"/>
  <c r="B28" i="1"/>
  <c r="AM12" i="1"/>
  <c r="U188" i="1"/>
  <c r="AJ27" i="1"/>
  <c r="T98" i="1"/>
  <c r="BX157" i="1"/>
  <c r="BX165" i="1" s="1"/>
  <c r="BX166" i="1" s="1"/>
  <c r="J188" i="1"/>
  <c r="BX184" i="1"/>
  <c r="J11" i="1"/>
  <c r="K188" i="1"/>
  <c r="O188" i="1"/>
  <c r="N11" i="1"/>
  <c r="W18" i="1"/>
  <c r="BX168" i="1"/>
  <c r="J98" i="1"/>
  <c r="N188" i="1"/>
  <c r="N16" i="1"/>
  <c r="J16" i="1"/>
  <c r="O11" i="1"/>
  <c r="AJ12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M18" i="1"/>
  <c r="BZ95" i="1"/>
  <c r="BZ89" i="1"/>
  <c r="BZ107" i="1"/>
  <c r="BZ110" i="1" s="1"/>
  <c r="AM108" i="1"/>
  <c r="AM104" i="1"/>
  <c r="I17" i="1"/>
  <c r="I18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P18" i="1"/>
  <c r="CC87" i="1"/>
  <c r="CB104" i="1"/>
  <c r="BL108" i="1"/>
  <c r="BL111" i="1" s="1"/>
  <c r="CB87" i="1"/>
  <c r="CA103" i="1"/>
  <c r="CA107" i="1"/>
  <c r="CA95" i="1"/>
  <c r="BY107" i="1"/>
  <c r="BY89" i="1"/>
  <c r="D28" i="1"/>
  <c r="BX17" i="1"/>
  <c r="CB18" i="1"/>
  <c r="BY19" i="1"/>
  <c r="BX28" i="1"/>
  <c r="R18" i="1"/>
  <c r="Q18" i="1"/>
  <c r="P17" i="1"/>
  <c r="C18" i="1"/>
  <c r="C28" i="1"/>
  <c r="D18" i="1"/>
  <c r="C17" i="1"/>
  <c r="AM34" i="1"/>
  <c r="AM38" i="1" s="1"/>
  <c r="AM250" i="1"/>
  <c r="AM29" i="1"/>
  <c r="AL19" i="1"/>
  <c r="AK28" i="1"/>
  <c r="AK17" i="1"/>
  <c r="AK19" i="1"/>
  <c r="BY94" i="1"/>
  <c r="BY95" i="1"/>
  <c r="BY96" i="1"/>
  <c r="X250" i="1"/>
  <c r="W34" i="1"/>
  <c r="W38" i="1" s="1"/>
  <c r="W29" i="1"/>
  <c r="W112" i="1"/>
  <c r="AL232" i="1"/>
  <c r="AL233" i="1" s="1"/>
  <c r="AM31" i="1"/>
  <c r="AL34" i="1"/>
  <c r="AL38" i="1" s="1"/>
  <c r="AL29" i="1"/>
  <c r="K17" i="1"/>
  <c r="L18" i="1"/>
  <c r="G17" i="1"/>
  <c r="H1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M232" i="1"/>
  <c r="AM233" i="1" s="1"/>
  <c r="BY205" i="1" l="1"/>
  <c r="N18" i="1"/>
  <c r="BZ205" i="1"/>
  <c r="D17" i="1"/>
  <c r="R17" i="1"/>
  <c r="S18" i="1"/>
  <c r="BX95" i="1"/>
  <c r="BX96" i="1"/>
  <c r="BX94" i="1"/>
  <c r="T17" i="1"/>
  <c r="T18" i="1"/>
  <c r="U18" i="1"/>
  <c r="E18" i="1"/>
  <c r="E28" i="1"/>
  <c r="E29" i="1" s="1"/>
  <c r="E17" i="1"/>
  <c r="V34" i="1"/>
  <c r="V38" i="1" s="1"/>
  <c r="V41" i="1" s="1"/>
  <c r="W30" i="1"/>
  <c r="W250" i="1"/>
  <c r="W232" i="1"/>
  <c r="W233" i="1" s="1"/>
  <c r="X30" i="1"/>
  <c r="BZ33" i="1"/>
  <c r="BY138" i="1"/>
  <c r="V112" i="1"/>
  <c r="V232" i="1"/>
  <c r="V233" i="1" s="1"/>
  <c r="V29" i="1"/>
  <c r="AJ29" i="1"/>
  <c r="AJ34" i="1"/>
  <c r="AJ38" i="1" s="1"/>
  <c r="AJ232" i="1"/>
  <c r="AJ233" i="1" s="1"/>
  <c r="B29" i="1"/>
  <c r="B112" i="1"/>
  <c r="BX109" i="1"/>
  <c r="BX110" i="1" s="1"/>
  <c r="BY37" i="1"/>
  <c r="J17" i="1"/>
  <c r="K18" i="1"/>
  <c r="N17" i="1"/>
  <c r="F18" i="1"/>
  <c r="G18" i="1"/>
  <c r="J18" i="1"/>
  <c r="AJ165" i="1"/>
  <c r="AJ166" i="1" s="1"/>
  <c r="O18" i="1"/>
  <c r="AJ198" i="1"/>
  <c r="AL165" i="1"/>
  <c r="AL166" i="1" s="1"/>
  <c r="AM251" i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L250" i="1"/>
  <c r="AL251" i="1" s="1"/>
  <c r="AM226" i="1"/>
  <c r="V40" i="1"/>
  <c r="AM41" i="1"/>
  <c r="AM42" i="1" s="1"/>
  <c r="AM245" i="1" s="1"/>
  <c r="AM40" i="1"/>
  <c r="D29" i="1"/>
  <c r="D34" i="1"/>
  <c r="D38" i="1" s="1"/>
  <c r="D232" i="1"/>
  <c r="D233" i="1" s="1"/>
  <c r="D250" i="1"/>
  <c r="E30" i="1"/>
  <c r="D112" i="1"/>
  <c r="AL41" i="1"/>
  <c r="AL40" i="1"/>
  <c r="W41" i="1"/>
  <c r="W40" i="1"/>
  <c r="C250" i="1"/>
  <c r="C29" i="1"/>
  <c r="D30" i="1"/>
  <c r="C30" i="1"/>
  <c r="AK232" i="1"/>
  <c r="AK233" i="1" s="1"/>
  <c r="AL31" i="1"/>
  <c r="AK29" i="1"/>
  <c r="AK34" i="1"/>
  <c r="AK38" i="1" s="1"/>
  <c r="AM112" i="1"/>
  <c r="AK3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41" i="1" l="1"/>
  <c r="AJ40" i="1"/>
  <c r="BX111" i="1"/>
  <c r="BY203" i="1"/>
  <c r="BY201" i="1" s="1"/>
  <c r="BZ203" i="1"/>
  <c r="BZ201" i="1" s="1"/>
  <c r="AL111" i="1"/>
  <c r="AL110" i="1"/>
  <c r="AK203" i="1"/>
  <c r="AK201" i="1" s="1"/>
  <c r="AL203" i="1"/>
  <c r="AL201" i="1" s="1"/>
  <c r="V42" i="1"/>
  <c r="V245" i="1" s="1"/>
  <c r="V48" i="1"/>
  <c r="AL234" i="1"/>
  <c r="AM44" i="1"/>
  <c r="AL48" i="1"/>
  <c r="AL42" i="1"/>
  <c r="AL245" i="1" s="1"/>
  <c r="BX38" i="1"/>
  <c r="CA55" i="1"/>
  <c r="AK41" i="1"/>
  <c r="AK40" i="1"/>
  <c r="D41" i="1"/>
  <c r="D40" i="1"/>
  <c r="W48" i="1"/>
  <c r="W52" i="1" s="1"/>
  <c r="W234" i="1"/>
  <c r="W42" i="1"/>
  <c r="W245" i="1" s="1"/>
  <c r="W43" i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2" i="1" l="1"/>
  <c r="AJ48" i="1"/>
  <c r="AJ234" i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P50" i="2"/>
  <c r="V6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E106" i="2"/>
  <c r="G66" i="2"/>
  <c r="O84" i="2"/>
  <c r="F40" i="2"/>
  <c r="E52" i="2"/>
  <c r="D70" i="2"/>
  <c r="G73" i="2"/>
  <c r="W57" i="2"/>
  <c r="M105" i="2"/>
  <c r="R106" i="2"/>
  <c r="F46" i="2"/>
  <c r="H84" i="2"/>
  <c r="U92" i="2"/>
  <c r="G89" i="2"/>
  <c r="G48" i="2"/>
  <c r="F111" i="2"/>
  <c r="W83" i="2"/>
  <c r="P41" i="2"/>
  <c r="M78" i="2"/>
  <c r="H46" i="2"/>
  <c r="W105" i="2"/>
  <c r="I56" i="2"/>
  <c r="R98" i="2"/>
  <c r="Q93" i="2"/>
  <c r="H111" i="2"/>
  <c r="W61" i="2"/>
  <c r="N52" i="2"/>
  <c r="J68" i="2"/>
  <c r="J73" i="2"/>
  <c r="K48" i="2"/>
  <c r="U77" i="2"/>
  <c r="W41" i="2"/>
  <c r="I43" i="2"/>
  <c r="E93" i="2"/>
  <c r="O65" i="2"/>
  <c r="N86" i="2"/>
  <c r="M72" i="2"/>
  <c r="E56" i="2"/>
  <c r="S75" i="2"/>
  <c r="W82" i="2"/>
  <c r="T71" i="2"/>
  <c r="S113" i="2"/>
  <c r="S83" i="2"/>
  <c r="O97" i="2"/>
  <c r="W110" i="2"/>
  <c r="P60" i="2"/>
  <c r="Q60" i="2"/>
  <c r="S56" i="2"/>
  <c r="G85" i="2"/>
  <c r="D56" i="2"/>
  <c r="X104" i="2"/>
  <c r="J90" i="2"/>
  <c r="K73" i="2"/>
  <c r="X74" i="2"/>
  <c r="R59" i="2"/>
  <c r="E48" i="2"/>
  <c r="H77" i="2"/>
  <c r="N55" i="2"/>
  <c r="X54" i="2"/>
  <c r="W96" i="2"/>
  <c r="S64" i="2"/>
  <c r="O108" i="2"/>
  <c r="L97" i="2"/>
  <c r="E42" i="2"/>
  <c r="AP70" i="3"/>
  <c r="AP86" i="3"/>
  <c r="AB90" i="3"/>
  <c r="AP57" i="3"/>
  <c r="AP62" i="3"/>
  <c r="AP80" i="3"/>
  <c r="AP89" i="3"/>
  <c r="AB85" i="3"/>
  <c r="Z30" i="3"/>
  <c r="AL33" i="3"/>
  <c r="O39" i="3"/>
  <c r="N26" i="3"/>
  <c r="J16" i="3"/>
  <c r="G98" i="2"/>
  <c r="J61" i="2"/>
  <c r="X83" i="2"/>
  <c r="W93" i="2"/>
  <c r="K94" i="2"/>
  <c r="O74" i="2"/>
  <c r="W98" i="2"/>
  <c r="D53" i="2"/>
  <c r="C58" i="2"/>
  <c r="O82" i="2"/>
  <c r="K74" i="2"/>
  <c r="G81" i="2"/>
  <c r="C53" i="2"/>
  <c r="R81" i="2"/>
  <c r="T66" i="2"/>
  <c r="V80" i="2"/>
  <c r="G82" i="2"/>
  <c r="N72" i="2"/>
  <c r="S92" i="2"/>
  <c r="R63" i="2"/>
  <c r="W92" i="2"/>
  <c r="K42" i="2"/>
  <c r="J63" i="2"/>
  <c r="N66" i="2"/>
  <c r="R112" i="2"/>
  <c r="E51" i="2"/>
  <c r="W69" i="2"/>
  <c r="R113" i="2"/>
  <c r="C62" i="2"/>
  <c r="J40" i="2"/>
  <c r="I46" i="2"/>
  <c r="G88" i="2"/>
  <c r="N83" i="2"/>
  <c r="U89" i="2"/>
  <c r="M107" i="2"/>
  <c r="N106" i="2"/>
  <c r="V93" i="2"/>
  <c r="U46" i="2"/>
  <c r="V82" i="2"/>
  <c r="X48" i="2"/>
  <c r="Q42" i="2"/>
  <c r="H42" i="2"/>
  <c r="S52" i="2"/>
  <c r="C97" i="2"/>
  <c r="M51" i="2"/>
  <c r="W45" i="2"/>
  <c r="T86" i="2"/>
  <c r="F85" i="2"/>
  <c r="V91" i="2"/>
  <c r="S65" i="2"/>
  <c r="G67" i="2"/>
  <c r="H90" i="2"/>
  <c r="L42" i="2"/>
  <c r="S58" i="2"/>
  <c r="M67" i="2"/>
  <c r="G55" i="2"/>
  <c r="R40" i="2"/>
  <c r="R97" i="2"/>
  <c r="I79" i="2"/>
  <c r="U65" i="2"/>
  <c r="O109" i="2"/>
  <c r="F97" i="2"/>
  <c r="H55" i="2"/>
  <c r="V95" i="2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P84" i="2"/>
  <c r="D80" i="2"/>
  <c r="C81" i="2"/>
  <c r="M104" i="2"/>
  <c r="P46" i="2"/>
  <c r="T69" i="2"/>
  <c r="V75" i="2"/>
  <c r="N58" i="2"/>
  <c r="E64" i="2"/>
  <c r="D63" i="2"/>
  <c r="F95" i="2"/>
  <c r="S43" i="2"/>
  <c r="X98" i="2"/>
  <c r="J75" i="2"/>
  <c r="Q76" i="2"/>
  <c r="T40" i="2"/>
  <c r="L41" i="2"/>
  <c r="K88" i="2"/>
  <c r="W95" i="2"/>
  <c r="L77" i="2"/>
  <c r="D79" i="2"/>
  <c r="W42" i="2"/>
  <c r="V71" i="2"/>
  <c r="C55" i="2"/>
  <c r="E71" i="2"/>
  <c r="S93" i="2"/>
  <c r="H56" i="2"/>
  <c r="W106" i="2"/>
  <c r="L56" i="2"/>
  <c r="P43" i="2"/>
  <c r="C105" i="2"/>
  <c r="O44" i="2"/>
  <c r="J113" i="2"/>
  <c r="J58" i="2"/>
  <c r="C68" i="2"/>
  <c r="M95" i="2"/>
  <c r="E88" i="2"/>
  <c r="T60" i="2"/>
  <c r="L66" i="2"/>
  <c r="T56" i="2"/>
  <c r="I55" i="2"/>
  <c r="N79" i="2"/>
  <c r="O111" i="2"/>
  <c r="X43" i="2"/>
  <c r="V46" i="2"/>
  <c r="H106" i="2"/>
  <c r="E113" i="2"/>
  <c r="C80" i="2"/>
  <c r="Q50" i="2"/>
  <c r="I69" i="2"/>
  <c r="V97" i="2"/>
  <c r="I75" i="2"/>
  <c r="S42" i="2"/>
  <c r="C61" i="2"/>
  <c r="G64" i="2"/>
  <c r="J95" i="2"/>
  <c r="N70" i="2"/>
  <c r="K106" i="2"/>
  <c r="F81" i="2"/>
  <c r="P45" i="2"/>
  <c r="N92" i="2"/>
  <c r="U40" i="2"/>
  <c r="C91" i="2"/>
  <c r="C87" i="2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M40" i="2"/>
  <c r="D99" i="2"/>
  <c r="O95" i="2"/>
  <c r="M62" i="2"/>
  <c r="L81" i="2"/>
  <c r="O68" i="2"/>
  <c r="K49" i="2"/>
  <c r="K52" i="2"/>
  <c r="D108" i="2"/>
  <c r="M82" i="2"/>
  <c r="K104" i="2"/>
  <c r="R79" i="2"/>
  <c r="I113" i="2"/>
  <c r="R62" i="2"/>
  <c r="W88" i="2"/>
  <c r="D110" i="2"/>
  <c r="W62" i="2"/>
  <c r="S63" i="2"/>
  <c r="C89" i="2"/>
  <c r="F49" i="2"/>
  <c r="P47" i="2"/>
  <c r="U47" i="2"/>
  <c r="R74" i="2"/>
  <c r="G53" i="2"/>
  <c r="D86" i="2"/>
  <c r="D91" i="2"/>
  <c r="S107" i="2"/>
  <c r="R111" i="2"/>
  <c r="O63" i="2"/>
  <c r="I112" i="2"/>
  <c r="N43" i="2"/>
  <c r="D112" i="2"/>
  <c r="F61" i="2"/>
  <c r="E50" i="2"/>
  <c r="V47" i="2"/>
  <c r="K68" i="2"/>
  <c r="O55" i="2"/>
  <c r="J69" i="2"/>
  <c r="N75" i="2"/>
  <c r="I45" i="2"/>
  <c r="U106" i="2"/>
  <c r="G56" i="2"/>
  <c r="E40" i="2"/>
  <c r="V109" i="2"/>
  <c r="H68" i="2"/>
  <c r="I81" i="2"/>
  <c r="Q72" i="2"/>
  <c r="V59" i="2"/>
  <c r="W64" i="2"/>
  <c r="J51" i="2"/>
  <c r="F77" i="2"/>
  <c r="D75" i="2"/>
  <c r="O70" i="2"/>
  <c r="R65" i="2"/>
  <c r="T105" i="2"/>
  <c r="N67" i="2"/>
  <c r="U85" i="2"/>
  <c r="I44" i="2"/>
  <c r="G69" i="2"/>
  <c r="J67" i="2"/>
  <c r="E77" i="2"/>
  <c r="T110" i="2"/>
  <c r="F67" i="2"/>
  <c r="U51" i="2"/>
  <c r="AB65" i="3"/>
  <c r="AP96" i="3"/>
  <c r="AB77" i="3"/>
  <c r="AP59" i="3"/>
  <c r="AB96" i="3"/>
  <c r="AP87" i="3"/>
  <c r="AB49" i="3"/>
  <c r="Q62" i="2"/>
  <c r="P55" i="2"/>
  <c r="S106" i="2"/>
  <c r="U91" i="2"/>
  <c r="S109" i="2"/>
  <c r="J56" i="2"/>
  <c r="R78" i="2"/>
  <c r="J78" i="2"/>
  <c r="S104" i="2"/>
  <c r="V40" i="2"/>
  <c r="F41" i="2"/>
  <c r="Q91" i="2"/>
  <c r="X93" i="2"/>
  <c r="J55" i="2"/>
  <c r="U96" i="2"/>
  <c r="E104" i="2"/>
  <c r="O106" i="2"/>
  <c r="E79" i="2"/>
  <c r="R91" i="2"/>
  <c r="X99" i="2"/>
  <c r="L69" i="2"/>
  <c r="L94" i="2"/>
  <c r="H85" i="2"/>
  <c r="V89" i="2"/>
  <c r="J79" i="2"/>
  <c r="G110" i="2"/>
  <c r="D96" i="2"/>
  <c r="G52" i="2"/>
  <c r="S71" i="2"/>
  <c r="C106" i="2"/>
  <c r="T41" i="2"/>
  <c r="J42" i="2"/>
  <c r="F43" i="2"/>
  <c r="J111" i="2"/>
  <c r="G105" i="2"/>
  <c r="E91" i="2"/>
  <c r="N99" i="2"/>
  <c r="E44" i="2"/>
  <c r="F64" i="2"/>
  <c r="L99" i="2"/>
  <c r="N91" i="2"/>
  <c r="C90" i="2"/>
  <c r="M74" i="2"/>
  <c r="G54" i="2"/>
  <c r="J77" i="2"/>
  <c r="T96" i="2"/>
  <c r="M68" i="2"/>
  <c r="K85" i="2"/>
  <c r="W86" i="2"/>
  <c r="O67" i="2"/>
  <c r="N110" i="2"/>
  <c r="F45" i="2"/>
  <c r="X80" i="2"/>
  <c r="J60" i="2"/>
  <c r="T58" i="2"/>
  <c r="C51" i="2"/>
  <c r="N63" i="2"/>
  <c r="C79" i="2"/>
  <c r="H109" i="2"/>
  <c r="X81" i="2"/>
  <c r="C56" i="2"/>
  <c r="U64" i="2"/>
  <c r="D42" i="2"/>
  <c r="S98" i="2"/>
  <c r="AB83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G65" i="2"/>
  <c r="U104" i="2"/>
  <c r="X59" i="2"/>
  <c r="N64" i="2"/>
  <c r="R86" i="2"/>
  <c r="T78" i="2"/>
  <c r="P63" i="2"/>
  <c r="D62" i="2"/>
  <c r="I104" i="2"/>
  <c r="T95" i="2"/>
  <c r="O81" i="2"/>
  <c r="O78" i="2"/>
  <c r="W60" i="2"/>
  <c r="I77" i="2"/>
  <c r="X62" i="2"/>
  <c r="O83" i="2"/>
  <c r="W87" i="2"/>
  <c r="W40" i="2"/>
  <c r="R87" i="2"/>
  <c r="I61" i="2"/>
  <c r="E81" i="2"/>
  <c r="N90" i="2"/>
  <c r="T48" i="2"/>
  <c r="Q82" i="2"/>
  <c r="V62" i="2"/>
  <c r="U94" i="2"/>
  <c r="O86" i="2"/>
  <c r="R84" i="2"/>
  <c r="N108" i="2"/>
  <c r="O110" i="2"/>
  <c r="H96" i="2"/>
  <c r="L98" i="2"/>
  <c r="H92" i="2"/>
  <c r="X76" i="2"/>
  <c r="H52" i="2"/>
  <c r="X105" i="2"/>
  <c r="L80" i="2"/>
  <c r="R96" i="2"/>
  <c r="N113" i="2"/>
  <c r="L64" i="2"/>
  <c r="M109" i="2"/>
  <c r="U93" i="2"/>
  <c r="K55" i="2"/>
  <c r="F58" i="2"/>
  <c r="K112" i="2"/>
  <c r="J49" i="2"/>
  <c r="C44" i="2"/>
  <c r="C110" i="2"/>
  <c r="T109" i="2"/>
  <c r="U43" i="2"/>
  <c r="M56" i="2"/>
  <c r="P110" i="2"/>
  <c r="I93" i="2"/>
  <c r="E112" i="2"/>
  <c r="D41" i="2"/>
  <c r="K77" i="2"/>
  <c r="U107" i="2"/>
  <c r="K58" i="2"/>
  <c r="O50" i="2"/>
  <c r="K63" i="2"/>
  <c r="O61" i="2"/>
  <c r="O62" i="2"/>
  <c r="L109" i="2"/>
  <c r="X45" i="2"/>
  <c r="AP68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E95" i="2"/>
  <c r="D109" i="2"/>
  <c r="I49" i="2"/>
  <c r="F70" i="2"/>
  <c r="U84" i="2"/>
  <c r="P68" i="2"/>
  <c r="N50" i="2"/>
  <c r="K62" i="2"/>
  <c r="G99" i="2"/>
  <c r="K90" i="2"/>
  <c r="R48" i="2"/>
  <c r="P107" i="2"/>
  <c r="R110" i="2"/>
  <c r="N81" i="2"/>
  <c r="Q74" i="2"/>
  <c r="P70" i="2"/>
  <c r="M45" i="2"/>
  <c r="X79" i="2"/>
  <c r="C69" i="2"/>
  <c r="L44" i="2"/>
  <c r="K105" i="2"/>
  <c r="R51" i="2"/>
  <c r="V105" i="2"/>
  <c r="U111" i="2"/>
  <c r="X69" i="2"/>
  <c r="I86" i="2"/>
  <c r="L108" i="2"/>
  <c r="P108" i="2"/>
  <c r="R83" i="2"/>
  <c r="S72" i="2"/>
  <c r="O51" i="2"/>
  <c r="G50" i="2"/>
  <c r="D55" i="2"/>
  <c r="O53" i="2"/>
  <c r="V66" i="2"/>
  <c r="H69" i="2"/>
  <c r="X107" i="2"/>
  <c r="D95" i="2"/>
  <c r="I87" i="2"/>
  <c r="K71" i="2"/>
  <c r="D104" i="2"/>
  <c r="Q80" i="2"/>
  <c r="V70" i="2"/>
  <c r="E80" i="2"/>
  <c r="S59" i="2"/>
  <c r="X53" i="2"/>
  <c r="T61" i="2"/>
  <c r="H58" i="2"/>
  <c r="I110" i="2"/>
  <c r="T52" i="2"/>
  <c r="X97" i="2"/>
  <c r="J88" i="2"/>
  <c r="F59" i="2"/>
  <c r="G86" i="2"/>
  <c r="C66" i="2"/>
  <c r="G70" i="2"/>
  <c r="L46" i="2"/>
  <c r="Q51" i="2"/>
  <c r="L67" i="2"/>
  <c r="G60" i="2"/>
  <c r="J81" i="2"/>
  <c r="X68" i="2"/>
  <c r="M42" i="2"/>
  <c r="F93" i="2"/>
  <c r="AB6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M71" i="2"/>
  <c r="I98" i="2"/>
  <c r="K54" i="2"/>
  <c r="U72" i="2"/>
  <c r="E62" i="2"/>
  <c r="F113" i="2"/>
  <c r="D85" i="2"/>
  <c r="F99" i="2"/>
  <c r="U75" i="2"/>
  <c r="T42" i="2"/>
  <c r="T50" i="2"/>
  <c r="X108" i="2"/>
  <c r="U53" i="2"/>
  <c r="I82" i="2"/>
  <c r="F87" i="2"/>
  <c r="U81" i="2"/>
  <c r="M86" i="2"/>
  <c r="J94" i="2"/>
  <c r="W44" i="2"/>
  <c r="P98" i="2"/>
  <c r="H44" i="2"/>
  <c r="P99" i="2"/>
  <c r="X96" i="2"/>
  <c r="R64" i="2"/>
  <c r="S49" i="2"/>
  <c r="F51" i="2"/>
  <c r="W89" i="2"/>
  <c r="X42" i="2"/>
  <c r="P82" i="2"/>
  <c r="E54" i="2"/>
  <c r="T82" i="2"/>
  <c r="F112" i="2"/>
  <c r="T83" i="2"/>
  <c r="M81" i="2"/>
  <c r="J44" i="2"/>
  <c r="K40" i="2"/>
  <c r="D77" i="2"/>
  <c r="M79" i="2"/>
  <c r="D60" i="2"/>
  <c r="V81" i="2"/>
  <c r="E74" i="2"/>
  <c r="K65" i="2"/>
  <c r="H67" i="2"/>
  <c r="C104" i="2"/>
  <c r="G49" i="2"/>
  <c r="F98" i="2"/>
  <c r="P49" i="2"/>
  <c r="V77" i="2"/>
  <c r="H63" i="2"/>
  <c r="O91" i="2"/>
  <c r="N71" i="2"/>
  <c r="M64" i="2"/>
  <c r="R104" i="2"/>
  <c r="X78" i="2"/>
  <c r="T57" i="2"/>
  <c r="G79" i="2"/>
  <c r="D113" i="2"/>
  <c r="G62" i="2"/>
  <c r="S66" i="2"/>
  <c r="Q47" i="2"/>
  <c r="M111" i="2"/>
  <c r="V83" i="2"/>
  <c r="L40" i="2"/>
  <c r="V79" i="2"/>
  <c r="P90" i="2"/>
  <c r="L86" i="2"/>
  <c r="D78" i="2"/>
  <c r="I78" i="2"/>
  <c r="S74" i="2"/>
  <c r="W63" i="2"/>
  <c r="S77" i="2"/>
  <c r="U82" i="2"/>
  <c r="T67" i="2"/>
  <c r="M76" i="2"/>
  <c r="F57" i="2"/>
  <c r="T99" i="2"/>
  <c r="T65" i="2"/>
  <c r="C49" i="2"/>
  <c r="F42" i="2"/>
  <c r="V73" i="2"/>
  <c r="P111" i="2"/>
  <c r="W68" i="2"/>
  <c r="K95" i="2"/>
  <c r="C47" i="2"/>
  <c r="N40" i="2"/>
  <c r="E92" i="2"/>
  <c r="W107" i="2"/>
  <c r="M89" i="2"/>
  <c r="W111" i="2"/>
  <c r="D54" i="2"/>
  <c r="J76" i="2"/>
  <c r="W80" i="2"/>
  <c r="R80" i="2"/>
  <c r="L60" i="2"/>
  <c r="E83" i="2"/>
  <c r="J70" i="2"/>
  <c r="V56" i="2"/>
  <c r="L96" i="2"/>
  <c r="M43" i="2"/>
  <c r="I42" i="2"/>
  <c r="J85" i="2"/>
  <c r="F79" i="2"/>
  <c r="K89" i="2"/>
  <c r="U59" i="2"/>
  <c r="C75" i="2"/>
  <c r="D58" i="2"/>
  <c r="G87" i="2"/>
  <c r="R43" i="2"/>
  <c r="X111" i="2"/>
  <c r="W76" i="2"/>
  <c r="O52" i="2"/>
  <c r="K46" i="2"/>
  <c r="R45" i="2"/>
  <c r="E97" i="2"/>
  <c r="D106" i="2"/>
  <c r="G42" i="2"/>
  <c r="W104" i="2"/>
  <c r="K83" i="2"/>
  <c r="E87" i="2"/>
  <c r="R99" i="2"/>
  <c r="Q73" i="2"/>
  <c r="X112" i="2"/>
  <c r="S54" i="2"/>
  <c r="E78" i="2"/>
  <c r="C108" i="2"/>
  <c r="F82" i="2"/>
  <c r="M59" i="2"/>
  <c r="N77" i="2"/>
  <c r="AB68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O77" i="2"/>
  <c r="Q53" i="2"/>
  <c r="F50" i="2"/>
  <c r="K50" i="2"/>
  <c r="M91" i="2"/>
  <c r="L93" i="2"/>
  <c r="M53" i="2"/>
  <c r="G47" i="2"/>
  <c r="V65" i="2"/>
  <c r="D45" i="2"/>
  <c r="P42" i="2"/>
  <c r="U68" i="2"/>
  <c r="K45" i="2"/>
  <c r="L51" i="2"/>
  <c r="W75" i="2"/>
  <c r="S79" i="2"/>
  <c r="N105" i="2"/>
  <c r="E58" i="2"/>
  <c r="T80" i="2"/>
  <c r="O87" i="2"/>
  <c r="P62" i="2"/>
  <c r="R105" i="2"/>
  <c r="X110" i="2"/>
  <c r="Q88" i="2"/>
  <c r="K72" i="2"/>
  <c r="S97" i="2"/>
  <c r="K51" i="2"/>
  <c r="D87" i="2"/>
  <c r="L79" i="2"/>
  <c r="E98" i="2"/>
  <c r="D71" i="2"/>
  <c r="J105" i="2"/>
  <c r="J87" i="2"/>
  <c r="R76" i="2"/>
  <c r="J97" i="2"/>
  <c r="D64" i="2"/>
  <c r="M84" i="2"/>
  <c r="W53" i="2"/>
  <c r="M70" i="2"/>
  <c r="M90" i="2"/>
  <c r="R71" i="2"/>
  <c r="J48" i="2"/>
  <c r="O79" i="2"/>
  <c r="T91" i="2"/>
  <c r="D73" i="2"/>
  <c r="K78" i="2"/>
  <c r="D67" i="2"/>
  <c r="I51" i="2"/>
  <c r="U86" i="2"/>
  <c r="H57" i="2"/>
  <c r="S90" i="2"/>
  <c r="H88" i="2"/>
  <c r="I88" i="2"/>
  <c r="J45" i="2"/>
  <c r="N46" i="2"/>
  <c r="G76" i="2"/>
  <c r="I40" i="2"/>
  <c r="W52" i="2"/>
  <c r="H76" i="2"/>
  <c r="S95" i="2"/>
  <c r="I73" i="2"/>
  <c r="O47" i="2"/>
  <c r="M47" i="2"/>
  <c r="L83" i="2"/>
  <c r="AP84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X65" i="2"/>
  <c r="N112" i="2"/>
  <c r="D72" i="2"/>
  <c r="O90" i="2"/>
  <c r="H89" i="2"/>
  <c r="J64" i="2"/>
  <c r="E59" i="2"/>
  <c r="D43" i="2"/>
  <c r="D68" i="2"/>
  <c r="H97" i="2"/>
  <c r="U113" i="2"/>
  <c r="AB94" i="3"/>
  <c r="AP64" i="3"/>
  <c r="AI12" i="3"/>
  <c r="W28" i="3"/>
  <c r="U30" i="3"/>
  <c r="H5" i="3"/>
  <c r="AP41" i="3"/>
  <c r="E47" i="3"/>
  <c r="AM25" i="3"/>
  <c r="AE25" i="3"/>
  <c r="AM11" i="3"/>
  <c r="W34" i="3"/>
  <c r="AM21" i="3"/>
  <c r="AM14" i="3"/>
  <c r="L5" i="3"/>
  <c r="AN35" i="3"/>
  <c r="AP8" i="3"/>
  <c r="I13" i="3"/>
  <c r="T30" i="3"/>
  <c r="Y19" i="3"/>
  <c r="AQ32" i="3"/>
  <c r="AG10" i="3"/>
  <c r="AC19" i="3"/>
  <c r="J38" i="3"/>
  <c r="AJ20" i="3"/>
  <c r="U37" i="3"/>
  <c r="K19" i="3"/>
  <c r="T26" i="3"/>
  <c r="S38" i="3"/>
  <c r="AG6" i="3"/>
  <c r="AJ34" i="3"/>
  <c r="AL15" i="3"/>
  <c r="Q22" i="3"/>
  <c r="L38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S28" i="3"/>
  <c r="X20" i="3"/>
  <c r="AD49" i="3"/>
  <c r="AO8" i="3"/>
  <c r="L41" i="3"/>
  <c r="AL11" i="3"/>
  <c r="AC24" i="3"/>
  <c r="AO26" i="3"/>
  <c r="AO13" i="3"/>
  <c r="AM29" i="3"/>
  <c r="AB25" i="3"/>
  <c r="AD47" i="3"/>
  <c r="O25" i="3"/>
  <c r="P42" i="3"/>
  <c r="AI25" i="3"/>
  <c r="AB28" i="3"/>
  <c r="AI39" i="3"/>
  <c r="AI8" i="3"/>
  <c r="D47" i="3"/>
  <c r="M41" i="3"/>
  <c r="S14" i="3"/>
  <c r="W32" i="3"/>
  <c r="AE36" i="3"/>
  <c r="Z32" i="3"/>
  <c r="AJ35" i="3"/>
  <c r="R31" i="3"/>
  <c r="AQ35" i="3"/>
  <c r="W108" i="2"/>
  <c r="L112" i="2"/>
  <c r="G84" i="2"/>
  <c r="E85" i="2"/>
  <c r="U109" i="2"/>
  <c r="G59" i="2"/>
  <c r="J86" i="2"/>
  <c r="C40" i="2"/>
  <c r="G94" i="2"/>
  <c r="V45" i="2"/>
  <c r="N47" i="2"/>
  <c r="AB50" i="3"/>
  <c r="AP60" i="3"/>
  <c r="V16" i="3"/>
  <c r="W26" i="3"/>
  <c r="Y17" i="3"/>
  <c r="X12" i="3"/>
  <c r="AI16" i="3"/>
  <c r="I9" i="3"/>
  <c r="AE21" i="3"/>
  <c r="H13" i="3"/>
  <c r="AI21" i="3"/>
  <c r="T34" i="3"/>
  <c r="W15" i="3"/>
  <c r="AM40" i="3"/>
  <c r="AB37" i="3"/>
  <c r="C12" i="3"/>
  <c r="AD32" i="3"/>
  <c r="AB18" i="3"/>
  <c r="V29" i="3"/>
  <c r="S9" i="3"/>
  <c r="W7" i="3"/>
  <c r="AB10" i="3"/>
  <c r="AP28" i="3"/>
  <c r="AE18" i="3"/>
  <c r="AC25" i="3"/>
  <c r="AJ8" i="3"/>
  <c r="AH35" i="3"/>
  <c r="V38" i="3"/>
  <c r="AI28" i="3"/>
  <c r="AC9" i="3"/>
  <c r="Z31" i="3"/>
  <c r="L18" i="3"/>
  <c r="AN19" i="3"/>
  <c r="AQ4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J40" i="3"/>
  <c r="L12" i="3"/>
  <c r="S22" i="3"/>
  <c r="O31" i="3"/>
  <c r="AE26" i="3"/>
  <c r="AM6" i="3"/>
  <c r="AH18" i="3"/>
  <c r="P64" i="2"/>
  <c r="O98" i="2"/>
  <c r="F106" i="2"/>
  <c r="L45" i="2"/>
  <c r="V84" i="2"/>
  <c r="R72" i="2"/>
  <c r="N109" i="2"/>
  <c r="Q98" i="2"/>
  <c r="T74" i="2"/>
  <c r="X109" i="2"/>
  <c r="AB81" i="3"/>
  <c r="AB75" i="3"/>
  <c r="AP69" i="3"/>
  <c r="L32" i="3"/>
  <c r="T24" i="3"/>
  <c r="O21" i="3"/>
  <c r="Z8" i="3"/>
  <c r="AI41" i="3"/>
  <c r="P41" i="3"/>
  <c r="S32" i="3"/>
  <c r="AP13" i="3"/>
  <c r="I8" i="3"/>
  <c r="AN12" i="3"/>
  <c r="R15" i="3"/>
  <c r="U31" i="3"/>
  <c r="AC42" i="3"/>
  <c r="AC37" i="3"/>
  <c r="H40" i="3"/>
  <c r="M9" i="3"/>
  <c r="AM5" i="3"/>
  <c r="AN23" i="3"/>
  <c r="AJ14" i="3"/>
  <c r="AM13" i="3"/>
  <c r="U12" i="3"/>
  <c r="V25" i="3"/>
  <c r="C42" i="3"/>
  <c r="U28" i="3"/>
  <c r="AH40" i="3"/>
  <c r="C8" i="3"/>
  <c r="AO25" i="3"/>
  <c r="C9" i="3"/>
  <c r="AK36" i="3"/>
  <c r="E48" i="3"/>
  <c r="E50" i="3"/>
  <c r="J21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O37" i="3"/>
  <c r="C35" i="3"/>
  <c r="AQ20" i="3"/>
  <c r="AQ17" i="3"/>
  <c r="AG11" i="3"/>
  <c r="S13" i="3"/>
  <c r="Z33" i="3"/>
  <c r="C11" i="3"/>
  <c r="N8" i="3"/>
  <c r="Z26" i="3"/>
  <c r="S21" i="3"/>
  <c r="X21" i="3"/>
  <c r="AH32" i="3"/>
  <c r="AN18" i="3"/>
  <c r="AN26" i="3"/>
  <c r="K22" i="3"/>
  <c r="AH12" i="3"/>
  <c r="AG35" i="3"/>
  <c r="V40" i="3"/>
  <c r="P33" i="3"/>
  <c r="Y8" i="3"/>
  <c r="Y14" i="3"/>
  <c r="V28" i="3"/>
  <c r="AO22" i="3"/>
  <c r="V15" i="3"/>
  <c r="S94" i="2"/>
  <c r="Q87" i="2"/>
  <c r="I66" i="2"/>
  <c r="T68" i="2"/>
  <c r="V99" i="2"/>
  <c r="H62" i="2"/>
  <c r="I111" i="2"/>
  <c r="Q86" i="2"/>
  <c r="S111" i="2"/>
  <c r="P92" i="2"/>
  <c r="AB60" i="3"/>
  <c r="AP47" i="3"/>
  <c r="AB74" i="3"/>
  <c r="H41" i="3"/>
  <c r="T25" i="3"/>
  <c r="V8" i="3"/>
  <c r="AK21" i="3"/>
  <c r="AE9" i="3"/>
  <c r="AD28" i="3"/>
  <c r="K29" i="3"/>
  <c r="AQ18" i="3"/>
  <c r="AH42" i="3"/>
  <c r="AM8" i="3"/>
  <c r="AK17" i="3"/>
  <c r="Z35" i="3"/>
  <c r="AD38" i="3"/>
  <c r="AM12" i="3"/>
  <c r="O42" i="3"/>
  <c r="AN25" i="3"/>
  <c r="G32" i="3"/>
  <c r="Y28" i="3"/>
  <c r="R6" i="3"/>
  <c r="Q19" i="3"/>
  <c r="AL16" i="3"/>
  <c r="AC6" i="3"/>
  <c r="C33" i="3"/>
  <c r="W16" i="3"/>
  <c r="AQ12" i="3"/>
  <c r="Y30" i="3"/>
  <c r="AK34" i="3"/>
  <c r="R42" i="3"/>
  <c r="AJ11" i="3"/>
  <c r="I40" i="3"/>
  <c r="AC23" i="3"/>
  <c r="I14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E86" i="2"/>
  <c r="L48" i="2"/>
  <c r="C42" i="2"/>
  <c r="U67" i="2"/>
  <c r="U90" i="2"/>
  <c r="X56" i="2"/>
  <c r="F56" i="2"/>
  <c r="C78" i="2"/>
  <c r="T62" i="2"/>
  <c r="R50" i="2"/>
  <c r="AB89" i="3"/>
  <c r="AP92" i="3"/>
  <c r="H34" i="3"/>
  <c r="U21" i="3"/>
  <c r="R25" i="3"/>
  <c r="AJ22" i="3"/>
  <c r="V24" i="3"/>
  <c r="AA25" i="3"/>
  <c r="N19" i="3"/>
  <c r="AA8" i="3"/>
  <c r="W40" i="3"/>
  <c r="X35" i="3"/>
  <c r="U24" i="3"/>
  <c r="AG28" i="3"/>
  <c r="Y25" i="3"/>
  <c r="AC36" i="3"/>
  <c r="Z28" i="3"/>
  <c r="AE11" i="3"/>
  <c r="R30" i="3"/>
  <c r="AH11" i="3"/>
  <c r="N21" i="3"/>
  <c r="H9" i="3"/>
  <c r="AL10" i="3"/>
  <c r="AA21" i="3"/>
  <c r="L16" i="3"/>
  <c r="O24" i="3"/>
  <c r="AP15" i="3"/>
  <c r="P21" i="3"/>
  <c r="AN14" i="3"/>
  <c r="AE33" i="3"/>
  <c r="AP31" i="3"/>
  <c r="AO10" i="3"/>
  <c r="X25" i="3"/>
  <c r="AH29" i="3"/>
  <c r="AQ37" i="3"/>
  <c r="AB33" i="3"/>
  <c r="AE6" i="3"/>
  <c r="AO41" i="3"/>
  <c r="I106" i="2"/>
  <c r="C96" i="2"/>
  <c r="W59" i="2"/>
  <c r="W54" i="2"/>
  <c r="M73" i="2"/>
  <c r="P89" i="2"/>
  <c r="O104" i="2"/>
  <c r="D40" i="2"/>
  <c r="P48" i="2"/>
  <c r="C95" i="2"/>
  <c r="AP93" i="3"/>
  <c r="AB82" i="3"/>
  <c r="C21" i="3"/>
  <c r="AJ17" i="3"/>
  <c r="O29" i="3"/>
  <c r="AB19" i="3"/>
  <c r="S12" i="3"/>
  <c r="AA34" i="3"/>
  <c r="AP19" i="3"/>
  <c r="G37" i="3"/>
  <c r="AP36" i="3"/>
  <c r="AP37" i="3"/>
  <c r="V41" i="3"/>
  <c r="R32" i="3"/>
  <c r="AA17" i="3"/>
  <c r="AG27" i="3"/>
  <c r="M20" i="3"/>
  <c r="L31" i="3"/>
  <c r="S11" i="3"/>
  <c r="H36" i="3"/>
  <c r="AL22" i="3"/>
  <c r="AG26" i="3"/>
  <c r="R17" i="3"/>
  <c r="AC8" i="3"/>
  <c r="C34" i="3"/>
  <c r="J15" i="3"/>
  <c r="R28" i="3"/>
  <c r="AJ36" i="3"/>
  <c r="X5" i="3"/>
  <c r="AO31" i="3"/>
  <c r="AL42" i="3"/>
  <c r="AA32" i="3"/>
  <c r="Z37" i="3"/>
  <c r="Y24" i="3"/>
  <c r="I42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AM42" i="3"/>
  <c r="AG31" i="3"/>
  <c r="AO35" i="3"/>
  <c r="AQ31" i="3"/>
  <c r="C13" i="3"/>
  <c r="O12" i="3"/>
  <c r="O33" i="3"/>
  <c r="AH20" i="3"/>
  <c r="AI33" i="3"/>
  <c r="K20" i="3"/>
  <c r="E90" i="2"/>
  <c r="X70" i="2"/>
  <c r="R56" i="2"/>
  <c r="E41" i="2"/>
  <c r="U63" i="2"/>
  <c r="H71" i="2"/>
  <c r="P53" i="2"/>
  <c r="P93" i="2"/>
  <c r="V68" i="2"/>
  <c r="H45" i="2"/>
  <c r="N57" i="2"/>
  <c r="AP66" i="3"/>
  <c r="AP74" i="3"/>
  <c r="R29" i="3"/>
  <c r="R18" i="3"/>
  <c r="AQ29" i="3"/>
  <c r="AN31" i="3"/>
  <c r="AJ25" i="3"/>
  <c r="Q27" i="3"/>
  <c r="N40" i="3"/>
  <c r="I16" i="3"/>
  <c r="Q33" i="3"/>
  <c r="AH15" i="3"/>
  <c r="I39" i="3"/>
  <c r="AL31" i="3"/>
  <c r="AG15" i="3"/>
  <c r="M32" i="3"/>
  <c r="AN37" i="3"/>
  <c r="AA42" i="3"/>
  <c r="P20" i="3"/>
  <c r="V34" i="3"/>
  <c r="AI38" i="3"/>
  <c r="J27" i="3"/>
  <c r="T22" i="3"/>
  <c r="AK9" i="3"/>
  <c r="M31" i="3"/>
  <c r="AG21" i="3"/>
  <c r="P35" i="3"/>
  <c r="O11" i="3"/>
  <c r="L22" i="3"/>
  <c r="AG30" i="3"/>
  <c r="O19" i="3"/>
  <c r="I21" i="3"/>
  <c r="W11" i="3"/>
  <c r="AQ14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T15" i="3"/>
  <c r="AE27" i="3"/>
  <c r="W14" i="3"/>
  <c r="T5" i="3"/>
  <c r="T108" i="2"/>
  <c r="L65" i="2"/>
  <c r="T90" i="2"/>
  <c r="T94" i="2"/>
  <c r="U87" i="2"/>
  <c r="U61" i="2"/>
  <c r="N69" i="2"/>
  <c r="S47" i="2"/>
  <c r="R107" i="2"/>
  <c r="L61" i="2"/>
  <c r="W112" i="2"/>
  <c r="AB78" i="3"/>
  <c r="AP54" i="3"/>
  <c r="I22" i="3"/>
  <c r="AJ31" i="3"/>
  <c r="AE10" i="3"/>
  <c r="AH33" i="3"/>
  <c r="AE32" i="3"/>
  <c r="X7" i="3"/>
  <c r="AN9" i="3"/>
  <c r="AG17" i="3"/>
  <c r="AD20" i="3"/>
  <c r="W29" i="3"/>
  <c r="S42" i="3"/>
  <c r="Y11" i="3"/>
  <c r="K35" i="3"/>
  <c r="J25" i="3"/>
  <c r="H19" i="3"/>
  <c r="C25" i="3"/>
  <c r="AI5" i="3"/>
  <c r="AJ23" i="3"/>
  <c r="AE19" i="3"/>
  <c r="AP14" i="3"/>
  <c r="Q38" i="3"/>
  <c r="J17" i="3"/>
  <c r="H42" i="3"/>
  <c r="Q5" i="3"/>
  <c r="AN17" i="3"/>
  <c r="U22" i="3"/>
  <c r="K21" i="3"/>
  <c r="P16" i="3"/>
  <c r="AM24" i="3"/>
  <c r="G48" i="3"/>
  <c r="H18" i="3"/>
  <c r="O30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I95" i="2"/>
  <c r="M57" i="2"/>
  <c r="X90" i="2"/>
  <c r="U62" i="2"/>
  <c r="R89" i="2"/>
  <c r="X58" i="2"/>
  <c r="C52" i="2"/>
  <c r="R73" i="2"/>
  <c r="L106" i="2"/>
  <c r="N44" i="2"/>
  <c r="T63" i="2"/>
  <c r="AP48" i="3"/>
  <c r="AP50" i="3"/>
  <c r="AN8" i="3"/>
  <c r="O23" i="3"/>
  <c r="R24" i="3"/>
  <c r="AO15" i="3"/>
  <c r="O28" i="3"/>
  <c r="O37" i="3"/>
  <c r="L11" i="3"/>
  <c r="W18" i="3"/>
  <c r="AE14" i="3"/>
  <c r="AL37" i="3"/>
  <c r="Y34" i="3"/>
  <c r="AB23" i="3"/>
  <c r="M39" i="3"/>
  <c r="P8" i="3"/>
  <c r="P22" i="3"/>
  <c r="M13" i="3"/>
  <c r="AC13" i="3"/>
  <c r="N35" i="3"/>
  <c r="AN7" i="3"/>
  <c r="J8" i="3"/>
  <c r="R20" i="3"/>
  <c r="Z24" i="3"/>
  <c r="M33" i="3"/>
  <c r="AC33" i="3"/>
  <c r="N32" i="3"/>
  <c r="R14" i="3"/>
  <c r="V27" i="3"/>
  <c r="AH10" i="3"/>
  <c r="C40" i="3"/>
  <c r="M6" i="3"/>
  <c r="H37" i="3"/>
  <c r="V7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J26" i="3"/>
  <c r="AH6" i="3"/>
  <c r="AC28" i="3"/>
  <c r="S5" i="3"/>
  <c r="L7" i="3"/>
  <c r="AL24" i="3"/>
  <c r="AH5" i="3"/>
  <c r="AB32" i="3"/>
  <c r="P38" i="3"/>
  <c r="Q11" i="3"/>
  <c r="AD39" i="3"/>
  <c r="Z27" i="3"/>
  <c r="AA19" i="3"/>
  <c r="AM34" i="3"/>
  <c r="P28" i="3"/>
  <c r="V35" i="3"/>
  <c r="H8" i="3"/>
  <c r="W30" i="3"/>
  <c r="AD23" i="3"/>
  <c r="AE22" i="3"/>
  <c r="Q17" i="3"/>
  <c r="AP32" i="3"/>
  <c r="AH8" i="3"/>
  <c r="H60" i="2"/>
  <c r="I80" i="2"/>
  <c r="S53" i="2"/>
  <c r="C74" i="2"/>
  <c r="O96" i="2"/>
  <c r="R70" i="2"/>
  <c r="Q107" i="2"/>
  <c r="X87" i="2"/>
  <c r="E73" i="2"/>
  <c r="P56" i="2"/>
  <c r="K111" i="2"/>
  <c r="AP90" i="3"/>
  <c r="AP72" i="3"/>
  <c r="AP12" i="3"/>
  <c r="AP25" i="3"/>
  <c r="Z10" i="3"/>
  <c r="L25" i="3"/>
  <c r="AB20" i="3"/>
  <c r="M29" i="3"/>
  <c r="S33" i="3"/>
  <c r="N34" i="3"/>
  <c r="Q31" i="3"/>
  <c r="AP30" i="3"/>
  <c r="AB38" i="3"/>
  <c r="H27" i="3"/>
  <c r="AC27" i="3"/>
  <c r="AM39" i="3"/>
  <c r="AL9" i="3"/>
  <c r="Q26" i="3"/>
  <c r="AK24" i="3"/>
  <c r="C17" i="3"/>
  <c r="T41" i="3"/>
  <c r="L30" i="3"/>
  <c r="AP9" i="3"/>
  <c r="X38" i="3"/>
  <c r="AB12" i="3"/>
  <c r="O6" i="3"/>
  <c r="C27" i="3"/>
  <c r="AG38" i="3"/>
  <c r="AK41" i="3"/>
  <c r="AC17" i="3"/>
  <c r="H32" i="3"/>
  <c r="AB26" i="3"/>
  <c r="AA5" i="3"/>
  <c r="W9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I32" i="3"/>
  <c r="AG18" i="3"/>
  <c r="T11" i="3"/>
  <c r="I18" i="3"/>
  <c r="N30" i="3"/>
  <c r="AN29" i="3"/>
  <c r="K6" i="3"/>
  <c r="X22" i="3"/>
  <c r="AL7" i="3"/>
  <c r="AG34" i="3"/>
  <c r="AD21" i="3"/>
  <c r="K10" i="3"/>
  <c r="AO9" i="3"/>
  <c r="M8" i="3"/>
  <c r="U25" i="3"/>
  <c r="U9" i="3"/>
  <c r="P15" i="3"/>
  <c r="AO12" i="3"/>
  <c r="Q30" i="3"/>
  <c r="L17" i="3"/>
  <c r="Z21" i="3"/>
  <c r="P37" i="3"/>
  <c r="M42" i="3"/>
  <c r="N31" i="3"/>
  <c r="H26" i="3"/>
  <c r="Y42" i="3"/>
  <c r="W25" i="3"/>
  <c r="AJ42" i="3"/>
  <c r="N17" i="3"/>
  <c r="T40" i="3"/>
  <c r="AI17" i="3"/>
  <c r="G34" i="3"/>
  <c r="P12" i="3"/>
  <c r="R7" i="3"/>
  <c r="AG13" i="3"/>
  <c r="H39" i="3"/>
  <c r="T6" i="3"/>
  <c r="Y21" i="3"/>
  <c r="S8" i="3"/>
  <c r="K7" i="3"/>
  <c r="V36" i="3"/>
  <c r="P14" i="3"/>
  <c r="P9" i="3"/>
  <c r="AK19" i="3"/>
  <c r="N25" i="3"/>
  <c r="K25" i="3"/>
  <c r="AC15" i="3"/>
  <c r="AG41" i="3"/>
  <c r="M85" i="2"/>
  <c r="T43" i="2"/>
  <c r="J82" i="2"/>
  <c r="T75" i="2"/>
  <c r="S88" i="2"/>
  <c r="O60" i="2"/>
  <c r="C93" i="2"/>
  <c r="H108" i="2"/>
  <c r="V44" i="2"/>
  <c r="O66" i="2"/>
  <c r="G83" i="2"/>
  <c r="AP83" i="3"/>
  <c r="AB70" i="3"/>
  <c r="T8" i="3"/>
  <c r="AL20" i="3"/>
  <c r="Z6" i="3"/>
  <c r="P5" i="3"/>
  <c r="W33" i="3"/>
  <c r="U15" i="3"/>
  <c r="U19" i="3"/>
  <c r="X24" i="3"/>
  <c r="AJ41" i="3"/>
  <c r="AE34" i="3"/>
  <c r="AE39" i="3"/>
  <c r="M36" i="3"/>
  <c r="AG7" i="3"/>
  <c r="S34" i="3"/>
  <c r="O41" i="3"/>
  <c r="AQ36" i="3"/>
  <c r="O16" i="3"/>
  <c r="N20" i="3"/>
  <c r="S17" i="3"/>
  <c r="AN34" i="3"/>
  <c r="M26" i="3"/>
  <c r="I25" i="3"/>
  <c r="K42" i="3"/>
  <c r="Y31" i="3"/>
  <c r="T16" i="3"/>
  <c r="AI23" i="3"/>
  <c r="I29" i="3"/>
  <c r="AB42" i="3"/>
  <c r="O7" i="3"/>
  <c r="T14" i="3"/>
  <c r="AP17" i="3"/>
  <c r="AD40" i="3"/>
  <c r="U14" i="3"/>
  <c r="AQ26" i="3"/>
  <c r="AI37" i="3"/>
  <c r="AG20" i="3"/>
  <c r="Z18" i="3"/>
  <c r="AN42" i="3"/>
  <c r="AK40" i="3"/>
  <c r="X37" i="3"/>
  <c r="AL32" i="3"/>
  <c r="D48" i="3"/>
  <c r="U32" i="3"/>
  <c r="L34" i="3"/>
  <c r="AA15" i="3"/>
  <c r="AE40" i="3"/>
  <c r="P36" i="3"/>
  <c r="Q39" i="3"/>
  <c r="N22" i="3"/>
  <c r="AK28" i="3"/>
  <c r="AD41" i="3"/>
  <c r="X6" i="3"/>
  <c r="AG19" i="3"/>
  <c r="K11" i="3"/>
  <c r="AG12" i="3"/>
  <c r="AL23" i="3"/>
  <c r="AO42" i="3"/>
  <c r="I32" i="3"/>
  <c r="S18" i="3"/>
  <c r="AH39" i="3"/>
  <c r="Q25" i="3"/>
  <c r="J14" i="3"/>
  <c r="AD31" i="3"/>
  <c r="Z20" i="3"/>
  <c r="AP42" i="3"/>
  <c r="J43" i="2"/>
  <c r="Q89" i="2"/>
  <c r="L50" i="2"/>
  <c r="X72" i="2"/>
  <c r="C60" i="2"/>
  <c r="E107" i="2"/>
  <c r="Q61" i="2"/>
  <c r="Q111" i="2"/>
  <c r="P57" i="2"/>
  <c r="P77" i="2"/>
  <c r="F69" i="2"/>
  <c r="AB79" i="3"/>
  <c r="AP67" i="3"/>
  <c r="L19" i="3"/>
  <c r="Q34" i="3"/>
  <c r="AL27" i="3"/>
  <c r="AC39" i="3"/>
  <c r="H28" i="3"/>
  <c r="J12" i="3"/>
  <c r="Z25" i="3"/>
  <c r="T33" i="3"/>
  <c r="X14" i="3"/>
  <c r="AI15" i="3"/>
  <c r="H24" i="3"/>
  <c r="AJ16" i="3"/>
  <c r="AN20" i="3"/>
  <c r="J42" i="3"/>
  <c r="N10" i="3"/>
  <c r="O8" i="3"/>
  <c r="K23" i="3"/>
  <c r="AA6" i="3"/>
  <c r="I15" i="3"/>
  <c r="AM9" i="3"/>
  <c r="Z9" i="3"/>
  <c r="AI34" i="3"/>
  <c r="C30" i="3"/>
  <c r="AI31" i="3"/>
  <c r="AE8" i="3"/>
  <c r="AG32" i="3"/>
  <c r="C24" i="3"/>
  <c r="I7" i="3"/>
  <c r="AQ21" i="3"/>
  <c r="U33" i="3"/>
  <c r="AP33" i="3"/>
  <c r="AQ22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K15" i="3"/>
  <c r="K16" i="3"/>
  <c r="V23" i="3"/>
  <c r="AA13" i="3"/>
  <c r="U26" i="3"/>
  <c r="AJ28" i="3"/>
  <c r="AI18" i="3"/>
  <c r="I24" i="3"/>
  <c r="Z22" i="3"/>
  <c r="U34" i="3"/>
  <c r="AJ39" i="3"/>
  <c r="I27" i="3"/>
  <c r="D49" i="3"/>
  <c r="V14" i="3"/>
  <c r="AK25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I70" i="3"/>
  <c r="AL55" i="3"/>
  <c r="M70" i="3"/>
  <c r="AI67" i="3"/>
  <c r="O85" i="3"/>
  <c r="V90" i="3"/>
  <c r="Z69" i="3"/>
  <c r="AM55" i="3"/>
  <c r="S91" i="3"/>
  <c r="Y68" i="3"/>
  <c r="T85" i="3"/>
  <c r="AC80" i="3"/>
  <c r="N80" i="3"/>
  <c r="AL97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M90" i="3"/>
  <c r="K70" i="3"/>
  <c r="T83" i="3"/>
  <c r="AA75" i="3"/>
  <c r="U49" i="3"/>
  <c r="AQ71" i="3"/>
  <c r="AE87" i="3"/>
  <c r="T68" i="3"/>
  <c r="V76" i="3"/>
  <c r="AL48" i="3"/>
  <c r="W79" i="3"/>
  <c r="X72" i="3"/>
  <c r="AC66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N49" i="3"/>
  <c r="J86" i="3"/>
  <c r="Q57" i="3"/>
  <c r="V57" i="3"/>
  <c r="X47" i="3"/>
  <c r="AM76" i="3"/>
  <c r="U65" i="3"/>
  <c r="K77" i="3"/>
  <c r="R70" i="3"/>
  <c r="AO79" i="3"/>
  <c r="X88" i="3"/>
  <c r="W64" i="3"/>
  <c r="Y58" i="3"/>
  <c r="H71" i="3"/>
  <c r="AK81" i="3"/>
  <c r="AI80" i="3"/>
  <c r="J47" i="3"/>
  <c r="AE95" i="3"/>
  <c r="Z60" i="3"/>
  <c r="N82" i="3"/>
  <c r="AG60" i="3"/>
  <c r="AL78" i="3"/>
  <c r="Y89" i="3"/>
  <c r="Y88" i="3"/>
  <c r="AL50" i="3"/>
  <c r="AQ81" i="3"/>
  <c r="AN58" i="3"/>
  <c r="Z82" i="3"/>
  <c r="K67" i="3"/>
  <c r="AN73" i="3"/>
  <c r="AK59" i="3"/>
  <c r="AH49" i="3"/>
  <c r="AK72" i="3"/>
  <c r="H90" i="3"/>
  <c r="AN67" i="3"/>
  <c r="AE48" i="3"/>
  <c r="AJ56" i="3"/>
  <c r="W62" i="3"/>
  <c r="Q94" i="3"/>
  <c r="Y57" i="3"/>
  <c r="T93" i="3"/>
  <c r="AA81" i="3"/>
  <c r="AJ77" i="3"/>
  <c r="V84" i="3"/>
  <c r="AJ58" i="3"/>
  <c r="I75" i="3"/>
  <c r="AQ91" i="3"/>
  <c r="AA70" i="3"/>
  <c r="AG50" i="3"/>
  <c r="AO92" i="3"/>
  <c r="M54" i="3"/>
  <c r="Z66" i="3"/>
  <c r="L95" i="3"/>
  <c r="J76" i="3"/>
  <c r="AM73" i="3"/>
  <c r="K58" i="3"/>
  <c r="Q64" i="3"/>
  <c r="N61" i="3"/>
  <c r="I73" i="3"/>
  <c r="AJ49" i="3"/>
  <c r="S62" i="3"/>
  <c r="AN89" i="3"/>
  <c r="Y55" i="3"/>
  <c r="S86" i="3"/>
  <c r="P67" i="3"/>
  <c r="H60" i="3"/>
  <c r="AH63" i="3"/>
  <c r="X76" i="3"/>
  <c r="M73" i="3"/>
  <c r="R49" i="3"/>
  <c r="AE86" i="3"/>
  <c r="X64" i="3"/>
  <c r="AQ95" i="3"/>
  <c r="Z62" i="3"/>
  <c r="K95" i="3"/>
  <c r="M64" i="3"/>
  <c r="X85" i="3"/>
  <c r="J63" i="3"/>
  <c r="S60" i="3"/>
  <c r="AN66" i="3"/>
  <c r="AM77" i="3"/>
  <c r="Z50" i="3"/>
  <c r="AO87" i="3"/>
  <c r="AH93" i="3"/>
  <c r="W88" i="3"/>
  <c r="AC79" i="3"/>
  <c r="AO94" i="3"/>
  <c r="X61" i="3"/>
  <c r="AC92" i="3"/>
  <c r="K93" i="3"/>
  <c r="Z85" i="3"/>
  <c r="AJ92" i="3"/>
  <c r="N55" i="3"/>
  <c r="AA67" i="3"/>
  <c r="AH59" i="3"/>
  <c r="P89" i="3"/>
  <c r="S77" i="3"/>
  <c r="AE94" i="3"/>
  <c r="AO80" i="3"/>
  <c r="Q92" i="3"/>
  <c r="K85" i="3"/>
  <c r="AC85" i="3"/>
  <c r="AL47" i="3"/>
  <c r="AL90" i="3"/>
  <c r="L92" i="3"/>
  <c r="AQ80" i="3"/>
  <c r="AI96" i="3"/>
  <c r="AK79" i="3"/>
  <c r="O64" i="3"/>
  <c r="V72" i="3"/>
  <c r="J74" i="3"/>
  <c r="N78" i="3"/>
  <c r="U61" i="3"/>
  <c r="O91" i="3"/>
  <c r="W70" i="3"/>
  <c r="T94" i="3"/>
  <c r="AI83" i="3"/>
  <c r="X90" i="3"/>
  <c r="AK63" i="3"/>
  <c r="AL49" i="3"/>
  <c r="AG80" i="3"/>
  <c r="Q90" i="3"/>
  <c r="P72" i="3"/>
  <c r="AN68" i="3"/>
  <c r="U60" i="3"/>
  <c r="N94" i="3"/>
  <c r="AE80" i="3"/>
  <c r="AO66" i="3"/>
  <c r="AG62" i="3"/>
  <c r="Z92" i="3"/>
  <c r="AM60" i="3"/>
  <c r="U47" i="3"/>
  <c r="S55" i="3"/>
  <c r="I64" i="3"/>
  <c r="V95" i="3"/>
  <c r="AA80" i="3"/>
  <c r="N87" i="3"/>
  <c r="Y85" i="3"/>
  <c r="H78" i="3"/>
  <c r="AK61" i="3"/>
  <c r="L86" i="3"/>
  <c r="AJ63" i="3"/>
  <c r="AJ84" i="3"/>
  <c r="M83" i="3"/>
  <c r="N88" i="3"/>
  <c r="AG64" i="3"/>
  <c r="AL73" i="3"/>
  <c r="AQ73" i="3"/>
  <c r="AQ70" i="3"/>
  <c r="AL86" i="3"/>
  <c r="R82" i="3"/>
  <c r="X60" i="3"/>
  <c r="V71" i="3"/>
  <c r="U57" i="3"/>
  <c r="Z83" i="3"/>
  <c r="AK94" i="3"/>
  <c r="J70" i="3"/>
  <c r="AK55" i="3"/>
  <c r="O79" i="3"/>
  <c r="AJ55" i="3"/>
  <c r="L78" i="3"/>
  <c r="AQ83" i="3"/>
  <c r="W84" i="3"/>
  <c r="AG89" i="3"/>
  <c r="Y48" i="3"/>
  <c r="H65" i="3"/>
  <c r="AE54" i="3"/>
  <c r="I89" i="3"/>
  <c r="Q93" i="3"/>
  <c r="O80" i="3"/>
  <c r="U93" i="3"/>
  <c r="R66" i="3"/>
  <c r="AA92" i="3"/>
  <c r="W57" i="3"/>
  <c r="AE81" i="3"/>
  <c r="AN54" i="3"/>
  <c r="U91" i="3"/>
  <c r="AA64" i="3"/>
  <c r="AO88" i="3"/>
  <c r="AL69" i="3"/>
  <c r="L61" i="3"/>
  <c r="AO48" i="3"/>
  <c r="H61" i="3"/>
  <c r="V60" i="3"/>
  <c r="Z61" i="3"/>
  <c r="AE73" i="3"/>
  <c r="R77" i="3"/>
  <c r="AK48" i="3"/>
  <c r="AC59" i="3"/>
  <c r="AK66" i="3"/>
  <c r="AI71" i="3"/>
  <c r="L84" i="3"/>
  <c r="AG77" i="3"/>
  <c r="AG79" i="3"/>
  <c r="AI58" i="3"/>
  <c r="O95" i="3"/>
  <c r="AN96" i="3"/>
  <c r="N85" i="3"/>
  <c r="K79" i="3"/>
  <c r="J66" i="3"/>
  <c r="Q76" i="3"/>
  <c r="AH76" i="3"/>
  <c r="AG58" i="3"/>
  <c r="U66" i="3"/>
  <c r="H77" i="3"/>
  <c r="AO81" i="3"/>
  <c r="AQ97" i="3"/>
  <c r="H79" i="3"/>
  <c r="L88" i="3"/>
  <c r="L56" i="3"/>
  <c r="H80" i="3"/>
  <c r="O84" i="3"/>
  <c r="T65" i="3"/>
  <c r="AM75" i="3"/>
  <c r="R55" i="3"/>
  <c r="S59" i="3"/>
  <c r="AQ61" i="3"/>
  <c r="AQ64" i="3"/>
  <c r="K82" i="3"/>
  <c r="R71" i="3"/>
  <c r="AC70" i="3"/>
  <c r="AL57" i="3"/>
  <c r="Y69" i="3"/>
  <c r="AC61" i="3"/>
  <c r="N57" i="3"/>
  <c r="AN77" i="3"/>
  <c r="AK54" i="3"/>
  <c r="AA66" i="3"/>
  <c r="L57" i="3"/>
  <c r="P56" i="3"/>
  <c r="M89" i="3"/>
  <c r="W58" i="3"/>
  <c r="X68" i="3"/>
  <c r="I58" i="3"/>
  <c r="AQ74" i="3"/>
  <c r="M82" i="3"/>
  <c r="V69" i="3"/>
  <c r="S68" i="3"/>
  <c r="Z57" i="3"/>
  <c r="T72" i="3"/>
  <c r="S63" i="3"/>
  <c r="I74" i="3"/>
  <c r="Y67" i="3"/>
  <c r="S84" i="3"/>
  <c r="M79" i="3"/>
  <c r="AL80" i="3"/>
  <c r="AQ93" i="3"/>
  <c r="R81" i="3"/>
  <c r="W63" i="3"/>
  <c r="I78" i="3"/>
  <c r="U95" i="3"/>
  <c r="H94" i="3"/>
  <c r="N86" i="3"/>
  <c r="AM85" i="3"/>
  <c r="J93" i="3"/>
  <c r="AL81" i="3"/>
  <c r="AI91" i="3"/>
  <c r="AH79" i="3"/>
  <c r="Y60" i="3"/>
  <c r="J84" i="3"/>
  <c r="AI70" i="3"/>
  <c r="AM69" i="3"/>
  <c r="AJ69" i="3"/>
  <c r="AJ83" i="3"/>
  <c r="AA82" i="3"/>
  <c r="H81" i="3"/>
  <c r="V64" i="3"/>
  <c r="L81" i="3"/>
  <c r="U80" i="3"/>
  <c r="O92" i="3"/>
  <c r="Z71" i="3"/>
  <c r="N75" i="3"/>
  <c r="AG82" i="3"/>
  <c r="U82" i="3"/>
  <c r="AI90" i="3"/>
  <c r="AA58" i="3"/>
  <c r="Z73" i="3"/>
  <c r="N96" i="3"/>
  <c r="AG86" i="3"/>
  <c r="AE93" i="3"/>
  <c r="Q81" i="3"/>
  <c r="AH74" i="3"/>
  <c r="AL85" i="3"/>
  <c r="I68" i="3"/>
  <c r="V85" i="3"/>
  <c r="AL77" i="3"/>
  <c r="P94" i="3"/>
  <c r="AE74" i="3"/>
  <c r="H72" i="3"/>
  <c r="P96" i="3"/>
  <c r="AE96" i="3"/>
  <c r="M93" i="3"/>
  <c r="T96" i="3"/>
  <c r="AG84" i="3"/>
  <c r="R90" i="3"/>
  <c r="S82" i="3"/>
  <c r="AQ79" i="3"/>
  <c r="R76" i="3"/>
  <c r="K56" i="3"/>
  <c r="R72" i="3"/>
  <c r="AO47" i="3"/>
  <c r="AG54" i="3"/>
  <c r="Y79" i="3"/>
  <c r="AH55" i="3"/>
  <c r="M85" i="3"/>
  <c r="AI50" i="3"/>
  <c r="N64" i="3"/>
  <c r="L89" i="3"/>
  <c r="P70" i="3"/>
  <c r="P80" i="3"/>
  <c r="M57" i="3"/>
  <c r="W49" i="3"/>
  <c r="AC81" i="3"/>
  <c r="AL66" i="3"/>
  <c r="R60" i="3"/>
  <c r="P48" i="3"/>
  <c r="O55" i="3"/>
  <c r="W90" i="3"/>
  <c r="AO95" i="3"/>
  <c r="AQ49" i="3"/>
  <c r="L76" i="3"/>
  <c r="U59" i="3"/>
  <c r="AH87" i="3"/>
  <c r="T78" i="3"/>
  <c r="W91" i="3"/>
  <c r="AQ60" i="3"/>
  <c r="P73" i="3"/>
  <c r="AL88" i="3"/>
  <c r="AG91" i="3"/>
  <c r="AH90" i="3"/>
  <c r="T71" i="3"/>
  <c r="T87" i="3"/>
  <c r="AC56" i="3"/>
  <c r="AQ84" i="3"/>
  <c r="P93" i="3"/>
  <c r="X82" i="3"/>
  <c r="T92" i="3"/>
  <c r="S48" i="3"/>
  <c r="AC60" i="3"/>
  <c r="J77" i="3"/>
  <c r="T76" i="3"/>
  <c r="X71" i="3"/>
  <c r="AQ50" i="3"/>
  <c r="T89" i="3"/>
  <c r="AI89" i="3"/>
  <c r="AG93" i="3"/>
  <c r="T54" i="3"/>
  <c r="AK80" i="3"/>
  <c r="Q60" i="3"/>
  <c r="AM47" i="3"/>
  <c r="Q85" i="3"/>
  <c r="AC97" i="3"/>
  <c r="M47" i="3"/>
  <c r="AH72" i="3"/>
  <c r="AJ97" i="3"/>
  <c r="AE70" i="3"/>
  <c r="AH57" i="3"/>
  <c r="K61" i="3"/>
  <c r="X70" i="3"/>
  <c r="H86" i="3"/>
  <c r="K59" i="3"/>
  <c r="AE50" i="3"/>
  <c r="L47" i="3"/>
  <c r="L97" i="3"/>
  <c r="O59" i="3"/>
  <c r="AE66" i="3"/>
  <c r="AA79" i="3"/>
  <c r="AO72" i="3"/>
  <c r="U77" i="3"/>
  <c r="T57" i="3"/>
  <c r="S49" i="3"/>
  <c r="AQ76" i="3"/>
  <c r="I88" i="3"/>
  <c r="K50" i="3"/>
  <c r="R58" i="3"/>
  <c r="AA71" i="3"/>
  <c r="AG97" i="3"/>
  <c r="Y82" i="3"/>
  <c r="T47" i="3"/>
  <c r="O65" i="3"/>
  <c r="L49" i="3"/>
  <c r="AM62" i="3"/>
  <c r="L62" i="3"/>
  <c r="L91" i="3"/>
  <c r="M78" i="3"/>
  <c r="AO76" i="3"/>
  <c r="N81" i="3"/>
  <c r="AO90" i="3"/>
  <c r="AH61" i="3"/>
  <c r="O58" i="3"/>
  <c r="AA73" i="3"/>
  <c r="AE97" i="3"/>
  <c r="AM58" i="3"/>
  <c r="AL64" i="3"/>
  <c r="V47" i="3"/>
  <c r="P85" i="3"/>
  <c r="K76" i="3"/>
  <c r="O93" i="3"/>
  <c r="R50" i="3"/>
  <c r="AG83" i="3"/>
  <c r="V73" i="3"/>
  <c r="R97" i="3"/>
  <c r="P66" i="3"/>
  <c r="Q88" i="3"/>
  <c r="AJ82" i="3"/>
  <c r="H50" i="3"/>
  <c r="O76" i="3"/>
  <c r="AQ75" i="3"/>
  <c r="K49" i="3"/>
  <c r="T56" i="3"/>
  <c r="AC78" i="3"/>
  <c r="Y70" i="3"/>
  <c r="X84" i="3"/>
  <c r="AJ64" i="3"/>
  <c r="H74" i="3"/>
  <c r="AN81" i="3"/>
  <c r="Y83" i="3"/>
  <c r="Y90" i="3"/>
  <c r="L70" i="3"/>
  <c r="AQ86" i="3"/>
  <c r="N72" i="3"/>
  <c r="R73" i="3"/>
  <c r="AL82" i="3"/>
  <c r="U83" i="3"/>
  <c r="V62" i="3"/>
  <c r="T73" i="3"/>
  <c r="T49" i="3"/>
  <c r="AI61" i="3"/>
  <c r="AG69" i="3"/>
  <c r="AH88" i="3"/>
  <c r="I65" i="3"/>
  <c r="AM59" i="3"/>
  <c r="J68" i="3"/>
  <c r="M67" i="3"/>
  <c r="AA93" i="3"/>
  <c r="Y54" i="3"/>
  <c r="AN70" i="3"/>
  <c r="AJ85" i="3"/>
  <c r="AH83" i="3"/>
  <c r="S81" i="3"/>
  <c r="Z88" i="3"/>
  <c r="Q48" i="3"/>
  <c r="AG75" i="3"/>
  <c r="AN69" i="3"/>
  <c r="P78" i="3"/>
  <c r="H66" i="3"/>
  <c r="L73" i="3"/>
  <c r="AJ93" i="3"/>
  <c r="Q63" i="3"/>
  <c r="AO74" i="3"/>
  <c r="M49" i="3"/>
  <c r="AG66" i="3"/>
  <c r="S56" i="3"/>
  <c r="I49" i="3"/>
  <c r="AJ75" i="3"/>
  <c r="X94" i="3"/>
  <c r="AC57" i="3"/>
  <c r="K91" i="3"/>
  <c r="AG63" i="3"/>
  <c r="AQ77" i="3"/>
  <c r="AO89" i="3"/>
  <c r="L93" i="3"/>
  <c r="AM82" i="3"/>
  <c r="M74" i="3"/>
  <c r="P47" i="3"/>
  <c r="P90" i="3"/>
  <c r="O56" i="3"/>
  <c r="AA48" i="3"/>
  <c r="M72" i="3"/>
  <c r="V83" i="3"/>
  <c r="AQ85" i="3"/>
  <c r="AI68" i="3"/>
  <c r="AK64" i="3"/>
  <c r="AO61" i="3"/>
  <c r="AA86" i="3"/>
  <c r="K69" i="3"/>
  <c r="AL79" i="3"/>
  <c r="M84" i="3"/>
  <c r="AK65" i="3"/>
  <c r="Y93" i="3"/>
  <c r="AA49" i="3"/>
  <c r="AJ88" i="3"/>
  <c r="N66" i="3"/>
  <c r="AN47" i="3"/>
  <c r="K92" i="3"/>
  <c r="U92" i="3"/>
  <c r="U90" i="3"/>
  <c r="AH95" i="3"/>
  <c r="U70" i="3"/>
  <c r="P55" i="3"/>
  <c r="AM63" i="3"/>
  <c r="AE58" i="3"/>
  <c r="T84" i="3"/>
  <c r="AI63" i="3"/>
  <c r="O74" i="3"/>
  <c r="Q55" i="3"/>
  <c r="AE47" i="3"/>
  <c r="AE49" i="3"/>
  <c r="W74" i="3"/>
  <c r="AC58" i="3"/>
  <c r="AN83" i="3"/>
  <c r="S57" i="3"/>
  <c r="I66" i="3"/>
  <c r="AN72" i="3"/>
  <c r="Z89" i="3"/>
  <c r="AJ79" i="3"/>
  <c r="W80" i="3"/>
  <c r="S76" i="3"/>
  <c r="AQ65" i="3"/>
  <c r="V77" i="3"/>
  <c r="Y71" i="3"/>
  <c r="H49" i="3"/>
  <c r="AE92" i="3"/>
  <c r="Z81" i="3"/>
  <c r="L65" i="3"/>
  <c r="W69" i="3"/>
  <c r="I69" i="3"/>
  <c r="N90" i="3"/>
  <c r="AA94" i="3"/>
  <c r="AH84" i="3"/>
  <c r="W73" i="3"/>
  <c r="W61" i="3"/>
  <c r="K78" i="3"/>
  <c r="V56" i="3"/>
  <c r="AC94" i="3"/>
  <c r="AQ96" i="3"/>
  <c r="W68" i="3"/>
  <c r="AJ80" i="3"/>
  <c r="AG94" i="3"/>
  <c r="AO56" i="3"/>
  <c r="R57" i="3"/>
  <c r="Q80" i="3"/>
  <c r="AK56" i="3"/>
  <c r="R84" i="3"/>
  <c r="AI64" i="3"/>
  <c r="Q58" i="3"/>
  <c r="AN75" i="3"/>
  <c r="M91" i="3"/>
  <c r="Z49" i="3"/>
  <c r="W48" i="3"/>
  <c r="AL68" i="3"/>
  <c r="AC76" i="3"/>
  <c r="Y80" i="3"/>
  <c r="J69" i="3"/>
  <c r="V96" i="3"/>
  <c r="X81" i="3"/>
  <c r="AN76" i="3"/>
  <c r="AM50" i="3"/>
  <c r="AI94" i="3"/>
  <c r="AQ66" i="3"/>
  <c r="Y72" i="3"/>
  <c r="N68" i="3"/>
  <c r="Y92" i="3"/>
  <c r="M61" i="3"/>
  <c r="AH48" i="3"/>
  <c r="U87" i="3"/>
  <c r="I86" i="3"/>
  <c r="AK60" i="3"/>
  <c r="AC83" i="3"/>
  <c r="Z93" i="3"/>
  <c r="AA55" i="3"/>
  <c r="Z47" i="3"/>
  <c r="W82" i="3"/>
  <c r="K86" i="3"/>
  <c r="AC73" i="3"/>
  <c r="Y56" i="3"/>
  <c r="AE65" i="3"/>
  <c r="AQ57" i="3"/>
  <c r="Z55" i="3"/>
  <c r="AN63" i="3"/>
  <c r="V49" i="3"/>
  <c r="AM74" i="3"/>
  <c r="J83" i="3"/>
  <c r="J79" i="3"/>
  <c r="AN82" i="3"/>
  <c r="AJ60" i="3"/>
  <c r="W67" i="3"/>
  <c r="T69" i="3"/>
  <c r="AN91" i="3"/>
  <c r="U67" i="3"/>
  <c r="I62" i="3"/>
  <c r="X62" i="3"/>
  <c r="AC63" i="3"/>
  <c r="P54" i="3"/>
  <c r="W97" i="3"/>
  <c r="X86" i="3"/>
  <c r="R92" i="3"/>
  <c r="AQ55" i="3"/>
  <c r="AA74" i="3"/>
  <c r="AK97" i="3"/>
  <c r="L83" i="3"/>
  <c r="O94" i="3"/>
  <c r="H67" i="3"/>
  <c r="M68" i="3"/>
  <c r="AN80" i="3"/>
  <c r="AC87" i="3"/>
  <c r="AH69" i="3"/>
  <c r="J58" i="3"/>
  <c r="AK86" i="3"/>
  <c r="H55" i="3"/>
  <c r="M55" i="3"/>
  <c r="X50" i="3"/>
  <c r="S90" i="3"/>
  <c r="Z56" i="3"/>
  <c r="AN50" i="3"/>
  <c r="AJ81" i="3"/>
  <c r="R94" i="3"/>
  <c r="AJ90" i="3"/>
  <c r="AG71" i="3"/>
  <c r="I72" i="3"/>
  <c r="H56" i="3"/>
  <c r="W94" i="3"/>
  <c r="V93" i="3"/>
  <c r="Y66" i="3"/>
  <c r="AQ68" i="3"/>
  <c r="S83" i="3"/>
  <c r="Z63" i="3"/>
  <c r="AG67" i="3"/>
  <c r="AO93" i="3"/>
  <c r="Z86" i="3"/>
  <c r="O49" i="3"/>
  <c r="V88" i="3"/>
  <c r="V50" i="3"/>
  <c r="AN59" i="3"/>
  <c r="AG55" i="3"/>
  <c r="Q77" i="3"/>
  <c r="U78" i="3"/>
  <c r="T55" i="3"/>
  <c r="AJ87" i="3"/>
  <c r="U76" i="3"/>
  <c r="T70" i="3"/>
  <c r="S70" i="3"/>
  <c r="M88" i="3"/>
  <c r="AH60" i="3"/>
  <c r="AJ71" i="3"/>
  <c r="K63" i="3"/>
  <c r="P79" i="3"/>
  <c r="N84" i="3"/>
  <c r="N65" i="3"/>
  <c r="T97" i="3"/>
  <c r="V48" i="3"/>
  <c r="AA56" i="3"/>
  <c r="AK90" i="3"/>
  <c r="R79" i="3"/>
  <c r="Q66" i="3"/>
  <c r="X74" i="3"/>
  <c r="R96" i="3"/>
  <c r="I81" i="3"/>
  <c r="AI47" i="3"/>
  <c r="U85" i="3"/>
  <c r="AI72" i="3"/>
  <c r="AI86" i="3"/>
  <c r="Z96" i="3"/>
  <c r="AK95" i="3"/>
  <c r="AA89" i="3"/>
  <c r="AA97" i="3"/>
  <c r="AO73" i="3"/>
  <c r="AJ57" i="3"/>
  <c r="AM71" i="3"/>
  <c r="U74" i="3"/>
  <c r="K75" i="3"/>
  <c r="R86" i="3"/>
  <c r="AO63" i="3"/>
  <c r="P76" i="3"/>
  <c r="W85" i="3"/>
  <c r="U79" i="3"/>
  <c r="N93" i="3"/>
  <c r="AK49" i="3"/>
  <c r="AI77" i="3"/>
  <c r="H73" i="3"/>
  <c r="J94" i="3"/>
  <c r="AA72" i="3"/>
  <c r="N92" i="3"/>
  <c r="AG59" i="3"/>
  <c r="V86" i="3"/>
  <c r="Y49" i="3"/>
  <c r="K64" i="3"/>
  <c r="AO84" i="3"/>
  <c r="AQ78" i="3"/>
  <c r="N48" i="3"/>
  <c r="AA85" i="3"/>
  <c r="AL59" i="3"/>
  <c r="AJ89" i="3"/>
  <c r="AI54" i="3"/>
  <c r="Q91" i="3"/>
  <c r="AI79" i="3"/>
  <c r="L60" i="3"/>
  <c r="Q73" i="3"/>
  <c r="J96" i="3"/>
  <c r="K47" i="3"/>
  <c r="Y74" i="3"/>
  <c r="AG48" i="3"/>
  <c r="Y97" i="3"/>
  <c r="AC48" i="3"/>
  <c r="AM89" i="3"/>
  <c r="O72" i="3"/>
  <c r="AC67" i="3"/>
  <c r="AG78" i="3"/>
  <c r="I84" i="3"/>
  <c r="R87" i="3"/>
  <c r="AN84" i="3"/>
  <c r="R67" i="3"/>
  <c r="X83" i="3"/>
  <c r="AQ48" i="3"/>
  <c r="AE63" i="3"/>
  <c r="I55" i="3"/>
  <c r="M66" i="3"/>
  <c r="AK76" i="3"/>
  <c r="AC62" i="3"/>
  <c r="AH58" i="3"/>
  <c r="W47" i="3"/>
  <c r="AL74" i="3"/>
  <c r="AO91" i="3"/>
  <c r="AL75" i="3"/>
  <c r="AO83" i="3"/>
  <c r="AO67" i="3"/>
  <c r="Y62" i="3"/>
  <c r="X78" i="3"/>
  <c r="X55" i="3"/>
  <c r="Q78" i="3"/>
  <c r="I87" i="3"/>
  <c r="P97" i="3"/>
  <c r="AL84" i="3"/>
  <c r="J48" i="3"/>
  <c r="W50" i="3"/>
  <c r="AJ70" i="3"/>
  <c r="AG47" i="3"/>
  <c r="M58" i="3"/>
  <c r="Q61" i="3"/>
  <c r="J78" i="3"/>
  <c r="AO78" i="3"/>
  <c r="Z54" i="3"/>
  <c r="X97" i="3"/>
  <c r="AQ63" i="3"/>
  <c r="AN56" i="3"/>
  <c r="T91" i="3"/>
  <c r="L120" i="1" l="1"/>
  <c r="B65" i="1"/>
  <c r="B108" i="1" s="1"/>
  <c r="S161" i="1"/>
  <c r="T209" i="1" s="1"/>
  <c r="N120" i="1"/>
  <c r="N175" i="1" s="1"/>
  <c r="I161" i="1"/>
  <c r="J209" i="1" s="1"/>
  <c r="E120" i="1"/>
  <c r="R134" i="1"/>
  <c r="R33" i="1" s="1"/>
  <c r="I148" i="1"/>
  <c r="C120" i="1"/>
  <c r="C175" i="1" s="1"/>
  <c r="U161" i="1"/>
  <c r="C128" i="1"/>
  <c r="C202" i="1"/>
  <c r="M120" i="1"/>
  <c r="M175" i="1" s="1"/>
  <c r="O161" i="1"/>
  <c r="P209" i="1" s="1"/>
  <c r="S202" i="1"/>
  <c r="N134" i="1"/>
  <c r="L134" i="1"/>
  <c r="L33" i="1" s="1"/>
  <c r="V161" i="1"/>
  <c r="W209" i="1" s="1"/>
  <c r="T202" i="1"/>
  <c r="D120" i="1"/>
  <c r="D128" i="1"/>
  <c r="D37" i="1" s="1"/>
  <c r="Q202" i="1"/>
  <c r="V202" i="1"/>
  <c r="O120" i="1"/>
  <c r="M161" i="1"/>
  <c r="N209" i="1" s="1"/>
  <c r="S173" i="1"/>
  <c r="U148" i="1"/>
  <c r="U182" i="1" s="1"/>
  <c r="U181" i="1" s="1"/>
  <c r="T161" i="1"/>
  <c r="U209" i="1" s="1"/>
  <c r="B173" i="1"/>
  <c r="F128" i="1"/>
  <c r="F37" i="1" s="1"/>
  <c r="C134" i="1"/>
  <c r="C138" i="1" s="1"/>
  <c r="Q173" i="1"/>
  <c r="H120" i="1"/>
  <c r="R128" i="1"/>
  <c r="V128" i="1"/>
  <c r="V37" i="1" s="1"/>
  <c r="S148" i="1"/>
  <c r="S182" i="1" s="1"/>
  <c r="T120" i="1"/>
  <c r="H173" i="1"/>
  <c r="C173" i="1"/>
  <c r="I120" i="1"/>
  <c r="J134" i="1"/>
  <c r="M148" i="1"/>
  <c r="M182" i="1" s="1"/>
  <c r="M181" i="1" s="1"/>
  <c r="U134" i="1"/>
  <c r="U33" i="1" s="1"/>
  <c r="B156" i="1"/>
  <c r="B185" i="1" s="1"/>
  <c r="B184" i="1" s="1"/>
  <c r="S134" i="1"/>
  <c r="S33" i="1" s="1"/>
  <c r="B134" i="1"/>
  <c r="B33" i="1" s="1"/>
  <c r="K202" i="1"/>
  <c r="H161" i="1"/>
  <c r="I209" i="1" s="1"/>
  <c r="C65" i="1"/>
  <c r="C66" i="1" s="1"/>
  <c r="S128" i="1"/>
  <c r="S168" i="1" s="1"/>
  <c r="S109" i="1" s="1"/>
  <c r="S156" i="1"/>
  <c r="S185" i="1" s="1"/>
  <c r="S184" i="1" s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F182" i="1" s="1"/>
  <c r="F181" i="1" s="1"/>
  <c r="J161" i="1"/>
  <c r="K209" i="1" s="1"/>
  <c r="G120" i="1"/>
  <c r="G54" i="1" s="1"/>
  <c r="D173" i="1"/>
  <c r="J128" i="1"/>
  <c r="J168" i="1" s="1"/>
  <c r="J109" i="1" s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C157" i="1" s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175" i="1" s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U156" i="1"/>
  <c r="L156" i="1"/>
  <c r="L175" i="1"/>
  <c r="R54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F138" i="1"/>
  <c r="F33" i="1"/>
  <c r="BD10" i="1"/>
  <c r="BD253" i="1"/>
  <c r="BD231" i="1"/>
  <c r="BG98" i="1"/>
  <c r="BG99" i="1" s="1"/>
  <c r="AI203" i="1"/>
  <c r="AI201" i="1" s="1"/>
  <c r="AI26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T206" i="1" l="1"/>
  <c r="T54" i="1"/>
  <c r="I54" i="1"/>
  <c r="D249" i="1"/>
  <c r="D251" i="1" s="1"/>
  <c r="I175" i="1"/>
  <c r="L138" i="1"/>
  <c r="R37" i="1"/>
  <c r="B107" i="1"/>
  <c r="B66" i="1"/>
  <c r="C107" i="1"/>
  <c r="C108" i="1"/>
  <c r="B138" i="1"/>
  <c r="V209" i="1"/>
  <c r="O248" i="1"/>
  <c r="D206" i="1"/>
  <c r="D129" i="1"/>
  <c r="D55" i="1" s="1"/>
  <c r="N248" i="1"/>
  <c r="N138" i="1"/>
  <c r="N33" i="1"/>
  <c r="U138" i="1"/>
  <c r="E175" i="1"/>
  <c r="F207" i="1"/>
  <c r="J138" i="1"/>
  <c r="J33" i="1"/>
  <c r="R138" i="1"/>
  <c r="O54" i="1"/>
  <c r="O129" i="1"/>
  <c r="O55" i="1" s="1"/>
  <c r="O175" i="1"/>
  <c r="D175" i="1"/>
  <c r="I182" i="1"/>
  <c r="I181" i="1" s="1"/>
  <c r="E54" i="1"/>
  <c r="U207" i="1"/>
  <c r="T175" i="1"/>
  <c r="T168" i="1"/>
  <c r="T109" i="1" s="1"/>
  <c r="S138" i="1"/>
  <c r="V168" i="1"/>
  <c r="V109" i="1" s="1"/>
  <c r="F129" i="1"/>
  <c r="F55" i="1" s="1"/>
  <c r="S157" i="1"/>
  <c r="I248" i="1"/>
  <c r="S181" i="1"/>
  <c r="D207" i="1"/>
  <c r="R209" i="1"/>
  <c r="Q248" i="1"/>
  <c r="M207" i="1"/>
  <c r="M248" i="1"/>
  <c r="M54" i="1"/>
  <c r="S186" i="1"/>
  <c r="U197" i="1"/>
  <c r="H33" i="1"/>
  <c r="S206" i="1"/>
  <c r="O207" i="1"/>
  <c r="C54" i="1"/>
  <c r="P197" i="1"/>
  <c r="N207" i="1"/>
  <c r="C207" i="1"/>
  <c r="J37" i="1"/>
  <c r="N54" i="1"/>
  <c r="C129" i="1"/>
  <c r="C55" i="1" s="1"/>
  <c r="S37" i="1"/>
  <c r="H207" i="1"/>
  <c r="F168" i="1"/>
  <c r="F109" i="1" s="1"/>
  <c r="E207" i="1"/>
  <c r="I207" i="1"/>
  <c r="T248" i="1"/>
  <c r="H248" i="1"/>
  <c r="H54" i="1"/>
  <c r="D248" i="1"/>
  <c r="T197" i="1"/>
  <c r="D54" i="1"/>
  <c r="G196" i="1"/>
  <c r="C33" i="1"/>
  <c r="T138" i="1"/>
  <c r="T246" i="1" s="1"/>
  <c r="S249" i="1"/>
  <c r="S251" i="1" s="1"/>
  <c r="C37" i="1"/>
  <c r="F157" i="1"/>
  <c r="F165" i="1" s="1"/>
  <c r="F166" i="1" s="1"/>
  <c r="P196" i="1"/>
  <c r="U196" i="1"/>
  <c r="U198" i="1" s="1"/>
  <c r="U199" i="1" s="1"/>
  <c r="E206" i="1"/>
  <c r="E205" i="1" s="1"/>
  <c r="E196" i="1"/>
  <c r="U249" i="1"/>
  <c r="U251" i="1" s="1"/>
  <c r="T207" i="1"/>
  <c r="J249" i="1"/>
  <c r="J251" i="1" s="1"/>
  <c r="D197" i="1"/>
  <c r="AR134" i="1"/>
  <c r="G209" i="1"/>
  <c r="F248" i="1"/>
  <c r="F175" i="1"/>
  <c r="F54" i="1"/>
  <c r="H129" i="1"/>
  <c r="H55" i="1" s="1"/>
  <c r="H37" i="1"/>
  <c r="R168" i="1"/>
  <c r="R109" i="1" s="1"/>
  <c r="R129" i="1"/>
  <c r="R55" i="1" s="1"/>
  <c r="S197" i="1"/>
  <c r="H175" i="1"/>
  <c r="R207" i="1"/>
  <c r="O206" i="1"/>
  <c r="V249" i="1"/>
  <c r="V251" i="1" s="1"/>
  <c r="E209" i="1"/>
  <c r="D168" i="1"/>
  <c r="D109" i="1" s="1"/>
  <c r="D110" i="1" s="1"/>
  <c r="D113" i="1" s="1"/>
  <c r="G175" i="1"/>
  <c r="G207" i="1"/>
  <c r="U54" i="1"/>
  <c r="K196" i="1"/>
  <c r="J182" i="1"/>
  <c r="J181" i="1" s="1"/>
  <c r="J196" i="1"/>
  <c r="H206" i="1"/>
  <c r="H168" i="1"/>
  <c r="H109" i="1" s="1"/>
  <c r="J248" i="1"/>
  <c r="J129" i="1"/>
  <c r="J55" i="1" s="1"/>
  <c r="E182" i="1"/>
  <c r="E181" i="1" s="1"/>
  <c r="F196" i="1"/>
  <c r="P138" i="1"/>
  <c r="P33" i="1"/>
  <c r="Q168" i="1"/>
  <c r="Q109" i="1" s="1"/>
  <c r="H197" i="1"/>
  <c r="K207" i="1"/>
  <c r="S246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L165" i="1" s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205" i="1" s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M205" i="1" s="1"/>
  <c r="L129" i="1"/>
  <c r="L55" i="1" s="1"/>
  <c r="D185" i="1"/>
  <c r="E197" i="1"/>
  <c r="E198" i="1" s="1"/>
  <c r="E199" i="1" s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F205" i="1" s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C68" i="1"/>
  <c r="C69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C165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F184" i="1"/>
  <c r="F186" i="1"/>
  <c r="CQ138" i="1"/>
  <c r="CR32" i="1"/>
  <c r="AE77" i="1"/>
  <c r="AB125" i="1"/>
  <c r="AB128" i="1" s="1"/>
  <c r="AB249" i="1" s="1"/>
  <c r="AD142" i="1"/>
  <c r="CZ65" i="1"/>
  <c r="DA63" i="1"/>
  <c r="B165" i="1" l="1"/>
  <c r="N165" i="1"/>
  <c r="U165" i="1"/>
  <c r="R165" i="1"/>
  <c r="L244" i="1"/>
  <c r="L246" i="1"/>
  <c r="B68" i="1"/>
  <c r="B69" i="1"/>
  <c r="B87" i="1" s="1"/>
  <c r="C203" i="1"/>
  <c r="C201" i="1" s="1"/>
  <c r="D205" i="1"/>
  <c r="N246" i="1"/>
  <c r="N244" i="1"/>
  <c r="U244" i="1"/>
  <c r="U246" i="1"/>
  <c r="J246" i="1"/>
  <c r="J244" i="1"/>
  <c r="R244" i="1"/>
  <c r="R246" i="1"/>
  <c r="T205" i="1"/>
  <c r="S203" i="1"/>
  <c r="S201" i="1" s="1"/>
  <c r="S244" i="1"/>
  <c r="P198" i="1"/>
  <c r="P199" i="1" s="1"/>
  <c r="T203" i="1"/>
  <c r="T201" i="1" s="1"/>
  <c r="S165" i="1"/>
  <c r="N205" i="1"/>
  <c r="T244" i="1"/>
  <c r="G198" i="1"/>
  <c r="G199" i="1" s="1"/>
  <c r="H205" i="1"/>
  <c r="O205" i="1"/>
  <c r="U203" i="1"/>
  <c r="U201" i="1" s="1"/>
  <c r="T198" i="1"/>
  <c r="T199" i="1" s="1"/>
  <c r="AW202" i="1"/>
  <c r="D198" i="1"/>
  <c r="D199" i="1" s="1"/>
  <c r="BR249" i="1"/>
  <c r="G205" i="1"/>
  <c r="T165" i="1"/>
  <c r="T166" i="1" s="1"/>
  <c r="R205" i="1"/>
  <c r="F198" i="1"/>
  <c r="F199" i="1" s="1"/>
  <c r="W203" i="1"/>
  <c r="W201" i="1" s="1"/>
  <c r="V165" i="1"/>
  <c r="V166" i="1" s="1"/>
  <c r="R166" i="1"/>
  <c r="V205" i="1"/>
  <c r="L203" i="1"/>
  <c r="L201" i="1" s="1"/>
  <c r="K203" i="1"/>
  <c r="K201" i="1" s="1"/>
  <c r="AR138" i="1"/>
  <c r="AR244" i="1" s="1"/>
  <c r="AS134" i="1"/>
  <c r="AS33" i="1"/>
  <c r="D111" i="1"/>
  <c r="D114" i="1" s="1"/>
  <c r="K198" i="1"/>
  <c r="K199" i="1" s="1"/>
  <c r="S198" i="1"/>
  <c r="S199" i="1" s="1"/>
  <c r="H166" i="1"/>
  <c r="J198" i="1"/>
  <c r="J199" i="1" s="1"/>
  <c r="J166" i="1"/>
  <c r="P244" i="1"/>
  <c r="P246" i="1"/>
  <c r="P165" i="1"/>
  <c r="P166" i="1" s="1"/>
  <c r="K205" i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N166" i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U166" i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U213" i="1" l="1"/>
  <c r="U210" i="1"/>
  <c r="U211" i="1" s="1"/>
  <c r="D210" i="1"/>
  <c r="D211" i="1" s="1"/>
  <c r="D213" i="1"/>
  <c r="M213" i="1"/>
  <c r="T213" i="1"/>
  <c r="T210" i="1"/>
  <c r="T211" i="1" s="1"/>
  <c r="AR246" i="1"/>
  <c r="K213" i="1"/>
  <c r="K210" i="1"/>
  <c r="K211" i="1" s="1"/>
  <c r="AR165" i="1"/>
  <c r="AR166" i="1" s="1"/>
  <c r="AS138" i="1"/>
  <c r="AS203" i="1" s="1"/>
  <c r="AS201" i="1" s="1"/>
  <c r="AT33" i="1"/>
  <c r="P210" i="1"/>
  <c r="P211" i="1" s="1"/>
  <c r="H210" i="1"/>
  <c r="H211" i="1" s="1"/>
  <c r="J213" i="1"/>
  <c r="S213" i="1"/>
  <c r="S210" i="1"/>
  <c r="S211" i="1" s="1"/>
  <c r="D244" i="1"/>
  <c r="D166" i="1"/>
  <c r="Q213" i="1"/>
  <c r="I213" i="1"/>
  <c r="Q210" i="1"/>
  <c r="Q211" i="1" s="1"/>
  <c r="I210" i="1"/>
  <c r="I211" i="1" s="1"/>
  <c r="N213" i="1"/>
  <c r="J210" i="1"/>
  <c r="J211" i="1" s="1"/>
  <c r="H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157" i="1" l="1"/>
  <c r="CV196" i="1"/>
  <c r="CY145" i="1"/>
  <c r="CY16" i="1"/>
  <c r="CY153" i="1"/>
  <c r="CY146" i="1"/>
  <c r="CY152" i="1"/>
  <c r="CY156" i="1" s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V198" i="1"/>
  <c r="CY19" i="1"/>
  <c r="CY15" i="1"/>
  <c r="CY28" i="1"/>
  <c r="CY34" i="1" s="1"/>
  <c r="CY1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0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9" i="1" l="1"/>
  <c r="CY232" i="1"/>
  <c r="CY233" i="1" s="1"/>
  <c r="CY250" i="1"/>
  <c r="CY251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87" i="1"/>
  <c r="AA85" i="1"/>
  <c r="AA113" i="1"/>
  <c r="AA108" i="1"/>
  <c r="AA111" i="1"/>
  <c r="AA114" i="1"/>
  <c r="AA86" i="1"/>
  <c r="AA92" i="1"/>
  <c r="AA99" i="1"/>
  <c r="AA95" i="1"/>
  <c r="AA94" i="1"/>
  <c r="AA96" i="1"/>
  <c r="AA103" i="1"/>
  <c r="AA102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Y63" i="1"/>
  <c r="Z65" i="1"/>
  <c r="AC63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X65" i="1"/>
  <c r="Z68" i="1"/>
  <c r="Z69" i="1"/>
  <c r="Z96" i="1"/>
  <c r="Z94" i="1"/>
  <c r="Z95" i="1"/>
  <c r="Z104" i="1"/>
  <c r="Z102" i="1"/>
  <c r="Z10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S65" i="1"/>
  <c r="S66" i="1"/>
  <c r="S69" i="1"/>
  <c r="X108" i="1"/>
  <c r="X66" i="1"/>
  <c r="Y103" i="1"/>
  <c r="Y96" i="1"/>
  <c r="Z85" i="1"/>
  <c r="R65" i="1"/>
  <c r="N65" i="1"/>
  <c r="T65" i="1"/>
  <c r="P65" i="1"/>
  <c r="G65" i="1"/>
  <c r="L65" i="1"/>
  <c r="R66" i="1"/>
  <c r="P99" i="1"/>
  <c r="W65" i="1"/>
  <c r="Q65" i="1"/>
  <c r="Q66" i="1"/>
  <c r="Q69" i="1"/>
  <c r="U65" i="1"/>
  <c r="U99" i="1"/>
  <c r="U103" i="1"/>
  <c r="I65" i="1"/>
  <c r="I99" i="1"/>
  <c r="I103" i="1"/>
  <c r="H65" i="1"/>
  <c r="H99" i="1"/>
  <c r="H104" i="1"/>
  <c r="K65" i="1"/>
  <c r="K99" i="1"/>
  <c r="K102" i="1"/>
  <c r="M65" i="1"/>
  <c r="M66" i="1"/>
  <c r="M69" i="1"/>
  <c r="M85" i="1"/>
  <c r="F63" i="1"/>
  <c r="F65" i="1"/>
  <c r="F66" i="1"/>
  <c r="F68" i="1"/>
  <c r="I102" i="1"/>
  <c r="K66" i="1"/>
  <c r="K68" i="1"/>
  <c r="U66" i="1"/>
  <c r="U68" i="1"/>
  <c r="E63" i="1"/>
  <c r="E65" i="1"/>
  <c r="E99" i="1"/>
  <c r="E102" i="1"/>
  <c r="Q68" i="1"/>
  <c r="J65" i="1"/>
  <c r="J99" i="1"/>
  <c r="J104" i="1"/>
  <c r="H102" i="1"/>
  <c r="R68" i="1"/>
  <c r="T66" i="1"/>
  <c r="T69" i="1"/>
  <c r="T86" i="1"/>
  <c r="S68" i="1"/>
  <c r="N92" i="1"/>
  <c r="N95" i="1"/>
  <c r="P89" i="1"/>
  <c r="Q87" i="1"/>
  <c r="Q85" i="1"/>
  <c r="Q70" i="1"/>
  <c r="H66" i="1"/>
  <c r="H69" i="1"/>
  <c r="H70" i="1"/>
  <c r="H87" i="1"/>
  <c r="F69" i="1"/>
  <c r="F70" i="1"/>
  <c r="H85" i="1"/>
  <c r="H86" i="1"/>
  <c r="V65" i="1"/>
  <c r="V66" i="1"/>
  <c r="V69" i="1"/>
  <c r="U89" i="1"/>
  <c r="V86" i="1"/>
  <c r="V85" i="1"/>
  <c r="V87" i="1"/>
  <c r="V70" i="1"/>
  <c r="O65" i="1"/>
  <c r="O66" i="1"/>
  <c r="O68" i="1"/>
  <c r="O69" i="1"/>
  <c r="S86" i="1"/>
  <c r="S70" i="1"/>
  <c r="T70" i="1"/>
  <c r="M70" i="1"/>
  <c r="I66" i="1"/>
  <c r="I69" i="1"/>
  <c r="I86" i="1"/>
  <c r="I70" i="1"/>
  <c r="I87" i="1"/>
  <c r="I85" i="1"/>
  <c r="S85" i="1"/>
  <c r="H89" i="1"/>
  <c r="R89" i="1"/>
  <c r="S87" i="1"/>
  <c r="L66" i="1"/>
  <c r="L69" i="1"/>
  <c r="L85" i="1"/>
  <c r="L86" i="1"/>
  <c r="L87" i="1"/>
  <c r="K89" i="1"/>
  <c r="L92" i="1"/>
  <c r="N108" i="1"/>
  <c r="G108" i="1"/>
  <c r="H103" i="1"/>
  <c r="W108" i="1"/>
  <c r="T92" i="1"/>
  <c r="J102" i="1"/>
  <c r="S107" i="1"/>
  <c r="S89" i="1"/>
  <c r="P66" i="1"/>
  <c r="P69" i="1"/>
  <c r="P85" i="1"/>
  <c r="P102" i="1"/>
  <c r="L108" i="1"/>
  <c r="G107" i="1"/>
  <c r="L95" i="1"/>
  <c r="L94" i="1"/>
  <c r="L96" i="1"/>
  <c r="N96" i="1"/>
  <c r="N94" i="1"/>
  <c r="E92" i="1"/>
  <c r="E94" i="1"/>
  <c r="E95" i="1"/>
  <c r="E96" i="1"/>
  <c r="O92" i="1"/>
  <c r="O94" i="1"/>
  <c r="O96" i="1"/>
  <c r="O95" i="1"/>
  <c r="J107" i="1"/>
  <c r="J110" i="1"/>
  <c r="J113" i="1"/>
  <c r="J108" i="1"/>
  <c r="J111" i="1"/>
  <c r="J114" i="1"/>
  <c r="I107" i="1"/>
  <c r="I110" i="1"/>
  <c r="I113" i="1"/>
  <c r="AE108" i="1"/>
  <c r="AE111" i="1"/>
  <c r="AE114" i="1"/>
  <c r="I104" i="1"/>
  <c r="R108" i="1"/>
  <c r="U102" i="1"/>
  <c r="Q86" i="1"/>
  <c r="G89" i="1"/>
  <c r="T108" i="1"/>
  <c r="T107" i="1"/>
  <c r="U104" i="1"/>
  <c r="T85" i="1"/>
  <c r="P107" i="1"/>
  <c r="P86" i="1"/>
  <c r="P103" i="1"/>
  <c r="W107" i="1"/>
  <c r="R92" i="1"/>
  <c r="L107" i="1"/>
  <c r="L89" i="1"/>
  <c r="E103" i="1"/>
  <c r="E89" i="1"/>
  <c r="M87" i="1"/>
  <c r="K104" i="1"/>
  <c r="R107" i="1"/>
  <c r="O89" i="1"/>
  <c r="M86" i="1"/>
  <c r="N107" i="1"/>
  <c r="F86" i="1"/>
  <c r="F85" i="1"/>
  <c r="E104" i="1"/>
  <c r="P108" i="1"/>
  <c r="P87" i="1"/>
  <c r="P104" i="1"/>
  <c r="J103" i="1"/>
  <c r="S108" i="1"/>
  <c r="V108" i="1"/>
  <c r="V111" i="1"/>
  <c r="V114" i="1"/>
  <c r="V107" i="1"/>
  <c r="V110" i="1"/>
  <c r="V113" i="1"/>
  <c r="I92" i="1"/>
  <c r="I94" i="1"/>
  <c r="I96" i="1"/>
  <c r="I95" i="1"/>
  <c r="P70" i="1"/>
  <c r="N89" i="1"/>
  <c r="O86" i="1"/>
  <c r="O87" i="1"/>
  <c r="O70" i="1"/>
  <c r="O85" i="1"/>
  <c r="S110" i="1"/>
  <c r="S113" i="1"/>
  <c r="T96" i="1"/>
  <c r="T94" i="1"/>
  <c r="T95" i="1"/>
  <c r="R110" i="1"/>
  <c r="R113" i="1"/>
  <c r="G92" i="1"/>
  <c r="S92" i="1"/>
  <c r="P92" i="1"/>
  <c r="R95" i="1"/>
  <c r="R96" i="1"/>
  <c r="R94" i="1"/>
  <c r="M92" i="1"/>
  <c r="M95" i="1"/>
  <c r="M96" i="1"/>
  <c r="M94" i="1"/>
  <c r="K108" i="1"/>
  <c r="K111" i="1"/>
  <c r="K114" i="1"/>
  <c r="Q92" i="1"/>
  <c r="Q96" i="1"/>
  <c r="P95" i="1"/>
  <c r="U107" i="1"/>
  <c r="U110" i="1"/>
  <c r="U113" i="1"/>
  <c r="P110" i="1"/>
  <c r="P113" i="1"/>
  <c r="L110" i="1"/>
  <c r="L113" i="1"/>
  <c r="E107" i="1"/>
  <c r="E110" i="1"/>
  <c r="E113" i="1"/>
  <c r="N111" i="1"/>
  <c r="N114" i="1"/>
  <c r="V92" i="1"/>
  <c r="V95" i="1"/>
  <c r="V96" i="1"/>
  <c r="R111" i="1"/>
  <c r="R114" i="1"/>
  <c r="G111" i="1"/>
  <c r="G114" i="1"/>
  <c r="G110" i="1"/>
  <c r="G113" i="1"/>
  <c r="F92" i="1"/>
  <c r="F94" i="1"/>
  <c r="F95" i="1"/>
  <c r="F96" i="1"/>
  <c r="H108" i="1"/>
  <c r="H111" i="1"/>
  <c r="H114" i="1"/>
  <c r="H107" i="1"/>
  <c r="H110" i="1"/>
  <c r="H113" i="1"/>
  <c r="H92" i="1"/>
  <c r="H95" i="1"/>
  <c r="H96" i="1"/>
  <c r="H94" i="1"/>
  <c r="G94" i="1"/>
  <c r="G96" i="1"/>
  <c r="G95" i="1"/>
  <c r="U92" i="1"/>
  <c r="U95" i="1"/>
  <c r="U96" i="1"/>
  <c r="U94" i="1"/>
  <c r="Q108" i="1"/>
  <c r="Q111" i="1"/>
  <c r="Q114" i="1"/>
  <c r="Q107" i="1"/>
  <c r="Q110" i="1"/>
  <c r="Q113" i="1"/>
  <c r="O108" i="1"/>
  <c r="O111" i="1"/>
  <c r="O114" i="1"/>
  <c r="O107" i="1"/>
  <c r="O110" i="1"/>
  <c r="O113" i="1"/>
  <c r="J92" i="1"/>
  <c r="J94" i="1"/>
  <c r="J95" i="1"/>
  <c r="J96" i="1"/>
  <c r="K107" i="1"/>
  <c r="K110" i="1"/>
  <c r="K113" i="1"/>
  <c r="K92" i="1"/>
  <c r="K95" i="1"/>
  <c r="K96" i="1"/>
  <c r="K94" i="1"/>
  <c r="S95" i="1"/>
  <c r="S94" i="1"/>
  <c r="S96" i="1"/>
  <c r="Q95" i="1"/>
  <c r="Q94" i="1"/>
  <c r="P94" i="1"/>
  <c r="P96" i="1"/>
  <c r="U108" i="1"/>
  <c r="U111" i="1"/>
  <c r="U114" i="1"/>
  <c r="P111" i="1"/>
  <c r="P114" i="1"/>
  <c r="L111" i="1"/>
  <c r="L114" i="1"/>
  <c r="M108" i="1"/>
  <c r="M111" i="1"/>
  <c r="M114" i="1"/>
  <c r="M107" i="1"/>
  <c r="M110" i="1"/>
  <c r="M113" i="1"/>
  <c r="AD107" i="1"/>
  <c r="AD108" i="1"/>
  <c r="AD111" i="1"/>
  <c r="AD114" i="1"/>
  <c r="X99" i="1"/>
  <c r="X107" i="1"/>
  <c r="X92" i="1"/>
  <c r="Y69" i="1"/>
  <c r="Y104" i="1"/>
  <c r="Y94" i="1"/>
  <c r="Z87" i="1"/>
  <c r="X69" i="1"/>
  <c r="X68" i="1"/>
  <c r="X96" i="1"/>
  <c r="X104" i="1"/>
  <c r="X85" i="1"/>
  <c r="X86" i="1"/>
  <c r="R99" i="1"/>
  <c r="G66" i="1"/>
  <c r="T99" i="1"/>
  <c r="S99" i="1"/>
  <c r="N99" i="1"/>
  <c r="U69" i="1"/>
  <c r="E66" i="1"/>
  <c r="W99" i="1"/>
  <c r="K69" i="1"/>
  <c r="M99" i="1"/>
  <c r="N66" i="1"/>
  <c r="N69" i="1"/>
  <c r="N70" i="1"/>
  <c r="I108" i="1"/>
  <c r="J66" i="1"/>
  <c r="J69" i="1"/>
  <c r="T87" i="1"/>
  <c r="K103" i="1"/>
  <c r="F87" i="1"/>
  <c r="F107" i="1"/>
  <c r="F110" i="1"/>
  <c r="AD110" i="1"/>
  <c r="AD113" i="1"/>
  <c r="AE66" i="1"/>
  <c r="AE69" i="1"/>
  <c r="AE70" i="1"/>
  <c r="AE68" i="1"/>
  <c r="AE92" i="1"/>
  <c r="AE94" i="1"/>
  <c r="AE85" i="1"/>
  <c r="AD89" i="1"/>
  <c r="AE96" i="1"/>
  <c r="AE107" i="1"/>
  <c r="AE87" i="1"/>
  <c r="AE86" i="1"/>
  <c r="AE110" i="1"/>
  <c r="E108" i="1"/>
  <c r="E111" i="1"/>
  <c r="E114" i="1"/>
  <c r="N110" i="1"/>
  <c r="N113" i="1"/>
  <c r="V94" i="1"/>
  <c r="W66" i="1"/>
  <c r="W69" i="1"/>
  <c r="W68" i="1"/>
  <c r="W89" i="1"/>
  <c r="W87" i="1"/>
  <c r="V89" i="1"/>
  <c r="W85" i="1"/>
  <c r="W86" i="1"/>
  <c r="W70" i="1"/>
  <c r="X70" i="1"/>
  <c r="X89" i="1"/>
  <c r="W92" i="1"/>
  <c r="W94" i="1"/>
  <c r="W96" i="1"/>
  <c r="W95" i="1"/>
  <c r="W110" i="1"/>
  <c r="W113" i="1"/>
  <c r="W111" i="1"/>
  <c r="W114" i="1"/>
  <c r="Y89" i="1"/>
  <c r="AB99" i="1"/>
  <c r="AB102" i="1"/>
  <c r="AC99" i="1"/>
  <c r="AC102" i="1"/>
  <c r="AD99" i="1"/>
  <c r="AD102" i="1"/>
  <c r="AE99" i="1"/>
  <c r="AE102" i="1"/>
  <c r="Z89" i="1"/>
  <c r="AB66" i="1"/>
  <c r="AB92" i="1"/>
  <c r="AB94" i="1"/>
  <c r="AB68" i="1"/>
  <c r="AB69" i="1"/>
  <c r="AB70" i="1"/>
  <c r="AA89" i="1"/>
  <c r="AB104" i="1"/>
  <c r="AB103" i="1"/>
  <c r="AB85" i="1"/>
  <c r="AB108" i="1"/>
  <c r="AB86" i="1"/>
  <c r="AB95" i="1"/>
  <c r="AB96" i="1"/>
  <c r="AB107" i="1"/>
  <c r="AB87" i="1"/>
  <c r="AB111" i="1"/>
  <c r="AB114" i="1"/>
  <c r="AB110" i="1"/>
  <c r="AB113" i="1"/>
  <c r="AC66" i="1"/>
  <c r="AC68" i="1"/>
  <c r="AC69" i="1"/>
  <c r="AC70" i="1"/>
  <c r="AC92" i="1"/>
  <c r="AC94" i="1"/>
  <c r="AC103" i="1"/>
  <c r="AC85" i="1"/>
  <c r="AB89" i="1"/>
  <c r="AC104" i="1"/>
  <c r="AC107" i="1"/>
  <c r="AC96" i="1"/>
  <c r="AC108" i="1"/>
  <c r="AC87" i="1"/>
  <c r="AC86" i="1"/>
  <c r="AC95" i="1"/>
  <c r="AC110" i="1"/>
  <c r="AC113" i="1"/>
  <c r="AC111" i="1"/>
  <c r="AC114" i="1"/>
  <c r="AD66" i="1"/>
  <c r="AD68" i="1"/>
  <c r="AD69" i="1"/>
  <c r="AD70" i="1"/>
  <c r="AD104" i="1"/>
  <c r="AC89" i="1"/>
  <c r="AD92" i="1"/>
  <c r="AD94" i="1"/>
  <c r="AD85" i="1"/>
  <c r="AD103" i="1"/>
  <c r="AD96" i="1"/>
  <c r="AD87" i="1"/>
  <c r="U70" i="1"/>
  <c r="T111" i="1"/>
  <c r="T114" i="1"/>
  <c r="AE95" i="1"/>
  <c r="AE113" i="1"/>
  <c r="T110" i="1"/>
  <c r="T113" i="1"/>
  <c r="AD95" i="1"/>
  <c r="AD86" i="1"/>
  <c r="AE104" i="1"/>
  <c r="X110" i="1"/>
  <c r="X113" i="1"/>
  <c r="X111" i="1"/>
  <c r="Y68" i="1"/>
  <c r="Y102" i="1"/>
  <c r="Y95" i="1"/>
  <c r="Z86" i="1"/>
  <c r="Y85" i="1"/>
  <c r="Y87" i="1"/>
  <c r="X95" i="1"/>
  <c r="Z70" i="1"/>
  <c r="X102" i="1"/>
  <c r="X87" i="1"/>
  <c r="F99" i="1"/>
  <c r="G69" i="1"/>
  <c r="R69" i="1"/>
  <c r="L99" i="1"/>
  <c r="G99" i="1"/>
  <c r="O99" i="1"/>
  <c r="E69" i="1"/>
  <c r="G70" i="1"/>
  <c r="I111" i="1"/>
  <c r="J70" i="1"/>
  <c r="L70" i="1"/>
  <c r="T103" i="1"/>
  <c r="F104" i="1"/>
  <c r="S111" i="1"/>
  <c r="F108" i="1"/>
  <c r="F111" i="1"/>
  <c r="Y86" i="1"/>
  <c r="Y70" i="1"/>
  <c r="X94" i="1"/>
  <c r="X103" i="1"/>
  <c r="I114" i="1"/>
  <c r="N104" i="1"/>
  <c r="V99" i="1"/>
  <c r="V104" i="1"/>
  <c r="R85" i="1"/>
  <c r="J86" i="1"/>
  <c r="F113" i="1"/>
  <c r="T68" i="1"/>
  <c r="Q89" i="1"/>
  <c r="H68" i="1"/>
  <c r="U87" i="1"/>
  <c r="V68" i="1"/>
  <c r="S102" i="1"/>
  <c r="N68" i="1"/>
  <c r="V102" i="1"/>
  <c r="J68" i="1"/>
  <c r="I68" i="1"/>
  <c r="O102" i="1"/>
  <c r="O103" i="1"/>
  <c r="Q99" i="1"/>
  <c r="Q102" i="1"/>
  <c r="G68" i="1"/>
  <c r="L68" i="1"/>
  <c r="E68" i="1"/>
  <c r="P68" i="1"/>
  <c r="W102" i="1"/>
  <c r="L102" i="1"/>
  <c r="S103" i="1"/>
  <c r="K86" i="1"/>
  <c r="R70" i="1"/>
  <c r="K70" i="1"/>
  <c r="K87" i="1"/>
  <c r="E85" i="1"/>
  <c r="D89" i="1"/>
  <c r="M104" i="1"/>
  <c r="M103" i="1"/>
  <c r="M102" i="1"/>
  <c r="E86" i="1"/>
  <c r="N87" i="1"/>
  <c r="G85" i="1"/>
  <c r="G102" i="1"/>
  <c r="G104" i="1"/>
  <c r="G87" i="1"/>
  <c r="N85" i="1"/>
  <c r="N102" i="1"/>
  <c r="W104" i="1"/>
  <c r="J85" i="1"/>
  <c r="K85" i="1"/>
  <c r="L104" i="1"/>
  <c r="Q103" i="1"/>
  <c r="S104" i="1"/>
  <c r="G103" i="1"/>
  <c r="G86" i="1"/>
  <c r="Q104" i="1"/>
  <c r="R104" i="1"/>
  <c r="R87" i="1"/>
  <c r="U85" i="1"/>
  <c r="J89" i="1"/>
  <c r="E87" i="1"/>
  <c r="T104" i="1"/>
  <c r="T89" i="1"/>
  <c r="T102" i="1"/>
  <c r="W103" i="1"/>
  <c r="L103" i="1"/>
  <c r="O104" i="1"/>
  <c r="R103" i="1"/>
  <c r="R86" i="1"/>
  <c r="V103" i="1"/>
  <c r="M89" i="1"/>
  <c r="J87" i="1"/>
  <c r="N86" i="1"/>
  <c r="N103" i="1"/>
  <c r="F89" i="1"/>
  <c r="F103" i="1"/>
  <c r="F102" i="1"/>
  <c r="U86" i="1"/>
  <c r="I89" i="1"/>
  <c r="R102" i="1"/>
  <c r="S114" i="1"/>
  <c r="AE103" i="1"/>
  <c r="X114" i="1"/>
  <c r="M68" i="1"/>
  <c r="F114" i="1"/>
  <c r="E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<sst xmlns="http://schemas.openxmlformats.org/spreadsheetml/2006/main" count="664" uniqueCount="524">
  <si>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</si>
  <si>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</si>
  <si>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</si>
  <si>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</si>
  <si>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</si>
  <si>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</si>
  <si>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</si>
  <si>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</si>
  <si>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</si>
  <si>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</si>
  <si>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</si>
  <si>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</si>
  <si>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</si>
  <si>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</si>
  <si>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</si>
  <si>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</si>
  <si>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</si>
  <si>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</si>
  <si>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</si>
  <si>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</si>
  <si>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</si>
  <si>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</si>
  <si>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</si>
  <si>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</si>
  <si>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</si>
  <si>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</si>
  <si>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</si>
  <si>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</si>
  <si>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</si>
  <si>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</si>
  <si>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</si>
  <si>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</si>
  <si>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</si>
  <si>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</si>
  <si>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</si>
  <si>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</si>
  <si>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</si>
  <si>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</si>
  <si>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</si>
  <si>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</si>
  <si>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</si>
  <si>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</si>
  <si>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</si>
  <si>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</si>
  <si>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</si>
  <si>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</si>
  <si>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</si>
  <si>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</si>
  <si>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</si>
  <si>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</si>
  <si>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</si>
  <si>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</si>
  <si>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</si>
  <si>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</si>
  <si>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</si>
  <si>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</si>
  <si>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</si>
  <si>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</si>
  <si>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</si>
  <si>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</si>
  <si>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</si>
  <si>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</si>
  <si>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</si>
  <si>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</si>
  <si>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</si>
  <si>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</si>
  <si>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</si>
  <si>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</si>
  <si>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</si>
  <si>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</si>
  <si>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</si>
  <si>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</si>
  <si>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</si>
  <si>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</si>
  <si>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</si>
  <si>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</si>
  <si>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</si>
  <si>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</si>
  <si>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</si>
  <si>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</si>
  <si>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</si>
  <si>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</si>
  <si>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</si>
  <si>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</si>
  <si>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</si>
  <si>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</si>
  <si>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</si>
  <si>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</si>
  <si>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</si>
  <si>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</si>
  <si>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</si>
  <si>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</si>
  <si>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</si>
  <si>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</si>
  <si>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</si>
  <si>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</si>
  <si>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</si>
  <si>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</si>
  <si>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</si>
  <si>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</si>
  <si>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</si>
  <si>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</si>
  <si>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</si>
  <si>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</si>
  <si>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</si>
  <si>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</si>
  <si>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</si>
  <si>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</si>
  <si>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</si>
  <si>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</si>
  <si>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</si>
  <si>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</si>
  <si>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</si>
  <si>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</si>
  <si>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</si>
  <si>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</si>
  <si>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</si>
  <si>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</si>
  <si>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</si>
  <si>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</si>
  <si>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</si>
  <si>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</si>
  <si>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</si>
  <si>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</si>
  <si>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</si>
  <si>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</si>
  <si>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</si>
  <si>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</si>
  <si>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</si>
  <si>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</si>
  <si>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</si>
  <si>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</si>
  <si>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</si>
  <si>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</si>
  <si>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</si>
  <si>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</si>
  <si>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</si>
  <si>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</si>
  <si>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</si>
  <si>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</si>
  <si>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</si>
  <si>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</si>
  <si>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</si>
  <si>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</si>
  <si>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</si>
  <si>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</si>
  <si>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</si>
  <si>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</si>
  <si>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</si>
  <si>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</si>
  <si>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</si>
  <si>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</si>
  <si>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</si>
  <si>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</si>
  <si>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</si>
  <si>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</si>
  <si>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</si>
  <si>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</si>
  <si>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</si>
  <si>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</si>
  <si>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</si>
  <si>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</si>
  <si>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</si>
  <si>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</si>
  <si>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</si>
  <si>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</si>
  <si>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</si>
  <si>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</si>
  <si>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</si>
  <si>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</si>
  <si>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</si>
  <si>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</si>
  <si>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</si>
  <si>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</si>
  <si>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</si>
  <si>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</si>
  <si>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</si>
  <si>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</si>
  <si>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</si>
  <si>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</si>
  <si>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</si>
  <si>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</si>
  <si>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</si>
  <si>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</si>
  <si>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</si>
  <si>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</si>
  <si>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</si>
  <si>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</si>
  <si>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</si>
  <si>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</si>
  <si>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</si>
  <si>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</si>
  <si>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</si>
  <si>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</si>
  <si>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</si>
  <si>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</si>
  <si>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</si>
  <si>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</si>
  <si>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</si>
  <si>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</si>
  <si>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</si>
  <si>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</si>
  <si>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</si>
  <si>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</si>
  <si>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</si>
  <si>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</si>
  <si>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</si>
  <si>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</si>
  <si>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</si>
  <si>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</si>
  <si>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</si>
  <si>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</si>
  <si>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</si>
  <si>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</si>
  <si>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</si>
  <si>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</si>
  <si>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</si>
  <si>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</si>
  <si>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</si>
  <si>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</si>
  <si>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</si>
  <si>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</si>
  <si>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</si>
  <si>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</si>
  <si>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</si>
  <si>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</si>
  <si>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</si>
  <si>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</si>
  <si>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</si>
  <si>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</si>
  <si>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</si>
  <si>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</si>
  <si>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</si>
  <si>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</si>
  <si>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</si>
  <si>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</si>
  <si>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</si>
  <si>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</si>
  <si>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</si>
  <si>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</si>
  <si>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</si>
  <si>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</si>
  <si>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</si>
  <si>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</si>
  <si>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</si>
  <si>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</si>
  <si>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</si>
  <si>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</si>
  <si>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</si>
  <si>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</si>
  <si>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</si>
  <si>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</si>
  <si>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</si>
  <si>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</si>
  <si>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</si>
  <si>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</si>
  <si>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</si>
  <si>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</si>
  <si>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</si>
  <si>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</si>
  <si>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</si>
  <si>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</si>
  <si>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</si>
  <si>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</si>
  <si>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</si>
  <si>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</si>
  <si>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</si>
  <si>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</si>
  <si>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</si>
  <si>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</si>
  <si>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</si>
  <si>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</si>
  <si>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</si>
  <si>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</si>
  <si>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</si>
  <si>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</si>
  <si>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</si>
  <si>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</si>
  <si>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</si>
  <si>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</si>
  <si>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</si>
  <si>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</si>
  <si>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</si>
  <si>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</si>
  <si>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</si>
  <si>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</si>
  <si>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</si>
  <si>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</si>
  <si>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</si>
  <si>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</si>
  <si>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</si>
  <si>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</si>
  <si>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</si>
  <si>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</si>
  <si>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</si>
  <si>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</si>
  <si>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</si>
  <si>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</si>
  <si>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</si>
  <si>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</si>
  <si>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</si>
  <si>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</si>
  <si>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</si>
  <si>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</si>
  <si>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</si>
  <si>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</si>
  <si>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</si>
  <si>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</si>
  <si>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</si>
  <si>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</si>
  <si>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</si>
  <si>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</si>
  <si>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</si>
  <si>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</si>
  <si>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</si>
  <si>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</si>
  <si>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</si>
  <si>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</si>
  <si>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</si>
  <si>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</si>
  <si>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</si>
  <si>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</si>
  <si>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</si>
  <si>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</si>
  <si>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</si>
  <si>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</si>
  <si>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</si>
  <si>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</si>
  <si>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</si>
  <si>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</si>
  <si>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</si>
  <si>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</si>
  <si>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</si>
  <si>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</si>
  <si>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</si>
  <si>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</si>
  <si>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</si>
  <si>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</si>
  <si>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</si>
  <si>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</si>
  <si>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</si>
  <si>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</si>
  <si>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</si>
  <si>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</si>
  <si>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</si>
  <si>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</si>
  <si>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</si>
  <si>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</si>
  <si>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</si>
  <si>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</si>
  <si>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</si>
  <si>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</si>
  <si>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</si>
  <si>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</si>
  <si>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</si>
  <si>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</si>
  <si>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</si>
  <si>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</si>
  <si>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</si>
  <si>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</si>
  <si>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</si>
  <si>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</si>
  <si>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</si>
  <si>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</si>
  <si>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</si>
  <si>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</si>
  <si>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</si>
  <si>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</si>
  <si>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</si>
  <si>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</si>
  <si>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</si>
  <si>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</si>
  <si>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</si>
  <si>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</si>
  <si>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</si>
  <si>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</si>
  <si>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</si>
  <si>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</si>
  <si>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</si>
  <si>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</si>
  <si>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</si>
  <si>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</si>
  <si>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</si>
  <si>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</si>
  <si>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</si>
  <si>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</si>
  <si>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</si>
  <si>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</si>
  <si>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</si>
  <si>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</si>
  <si>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</si>
  <si>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</si>
  <si>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</si>
  <si>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</si>
  <si>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</si>
  <si>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</si>
  <si>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</si>
  <si>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</si>
  <si>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</si>
  <si>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</si>
  <si>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</si>
  <si>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</si>
  <si>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</si>
  <si>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</si>
  <si>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</si>
  <si>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</si>
  <si>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</si>
  <si>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</si>
  <si>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</si>
  <si>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</si>
  <si>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</si>
  <si>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</si>
  <si>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</si>
  <si>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</si>
  <si>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</si>
  <si>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</si>
  <si>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</si>
  <si>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</si>
  <si>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</si>
  <si>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</si>
  <si>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</si>
  <si>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</si>
  <si>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</si>
  <si>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</si>
  <si>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</si>
  <si>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</si>
  <si>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</si>
  <si>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</si>
  <si>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</si>
  <si>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</si>
  <si>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</si>
  <si>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</si>
  <si>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</si>
  <si>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</si>
  <si>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</si>
  <si>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</si>
  <si>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</si>
  <si>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</si>
  <si>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</si>
  <si>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</si>
  <si>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</si>
  <si>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</si>
  <si>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</si>
  <si>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</si>
  <si>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</si>
  <si>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</si>
  <si>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</si>
  <si>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</si>
  <si>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</si>
  <si>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</si>
  <si>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</si>
  <si>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</si>
  <si>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</si>
  <si>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</si>
  <si>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</si>
  <si>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</si>
  <si>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</si>
  <si>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</si>
  <si>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</si>
  <si>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</si>
  <si>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</si>
  <si>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</si>
  <si>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</si>
  <si>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</si>
  <si>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</si>
  <si>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</si>
  <si>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</si>
  <si>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</si>
  <si>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</si>
  <si>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</si>
  <si>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</si>
  <si>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</si>
  <si>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</si>
  <si>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</si>
  <si>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</si>
  <si>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</si>
  <si>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</si>
  <si>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</si>
  <si>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</si>
  <si>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</si>
  <si>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</si>
  <si>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</si>
  <si>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</si>
  <si>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</si>
  <si>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</si>
  <si>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</si>
  <si>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</si>
  <si>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</si>
  <si>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</si>
  <si>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</si>
  <si>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</si>
  <si>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</si>
  <si>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</si>
  <si>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</si>
  <si>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</si>
  <si>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</si>
  <si>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</si>
  <si>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</si>
  <si>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</si>
  <si>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</si>
  <si>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</si>
  <si>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</si>
  <si>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</si>
  <si>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</si>
  <si>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</si>
  <si>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</si>
  <si>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</si>
  <si>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</si>
  <si>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</si>
  <si>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</si>
  <si>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</si>
  <si>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</si>
  <si>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</si>
  <si>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</si>
  <si>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</si>
  <si>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Total Gas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</si>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</sst>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6408.53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514.12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5894.41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0.17891500962026918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-1.2200000000000002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4027.84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1867.79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0.31687480171891674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8.1785958368566503E-2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57.42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615.77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673.18999999999994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0.11420820743721594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1194.5999999999999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0.20266659428170078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5.4154937656079927E-2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243.14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5.8948889465377158E-2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951.45999999999992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37.869999999999997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129.43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5.969688024648083E-2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859.89999999999986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226.17000000000002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0.26301895569252243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633.72999999999979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0.10751372910944434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-8.8366855391170951E-3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21.990000000000002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655.7199999999998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655.7199999999998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0.1347884090026126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0.13528643111761385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109.98</v>
      </c>
      <c r="F63" s="3">
        <f t="shared" ca="1" si="725"/>
        <v>109.98</v>
      </c>
      <c r="G63" s="3">
        <f t="shared" ca="1" si="725"/>
        <v>109.98</v>
      </c>
      <c r="H63" s="3">
        <f t="shared" ca="1" si="725"/>
        <v>109.98</v>
      </c>
      <c r="I63" s="3">
        <f t="shared" ca="1" si="725"/>
        <v>109.98</v>
      </c>
      <c r="J63" s="3">
        <f t="shared" ca="1" si="725"/>
        <v>109.98</v>
      </c>
      <c r="K63" s="3">
        <f t="shared" ca="1" si="725"/>
        <v>109.98</v>
      </c>
      <c r="L63" s="3">
        <f t="shared" ca="1" si="725"/>
        <v>109.98</v>
      </c>
      <c r="M63" s="3">
        <f t="shared" ca="1" si="725"/>
        <v>109.98</v>
      </c>
      <c r="N63" s="3">
        <f t="shared" ca="1" si="725"/>
        <v>109.98</v>
      </c>
      <c r="O63" s="3">
        <f t="shared" ca="1" si="725"/>
        <v>109.98</v>
      </c>
      <c r="P63" s="3">
        <f t="shared" ca="1" si="725"/>
        <v>109.98</v>
      </c>
      <c r="Q63" s="3">
        <f t="shared" ca="1" si="725"/>
        <v>109.98</v>
      </c>
      <c r="R63" s="3">
        <f t="shared" ca="1" si="725"/>
        <v>109.98</v>
      </c>
      <c r="S63" s="3">
        <f t="shared" ca="1" si="725"/>
        <v>109.98</v>
      </c>
      <c r="T63" s="3">
        <f t="shared" ca="1" si="725"/>
        <v>109.98</v>
      </c>
      <c r="U63" s="3">
        <f t="shared" ca="1" si="725"/>
        <v>109.98</v>
      </c>
      <c r="V63" s="3">
        <f t="shared" ca="1" si="725"/>
        <v>109.98</v>
      </c>
      <c r="W63" s="3">
        <f t="shared" ca="1" si="725"/>
        <v>109.98</v>
      </c>
      <c r="X63" s="3">
        <f t="shared" ca="1" si="725"/>
        <v>109.98</v>
      </c>
      <c r="Y63" s="3">
        <f t="shared" ca="1" si="725"/>
        <v>109.98</v>
      </c>
      <c r="Z63" s="3">
        <f ca="1">+AA63</f>
        <v>109.98</v>
      </c>
      <c r="AA63" s="3">
        <f ca="1">+AB63</f>
        <v>109.98</v>
      </c>
      <c r="AB63" s="37">
        <f t="shared" ref="AB63:AB64" ca="1" si="726">AA63</f>
        <v>109.98</v>
      </c>
      <c r="AC63" s="37">
        <f t="shared" ref="AC63:AC64" ca="1" si="727">AB63</f>
        <v>109.98</v>
      </c>
      <c r="AD63" s="37">
        <f t="shared" ref="AD63:AD64" ca="1" si="728">AC63</f>
        <v>109.98</v>
      </c>
      <c r="AE63" s="37">
        <f t="shared" ref="AE63:AE64" ca="1" si="729">AD63</f>
        <v>109.98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109.98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</v>
      </c>
      <c r="F64" s="3">
        <f t="shared" ca="1" si="747"/>
        <v>1</v>
      </c>
      <c r="G64" s="3">
        <f t="shared" ca="1" si="747"/>
        <v>1</v>
      </c>
      <c r="H64" s="3">
        <f t="shared" ca="1" si="747"/>
        <v>1</v>
      </c>
      <c r="I64" s="3">
        <f t="shared" ca="1" si="747"/>
        <v>1</v>
      </c>
      <c r="J64" s="3">
        <f t="shared" ca="1" si="747"/>
        <v>1</v>
      </c>
      <c r="K64" s="3">
        <f t="shared" ca="1" si="747"/>
        <v>1</v>
      </c>
      <c r="L64" s="3">
        <f t="shared" ca="1" si="747"/>
        <v>1</v>
      </c>
      <c r="M64" s="3">
        <f t="shared" ca="1" si="747"/>
        <v>1</v>
      </c>
      <c r="N64" s="3">
        <f t="shared" ca="1" si="747"/>
        <v>1</v>
      </c>
      <c r="O64" s="3">
        <f t="shared" ca="1" si="747"/>
        <v>1</v>
      </c>
      <c r="P64" s="3">
        <f t="shared" ca="1" si="747"/>
        <v>1</v>
      </c>
      <c r="Q64" s="3">
        <f t="shared" ca="1" si="747"/>
        <v>1</v>
      </c>
      <c r="R64" s="3">
        <f t="shared" ca="1" si="747"/>
        <v>1</v>
      </c>
      <c r="S64" s="3">
        <f t="shared" ca="1" si="747"/>
        <v>1</v>
      </c>
      <c r="T64" s="3">
        <f t="shared" ca="1" si="747"/>
        <v>1</v>
      </c>
      <c r="U64" s="3">
        <f t="shared" ca="1" si="747"/>
        <v>1</v>
      </c>
      <c r="V64" s="3">
        <f t="shared" ca="1" si="747"/>
        <v>1</v>
      </c>
      <c r="W64" s="3">
        <f t="shared" ca="1" si="747"/>
        <v>1</v>
      </c>
      <c r="X64" s="3">
        <f t="shared" ca="1" si="747"/>
        <v>1</v>
      </c>
      <c r="Y64" s="3">
        <f t="shared" ca="1" si="747"/>
        <v>1</v>
      </c>
      <c r="Z64" s="3">
        <f ca="1">+AA64</f>
        <v>1</v>
      </c>
      <c r="AA64" s="3">
        <f ca="1">+AB64</f>
        <v>1</v>
      </c>
      <c r="AB64" s="37">
        <f t="shared" ca="1" si="726"/>
        <v>1</v>
      </c>
      <c r="AC64" s="37">
        <f t="shared" ca="1" si="727"/>
        <v>1</v>
      </c>
      <c r="AD64" s="37">
        <f t="shared" ca="1" si="728"/>
        <v>1</v>
      </c>
      <c r="AE64" s="37">
        <f t="shared" ca="1" si="729"/>
        <v>1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109.98</v>
      </c>
      <c r="F65" s="3">
        <f t="shared" ca="1" si="749"/>
        <v>109.98</v>
      </c>
      <c r="G65" s="3">
        <f t="shared" ca="1" si="749"/>
        <v>109.98</v>
      </c>
      <c r="H65" s="3">
        <f t="shared" ca="1" si="749"/>
        <v>109.98</v>
      </c>
      <c r="I65" s="3">
        <f t="shared" ca="1" si="749"/>
        <v>109.98</v>
      </c>
      <c r="J65" s="3">
        <f t="shared" ca="1" si="749"/>
        <v>109.98</v>
      </c>
      <c r="K65" s="3">
        <f t="shared" ca="1" si="749"/>
        <v>109.98</v>
      </c>
      <c r="L65" s="3">
        <f t="shared" ca="1" si="749"/>
        <v>109.98</v>
      </c>
      <c r="M65" s="3">
        <f t="shared" ca="1" si="749"/>
        <v>109.98</v>
      </c>
      <c r="N65" s="3">
        <f t="shared" ca="1" si="749"/>
        <v>109.98</v>
      </c>
      <c r="O65" s="3">
        <f t="shared" ca="1" si="749"/>
        <v>109.98</v>
      </c>
      <c r="P65" s="3">
        <f t="shared" ca="1" si="749"/>
        <v>109.98</v>
      </c>
      <c r="Q65" s="3">
        <f t="shared" ca="1" si="749"/>
        <v>109.98</v>
      </c>
      <c r="R65" s="3">
        <f t="shared" ca="1" si="749"/>
        <v>109.98</v>
      </c>
      <c r="S65" s="3">
        <f t="shared" ca="1" si="749"/>
        <v>109.98</v>
      </c>
      <c r="T65" s="3">
        <f t="shared" ca="1" si="749"/>
        <v>109.98</v>
      </c>
      <c r="U65" s="3">
        <f t="shared" ca="1" si="749"/>
        <v>109.98</v>
      </c>
      <c r="V65" s="3">
        <f ca="1">V63/V64</f>
        <v>109.98</v>
      </c>
      <c r="W65" s="3">
        <f t="shared" ca="1" si="749"/>
        <v>109.98</v>
      </c>
      <c r="X65" s="3">
        <f t="shared" ref="X65:Y65" ca="1" si="750">X63/X64</f>
        <v>109.98</v>
      </c>
      <c r="Y65" s="3">
        <f t="shared" ca="1" si="750"/>
        <v>109.98</v>
      </c>
      <c r="Z65" s="3">
        <f t="shared" ref="Z65:AA65" ca="1" si="751">Z63/Z64</f>
        <v>109.98</v>
      </c>
      <c r="AA65" s="3">
        <f t="shared" ca="1" si="751"/>
        <v>109.98</v>
      </c>
      <c r="AB65" s="37">
        <f t="shared" ref="AA65:AD65" ca="1" si="752">AB63/AB64</f>
        <v>109.98</v>
      </c>
      <c r="AC65" s="37">
        <f t="shared" ca="1" si="752"/>
        <v>109.98</v>
      </c>
      <c r="AD65" s="37">
        <f t="shared" ca="1" si="752"/>
        <v>109.98</v>
      </c>
      <c r="AE65" s="37">
        <f t="shared" ref="AE65" ca="1" si="753">AE63/AE64</f>
        <v>109.98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109.98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8.4128023276959438E-2</v>
      </c>
      <c r="K66" s="53">
        <f t="shared" ca="1" si="764"/>
        <v>9.000545553737091E-2</v>
      </c>
      <c r="L66" s="53">
        <f t="shared" ca="1" si="764"/>
        <v>0.40582287688670587</v>
      </c>
      <c r="M66" s="53">
        <f t="shared" ca="1" si="764"/>
        <v>0.35521458446990339</v>
      </c>
      <c r="N66" s="53">
        <f t="shared" ca="1" si="764"/>
        <v>0.51181305691943968</v>
      </c>
      <c r="O66" s="53">
        <f t="shared" ca="1" si="764"/>
        <v>0.4338497908710669</v>
      </c>
      <c r="P66" s="53">
        <f t="shared" ca="1" si="764"/>
        <v>0.87351336606655849</v>
      </c>
      <c r="Q66" s="53">
        <f t="shared" ca="1" si="764"/>
        <v>1.2339770867430437</v>
      </c>
      <c r="R66" s="53">
        <f t="shared" ca="1" si="764"/>
        <v>1.4744362611383903</v>
      </c>
      <c r="S66" s="53">
        <f t="shared" ca="1" si="764"/>
        <v>1.4727223131478453</v>
      </c>
      <c r="T66" s="53">
        <f t="shared" ca="1" si="764"/>
        <v>2.3307874158937985</v>
      </c>
      <c r="U66" s="53">
        <f t="shared" ca="1" si="764"/>
        <v>3.9672667757774147</v>
      </c>
      <c r="V66" s="53">
        <f t="shared" ca="1" si="764"/>
        <v>4.3397890525550071</v>
      </c>
      <c r="W66" s="53">
        <f t="shared" ca="1" si="764"/>
        <v>4.6317512274959061</v>
      </c>
      <c r="X66" s="53">
        <f t="shared" ca="1" si="764"/>
        <v>4.9689943626113848</v>
      </c>
      <c r="Y66" s="53">
        <f t="shared" ca="1" si="764"/>
        <v>6.0692853246044685</v>
      </c>
      <c r="Z66" s="53">
        <f t="shared" ca="1" si="764"/>
        <v>5.9502636843062415</v>
      </c>
      <c r="AA66" s="53">
        <f t="shared" ref="AA66" ca="1" si="765">(AA48-AA47)/AA65</f>
        <v>5.9502636843062415</v>
      </c>
      <c r="AB66" s="54">
        <f t="shared" ca="1" si="764"/>
        <v>7.3844659487124353</v>
      </c>
      <c r="AC66" s="54">
        <f t="shared" ca="1" si="764"/>
        <v>9.768092829680592</v>
      </c>
      <c r="AD66" s="54">
        <f t="shared" ca="1" si="764"/>
        <v>12.598423033115099</v>
      </c>
      <c r="AE66" s="54">
        <f t="shared" ca="1" si="764"/>
        <v>15.929987198222864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5.9621749408983433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>
        <f t="shared" ca="1" si="770"/>
        <v>0</v>
      </c>
      <c r="K68" s="3">
        <f t="shared" ca="1" si="770"/>
        <v>0</v>
      </c>
      <c r="L68" s="3">
        <f t="shared" ca="1" si="770"/>
        <v>0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>
        <f t="shared" ca="1" si="770"/>
        <v>0</v>
      </c>
      <c r="Q68" s="3">
        <f t="shared" ca="1" si="770"/>
        <v>0.13776592922701475</v>
      </c>
      <c r="R68" s="3">
        <f t="shared" ca="1" si="770"/>
        <v>0</v>
      </c>
      <c r="S68" s="3">
        <f t="shared" ca="1" si="770"/>
        <v>0</v>
      </c>
      <c r="T68" s="3">
        <f t="shared" ca="1" si="770"/>
        <v>0.10725988920964347</v>
      </c>
      <c r="U68" s="3">
        <f t="shared" ca="1" si="770"/>
        <v>6.3015676567656762E-2</v>
      </c>
      <c r="V68" s="3">
        <f ca="1">V67/V66</f>
        <v>5.7606486622388944E-2</v>
      </c>
      <c r="W68" s="3">
        <f t="shared" ref="W68" ca="1" si="771">W67/W66</f>
        <v>5.3975265017667869E-2</v>
      </c>
      <c r="X68" s="3">
        <f t="shared" ref="X68:Y68" ca="1" si="772">X67/X66</f>
        <v>5.0311991070284896E-2</v>
      </c>
      <c r="Y68" s="3">
        <f t="shared" ca="1" si="772"/>
        <v>4.1191011235955088E-2</v>
      </c>
      <c r="Z68" s="3">
        <f t="shared" ref="Z68:AA68" ca="1" si="773">Z67/Z66</f>
        <v>4.2014944759401568E-2</v>
      </c>
      <c r="AA68" s="3">
        <f t="shared" ca="1" si="773"/>
        <v>4.2014944759401568E-2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8.4128023276959438E-2</v>
      </c>
      <c r="K69" s="3">
        <f t="shared" ca="1" si="776"/>
        <v>9.000545553737091E-2</v>
      </c>
      <c r="L69" s="3">
        <f t="shared" ca="1" si="776"/>
        <v>0.40582287688670587</v>
      </c>
      <c r="M69" s="3">
        <f t="shared" ca="1" si="776"/>
        <v>0.35521458446990339</v>
      </c>
      <c r="N69" s="3">
        <f t="shared" ca="1" si="776"/>
        <v>0.51181305691943968</v>
      </c>
      <c r="O69" s="3">
        <f t="shared" ca="1" si="776"/>
        <v>0.4338497908710669</v>
      </c>
      <c r="P69" s="3">
        <f t="shared" ca="1" si="776"/>
        <v>0.87351336606655849</v>
      </c>
      <c r="Q69" s="3">
        <f t="shared" ca="1" si="776"/>
        <v>1.2339770867430437</v>
      </c>
      <c r="R69" s="3">
        <f t="shared" ca="1" si="776"/>
        <v>1.4744362611383903</v>
      </c>
      <c r="S69" s="3">
        <f t="shared" ca="1" si="776"/>
        <v>1.4727223131478453</v>
      </c>
      <c r="T69" s="3">
        <f ca="1">+T66</f>
        <v>2.3307874158937985</v>
      </c>
      <c r="U69" s="3">
        <f t="shared" ca="1" si="776"/>
        <v>3.9672667757774147</v>
      </c>
      <c r="V69" s="3">
        <f ca="1">+V66</f>
        <v>4.3397890525550071</v>
      </c>
      <c r="W69" s="3">
        <f t="shared" ref="W69" ca="1" si="777">+W66</f>
        <v>4.6317512274959061</v>
      </c>
      <c r="X69" s="3">
        <f t="shared" ref="X69:Y69" ca="1" si="778">+X66</f>
        <v>4.9689943626113848</v>
      </c>
      <c r="Y69" s="3">
        <f t="shared" ca="1" si="778"/>
        <v>6.0692853246044685</v>
      </c>
      <c r="Z69" s="3">
        <f t="shared" ref="Z69:AA69" ca="1" si="779">+Z66</f>
        <v>5.9502636843062415</v>
      </c>
      <c r="AA69" s="3">
        <f t="shared" ca="1" si="779"/>
        <v>5.9502636843062415</v>
      </c>
      <c r="AB69" s="37">
        <f t="shared" ref="AA69:AD69" ca="1" si="780">+AB66</f>
        <v>7.3844659487124353</v>
      </c>
      <c r="AC69" s="37">
        <f t="shared" ca="1" si="780"/>
        <v>9.768092829680592</v>
      </c>
      <c r="AD69" s="37">
        <f t="shared" ca="1" si="780"/>
        <v>12.598423033115099</v>
      </c>
      <c r="AE69" s="37">
        <f t="shared" ref="AE69" ca="1" si="781">+AE66</f>
        <v>15.929987198222864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5.9621749408983433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>
        <f t="shared" ca="1" si="846"/>
        <v>6.9862954476682226E-2</v>
      </c>
      <c r="L70" s="101">
        <f t="shared" ca="1" si="846"/>
        <v>3.5088697619913196</v>
      </c>
      <c r="M70" s="101">
        <f t="shared" ca="1" si="846"/>
        <v>-0.12470537098609857</v>
      </c>
      <c r="N70" s="101">
        <f t="shared" ca="1" si="846"/>
        <v>0.4408559763480222</v>
      </c>
      <c r="O70" s="101">
        <f t="shared" ca="1" si="846"/>
        <v>-0.15232762235029174</v>
      </c>
      <c r="P70" s="101">
        <f t="shared" ca="1" si="846"/>
        <v>1.0134004543663648</v>
      </c>
      <c r="Q70" s="101">
        <f t="shared" ca="1" si="846"/>
        <v>0.41265965087593082</v>
      </c>
      <c r="R70" s="101">
        <f t="shared" ca="1" si="846"/>
        <v>0.19486518589256296</v>
      </c>
      <c r="S70" s="101">
        <f t="shared" ca="1" si="846"/>
        <v>-1.1624429185034257E-3</v>
      </c>
      <c r="T70" s="101">
        <f t="shared" ca="1" si="846"/>
        <v>0.58263876026424599</v>
      </c>
      <c r="U70" s="101">
        <f t="shared" ca="1" si="846"/>
        <v>0.70211437933993981</v>
      </c>
      <c r="V70" s="101">
        <f t="shared" ca="1" si="846"/>
        <v>9.3898973230655436E-2</v>
      </c>
      <c r="W70" s="101">
        <f t="shared" ca="1" si="846"/>
        <v>6.7275660499905854E-2</v>
      </c>
      <c r="X70" s="101">
        <f t="shared" ca="1" si="846"/>
        <v>7.2811150372988465E-2</v>
      </c>
      <c r="Y70" s="101">
        <f t="shared" ca="1" si="846"/>
        <v>0.22143131621804479</v>
      </c>
      <c r="Z70" s="101">
        <f t="shared" ca="1" si="846"/>
        <v>-1.9610486891384338E-2</v>
      </c>
      <c r="AA70" s="101">
        <f t="shared" ca="1" si="846"/>
        <v>-1.9610486891384338E-2</v>
      </c>
      <c r="AB70" s="174">
        <f t="shared" ref="AB70" ca="1" si="847">+AB69/AA69-1</f>
        <v>0.23855237759927084</v>
      </c>
      <c r="AC70" s="174">
        <f t="shared" ref="AC70" ca="1" si="848">+AC69/AB69-1</f>
        <v>0.32278933879893756</v>
      </c>
      <c r="AD70" s="174">
        <f t="shared" ref="AD70" ca="1" si="849">+AD69/AC69-1</f>
        <v>0.28975259068325787</v>
      </c>
      <c r="AE70" s="174">
        <f t="shared" ref="AE70" ca="1" si="850">+AE69/AD69-1</f>
        <v>0.2644429510225772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2.0018031509287937E-3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509.8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797.4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453.5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0.56414280109846993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-0.11043546488819145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>
        <f t="shared" ca="1" si="878"/>
        <v>0</v>
      </c>
      <c r="K85" s="13">
        <f t="shared" ca="1" si="878"/>
        <v>0</v>
      </c>
      <c r="L85" s="13">
        <f t="shared" ca="1" si="878"/>
        <v>0</v>
      </c>
      <c r="M85" s="13">
        <f t="shared" ca="1" si="878"/>
        <v>0</v>
      </c>
      <c r="N85" s="13">
        <f t="shared" ca="1" si="878"/>
        <v>0</v>
      </c>
      <c r="O85" s="13">
        <f t="shared" ca="1" si="878"/>
        <v>0</v>
      </c>
      <c r="P85" s="13">
        <f t="shared" ca="1" si="878"/>
        <v>0</v>
      </c>
      <c r="Q85" s="13">
        <f t="shared" ca="1" si="878"/>
        <v>0</v>
      </c>
      <c r="R85" s="13">
        <f t="shared" ca="1" si="878"/>
        <v>0</v>
      </c>
      <c r="S85" s="13">
        <f t="shared" ca="1" si="878"/>
        <v>0</v>
      </c>
      <c r="T85" s="13">
        <f t="shared" ca="1" si="878"/>
        <v>55.28174689865024</v>
      </c>
      <c r="U85" s="13">
        <f t="shared" ca="1" si="878"/>
        <v>21.778217821782174</v>
      </c>
      <c r="V85" s="13">
        <f t="shared" ca="1" si="878"/>
        <v>221.49694106308547</v>
      </c>
      <c r="W85" s="13">
        <f t="shared" ca="1" si="878"/>
        <v>463.91740282685538</v>
      </c>
      <c r="X85" s="13">
        <f t="shared" ca="1" si="878"/>
        <v>174.52223462460427</v>
      </c>
      <c r="Y85" s="13">
        <f t="shared" ca="1" si="878"/>
        <v>152.48088539325857</v>
      </c>
      <c r="Z85" s="13">
        <f t="shared" ref="Z85:AA85" ca="1" si="879">+Z77/Z69</f>
        <v>101.1215690469277</v>
      </c>
      <c r="AA85" s="13">
        <f t="shared" ca="1" si="879"/>
        <v>101.1215690469277</v>
      </c>
      <c r="AB85" s="37">
        <f t="shared" ca="1" si="878"/>
        <v>69.036813703351072</v>
      </c>
      <c r="AC85" s="37">
        <f t="shared" ca="1" si="878"/>
        <v>52.19033120272568</v>
      </c>
      <c r="AD85" s="37">
        <f t="shared" ca="1" si="878"/>
        <v>40.465381949787279</v>
      </c>
      <c r="AE85" s="37">
        <f t="shared" ca="1" si="878"/>
        <v>32.002536703662443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85.505709754163391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>
        <f t="shared" ca="1" si="885"/>
        <v>0</v>
      </c>
      <c r="K86" s="13">
        <f t="shared" ca="1" si="885"/>
        <v>0</v>
      </c>
      <c r="L86" s="13">
        <f t="shared" ca="1" si="885"/>
        <v>0</v>
      </c>
      <c r="M86" s="13">
        <f t="shared" ca="1" si="885"/>
        <v>0</v>
      </c>
      <c r="N86" s="13">
        <f t="shared" ca="1" si="885"/>
        <v>0</v>
      </c>
      <c r="O86" s="13">
        <f t="shared" ca="1" si="885"/>
        <v>0</v>
      </c>
      <c r="P86" s="13">
        <f t="shared" ca="1" si="885"/>
        <v>0</v>
      </c>
      <c r="Q86" s="13">
        <f t="shared" ca="1" si="885"/>
        <v>0</v>
      </c>
      <c r="R86" s="13">
        <f t="shared" ca="1" si="885"/>
        <v>0</v>
      </c>
      <c r="S86" s="13">
        <f t="shared" ca="1" si="885"/>
        <v>0</v>
      </c>
      <c r="T86" s="13">
        <f t="shared" ca="1" si="885"/>
        <v>58.091955995942904</v>
      </c>
      <c r="U86" s="13">
        <f t="shared" ca="1" si="885"/>
        <v>49.038799504950489</v>
      </c>
      <c r="V86" s="13">
        <f t="shared" ca="1" si="885"/>
        <v>223.72055144670969</v>
      </c>
      <c r="W86" s="13">
        <f t="shared" ca="1" si="885"/>
        <v>483.92063604240309</v>
      </c>
      <c r="X86" s="13">
        <f t="shared" ca="1" si="885"/>
        <v>804.65979798349451</v>
      </c>
      <c r="Y86" s="13">
        <f t="shared" ca="1" si="885"/>
        <v>207.58622022471928</v>
      </c>
      <c r="Z86" s="13">
        <f t="shared" ref="Z86:AA86" ca="1" si="886">+Z78/Z69</f>
        <v>201.32721229810045</v>
      </c>
      <c r="AA86" s="13">
        <f t="shared" ca="1" si="886"/>
        <v>201.32721229810045</v>
      </c>
      <c r="AB86" s="60">
        <f t="shared" ca="1" si="885"/>
        <v>109.02061855670112</v>
      </c>
      <c r="AC86" s="60">
        <f t="shared" ca="1" si="885"/>
        <v>109.020618556701</v>
      </c>
      <c r="AD86" s="60">
        <f t="shared" ca="1" si="885"/>
        <v>109.02061855670095</v>
      </c>
      <c r="AE86" s="60">
        <f t="shared" ca="1" si="885"/>
        <v>109.02061855670107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133.74314036478989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>
        <f t="shared" ca="1" si="908"/>
        <v>0</v>
      </c>
      <c r="K87" s="13">
        <f t="shared" ca="1" si="908"/>
        <v>0</v>
      </c>
      <c r="L87" s="13">
        <f t="shared" ca="1" si="908"/>
        <v>0</v>
      </c>
      <c r="M87" s="13">
        <f t="shared" ca="1" si="908"/>
        <v>0</v>
      </c>
      <c r="N87" s="13">
        <f t="shared" ca="1" si="908"/>
        <v>0</v>
      </c>
      <c r="O87" s="13">
        <f t="shared" ca="1" si="908"/>
        <v>0</v>
      </c>
      <c r="P87" s="13">
        <f t="shared" ca="1" si="908"/>
        <v>0</v>
      </c>
      <c r="Q87" s="13">
        <f t="shared" ca="1" si="908"/>
        <v>0</v>
      </c>
      <c r="R87" s="13">
        <f t="shared" ca="1" si="908"/>
        <v>0</v>
      </c>
      <c r="S87" s="13">
        <f t="shared" ca="1" si="908"/>
        <v>0</v>
      </c>
      <c r="T87" s="13">
        <f t="shared" ca="1" si="908"/>
        <v>30.118576890067885</v>
      </c>
      <c r="U87" s="13">
        <f t="shared" ca="1" si="908"/>
        <v>19.333209570957095</v>
      </c>
      <c r="V87" s="13">
        <f t="shared" ca="1" si="908"/>
        <v>19.80511010077732</v>
      </c>
      <c r="W87" s="13">
        <f t="shared" ca="1" si="908"/>
        <v>166.88072438162553</v>
      </c>
      <c r="X87" s="13">
        <f t="shared" ca="1" si="908"/>
        <v>131.81741660414644</v>
      </c>
      <c r="Y87" s="13">
        <f t="shared" ca="1" si="908"/>
        <v>85.99859325842705</v>
      </c>
      <c r="Z87" s="13">
        <f t="shared" ref="Z87:AA87" ca="1" si="909">+Z79/Z69</f>
        <v>89.575862227044141</v>
      </c>
      <c r="AA87" s="13">
        <f t="shared" ca="1" si="909"/>
        <v>89.575862227044141</v>
      </c>
      <c r="AB87" s="60">
        <f t="shared" ca="1" si="908"/>
        <v>63.181080042175573</v>
      </c>
      <c r="AC87" s="60">
        <f t="shared" ca="1" si="908"/>
        <v>61.659989668864043</v>
      </c>
      <c r="AD87" s="60">
        <f t="shared" ca="1" si="908"/>
        <v>62.960226287771242</v>
      </c>
      <c r="AE87" s="60">
        <f t="shared" ca="1" si="908"/>
        <v>63.888237501640525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76.062846946867595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>
        <f t="shared" ca="1" si="914"/>
        <v>0</v>
      </c>
      <c r="J89" s="13">
        <f t="shared" ca="1" si="914"/>
        <v>0</v>
      </c>
      <c r="K89" s="13">
        <f t="shared" ca="1" si="914"/>
        <v>0</v>
      </c>
      <c r="L89" s="13">
        <f t="shared" ca="1" si="914"/>
        <v>0</v>
      </c>
      <c r="M89" s="13">
        <f t="shared" ca="1" si="914"/>
        <v>0</v>
      </c>
      <c r="N89" s="13">
        <f t="shared" ca="1" si="914"/>
        <v>0</v>
      </c>
      <c r="O89" s="13">
        <f t="shared" ca="1" si="914"/>
        <v>0</v>
      </c>
      <c r="P89" s="13">
        <f t="shared" ca="1" si="914"/>
        <v>0</v>
      </c>
      <c r="Q89" s="13">
        <f t="shared" ca="1" si="914"/>
        <v>0</v>
      </c>
      <c r="R89" s="13">
        <f t="shared" ca="1" si="914"/>
        <v>0</v>
      </c>
      <c r="S89" s="13">
        <f t="shared" ca="1" si="914"/>
        <v>0</v>
      </c>
      <c r="T89" s="13">
        <f t="shared" ca="1" si="914"/>
        <v>34.129290429042904</v>
      </c>
      <c r="U89" s="13">
        <f t="shared" ca="1" si="914"/>
        <v>44.829367889543079</v>
      </c>
      <c r="V89" s="13">
        <f t="shared" ca="1" si="914"/>
        <v>209.61833922261494</v>
      </c>
      <c r="W89" s="13">
        <f t="shared" ca="1" si="914"/>
        <v>451.07718713974629</v>
      </c>
      <c r="X89" s="13">
        <f t="shared" ca="1" si="914"/>
        <v>658.78431910112408</v>
      </c>
      <c r="Y89" s="13">
        <f t="shared" ca="1" si="914"/>
        <v>211.73851560948017</v>
      </c>
      <c r="Z89" s="13">
        <f t="shared" ref="Z89:AA89" ca="1" si="915">+Z78/AA69</f>
        <v>200.92500000000007</v>
      </c>
      <c r="AA89" s="13">
        <f t="shared" ca="1" si="915"/>
        <v>200.92500000000007</v>
      </c>
      <c r="AB89" s="37">
        <f t="shared" ca="1" si="914"/>
        <v>82.417218947114691</v>
      </c>
      <c r="AC89" s="37">
        <f t="shared" ca="1" si="914"/>
        <v>84.528319108819431</v>
      </c>
      <c r="AD89" s="37">
        <f t="shared" ca="1" si="914"/>
        <v>86.220274681854221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107.98343516487277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2.3298827059465355</v>
      </c>
      <c r="K92" s="162">
        <f t="shared" ca="1" si="919"/>
        <v>2.7289352609565376</v>
      </c>
      <c r="L92" s="162">
        <f t="shared" ca="1" si="919"/>
        <v>3.1347608656119297</v>
      </c>
      <c r="M92" s="162">
        <f t="shared" ca="1" si="919"/>
        <v>3.5080769230769233</v>
      </c>
      <c r="N92" s="162">
        <f t="shared" ca="1" si="919"/>
        <v>4.0198890707401347</v>
      </c>
      <c r="O92" s="162">
        <f t="shared" ca="1" si="919"/>
        <v>4.4537379523549729</v>
      </c>
      <c r="P92" s="162">
        <f t="shared" ca="1" si="919"/>
        <v>5.3185224586288413</v>
      </c>
      <c r="Q92" s="162">
        <f t="shared" ca="1" si="919"/>
        <v>5.5827159483542461</v>
      </c>
      <c r="R92" s="162">
        <f t="shared" ca="1" si="919"/>
        <v>6.4997781414802684</v>
      </c>
      <c r="S92" s="162">
        <f t="shared" ca="1" si="919"/>
        <v>7.9051645753773405</v>
      </c>
      <c r="T92" s="162">
        <f t="shared" ca="1" si="919"/>
        <v>10.019549008910712</v>
      </c>
      <c r="U92" s="162">
        <f t="shared" ca="1" si="919"/>
        <v>13.374068012365885</v>
      </c>
      <c r="V92" s="162">
        <f t="shared" ca="1" si="919"/>
        <v>17.583287870521911</v>
      </c>
      <c r="W92" s="162">
        <f t="shared" ca="1" si="919"/>
        <v>21.969721767594109</v>
      </c>
      <c r="X92" s="162">
        <f t="shared" ca="1" si="919"/>
        <v>26.740861974904526</v>
      </c>
      <c r="Y92" s="162">
        <f t="shared" ca="1" si="919"/>
        <v>32.55428259683579</v>
      </c>
      <c r="Z92" s="162">
        <f t="shared" ca="1" si="919"/>
        <v>38.252864157119468</v>
      </c>
      <c r="AA92" s="162">
        <f t="shared" ca="1" si="919"/>
        <v>38.252864157119468</v>
      </c>
      <c r="AB92" s="21">
        <f t="shared" ca="1" si="919"/>
        <v>51.618053873789719</v>
      </c>
      <c r="AC92" s="21">
        <f t="shared" ca="1" si="919"/>
        <v>61.38614670347031</v>
      </c>
      <c r="AD92" s="21">
        <f t="shared" ca="1" si="919"/>
        <v>73.984569736585399</v>
      </c>
      <c r="AE92" s="21">
        <f t="shared" ca="1" si="919"/>
        <v>89.91455693480826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44.233587925077281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>
        <f t="shared" ca="1" si="922"/>
        <v>0</v>
      </c>
      <c r="K94" s="162">
        <f t="shared" ca="1" si="922"/>
        <v>0</v>
      </c>
      <c r="L94" s="162">
        <f t="shared" ca="1" si="922"/>
        <v>0</v>
      </c>
      <c r="M94" s="162">
        <f t="shared" ca="1" si="922"/>
        <v>0</v>
      </c>
      <c r="N94" s="162">
        <f t="shared" ca="1" si="922"/>
        <v>0</v>
      </c>
      <c r="O94" s="162">
        <f t="shared" ca="1" si="922"/>
        <v>0</v>
      </c>
      <c r="P94" s="162">
        <f t="shared" ca="1" si="922"/>
        <v>0</v>
      </c>
      <c r="Q94" s="162">
        <f t="shared" ca="1" si="922"/>
        <v>0</v>
      </c>
      <c r="R94" s="162">
        <f t="shared" ca="1" si="922"/>
        <v>0</v>
      </c>
      <c r="S94" s="162">
        <f t="shared" ca="1" si="922"/>
        <v>0</v>
      </c>
      <c r="T94" s="162">
        <f t="shared" ca="1" si="922"/>
        <v>12.859860247742636</v>
      </c>
      <c r="U94" s="162">
        <f t="shared" ca="1" si="922"/>
        <v>6.4602632437724354</v>
      </c>
      <c r="V94" s="162">
        <f t="shared" ca="1" si="922"/>
        <v>54.668387794043888</v>
      </c>
      <c r="W94" s="162">
        <f t="shared" ca="1" si="922"/>
        <v>97.805062018102575</v>
      </c>
      <c r="X94" s="162">
        <f t="shared" ca="1" si="922"/>
        <v>32.429769871062511</v>
      </c>
      <c r="Y94" s="162">
        <f t="shared" ca="1" si="922"/>
        <v>28.427903371765652</v>
      </c>
      <c r="Z94" s="162">
        <f t="shared" ca="1" si="922"/>
        <v>15.729541127393308</v>
      </c>
      <c r="AA94" s="162">
        <f t="shared" ref="AA94" ca="1" si="923">+AA77/AA$92</f>
        <v>15.729541127393308</v>
      </c>
      <c r="AB94" s="21">
        <f t="shared" ca="1" si="922"/>
        <v>9.8763893975255606</v>
      </c>
      <c r="AC94" s="21">
        <f t="shared" ca="1" si="922"/>
        <v>8.304805357186229</v>
      </c>
      <c r="AD94" s="21">
        <f t="shared" ca="1" si="922"/>
        <v>6.8906260023555115</v>
      </c>
      <c r="AE94" s="21">
        <f t="shared" ca="1" si="922"/>
        <v>5.6698271934946627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11.525178578402858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>
        <f t="shared" ca="1" si="922"/>
        <v>0</v>
      </c>
      <c r="K95" s="162">
        <f t="shared" ca="1" si="922"/>
        <v>0</v>
      </c>
      <c r="L95" s="162">
        <f t="shared" ca="1" si="922"/>
        <v>0</v>
      </c>
      <c r="M95" s="162">
        <f t="shared" ca="1" si="922"/>
        <v>0</v>
      </c>
      <c r="N95" s="162">
        <f t="shared" ca="1" si="922"/>
        <v>0</v>
      </c>
      <c r="O95" s="162">
        <f t="shared" ca="1" si="922"/>
        <v>0</v>
      </c>
      <c r="P95" s="162">
        <f t="shared" ca="1" si="922"/>
        <v>0</v>
      </c>
      <c r="Q95" s="162">
        <f t="shared" ca="1" si="922"/>
        <v>0</v>
      </c>
      <c r="R95" s="162">
        <f t="shared" ca="1" si="922"/>
        <v>0</v>
      </c>
      <c r="S95" s="162">
        <f t="shared" ca="1" si="922"/>
        <v>0</v>
      </c>
      <c r="T95" s="162">
        <f t="shared" ca="1" si="922"/>
        <v>13.513582285947638</v>
      </c>
      <c r="U95" s="162">
        <f t="shared" ca="1" si="922"/>
        <v>14.546808033286196</v>
      </c>
      <c r="V95" s="162">
        <f t="shared" ca="1" si="922"/>
        <v>55.217204378920378</v>
      </c>
      <c r="W95" s="162">
        <f t="shared" ca="1" si="922"/>
        <v>102.02222967184416</v>
      </c>
      <c r="X95" s="162">
        <f t="shared" ca="1" si="922"/>
        <v>149.52210604700508</v>
      </c>
      <c r="Y95" s="162">
        <f t="shared" ca="1" si="922"/>
        <v>38.701513272556646</v>
      </c>
      <c r="Z95" s="162">
        <f t="shared" ca="1" si="922"/>
        <v>31.316609263022791</v>
      </c>
      <c r="AA95" s="162">
        <f t="shared" ref="AA95" ca="1" si="926">+AA78/AA$92</f>
        <v>31.316609263022791</v>
      </c>
      <c r="AB95" s="21">
        <f t="shared" ca="1" si="922"/>
        <v>15.596462575050976</v>
      </c>
      <c r="AC95" s="21">
        <f t="shared" ca="1" si="922"/>
        <v>17.347945417640151</v>
      </c>
      <c r="AD95" s="21">
        <f t="shared" ca="1" si="922"/>
        <v>18.564517936636811</v>
      </c>
      <c r="AE95" s="21">
        <f t="shared" ca="1" si="922"/>
        <v>19.314970980836424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18.027025104783128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>
        <f t="shared" ca="1" si="922"/>
        <v>0</v>
      </c>
      <c r="K96" s="162">
        <f t="shared" ca="1" si="922"/>
        <v>0</v>
      </c>
      <c r="L96" s="162">
        <f t="shared" ca="1" si="922"/>
        <v>0</v>
      </c>
      <c r="M96" s="162">
        <f t="shared" ca="1" si="922"/>
        <v>0</v>
      </c>
      <c r="N96" s="162">
        <f t="shared" ca="1" si="922"/>
        <v>0</v>
      </c>
      <c r="O96" s="162">
        <f t="shared" ca="1" si="922"/>
        <v>0</v>
      </c>
      <c r="P96" s="162">
        <f t="shared" ca="1" si="922"/>
        <v>0</v>
      </c>
      <c r="Q96" s="162">
        <f t="shared" ca="1" si="922"/>
        <v>0</v>
      </c>
      <c r="R96" s="162">
        <f t="shared" ca="1" si="922"/>
        <v>0</v>
      </c>
      <c r="S96" s="162">
        <f t="shared" ca="1" si="922"/>
        <v>0</v>
      </c>
      <c r="T96" s="162">
        <f t="shared" ca="1" si="922"/>
        <v>7.0063033712963385</v>
      </c>
      <c r="U96" s="162">
        <f t="shared" ca="1" si="922"/>
        <v>5.7349790601544655</v>
      </c>
      <c r="V96" s="162">
        <f t="shared" ca="1" si="922"/>
        <v>4.8881642974232227</v>
      </c>
      <c r="W96" s="162">
        <f t="shared" ca="1" si="922"/>
        <v>35.182512012515367</v>
      </c>
      <c r="X96" s="162">
        <f t="shared" ca="1" si="922"/>
        <v>24.49434878407051</v>
      </c>
      <c r="Y96" s="162">
        <f t="shared" ca="1" si="922"/>
        <v>16.033220773562139</v>
      </c>
      <c r="Z96" s="162">
        <f t="shared" ca="1" si="922"/>
        <v>13.933597176168577</v>
      </c>
      <c r="AA96" s="162">
        <f t="shared" ref="AA96" ca="1" si="930">+AA79/AA$92</f>
        <v>13.933597176168577</v>
      </c>
      <c r="AB96" s="21">
        <f t="shared" ca="1" si="922"/>
        <v>9.0386695963992238</v>
      </c>
      <c r="AC96" s="21">
        <f t="shared" ca="1" si="922"/>
        <v>9.8116681907411643</v>
      </c>
      <c r="AD96" s="21">
        <f t="shared" ca="1" si="922"/>
        <v>10.721148583523604</v>
      </c>
      <c r="AE96" s="21">
        <f t="shared" ca="1" si="922"/>
        <v>11.318954796786217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10.252390124177513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5894.41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2.9454046190216405</v>
      </c>
      <c r="K99" s="163">
        <f t="shared" ca="1" si="938"/>
        <v>3.3090925622840519</v>
      </c>
      <c r="L99" s="163">
        <f t="shared" ca="1" si="938"/>
        <v>5.1779487179487171</v>
      </c>
      <c r="M99" s="163">
        <f t="shared" ca="1" si="938"/>
        <v>8.9515266412074919</v>
      </c>
      <c r="N99" s="163">
        <f t="shared" ca="1" si="938"/>
        <v>12.066127477723223</v>
      </c>
      <c r="O99" s="163">
        <f t="shared" ca="1" si="938"/>
        <v>13.963252409529005</v>
      </c>
      <c r="P99" s="163">
        <f t="shared" ca="1" si="938"/>
        <v>12.170174577195855</v>
      </c>
      <c r="Q99" s="163">
        <f t="shared" ca="1" si="938"/>
        <v>10.262566830332789</v>
      </c>
      <c r="R99" s="163">
        <f t="shared" ca="1" si="938"/>
        <v>9.8836379341698493</v>
      </c>
      <c r="S99" s="163">
        <f t="shared" ca="1" si="938"/>
        <v>12.490089107110384</v>
      </c>
      <c r="T99" s="163">
        <f t="shared" ca="1" si="938"/>
        <v>15.629750863793417</v>
      </c>
      <c r="U99" s="163">
        <f t="shared" ca="1" si="938"/>
        <v>17.044462629569015</v>
      </c>
      <c r="V99" s="163">
        <f t="shared" ca="1" si="938"/>
        <v>15.417348608837969</v>
      </c>
      <c r="W99" s="163">
        <f t="shared" ca="1" si="938"/>
        <v>27.621476632114927</v>
      </c>
      <c r="X99" s="163">
        <f t="shared" ca="1" si="938"/>
        <v>39.808965266412081</v>
      </c>
      <c r="Y99" s="163">
        <f t="shared" ca="1" si="938"/>
        <v>40.686852154937256</v>
      </c>
      <c r="Z99" s="163">
        <f t="shared" ref="Z99:AA99" ca="1" si="939">+Z98/Z65</f>
        <v>45.461538461538467</v>
      </c>
      <c r="AA99" s="163">
        <f t="shared" ca="1" si="939"/>
        <v>45.461538461538467</v>
      </c>
      <c r="AB99" s="94">
        <f t="shared" ca="1" si="938"/>
        <v>62.900889029604578</v>
      </c>
      <c r="AC99" s="94">
        <f t="shared" ca="1" si="938"/>
        <v>73.750920140433294</v>
      </c>
      <c r="AD99" s="94">
        <f t="shared" ca="1" si="938"/>
        <v>86.458074335033245</v>
      </c>
      <c r="AE99" s="94">
        <f t="shared" ca="1" si="938"/>
        <v>101.35224048559786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53.595290052736857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>
        <f t="shared" ca="1" si="944"/>
        <v>0</v>
      </c>
      <c r="K102" s="163">
        <f t="shared" ca="1" si="944"/>
        <v>0</v>
      </c>
      <c r="L102" s="163">
        <f t="shared" ca="1" si="944"/>
        <v>0</v>
      </c>
      <c r="M102" s="163">
        <f t="shared" ca="1" si="944"/>
        <v>0</v>
      </c>
      <c r="N102" s="163">
        <f t="shared" ca="1" si="944"/>
        <v>0</v>
      </c>
      <c r="O102" s="163">
        <f t="shared" ca="1" si="944"/>
        <v>0</v>
      </c>
      <c r="P102" s="163">
        <f t="shared" ca="1" si="944"/>
        <v>0</v>
      </c>
      <c r="Q102" s="163">
        <f t="shared" ca="1" si="944"/>
        <v>0</v>
      </c>
      <c r="R102" s="163">
        <f t="shared" ca="1" si="944"/>
        <v>0</v>
      </c>
      <c r="S102" s="163">
        <f t="shared" ca="1" si="944"/>
        <v>0</v>
      </c>
      <c r="T102" s="163">
        <f t="shared" ca="1" si="944"/>
        <v>8.2438934006608644</v>
      </c>
      <c r="U102" s="163">
        <f t="shared" ca="1" si="944"/>
        <v>5.0690949827958702</v>
      </c>
      <c r="V102" s="163">
        <f t="shared" ca="1" si="944"/>
        <v>62.348593418259028</v>
      </c>
      <c r="W102" s="163">
        <f t="shared" ca="1" si="944"/>
        <v>77.792727326593834</v>
      </c>
      <c r="X102" s="163">
        <f t="shared" ca="1" si="944"/>
        <v>21.784037695942843</v>
      </c>
      <c r="Y102" s="163">
        <f t="shared" ca="1" si="944"/>
        <v>22.74567706727095</v>
      </c>
      <c r="Z102" s="163">
        <f ca="1">+Z77/Z$99</f>
        <v>13.235363790186124</v>
      </c>
      <c r="AA102" s="163">
        <f ca="1">+AA77/AA$99</f>
        <v>13.235363790186124</v>
      </c>
      <c r="AB102" s="50">
        <f t="shared" ref="AA102:AE102" ca="1" si="945">+AB77/AB$99</f>
        <v>8.1048139043004692</v>
      </c>
      <c r="AC102" s="50">
        <f t="shared" ca="1" si="945"/>
        <v>6.9124561297575813</v>
      </c>
      <c r="AD102" s="50">
        <f t="shared" ca="1" si="945"/>
        <v>5.8964995915185039</v>
      </c>
      <c r="AE102" s="50">
        <f t="shared" ca="1" si="945"/>
        <v>5.0299825396799447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9.5120298723706025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>
        <f t="shared" ca="1" si="944"/>
        <v>0</v>
      </c>
      <c r="K103" s="163">
        <f t="shared" ca="1" si="944"/>
        <v>0</v>
      </c>
      <c r="L103" s="163">
        <f t="shared" ca="1" si="944"/>
        <v>0</v>
      </c>
      <c r="M103" s="163">
        <f t="shared" ca="1" si="944"/>
        <v>0</v>
      </c>
      <c r="N103" s="163">
        <f t="shared" ca="1" si="944"/>
        <v>0</v>
      </c>
      <c r="O103" s="163">
        <f t="shared" ca="1" si="944"/>
        <v>0</v>
      </c>
      <c r="P103" s="163">
        <f t="shared" ca="1" si="944"/>
        <v>0</v>
      </c>
      <c r="Q103" s="163">
        <f t="shared" ca="1" si="944"/>
        <v>0</v>
      </c>
      <c r="R103" s="163">
        <f t="shared" ca="1" si="944"/>
        <v>0</v>
      </c>
      <c r="S103" s="163">
        <f t="shared" ca="1" si="944"/>
        <v>0</v>
      </c>
      <c r="T103" s="163">
        <f t="shared" ca="1" si="944"/>
        <v>8.6629659794294227</v>
      </c>
      <c r="U103" s="163">
        <f t="shared" ca="1" si="944"/>
        <v>11.414264223413618</v>
      </c>
      <c r="V103" s="163">
        <f t="shared" ca="1" si="944"/>
        <v>62.974511677282386</v>
      </c>
      <c r="W103" s="163">
        <f t="shared" ca="1" si="944"/>
        <v>81.147001293695141</v>
      </c>
      <c r="X103" s="163">
        <f t="shared" ca="1" si="944"/>
        <v>100.43843072137115</v>
      </c>
      <c r="Y103" s="163">
        <f t="shared" ca="1" si="944"/>
        <v>30.965777229515016</v>
      </c>
      <c r="Z103" s="163">
        <f t="shared" ref="Z103:AA104" ca="1" si="949">+Z78/Z$99</f>
        <v>26.350846023688661</v>
      </c>
      <c r="AA103" s="163">
        <f t="shared" ca="1" si="949"/>
        <v>26.350846023688661</v>
      </c>
      <c r="AB103" s="94">
        <f t="shared" ca="1" si="944"/>
        <v>12.798850029935538</v>
      </c>
      <c r="AC103" s="94">
        <f t="shared" ca="1" si="944"/>
        <v>14.439460828194047</v>
      </c>
      <c r="AD103" s="94">
        <f t="shared" ca="1" si="944"/>
        <v>15.886172372828948</v>
      </c>
      <c r="AE103" s="94">
        <f t="shared" ca="1" si="944"/>
        <v>17.135260647714745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14.878173048702076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>
        <f t="shared" ca="1" si="944"/>
        <v>0</v>
      </c>
      <c r="K104" s="163">
        <f t="shared" ca="1" si="944"/>
        <v>0</v>
      </c>
      <c r="L104" s="163">
        <f t="shared" ca="1" si="944"/>
        <v>0</v>
      </c>
      <c r="M104" s="163">
        <f t="shared" ca="1" si="944"/>
        <v>0</v>
      </c>
      <c r="N104" s="163">
        <f t="shared" ca="1" si="944"/>
        <v>0</v>
      </c>
      <c r="O104" s="163">
        <f t="shared" ca="1" si="944"/>
        <v>0</v>
      </c>
      <c r="P104" s="163">
        <f t="shared" ca="1" si="944"/>
        <v>0</v>
      </c>
      <c r="Q104" s="163">
        <f t="shared" ca="1" si="944"/>
        <v>0</v>
      </c>
      <c r="R104" s="163">
        <f t="shared" ca="1" si="944"/>
        <v>0</v>
      </c>
      <c r="S104" s="163">
        <f t="shared" ca="1" si="944"/>
        <v>0</v>
      </c>
      <c r="T104" s="163">
        <f t="shared" ca="1" si="944"/>
        <v>4.4914343556569092</v>
      </c>
      <c r="U104" s="163">
        <f t="shared" ca="1" si="944"/>
        <v>4.4999951988477234</v>
      </c>
      <c r="V104" s="163">
        <f t="shared" ca="1" si="944"/>
        <v>5.5748885350318478</v>
      </c>
      <c r="W104" s="163">
        <f t="shared" ca="1" si="944"/>
        <v>27.983659610048033</v>
      </c>
      <c r="X104" s="163">
        <f t="shared" ca="1" si="944"/>
        <v>16.453580132429153</v>
      </c>
      <c r="Y104" s="163">
        <f t="shared" ca="1" si="944"/>
        <v>12.828468469676453</v>
      </c>
      <c r="Z104" s="163">
        <f t="shared" ca="1" si="949"/>
        <v>11.724196277495768</v>
      </c>
      <c r="AA104" s="163">
        <f t="shared" ca="1" si="949"/>
        <v>11.724196277495768</v>
      </c>
      <c r="AB104" s="94">
        <f t="shared" ca="1" si="944"/>
        <v>7.4173599351629598</v>
      </c>
      <c r="AC104" s="94">
        <f t="shared" ca="1" si="944"/>
        <v>8.1666845893683195</v>
      </c>
      <c r="AD104" s="94">
        <f t="shared" ca="1" si="944"/>
        <v>9.1743838980298396</v>
      </c>
      <c r="AE104" s="94">
        <f t="shared" ca="1" si="944"/>
        <v>10.041601454905933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8.4615644313849909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0</v>
      </c>
      <c r="T107" s="162">
        <f t="shared" ca="1" si="958"/>
        <v>14891.292000000001</v>
      </c>
      <c r="U107" s="162">
        <f t="shared" ca="1" si="958"/>
        <v>21396.609</v>
      </c>
      <c r="V107" s="162">
        <f t="shared" ca="1" si="958"/>
        <v>106779.58199999999</v>
      </c>
      <c r="W107" s="162">
        <f t="shared" ca="1" si="958"/>
        <v>246509.17200000002</v>
      </c>
      <c r="X107" s="162">
        <f t="shared" ca="1" si="958"/>
        <v>439738.533</v>
      </c>
      <c r="Y107" s="162">
        <f t="shared" ca="1" si="958"/>
        <v>138563.80200000003</v>
      </c>
      <c r="Z107" s="162">
        <f t="shared" ca="1" si="958"/>
        <v>131750.541</v>
      </c>
      <c r="AA107" s="162">
        <f t="shared" ref="AA107" ca="1" si="959">+AA78*AA65</f>
        <v>131750.541</v>
      </c>
      <c r="AB107" s="21">
        <f t="shared" ca="1" si="958"/>
        <v>88540.393817439122</v>
      </c>
      <c r="AC107" s="21">
        <f t="shared" ca="1" si="958"/>
        <v>117120.28899476772</v>
      </c>
      <c r="AD107" s="21">
        <f t="shared" ca="1" si="958"/>
        <v>151056.19615257345</v>
      </c>
      <c r="AE107" s="21">
        <f t="shared" ca="1" si="958"/>
        <v>191001.94243340546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87698.051999999996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0</v>
      </c>
      <c r="T108" s="162">
        <f t="shared" ca="1" si="964"/>
        <v>7720.5960000000005</v>
      </c>
      <c r="U108" s="162">
        <f t="shared" ca="1" si="964"/>
        <v>8435.4660000000003</v>
      </c>
      <c r="V108" s="162">
        <f t="shared" ca="1" si="964"/>
        <v>9452.7810000000009</v>
      </c>
      <c r="W108" s="162">
        <f t="shared" ca="1" si="964"/>
        <v>85009.041000000012</v>
      </c>
      <c r="X108" s="162">
        <f t="shared" ca="1" si="964"/>
        <v>72036.900000000009</v>
      </c>
      <c r="Y108" s="162">
        <f t="shared" ca="1" si="964"/>
        <v>57404.061000000009</v>
      </c>
      <c r="Z108" s="162">
        <f t="shared" ca="1" si="964"/>
        <v>58619.340000000004</v>
      </c>
      <c r="AA108" s="162">
        <f t="shared" ref="AA108" ca="1" si="965">+AA79*AA65</f>
        <v>58619.340000000004</v>
      </c>
      <c r="AB108" s="21">
        <f t="shared" ca="1" si="964"/>
        <v>51312.107588491752</v>
      </c>
      <c r="AC108" s="21">
        <f t="shared" ca="1" si="964"/>
        <v>66241.009315827876</v>
      </c>
      <c r="AD108" s="21">
        <f t="shared" ca="1" si="964"/>
        <v>87236.088162438871</v>
      </c>
      <c r="AE108" s="21">
        <f t="shared" ca="1" si="964"/>
        <v>111930.91383088674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49875.93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1371.36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397.08080000000001</v>
      </c>
      <c r="K110" s="162">
        <f t="shared" ca="1" si="983"/>
        <v>390.57330000000002</v>
      </c>
      <c r="L110" s="162">
        <f t="shared" ca="1" si="983"/>
        <v>444.29390000000001</v>
      </c>
      <c r="M110" s="162">
        <f t="shared" ca="1" si="983"/>
        <v>430.29600000000005</v>
      </c>
      <c r="N110" s="162">
        <f t="shared" ca="1" si="983"/>
        <v>434.02820000000003</v>
      </c>
      <c r="O110" s="162">
        <f t="shared" ca="1" si="983"/>
        <v>365.923</v>
      </c>
      <c r="P110" s="162">
        <f t="shared" ca="1" si="983"/>
        <v>220.42340000000002</v>
      </c>
      <c r="Q110" s="162">
        <f t="shared" ca="1" si="983"/>
        <v>458.8895</v>
      </c>
      <c r="R110" s="162">
        <f t="shared" ca="1" si="983"/>
        <v>527.90460000000007</v>
      </c>
      <c r="S110" s="162">
        <f t="shared" ca="1" si="983"/>
        <v>1254.97</v>
      </c>
      <c r="T110" s="162">
        <f t="shared" ca="1" si="983"/>
        <v>15125.502</v>
      </c>
      <c r="U110" s="162">
        <f t="shared" ca="1" si="983"/>
        <v>21710.159</v>
      </c>
      <c r="V110" s="162">
        <f t="shared" ca="1" si="983"/>
        <v>107256.992</v>
      </c>
      <c r="W110" s="162">
        <f t="shared" ca="1" si="983"/>
        <v>247470.32200000001</v>
      </c>
      <c r="X110" s="162">
        <f t="shared" ref="X110:Y110" ca="1" si="984">+X107+X109</f>
        <v>440738.58299999998</v>
      </c>
      <c r="Y110" s="162">
        <f t="shared" ca="1" si="984"/>
        <v>139579.18200000003</v>
      </c>
      <c r="Z110" s="162">
        <f t="shared" ref="Z110:AA110" ca="1" si="985">+Z107+Z109</f>
        <v>132999.951</v>
      </c>
      <c r="AA110" s="162">
        <f t="shared" ca="1" si="985"/>
        <v>132999.951</v>
      </c>
      <c r="AB110" s="21">
        <f t="shared" ref="AA110:AD110" ca="1" si="986">+AB107+AB109</f>
        <v>88752.174533679674</v>
      </c>
      <c r="AC110" s="21">
        <f t="shared" ca="1" si="986"/>
        <v>115821.74288461445</v>
      </c>
      <c r="AD110" s="21">
        <f t="shared" ca="1" si="986"/>
        <v>147921.65131821623</v>
      </c>
      <c r="AE110" s="21">
        <f t="shared" ref="AE110" ca="1" si="987">+AE107+AE109</f>
        <v>185644.16136544003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89069.411999999997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397.08080000000001</v>
      </c>
      <c r="K111" s="162">
        <f t="shared" ca="1" si="996"/>
        <v>390.57330000000002</v>
      </c>
      <c r="L111" s="162">
        <f t="shared" ca="1" si="996"/>
        <v>444.29390000000001</v>
      </c>
      <c r="M111" s="162">
        <f t="shared" ca="1" si="996"/>
        <v>430.29600000000005</v>
      </c>
      <c r="N111" s="162">
        <f t="shared" ca="1" si="996"/>
        <v>434.02820000000003</v>
      </c>
      <c r="O111" s="162">
        <f t="shared" ca="1" si="996"/>
        <v>365.923</v>
      </c>
      <c r="P111" s="162">
        <f t="shared" ca="1" si="996"/>
        <v>220.42340000000002</v>
      </c>
      <c r="Q111" s="162">
        <f t="shared" ca="1" si="996"/>
        <v>458.8895</v>
      </c>
      <c r="R111" s="162">
        <f t="shared" ca="1" si="996"/>
        <v>527.90460000000007</v>
      </c>
      <c r="S111" s="162">
        <f t="shared" ca="1" si="996"/>
        <v>1254.97</v>
      </c>
      <c r="T111" s="162">
        <f t="shared" ca="1" si="996"/>
        <v>7954.8060000000005</v>
      </c>
      <c r="U111" s="162">
        <f t="shared" ca="1" si="996"/>
        <v>8749.0159999999996</v>
      </c>
      <c r="V111" s="162">
        <f t="shared" ca="1" si="996"/>
        <v>9930.1910000000007</v>
      </c>
      <c r="W111" s="162">
        <f t="shared" ca="1" si="996"/>
        <v>85970.191000000006</v>
      </c>
      <c r="X111" s="162">
        <f t="shared" ref="X111:Y111" ca="1" si="997">+X108+X109</f>
        <v>73036.950000000012</v>
      </c>
      <c r="Y111" s="162">
        <f t="shared" ca="1" si="997"/>
        <v>58419.441000000006</v>
      </c>
      <c r="Z111" s="162">
        <f t="shared" ref="Z111:AA111" ca="1" si="998">+Z108+Z109</f>
        <v>59868.750000000007</v>
      </c>
      <c r="AA111" s="162">
        <f t="shared" ca="1" si="998"/>
        <v>59868.750000000007</v>
      </c>
      <c r="AB111" s="21">
        <f t="shared" ref="AA111:AD111" ca="1" si="999">+AB108+AB109</f>
        <v>51523.888304732311</v>
      </c>
      <c r="AC111" s="21">
        <f t="shared" ca="1" si="999"/>
        <v>64942.463205674605</v>
      </c>
      <c r="AD111" s="21">
        <f t="shared" ca="1" si="999"/>
        <v>84101.543328081651</v>
      </c>
      <c r="AE111" s="21">
        <f t="shared" ref="AE111" ca="1" si="1000">+AE108+AE109</f>
        <v>106573.1327629213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51247.29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1194.5999999999999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>
        <f t="shared" ca="1" si="1014"/>
        <v>5.8331186144388054</v>
      </c>
      <c r="K113" s="162">
        <f t="shared" ca="1" si="1014"/>
        <v>5.2701692884380256</v>
      </c>
      <c r="L113" s="162">
        <f t="shared" ca="1" si="1014"/>
        <v>3.8895256254360815</v>
      </c>
      <c r="M113" s="162">
        <f t="shared" ca="1" si="1014"/>
        <v>3.5562123135512542</v>
      </c>
      <c r="N113" s="162">
        <f t="shared" ca="1" si="1014"/>
        <v>2.5925024206067855</v>
      </c>
      <c r="O113" s="162">
        <f t="shared" ca="1" si="1014"/>
        <v>2.1619052401785432</v>
      </c>
      <c r="P113" s="162">
        <f t="shared" ca="1" si="1014"/>
        <v>1.0050227565157679</v>
      </c>
      <c r="Q113" s="162">
        <f t="shared" ca="1" si="1014"/>
        <v>1.765602022889867</v>
      </c>
      <c r="R113" s="162">
        <f t="shared" ca="1" si="1014"/>
        <v>1.9060962413149523</v>
      </c>
      <c r="S113" s="162">
        <f t="shared" ca="1" si="1014"/>
        <v>3.4395932686509894</v>
      </c>
      <c r="T113" s="162">
        <f t="shared" ca="1" si="1014"/>
        <v>33.269184409642797</v>
      </c>
      <c r="U113" s="162">
        <f t="shared" ca="1" si="1014"/>
        <v>36.526951679117026</v>
      </c>
      <c r="V113" s="162">
        <f t="shared" ca="1" si="1014"/>
        <v>152.37749080111954</v>
      </c>
      <c r="W113" s="162">
        <f t="shared" ca="1" si="1014"/>
        <v>320.14271927554989</v>
      </c>
      <c r="X113" s="162">
        <f t="shared" ref="X113:Y113" ca="1" si="1015">+X110/X112</f>
        <v>506.67178199041228</v>
      </c>
      <c r="Y113" s="162">
        <f t="shared" ca="1" si="1015"/>
        <v>126.46249229877151</v>
      </c>
      <c r="Z113" s="162">
        <f t="shared" ref="Z113:AA113" ca="1" si="1016">+Z110/Z112</f>
        <v>117.36359873988506</v>
      </c>
      <c r="AA113" s="162">
        <f t="shared" ca="1" si="1016"/>
        <v>117.36359873988506</v>
      </c>
      <c r="AB113" s="21">
        <f t="shared" ref="AA113:AD113" ca="1" si="1017">+AB110/AB112</f>
        <v>63.971340283523723</v>
      </c>
      <c r="AC113" s="21">
        <f t="shared" ca="1" si="1017"/>
        <v>71.362085481191627</v>
      </c>
      <c r="AD113" s="21">
        <f t="shared" ca="1" si="1017"/>
        <v>77.777537968385118</v>
      </c>
      <c r="AE113" s="21">
        <f t="shared" ref="AE113" ca="1" si="1018">+AE110/AE112</f>
        <v>83.273281393139158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74.560030135610248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>
        <f t="shared" ca="1" si="1027"/>
        <v>5.8331186144388054</v>
      </c>
      <c r="K114" s="162">
        <f t="shared" ca="1" si="1027"/>
        <v>5.2701692884380256</v>
      </c>
      <c r="L114" s="162">
        <f t="shared" ca="1" si="1027"/>
        <v>3.8895256254360815</v>
      </c>
      <c r="M114" s="162">
        <f t="shared" ca="1" si="1027"/>
        <v>3.5562123135512542</v>
      </c>
      <c r="N114" s="162">
        <f t="shared" ca="1" si="1027"/>
        <v>2.5925024206067855</v>
      </c>
      <c r="O114" s="162">
        <f t="shared" ca="1" si="1027"/>
        <v>2.1619052401785432</v>
      </c>
      <c r="P114" s="162">
        <f t="shared" ca="1" si="1027"/>
        <v>1.0050227565157679</v>
      </c>
      <c r="Q114" s="162">
        <f t="shared" ca="1" si="1027"/>
        <v>1.765602022889867</v>
      </c>
      <c r="R114" s="162">
        <f t="shared" ca="1" si="1027"/>
        <v>1.9060962413149523</v>
      </c>
      <c r="S114" s="162">
        <f t="shared" ca="1" si="1027"/>
        <v>3.4395932686509894</v>
      </c>
      <c r="T114" s="162">
        <f t="shared" ca="1" si="1027"/>
        <v>17.496933837761748</v>
      </c>
      <c r="U114" s="162">
        <f t="shared" ca="1" si="1027"/>
        <v>14.720061915337503</v>
      </c>
      <c r="V114" s="162">
        <f t="shared" ca="1" si="1027"/>
        <v>14.107589254002763</v>
      </c>
      <c r="W114" s="162">
        <f t="shared" ca="1" si="1027"/>
        <v>111.2162884864166</v>
      </c>
      <c r="X114" s="162">
        <f t="shared" ref="X114:Y114" ca="1" si="1028">+X111/X112</f>
        <v>83.963063446262083</v>
      </c>
      <c r="Y114" s="162">
        <f t="shared" ca="1" si="1028"/>
        <v>52.929584496067868</v>
      </c>
      <c r="Z114" s="162">
        <f t="shared" ref="Z114:AA114" ca="1" si="1029">+Z111/Z112</f>
        <v>52.830184516823579</v>
      </c>
      <c r="AA114" s="162">
        <f t="shared" ca="1" si="1029"/>
        <v>52.830184516823579</v>
      </c>
      <c r="AB114" s="21">
        <f t="shared" ref="AA114:AD114" ca="1" si="1030">+AB111/AB112</f>
        <v>37.137706301737012</v>
      </c>
      <c r="AC114" s="21">
        <f t="shared" ca="1" si="1030"/>
        <v>40.01346806928531</v>
      </c>
      <c r="AD114" s="21">
        <f t="shared" ca="1" si="1030"/>
        <v>44.220781211588061</v>
      </c>
      <c r="AE114" s="21">
        <f t="shared" ref="AE114" ca="1" si="1031">+AE111/AE112</f>
        <v>47.804867162212076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42.899121044701161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109.98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4754.83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4864.8099999999995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1596.69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571.42999999999995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2168.12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7032.9299999999994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5270.05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1145.4600000000003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4124.59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25.49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2000.56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6150.6399999999994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1397.72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577.37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110.99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418.54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96.13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0.47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1203.5000000000002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515.59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6.08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374.03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1257.67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27.45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2180.8199999999997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-977.31999999999948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291.87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504.89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796.76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-334.87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7032.93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1371.36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6.3214730991350585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23.8380876737723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38.386189968682388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68.545750741589742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21.303005525448114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102.906337334771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124.20934286021911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-55.663592118629367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0.17891500962026918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0.43392822920562701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655.7199999999998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243.14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898.85999999999979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-281.01000000000033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-743.49999999999955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462.48999999999921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1361.349999999999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-1485.3400000000001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-614.92000000000007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-870.42000000000007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423.97000000000071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421.92999999999984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2.0400000000008731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496.78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796.75999999999954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-123.99000000000115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0.72316063256818264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0.10751372910944434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1.9627940248437246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0.16378029152217663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0.24162891781535789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5.4154937656079927E-2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2.0196519326585036E-2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3.7940058016424985E-2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228347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228347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228347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228347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228347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43409</v>
      </c>
      <c r="B4" s="116">
        <v>73.7</v>
      </c>
      <c r="C4" s="116">
        <v>73.7</v>
      </c>
      <c r="D4" s="116">
        <v>70.2</v>
      </c>
      <c r="E4" s="116">
        <v>70.2</v>
      </c>
      <c r="F4" s="116">
        <v>73.7</v>
      </c>
      <c r="G4">
        <v>122165</v>
      </c>
      <c r="H4" s="116"/>
      <c r="I4" s="116"/>
      <c r="L4" s="170">
        <v>43409</v>
      </c>
      <c r="M4" s="116">
        <v>75.599999999999994</v>
      </c>
      <c r="N4" s="116">
        <v>75.599999999999994</v>
      </c>
      <c r="O4" s="116">
        <v>72</v>
      </c>
      <c r="P4" s="116">
        <v>72</v>
      </c>
      <c r="Q4" s="116">
        <v>75.599999999999994</v>
      </c>
      <c r="R4">
        <v>1636701</v>
      </c>
    </row>
    <row r="5" spans="1:18" x14ac:dyDescent="0.25">
      <c r="A5" s="170">
        <v>43410</v>
      </c>
      <c r="B5" s="116">
        <v>77.349999999999994</v>
      </c>
      <c r="C5" s="116">
        <v>77.349999999999994</v>
      </c>
      <c r="D5" s="116">
        <v>76.05</v>
      </c>
      <c r="E5" s="116">
        <v>77.349999999999994</v>
      </c>
      <c r="F5" s="116">
        <v>77.349999999999994</v>
      </c>
      <c r="G5">
        <v>323005</v>
      </c>
      <c r="H5" s="116"/>
      <c r="I5" s="116"/>
      <c r="L5" s="170">
        <v>43410</v>
      </c>
      <c r="M5" s="116">
        <v>78.099999999999994</v>
      </c>
      <c r="N5" s="116">
        <v>79.349999999999994</v>
      </c>
      <c r="O5" s="116">
        <v>75.7</v>
      </c>
      <c r="P5" s="116">
        <v>77</v>
      </c>
      <c r="Q5" s="116">
        <v>78.099999999999994</v>
      </c>
      <c r="R5">
        <v>2528961</v>
      </c>
    </row>
    <row r="6" spans="1:18" x14ac:dyDescent="0.25">
      <c r="A6" s="170">
        <v>43411</v>
      </c>
      <c r="B6" s="116">
        <v>81.2</v>
      </c>
      <c r="C6" s="116">
        <v>79.650000000000006</v>
      </c>
      <c r="D6" s="116">
        <v>78.849999999999994</v>
      </c>
      <c r="E6" s="116">
        <v>81.2</v>
      </c>
      <c r="F6" s="116">
        <v>79.650000000000006</v>
      </c>
      <c r="G6">
        <v>260878</v>
      </c>
      <c r="H6" s="116"/>
      <c r="I6" s="116"/>
      <c r="L6" s="170">
        <v>43411</v>
      </c>
      <c r="M6" s="116">
        <v>81.3</v>
      </c>
      <c r="N6" s="116">
        <v>82</v>
      </c>
      <c r="O6" s="116">
        <v>78.5</v>
      </c>
      <c r="P6" s="116">
        <v>79.400000000000006</v>
      </c>
      <c r="Q6" s="116">
        <v>81.3</v>
      </c>
      <c r="R6">
        <v>488994</v>
      </c>
    </row>
    <row r="7" spans="1:18" x14ac:dyDescent="0.25">
      <c r="A7" s="170">
        <v>43413</v>
      </c>
      <c r="B7" s="116">
        <v>83.6</v>
      </c>
      <c r="C7" s="116">
        <v>79.75</v>
      </c>
      <c r="D7" s="116">
        <v>75.900000000000006</v>
      </c>
      <c r="E7" s="116">
        <v>83.2</v>
      </c>
      <c r="F7" s="116">
        <v>79.75</v>
      </c>
      <c r="G7">
        <v>219030</v>
      </c>
      <c r="H7" s="116"/>
      <c r="I7" s="116"/>
      <c r="L7" s="170">
        <v>43413</v>
      </c>
      <c r="M7" s="116">
        <v>79.95</v>
      </c>
      <c r="N7" s="116">
        <v>84</v>
      </c>
      <c r="O7" s="116">
        <v>77.25</v>
      </c>
      <c r="P7" s="116">
        <v>84</v>
      </c>
      <c r="Q7" s="116">
        <v>79.95</v>
      </c>
      <c r="R7">
        <v>1926334</v>
      </c>
    </row>
    <row r="8" spans="1:18" x14ac:dyDescent="0.25">
      <c r="A8" s="170">
        <v>43416</v>
      </c>
      <c r="B8" s="116">
        <v>83.6</v>
      </c>
      <c r="C8" s="116">
        <v>76.05</v>
      </c>
      <c r="D8" s="116">
        <v>75.8</v>
      </c>
      <c r="E8" s="116">
        <v>79.900000000000006</v>
      </c>
      <c r="F8" s="116">
        <v>76.05</v>
      </c>
      <c r="G8">
        <v>84773</v>
      </c>
      <c r="H8" s="116"/>
      <c r="I8" s="116"/>
      <c r="L8" s="170">
        <v>43416</v>
      </c>
      <c r="M8" s="116">
        <v>76</v>
      </c>
      <c r="N8" s="116">
        <v>79.8</v>
      </c>
      <c r="O8" s="116">
        <v>76</v>
      </c>
      <c r="P8" s="116">
        <v>79.8</v>
      </c>
      <c r="Q8" s="116">
        <v>76</v>
      </c>
      <c r="R8">
        <v>1494059</v>
      </c>
    </row>
    <row r="9" spans="1:18" x14ac:dyDescent="0.25">
      <c r="A9" s="170">
        <v>43417</v>
      </c>
      <c r="B9" s="116">
        <v>78</v>
      </c>
      <c r="C9" s="116">
        <v>77.150000000000006</v>
      </c>
      <c r="D9" s="116">
        <v>72.5</v>
      </c>
      <c r="E9" s="116">
        <v>73.7</v>
      </c>
      <c r="F9" s="116">
        <v>77.150000000000006</v>
      </c>
      <c r="G9">
        <v>125072</v>
      </c>
      <c r="H9" s="116"/>
      <c r="I9" s="116"/>
      <c r="L9" s="170">
        <v>43417</v>
      </c>
      <c r="M9" s="116">
        <v>76.95</v>
      </c>
      <c r="N9" s="116">
        <v>78</v>
      </c>
      <c r="O9" s="116">
        <v>72.5</v>
      </c>
      <c r="P9" s="116">
        <v>72.5</v>
      </c>
      <c r="Q9" s="116">
        <v>76.95</v>
      </c>
      <c r="R9">
        <v>915107</v>
      </c>
    </row>
    <row r="10" spans="1:18" x14ac:dyDescent="0.25">
      <c r="A10" s="170">
        <v>43418</v>
      </c>
      <c r="B10" s="116">
        <v>79</v>
      </c>
      <c r="C10" s="116">
        <v>78.05</v>
      </c>
      <c r="D10" s="116">
        <v>75.400000000000006</v>
      </c>
      <c r="E10" s="116">
        <v>76.5</v>
      </c>
      <c r="F10" s="116">
        <v>78.05</v>
      </c>
      <c r="G10">
        <v>43170</v>
      </c>
      <c r="H10" s="116"/>
      <c r="I10" s="116"/>
      <c r="L10" s="170">
        <v>43418</v>
      </c>
      <c r="M10" s="116">
        <v>78.3</v>
      </c>
      <c r="N10" s="116">
        <v>78.650000000000006</v>
      </c>
      <c r="O10" s="116">
        <v>75.5</v>
      </c>
      <c r="P10" s="116">
        <v>77.05</v>
      </c>
      <c r="Q10" s="116">
        <v>78.3</v>
      </c>
      <c r="R10">
        <v>640666</v>
      </c>
    </row>
    <row r="11" spans="1:18" x14ac:dyDescent="0.25">
      <c r="A11" s="170">
        <v>43419</v>
      </c>
      <c r="B11" s="116">
        <v>80</v>
      </c>
      <c r="C11" s="116">
        <v>79.400000000000006</v>
      </c>
      <c r="D11" s="116">
        <v>76</v>
      </c>
      <c r="E11" s="116">
        <v>79</v>
      </c>
      <c r="F11" s="116">
        <v>79.400000000000006</v>
      </c>
      <c r="G11">
        <v>64431</v>
      </c>
      <c r="H11" s="116"/>
      <c r="I11" s="116"/>
      <c r="L11" s="170">
        <v>43419</v>
      </c>
      <c r="M11" s="116">
        <v>79.400000000000006</v>
      </c>
      <c r="N11" s="116">
        <v>80</v>
      </c>
      <c r="O11" s="116">
        <v>75.5</v>
      </c>
      <c r="P11" s="116">
        <v>79</v>
      </c>
      <c r="Q11" s="116">
        <v>79.400000000000006</v>
      </c>
      <c r="R11">
        <v>662627</v>
      </c>
    </row>
    <row r="12" spans="1:18" x14ac:dyDescent="0.25">
      <c r="A12" s="170">
        <v>43420</v>
      </c>
      <c r="B12" s="116">
        <v>79.900000000000006</v>
      </c>
      <c r="C12" s="116">
        <v>78.650000000000006</v>
      </c>
      <c r="D12" s="116">
        <v>77.5</v>
      </c>
      <c r="E12" s="116">
        <v>79.400000000000006</v>
      </c>
      <c r="F12" s="116">
        <v>78.650000000000006</v>
      </c>
      <c r="G12">
        <v>41745</v>
      </c>
      <c r="H12" s="116"/>
      <c r="I12" s="116"/>
      <c r="L12" s="170">
        <v>43420</v>
      </c>
      <c r="M12" s="116">
        <v>78.849999999999994</v>
      </c>
      <c r="N12" s="116">
        <v>79.75</v>
      </c>
      <c r="O12" s="116">
        <v>77.5</v>
      </c>
      <c r="P12" s="116">
        <v>79.400000000000006</v>
      </c>
      <c r="Q12" s="116">
        <v>78.849999999999994</v>
      </c>
      <c r="R12">
        <v>445033</v>
      </c>
    </row>
    <row r="13" spans="1:18" x14ac:dyDescent="0.25">
      <c r="A13" s="170">
        <v>43423</v>
      </c>
      <c r="B13" s="116">
        <v>80</v>
      </c>
      <c r="C13" s="116">
        <v>77.7</v>
      </c>
      <c r="D13" s="116">
        <v>77</v>
      </c>
      <c r="E13" s="116">
        <v>80</v>
      </c>
      <c r="F13" s="116">
        <v>77.7</v>
      </c>
      <c r="G13">
        <v>46657</v>
      </c>
      <c r="H13" s="116"/>
      <c r="I13" s="116"/>
      <c r="L13" s="170">
        <v>43423</v>
      </c>
      <c r="M13" s="116">
        <v>77.8</v>
      </c>
      <c r="N13" s="116">
        <v>78.95</v>
      </c>
      <c r="O13" s="116">
        <v>77.2</v>
      </c>
      <c r="P13" s="116">
        <v>78.45</v>
      </c>
      <c r="Q13" s="116">
        <v>77.8</v>
      </c>
      <c r="R13">
        <v>1332624</v>
      </c>
    </row>
    <row r="14" spans="1:18" x14ac:dyDescent="0.25">
      <c r="A14" s="170">
        <v>43424</v>
      </c>
      <c r="B14" s="116">
        <v>88.7</v>
      </c>
      <c r="C14" s="116">
        <v>81.5</v>
      </c>
      <c r="D14" s="116">
        <v>80</v>
      </c>
      <c r="E14" s="116">
        <v>80</v>
      </c>
      <c r="F14" s="116">
        <v>81.5</v>
      </c>
      <c r="G14">
        <v>790671</v>
      </c>
      <c r="H14" s="116"/>
      <c r="I14" s="116"/>
      <c r="L14" s="170">
        <v>43424</v>
      </c>
      <c r="M14" s="116">
        <v>80.900000000000006</v>
      </c>
      <c r="N14" s="116">
        <v>88.5</v>
      </c>
      <c r="O14" s="116">
        <v>80.099999999999994</v>
      </c>
      <c r="P14" s="116">
        <v>81</v>
      </c>
      <c r="Q14" s="116">
        <v>80.900000000000006</v>
      </c>
      <c r="R14">
        <v>3819027</v>
      </c>
    </row>
    <row r="15" spans="1:18" x14ac:dyDescent="0.25">
      <c r="A15" s="170">
        <v>43425</v>
      </c>
      <c r="B15" s="116">
        <v>97.8</v>
      </c>
      <c r="C15" s="116">
        <v>97.8</v>
      </c>
      <c r="D15" s="116">
        <v>82</v>
      </c>
      <c r="E15" s="116">
        <v>82</v>
      </c>
      <c r="F15" s="116">
        <v>97.8</v>
      </c>
      <c r="G15">
        <v>1787472</v>
      </c>
      <c r="H15" s="116"/>
      <c r="I15" s="116"/>
      <c r="L15" s="170">
        <v>43425</v>
      </c>
      <c r="M15" s="116">
        <v>97.05</v>
      </c>
      <c r="N15" s="116">
        <v>97.05</v>
      </c>
      <c r="O15" s="116">
        <v>81.7</v>
      </c>
      <c r="P15" s="116">
        <v>81.900000000000006</v>
      </c>
      <c r="Q15" s="116">
        <v>97.05</v>
      </c>
      <c r="R15">
        <v>7785820</v>
      </c>
    </row>
    <row r="16" spans="1:18" x14ac:dyDescent="0.25">
      <c r="A16" s="170">
        <v>43426</v>
      </c>
      <c r="B16" s="116">
        <v>115</v>
      </c>
      <c r="C16" s="116">
        <v>111.35</v>
      </c>
      <c r="D16" s="116">
        <v>105</v>
      </c>
      <c r="E16" s="116">
        <v>107.1</v>
      </c>
      <c r="F16" s="116">
        <v>111.35</v>
      </c>
      <c r="G16">
        <v>3028741</v>
      </c>
      <c r="H16" s="116"/>
      <c r="I16" s="116"/>
      <c r="L16" s="170">
        <v>43426</v>
      </c>
      <c r="M16" s="116">
        <v>111.55</v>
      </c>
      <c r="N16" s="116">
        <v>115.4</v>
      </c>
      <c r="O16" s="116">
        <v>105</v>
      </c>
      <c r="P16" s="116">
        <v>106.55</v>
      </c>
      <c r="Q16" s="116">
        <v>111.55</v>
      </c>
      <c r="R16">
        <v>17594459</v>
      </c>
    </row>
    <row r="17" spans="1:18" x14ac:dyDescent="0.25">
      <c r="A17" s="170">
        <v>43430</v>
      </c>
      <c r="B17" s="116">
        <v>114.85</v>
      </c>
      <c r="C17" s="116">
        <v>103.85</v>
      </c>
      <c r="D17" s="116">
        <v>102.9</v>
      </c>
      <c r="E17" s="116">
        <v>114</v>
      </c>
      <c r="F17" s="116">
        <v>103.85</v>
      </c>
      <c r="G17">
        <v>1224923</v>
      </c>
      <c r="H17" s="116"/>
      <c r="I17" s="116"/>
      <c r="L17" s="170">
        <v>43430</v>
      </c>
      <c r="M17" s="116">
        <v>104.1</v>
      </c>
      <c r="N17" s="116">
        <v>114.7</v>
      </c>
      <c r="O17" s="116">
        <v>102</v>
      </c>
      <c r="P17" s="116">
        <v>114.1</v>
      </c>
      <c r="Q17" s="116">
        <v>104.1</v>
      </c>
      <c r="R17">
        <v>7818868</v>
      </c>
    </row>
    <row r="18" spans="1:18" x14ac:dyDescent="0.25">
      <c r="A18" s="170">
        <v>43431</v>
      </c>
      <c r="B18" s="116">
        <v>105.2</v>
      </c>
      <c r="C18" s="116">
        <v>101.05</v>
      </c>
      <c r="D18" s="116">
        <v>99.1</v>
      </c>
      <c r="E18" s="116">
        <v>100.8</v>
      </c>
      <c r="F18" s="116">
        <v>101.05</v>
      </c>
      <c r="G18">
        <v>687588</v>
      </c>
      <c r="H18" s="116"/>
      <c r="I18" s="116"/>
      <c r="L18" s="170">
        <v>43431</v>
      </c>
      <c r="M18" s="116">
        <v>101.05</v>
      </c>
      <c r="N18" s="116">
        <v>105.25</v>
      </c>
      <c r="O18" s="116">
        <v>98.25</v>
      </c>
      <c r="P18" s="116">
        <v>100.5</v>
      </c>
      <c r="Q18" s="116">
        <v>101.05</v>
      </c>
      <c r="R18">
        <v>4647882</v>
      </c>
    </row>
    <row r="19" spans="1:18" x14ac:dyDescent="0.25">
      <c r="A19" s="170">
        <v>43432</v>
      </c>
      <c r="B19" s="116">
        <v>102.55</v>
      </c>
      <c r="C19" s="116">
        <v>98.4</v>
      </c>
      <c r="D19" s="116">
        <v>94.4</v>
      </c>
      <c r="E19" s="116">
        <v>101.4</v>
      </c>
      <c r="F19" s="116">
        <v>98.4</v>
      </c>
      <c r="G19">
        <v>720377</v>
      </c>
      <c r="H19" s="116"/>
      <c r="I19" s="116"/>
      <c r="L19" s="170">
        <v>43432</v>
      </c>
      <c r="M19" s="116">
        <v>99</v>
      </c>
      <c r="N19" s="116">
        <v>102.6</v>
      </c>
      <c r="O19" s="116">
        <v>94.1</v>
      </c>
      <c r="P19" s="116">
        <v>101.45</v>
      </c>
      <c r="Q19" s="116">
        <v>99</v>
      </c>
      <c r="R19">
        <v>4517227</v>
      </c>
    </row>
    <row r="20" spans="1:18" x14ac:dyDescent="0.25">
      <c r="A20" s="170">
        <v>43433</v>
      </c>
      <c r="B20" s="116">
        <v>101.9</v>
      </c>
      <c r="C20" s="116">
        <v>99.3</v>
      </c>
      <c r="D20" s="116">
        <v>98.15</v>
      </c>
      <c r="E20" s="116">
        <v>100.45</v>
      </c>
      <c r="F20" s="116">
        <v>99.3</v>
      </c>
      <c r="G20">
        <v>376170</v>
      </c>
      <c r="H20" s="116"/>
      <c r="I20" s="116"/>
      <c r="L20" s="170">
        <v>43433</v>
      </c>
      <c r="M20" s="116">
        <v>99.45</v>
      </c>
      <c r="N20" s="116">
        <v>101.7</v>
      </c>
      <c r="O20" s="116">
        <v>98.1</v>
      </c>
      <c r="P20" s="116">
        <v>99.9</v>
      </c>
      <c r="Q20" s="116">
        <v>99.45</v>
      </c>
      <c r="R20">
        <v>2006532</v>
      </c>
    </row>
    <row r="21" spans="1:18" x14ac:dyDescent="0.25">
      <c r="A21" s="170">
        <v>43434</v>
      </c>
      <c r="B21" s="116">
        <v>101.45</v>
      </c>
      <c r="C21" s="116">
        <v>98.5</v>
      </c>
      <c r="D21" s="116">
        <v>97.95</v>
      </c>
      <c r="E21" s="116">
        <v>99.25</v>
      </c>
      <c r="F21" s="116">
        <v>98.5</v>
      </c>
      <c r="G21">
        <v>321820</v>
      </c>
      <c r="H21" s="116"/>
      <c r="I21" s="116"/>
      <c r="L21" s="170">
        <v>43434</v>
      </c>
      <c r="M21" s="116">
        <v>98.75</v>
      </c>
      <c r="N21" s="116">
        <v>101.4</v>
      </c>
      <c r="O21" s="116">
        <v>97.65</v>
      </c>
      <c r="P21" s="116">
        <v>99.1</v>
      </c>
      <c r="Q21" s="116">
        <v>98.75</v>
      </c>
      <c r="R21">
        <v>1745738</v>
      </c>
    </row>
    <row r="22" spans="1:18" x14ac:dyDescent="0.25">
      <c r="A22" s="170">
        <v>43437</v>
      </c>
      <c r="B22" s="116">
        <v>99.6</v>
      </c>
      <c r="C22" s="116">
        <v>97.25</v>
      </c>
      <c r="D22" s="116">
        <v>96.4</v>
      </c>
      <c r="E22" s="116">
        <v>98.95</v>
      </c>
      <c r="F22" s="116">
        <v>97.25</v>
      </c>
      <c r="G22">
        <v>177009</v>
      </c>
      <c r="H22" s="116"/>
      <c r="I22" s="116"/>
      <c r="L22" s="170">
        <v>43437</v>
      </c>
      <c r="M22" s="116">
        <v>97.5</v>
      </c>
      <c r="N22" s="116">
        <v>99.75</v>
      </c>
      <c r="O22" s="116">
        <v>96.3</v>
      </c>
      <c r="P22" s="116">
        <v>99</v>
      </c>
      <c r="Q22" s="116">
        <v>97.5</v>
      </c>
      <c r="R22">
        <v>1065560</v>
      </c>
    </row>
    <row r="23" spans="1:18" x14ac:dyDescent="0.25">
      <c r="A23" s="170">
        <v>43438</v>
      </c>
      <c r="B23" s="116">
        <v>97.65</v>
      </c>
      <c r="C23" s="116">
        <v>95.6</v>
      </c>
      <c r="D23" s="116">
        <v>95.05</v>
      </c>
      <c r="E23" s="116">
        <v>97.5</v>
      </c>
      <c r="F23" s="116">
        <v>95.6</v>
      </c>
      <c r="G23">
        <v>174135</v>
      </c>
      <c r="H23" s="116"/>
      <c r="I23" s="116"/>
      <c r="L23" s="170">
        <v>43438</v>
      </c>
      <c r="M23" s="116">
        <v>96.2</v>
      </c>
      <c r="N23" s="116">
        <v>97.85</v>
      </c>
      <c r="O23" s="116">
        <v>95.2</v>
      </c>
      <c r="P23" s="116">
        <v>97.5</v>
      </c>
      <c r="Q23" s="116">
        <v>96.2</v>
      </c>
      <c r="R23">
        <v>1044937</v>
      </c>
    </row>
    <row r="24" spans="1:18" x14ac:dyDescent="0.25">
      <c r="A24" s="170">
        <v>43439</v>
      </c>
      <c r="B24" s="116">
        <v>105.15</v>
      </c>
      <c r="C24" s="116">
        <v>105.05</v>
      </c>
      <c r="D24" s="116">
        <v>94.4</v>
      </c>
      <c r="E24" s="116">
        <v>95.6</v>
      </c>
      <c r="F24" s="116">
        <v>105.05</v>
      </c>
      <c r="G24">
        <v>1453129</v>
      </c>
      <c r="H24" s="116"/>
      <c r="I24" s="116"/>
      <c r="L24" s="170">
        <v>43439</v>
      </c>
      <c r="M24" s="116">
        <v>105.35</v>
      </c>
      <c r="N24" s="116">
        <v>105.8</v>
      </c>
      <c r="O24" s="116">
        <v>94.2</v>
      </c>
      <c r="P24" s="116">
        <v>95.15</v>
      </c>
      <c r="Q24" s="116">
        <v>105.35</v>
      </c>
      <c r="R24">
        <v>6794511</v>
      </c>
    </row>
    <row r="25" spans="1:18" x14ac:dyDescent="0.25">
      <c r="A25" s="170">
        <v>43440</v>
      </c>
      <c r="B25" s="116">
        <v>110.9</v>
      </c>
      <c r="C25" s="116">
        <v>104.1</v>
      </c>
      <c r="D25" s="116">
        <v>103.15</v>
      </c>
      <c r="E25" s="116">
        <v>104.5</v>
      </c>
      <c r="F25" s="116">
        <v>104.1</v>
      </c>
      <c r="G25">
        <v>789244</v>
      </c>
      <c r="H25" s="116"/>
      <c r="I25" s="116"/>
      <c r="L25" s="170">
        <v>43440</v>
      </c>
      <c r="M25" s="116">
        <v>104.3</v>
      </c>
      <c r="N25" s="116">
        <v>110.7</v>
      </c>
      <c r="O25" s="116">
        <v>103.15</v>
      </c>
      <c r="P25" s="116">
        <v>103.95</v>
      </c>
      <c r="Q25" s="116">
        <v>104.3</v>
      </c>
      <c r="R25">
        <v>4175920</v>
      </c>
    </row>
    <row r="26" spans="1:18" x14ac:dyDescent="0.25">
      <c r="A26" s="170">
        <v>43441</v>
      </c>
      <c r="B26" s="116">
        <v>108</v>
      </c>
      <c r="C26" s="116">
        <v>100.1</v>
      </c>
      <c r="D26" s="116">
        <v>99.3</v>
      </c>
      <c r="E26" s="116">
        <v>105.35</v>
      </c>
      <c r="F26" s="116">
        <v>100.1</v>
      </c>
      <c r="G26">
        <v>321701</v>
      </c>
      <c r="H26" s="116"/>
      <c r="I26" s="116"/>
      <c r="L26" s="170">
        <v>43441</v>
      </c>
      <c r="M26" s="116">
        <v>100.15</v>
      </c>
      <c r="N26" s="116">
        <v>108.5</v>
      </c>
      <c r="O26" s="116">
        <v>99.25</v>
      </c>
      <c r="P26" s="116">
        <v>105</v>
      </c>
      <c r="Q26" s="116">
        <v>100.15</v>
      </c>
      <c r="R26">
        <v>1674014</v>
      </c>
    </row>
    <row r="27" spans="1:18" x14ac:dyDescent="0.25">
      <c r="A27" s="170">
        <v>43444</v>
      </c>
      <c r="B27" s="116">
        <v>97.45</v>
      </c>
      <c r="C27" s="116">
        <v>94.55</v>
      </c>
      <c r="D27" s="116">
        <v>94</v>
      </c>
      <c r="E27" s="116">
        <v>95.1</v>
      </c>
      <c r="F27" s="116">
        <v>94.55</v>
      </c>
      <c r="G27">
        <v>229630</v>
      </c>
      <c r="H27" s="116"/>
      <c r="I27" s="116"/>
      <c r="L27" s="170">
        <v>43444</v>
      </c>
      <c r="M27" s="116">
        <v>94.85</v>
      </c>
      <c r="N27" s="116">
        <v>98</v>
      </c>
      <c r="O27" s="116">
        <v>94</v>
      </c>
      <c r="P27" s="116">
        <v>95.1</v>
      </c>
      <c r="Q27" s="116">
        <v>94.85</v>
      </c>
      <c r="R27">
        <v>965256</v>
      </c>
    </row>
    <row r="28" spans="1:18" x14ac:dyDescent="0.25">
      <c r="A28" s="170">
        <v>43445</v>
      </c>
      <c r="B28" s="116">
        <v>98.7</v>
      </c>
      <c r="C28" s="116">
        <v>96.7</v>
      </c>
      <c r="D28" s="116">
        <v>91</v>
      </c>
      <c r="E28" s="116">
        <v>92.3</v>
      </c>
      <c r="F28" s="116">
        <v>96.7</v>
      </c>
      <c r="G28">
        <v>367351</v>
      </c>
      <c r="H28" s="116"/>
      <c r="I28" s="116"/>
      <c r="L28" s="170">
        <v>43445</v>
      </c>
      <c r="M28" s="116">
        <v>96.15</v>
      </c>
      <c r="N28" s="116">
        <v>98.7</v>
      </c>
      <c r="O28" s="116">
        <v>91</v>
      </c>
      <c r="P28" s="116">
        <v>91</v>
      </c>
      <c r="Q28" s="116">
        <v>96.15</v>
      </c>
      <c r="R28">
        <v>1521664</v>
      </c>
    </row>
    <row r="29" spans="1:18" x14ac:dyDescent="0.25">
      <c r="A29" s="170">
        <v>43446</v>
      </c>
      <c r="B29" s="116">
        <v>101.9</v>
      </c>
      <c r="C29" s="116">
        <v>98.25</v>
      </c>
      <c r="D29" s="116">
        <v>97.6</v>
      </c>
      <c r="E29" s="116">
        <v>97.9</v>
      </c>
      <c r="F29" s="116">
        <v>98.25</v>
      </c>
      <c r="G29">
        <v>244676</v>
      </c>
      <c r="H29" s="116"/>
      <c r="I29" s="116"/>
      <c r="L29" s="170">
        <v>43446</v>
      </c>
      <c r="M29" s="116">
        <v>98.05</v>
      </c>
      <c r="N29" s="116">
        <v>101.95</v>
      </c>
      <c r="O29" s="116">
        <v>97.5</v>
      </c>
      <c r="P29" s="116">
        <v>97.7</v>
      </c>
      <c r="Q29" s="116">
        <v>98.05</v>
      </c>
      <c r="R29">
        <v>1142024</v>
      </c>
    </row>
    <row r="30" spans="1:18" x14ac:dyDescent="0.25">
      <c r="A30" s="170">
        <v>43447</v>
      </c>
      <c r="B30" s="116">
        <v>101.9</v>
      </c>
      <c r="C30" s="116">
        <v>98.95</v>
      </c>
      <c r="D30" s="116">
        <v>98.6</v>
      </c>
      <c r="E30" s="116">
        <v>99.35</v>
      </c>
      <c r="F30" s="116">
        <v>98.95</v>
      </c>
      <c r="G30">
        <v>243841</v>
      </c>
      <c r="H30" s="116"/>
      <c r="I30" s="116"/>
      <c r="L30" s="170">
        <v>43447</v>
      </c>
      <c r="M30" s="116">
        <v>98.95</v>
      </c>
      <c r="N30" s="116">
        <v>101.9</v>
      </c>
      <c r="O30" s="116">
        <v>98.5</v>
      </c>
      <c r="P30" s="116">
        <v>99.6</v>
      </c>
      <c r="Q30" s="116">
        <v>98.95</v>
      </c>
      <c r="R30">
        <v>966517</v>
      </c>
    </row>
    <row r="31" spans="1:18" x14ac:dyDescent="0.25">
      <c r="A31" s="170">
        <v>43448</v>
      </c>
      <c r="B31" s="116">
        <v>100.75</v>
      </c>
      <c r="C31" s="116">
        <v>98.65</v>
      </c>
      <c r="D31" s="116">
        <v>98</v>
      </c>
      <c r="E31" s="116">
        <v>98.75</v>
      </c>
      <c r="F31" s="116">
        <v>98.65</v>
      </c>
      <c r="G31">
        <v>141654</v>
      </c>
      <c r="H31" s="116"/>
      <c r="I31" s="116"/>
      <c r="L31" s="170">
        <v>43448</v>
      </c>
      <c r="M31" s="116">
        <v>98.85</v>
      </c>
      <c r="N31" s="116">
        <v>100.8</v>
      </c>
      <c r="O31" s="116">
        <v>98.1</v>
      </c>
      <c r="P31" s="116">
        <v>99.75</v>
      </c>
      <c r="Q31" s="116">
        <v>98.85</v>
      </c>
      <c r="R31">
        <v>513487</v>
      </c>
    </row>
    <row r="32" spans="1:18" x14ac:dyDescent="0.25">
      <c r="A32" s="170">
        <v>43451</v>
      </c>
      <c r="B32" s="116">
        <v>100.65</v>
      </c>
      <c r="C32" s="116">
        <v>99.45</v>
      </c>
      <c r="D32" s="116">
        <v>98.7</v>
      </c>
      <c r="E32" s="116">
        <v>99.8</v>
      </c>
      <c r="F32" s="116">
        <v>99.45</v>
      </c>
      <c r="G32">
        <v>139352</v>
      </c>
      <c r="H32" s="116"/>
      <c r="I32" s="116"/>
      <c r="L32" s="170">
        <v>43451</v>
      </c>
      <c r="M32" s="116">
        <v>99.7</v>
      </c>
      <c r="N32" s="116">
        <v>100.8</v>
      </c>
      <c r="O32" s="116">
        <v>98.75</v>
      </c>
      <c r="P32" s="116">
        <v>99.55</v>
      </c>
      <c r="Q32" s="116">
        <v>99.7</v>
      </c>
      <c r="R32">
        <v>584085</v>
      </c>
    </row>
    <row r="33" spans="1:18" x14ac:dyDescent="0.25">
      <c r="A33" s="170">
        <v>43452</v>
      </c>
      <c r="B33" s="116">
        <v>108.05</v>
      </c>
      <c r="C33" s="116">
        <v>106.35</v>
      </c>
      <c r="D33" s="116">
        <v>98.55</v>
      </c>
      <c r="E33" s="116">
        <v>99.45</v>
      </c>
      <c r="F33" s="116">
        <v>106.35</v>
      </c>
      <c r="G33">
        <v>596924</v>
      </c>
      <c r="H33" s="116"/>
      <c r="I33" s="116"/>
      <c r="L33" s="170">
        <v>43452</v>
      </c>
      <c r="M33" s="116">
        <v>106.25</v>
      </c>
      <c r="N33" s="116">
        <v>108.4</v>
      </c>
      <c r="O33" s="116">
        <v>98.4</v>
      </c>
      <c r="P33" s="116">
        <v>99.1</v>
      </c>
      <c r="Q33" s="116">
        <v>106.25</v>
      </c>
      <c r="R33">
        <v>3127798</v>
      </c>
    </row>
    <row r="34" spans="1:18" x14ac:dyDescent="0.25">
      <c r="A34" s="170">
        <v>43453</v>
      </c>
      <c r="B34" s="116">
        <v>108.4</v>
      </c>
      <c r="C34" s="116">
        <v>102.95</v>
      </c>
      <c r="D34" s="116">
        <v>102.5</v>
      </c>
      <c r="E34" s="116">
        <v>107.9</v>
      </c>
      <c r="F34" s="116">
        <v>102.95</v>
      </c>
      <c r="G34">
        <v>274905</v>
      </c>
      <c r="H34" s="116"/>
      <c r="I34" s="116"/>
      <c r="L34" s="170">
        <v>43453</v>
      </c>
      <c r="M34" s="116">
        <v>103</v>
      </c>
      <c r="N34" s="116">
        <v>108.45</v>
      </c>
      <c r="O34" s="116">
        <v>102.55</v>
      </c>
      <c r="P34" s="116">
        <v>108.45</v>
      </c>
      <c r="Q34" s="116">
        <v>103</v>
      </c>
      <c r="R34">
        <v>1107432</v>
      </c>
    </row>
    <row r="35" spans="1:18" x14ac:dyDescent="0.25">
      <c r="A35" s="170">
        <v>43454</v>
      </c>
      <c r="B35" s="116">
        <v>104.85</v>
      </c>
      <c r="C35" s="116">
        <v>102.45</v>
      </c>
      <c r="D35" s="116">
        <v>101.55</v>
      </c>
      <c r="E35" s="116">
        <v>101.95</v>
      </c>
      <c r="F35" s="116">
        <v>102.45</v>
      </c>
      <c r="G35">
        <v>160218</v>
      </c>
      <c r="H35" s="116"/>
      <c r="I35" s="116"/>
      <c r="L35" s="170">
        <v>43454</v>
      </c>
      <c r="M35" s="116">
        <v>102.8</v>
      </c>
      <c r="N35" s="116">
        <v>104.75</v>
      </c>
      <c r="O35" s="116">
        <v>101.55</v>
      </c>
      <c r="P35" s="116">
        <v>102.05</v>
      </c>
      <c r="Q35" s="116">
        <v>102.8</v>
      </c>
      <c r="R35">
        <v>657144</v>
      </c>
    </row>
    <row r="36" spans="1:18" x14ac:dyDescent="0.25">
      <c r="A36" s="170">
        <v>43455</v>
      </c>
      <c r="B36" s="116">
        <v>103.7</v>
      </c>
      <c r="C36" s="116">
        <v>100.1</v>
      </c>
      <c r="D36" s="116">
        <v>99.7</v>
      </c>
      <c r="E36" s="116">
        <v>102.4</v>
      </c>
      <c r="F36" s="116">
        <v>100.1</v>
      </c>
      <c r="G36">
        <v>172011</v>
      </c>
      <c r="H36" s="116"/>
      <c r="I36" s="116"/>
      <c r="L36" s="170">
        <v>43455</v>
      </c>
      <c r="M36" s="116">
        <v>99.65</v>
      </c>
      <c r="N36" s="116">
        <v>103.9</v>
      </c>
      <c r="O36" s="116">
        <v>99.4</v>
      </c>
      <c r="P36" s="116">
        <v>103.65</v>
      </c>
      <c r="Q36" s="116">
        <v>99.65</v>
      </c>
      <c r="R36">
        <v>763820</v>
      </c>
    </row>
    <row r="37" spans="1:18" x14ac:dyDescent="0.25">
      <c r="A37" s="170">
        <v>43458</v>
      </c>
      <c r="B37" s="116">
        <v>100.95</v>
      </c>
      <c r="C37" s="116">
        <v>98.5</v>
      </c>
      <c r="D37" s="116">
        <v>98.3</v>
      </c>
      <c r="E37" s="116">
        <v>100.7</v>
      </c>
      <c r="F37" s="116">
        <v>98.5</v>
      </c>
      <c r="G37">
        <v>101908</v>
      </c>
      <c r="H37" s="116"/>
      <c r="I37" s="116"/>
      <c r="L37" s="170">
        <v>43458</v>
      </c>
      <c r="M37" s="116">
        <v>98.3</v>
      </c>
      <c r="N37" s="116">
        <v>101.15</v>
      </c>
      <c r="O37" s="116">
        <v>98.05</v>
      </c>
      <c r="P37" s="116">
        <v>100.7</v>
      </c>
      <c r="Q37" s="116">
        <v>98.3</v>
      </c>
      <c r="R37">
        <v>415118</v>
      </c>
    </row>
    <row r="38" spans="1:18" x14ac:dyDescent="0.25">
      <c r="A38" s="170">
        <v>43460</v>
      </c>
      <c r="B38" s="116">
        <v>103.05</v>
      </c>
      <c r="C38" s="116">
        <v>100.7</v>
      </c>
      <c r="D38" s="116">
        <v>96.6</v>
      </c>
      <c r="E38" s="116">
        <v>97.5</v>
      </c>
      <c r="F38" s="116">
        <v>100.7</v>
      </c>
      <c r="G38">
        <v>328819</v>
      </c>
      <c r="H38" s="116"/>
      <c r="I38" s="116"/>
      <c r="L38" s="170">
        <v>43460</v>
      </c>
      <c r="M38" s="116">
        <v>100.5</v>
      </c>
      <c r="N38" s="116">
        <v>103.2</v>
      </c>
      <c r="O38" s="116">
        <v>96.5</v>
      </c>
      <c r="P38" s="116">
        <v>97.85</v>
      </c>
      <c r="Q38" s="116">
        <v>100.5</v>
      </c>
      <c r="R38">
        <v>1298911</v>
      </c>
    </row>
    <row r="39" spans="1:18" x14ac:dyDescent="0.25">
      <c r="A39" s="170">
        <v>43461</v>
      </c>
      <c r="B39" s="116">
        <v>102.3</v>
      </c>
      <c r="C39" s="116">
        <v>100.25</v>
      </c>
      <c r="D39" s="116">
        <v>99.6</v>
      </c>
      <c r="E39" s="116">
        <v>101.5</v>
      </c>
      <c r="F39" s="116">
        <v>100.25</v>
      </c>
      <c r="G39">
        <v>176379</v>
      </c>
      <c r="H39" s="116"/>
      <c r="I39" s="116"/>
      <c r="L39" s="170">
        <v>43461</v>
      </c>
      <c r="M39" s="116">
        <v>100.1</v>
      </c>
      <c r="N39" s="116">
        <v>102.3</v>
      </c>
      <c r="O39" s="116">
        <v>99.65</v>
      </c>
      <c r="P39" s="116">
        <v>101.25</v>
      </c>
      <c r="Q39" s="116">
        <v>100.1</v>
      </c>
      <c r="R39">
        <v>455898</v>
      </c>
    </row>
    <row r="40" spans="1:18" x14ac:dyDescent="0.25">
      <c r="A40" s="170">
        <v>43462</v>
      </c>
      <c r="B40" s="116">
        <v>102.85</v>
      </c>
      <c r="C40" s="116">
        <v>100.95</v>
      </c>
      <c r="D40" s="116">
        <v>100.05</v>
      </c>
      <c r="E40" s="116">
        <v>101.5</v>
      </c>
      <c r="F40" s="116">
        <v>100.95</v>
      </c>
      <c r="G40">
        <v>118187</v>
      </c>
      <c r="H40" s="116"/>
      <c r="I40" s="116"/>
      <c r="L40" s="170">
        <v>43462</v>
      </c>
      <c r="M40" s="116">
        <v>101.2</v>
      </c>
      <c r="N40" s="116">
        <v>102.75</v>
      </c>
      <c r="O40" s="116">
        <v>100.35</v>
      </c>
      <c r="P40" s="116">
        <v>100.65</v>
      </c>
      <c r="Q40" s="116">
        <v>101.2</v>
      </c>
      <c r="R40">
        <v>618916</v>
      </c>
    </row>
    <row r="41" spans="1:18" x14ac:dyDescent="0.25">
      <c r="A41" s="170">
        <v>43465</v>
      </c>
      <c r="B41" s="116">
        <v>102.5</v>
      </c>
      <c r="C41" s="116">
        <v>100.85</v>
      </c>
      <c r="D41" s="116">
        <v>100.4</v>
      </c>
      <c r="E41" s="116">
        <v>102</v>
      </c>
      <c r="F41" s="116">
        <v>100.85</v>
      </c>
      <c r="G41">
        <v>115453</v>
      </c>
      <c r="H41" s="116"/>
      <c r="I41" s="116"/>
      <c r="L41" s="170">
        <v>43465</v>
      </c>
      <c r="M41" s="116">
        <v>100.8</v>
      </c>
      <c r="N41" s="116">
        <v>102.4</v>
      </c>
      <c r="O41" s="116">
        <v>100.1</v>
      </c>
      <c r="P41" s="116">
        <v>101.5</v>
      </c>
      <c r="Q41" s="116">
        <v>100.8</v>
      </c>
      <c r="R41">
        <v>394322</v>
      </c>
    </row>
    <row r="42" spans="1:18" x14ac:dyDescent="0.25">
      <c r="A42" s="170">
        <v>43466</v>
      </c>
      <c r="B42" s="116">
        <v>103.4</v>
      </c>
      <c r="C42" s="116">
        <v>101.85</v>
      </c>
      <c r="D42" s="116">
        <v>100.65</v>
      </c>
      <c r="E42" s="116">
        <v>101</v>
      </c>
      <c r="F42" s="116">
        <v>101.85</v>
      </c>
      <c r="G42">
        <v>128522</v>
      </c>
      <c r="H42" s="116"/>
      <c r="I42" s="116"/>
      <c r="L42" s="170">
        <v>43466</v>
      </c>
      <c r="M42" s="116">
        <v>101.85</v>
      </c>
      <c r="N42" s="116">
        <v>103.5</v>
      </c>
      <c r="O42" s="116">
        <v>100.55</v>
      </c>
      <c r="P42" s="116">
        <v>101.25</v>
      </c>
      <c r="Q42" s="116">
        <v>101.85</v>
      </c>
      <c r="R42">
        <v>501670</v>
      </c>
    </row>
    <row r="43" spans="1:18" x14ac:dyDescent="0.25">
      <c r="A43" s="170">
        <v>43467</v>
      </c>
      <c r="B43" s="116">
        <v>102.6</v>
      </c>
      <c r="C43" s="116">
        <v>100.5</v>
      </c>
      <c r="D43" s="116">
        <v>100</v>
      </c>
      <c r="E43" s="116">
        <v>101.3</v>
      </c>
      <c r="F43" s="116">
        <v>100.5</v>
      </c>
      <c r="G43">
        <v>103686</v>
      </c>
      <c r="H43" s="116"/>
      <c r="I43" s="116"/>
      <c r="L43" s="170">
        <v>43467</v>
      </c>
      <c r="M43" s="116">
        <v>100.45</v>
      </c>
      <c r="N43" s="116">
        <v>102.55</v>
      </c>
      <c r="O43" s="116">
        <v>99.4</v>
      </c>
      <c r="P43" s="116">
        <v>101.25</v>
      </c>
      <c r="Q43" s="116">
        <v>100.45</v>
      </c>
      <c r="R43">
        <v>379628</v>
      </c>
    </row>
    <row r="44" spans="1:18" x14ac:dyDescent="0.25">
      <c r="A44" s="170">
        <v>43468</v>
      </c>
      <c r="B44" s="116">
        <v>103.2</v>
      </c>
      <c r="C44" s="116">
        <v>100.7</v>
      </c>
      <c r="D44" s="116">
        <v>100.5</v>
      </c>
      <c r="E44" s="116">
        <v>102.1</v>
      </c>
      <c r="F44" s="116">
        <v>100.7</v>
      </c>
      <c r="G44">
        <v>90202</v>
      </c>
      <c r="H44" s="116"/>
      <c r="I44" s="116"/>
      <c r="L44" s="170">
        <v>43468</v>
      </c>
      <c r="M44" s="116">
        <v>100.85</v>
      </c>
      <c r="N44" s="116">
        <v>103.2</v>
      </c>
      <c r="O44" s="116">
        <v>100.75</v>
      </c>
      <c r="P44" s="116">
        <v>102.3</v>
      </c>
      <c r="Q44" s="116">
        <v>100.85</v>
      </c>
      <c r="R44">
        <v>560741</v>
      </c>
    </row>
    <row r="45" spans="1:18" x14ac:dyDescent="0.25">
      <c r="A45" s="170">
        <v>43469</v>
      </c>
      <c r="B45" s="116">
        <v>101.7</v>
      </c>
      <c r="C45" s="116">
        <v>100.6</v>
      </c>
      <c r="D45" s="116">
        <v>99.9</v>
      </c>
      <c r="E45" s="116">
        <v>100.85</v>
      </c>
      <c r="F45" s="116">
        <v>100.6</v>
      </c>
      <c r="G45">
        <v>58433</v>
      </c>
      <c r="H45" s="116"/>
      <c r="I45" s="116"/>
      <c r="L45" s="170">
        <v>43469</v>
      </c>
      <c r="M45" s="116">
        <v>100.85</v>
      </c>
      <c r="N45" s="116">
        <v>101.75</v>
      </c>
      <c r="O45" s="116">
        <v>99.85</v>
      </c>
      <c r="P45" s="116">
        <v>101</v>
      </c>
      <c r="Q45" s="116">
        <v>100.85</v>
      </c>
      <c r="R45">
        <v>360516</v>
      </c>
    </row>
    <row r="46" spans="1:18" x14ac:dyDescent="0.25">
      <c r="A46" s="170">
        <v>43472</v>
      </c>
      <c r="B46" s="116">
        <v>102.7</v>
      </c>
      <c r="C46" s="116">
        <v>101.45</v>
      </c>
      <c r="D46" s="116">
        <v>100.4</v>
      </c>
      <c r="E46" s="116">
        <v>101.2</v>
      </c>
      <c r="F46" s="116">
        <v>101.45</v>
      </c>
      <c r="G46">
        <v>117526</v>
      </c>
      <c r="H46" s="116"/>
      <c r="I46" s="116"/>
      <c r="L46" s="170">
        <v>43472</v>
      </c>
      <c r="M46" s="116">
        <v>101.65</v>
      </c>
      <c r="N46" s="116">
        <v>103</v>
      </c>
      <c r="O46" s="116">
        <v>100.5</v>
      </c>
      <c r="P46" s="116">
        <v>101.5</v>
      </c>
      <c r="Q46" s="116">
        <v>101.65</v>
      </c>
      <c r="R46">
        <v>787978</v>
      </c>
    </row>
    <row r="47" spans="1:18" x14ac:dyDescent="0.25">
      <c r="A47" s="170">
        <v>43473</v>
      </c>
      <c r="B47" s="116">
        <v>101.8</v>
      </c>
      <c r="C47" s="116">
        <v>100.95</v>
      </c>
      <c r="D47" s="116">
        <v>100.25</v>
      </c>
      <c r="E47" s="116">
        <v>101.8</v>
      </c>
      <c r="F47" s="116">
        <v>100.95</v>
      </c>
      <c r="G47">
        <v>64976</v>
      </c>
      <c r="H47" s="116"/>
      <c r="I47" s="116"/>
      <c r="L47" s="170">
        <v>43473</v>
      </c>
      <c r="M47" s="116">
        <v>101.1</v>
      </c>
      <c r="N47" s="116">
        <v>101.9</v>
      </c>
      <c r="O47" s="116">
        <v>100.25</v>
      </c>
      <c r="P47" s="116">
        <v>101.65</v>
      </c>
      <c r="Q47" s="116">
        <v>101.1</v>
      </c>
      <c r="R47">
        <v>385585</v>
      </c>
    </row>
    <row r="48" spans="1:18" x14ac:dyDescent="0.25">
      <c r="A48" s="170">
        <v>43474</v>
      </c>
      <c r="B48" s="116">
        <v>102.75</v>
      </c>
      <c r="C48" s="116">
        <v>101.35</v>
      </c>
      <c r="D48" s="116">
        <v>100.1</v>
      </c>
      <c r="E48" s="116">
        <v>100.8</v>
      </c>
      <c r="F48" s="116">
        <v>101.35</v>
      </c>
      <c r="G48">
        <v>92914</v>
      </c>
      <c r="H48" s="116"/>
      <c r="I48" s="116"/>
      <c r="L48" s="170">
        <v>43474</v>
      </c>
      <c r="M48" s="116">
        <v>101.25</v>
      </c>
      <c r="N48" s="116">
        <v>102.75</v>
      </c>
      <c r="O48" s="116">
        <v>99.9</v>
      </c>
      <c r="P48" s="116">
        <v>101.5</v>
      </c>
      <c r="Q48" s="116">
        <v>101.25</v>
      </c>
      <c r="R48">
        <v>563962</v>
      </c>
    </row>
    <row r="49" spans="1:18" x14ac:dyDescent="0.25">
      <c r="A49" s="170">
        <v>43475</v>
      </c>
      <c r="B49" s="116">
        <v>101.75</v>
      </c>
      <c r="C49" s="116">
        <v>100.35</v>
      </c>
      <c r="D49" s="116">
        <v>99.95</v>
      </c>
      <c r="E49" s="116">
        <v>101.1</v>
      </c>
      <c r="F49" s="116">
        <v>100.35</v>
      </c>
      <c r="G49">
        <v>59224</v>
      </c>
      <c r="H49" s="116"/>
      <c r="I49" s="116"/>
      <c r="L49" s="170">
        <v>43475</v>
      </c>
      <c r="M49" s="116">
        <v>100.4</v>
      </c>
      <c r="N49" s="116">
        <v>101.7</v>
      </c>
      <c r="O49" s="116">
        <v>99.75</v>
      </c>
      <c r="P49" s="116">
        <v>101.45</v>
      </c>
      <c r="Q49" s="116">
        <v>100.4</v>
      </c>
      <c r="R49">
        <v>336970</v>
      </c>
    </row>
    <row r="50" spans="1:18" x14ac:dyDescent="0.25">
      <c r="A50" s="170">
        <v>43476</v>
      </c>
      <c r="B50" s="116">
        <v>101.7</v>
      </c>
      <c r="C50" s="116">
        <v>99.25</v>
      </c>
      <c r="D50" s="116">
        <v>98.6</v>
      </c>
      <c r="E50" s="116">
        <v>100.95</v>
      </c>
      <c r="F50" s="116">
        <v>99.25</v>
      </c>
      <c r="G50">
        <v>83258</v>
      </c>
      <c r="H50" s="116"/>
      <c r="I50" s="116"/>
      <c r="L50" s="170">
        <v>43476</v>
      </c>
      <c r="M50" s="116">
        <v>99</v>
      </c>
      <c r="N50" s="116">
        <v>101.6</v>
      </c>
      <c r="O50" s="116">
        <v>98.35</v>
      </c>
      <c r="P50" s="116">
        <v>100.5</v>
      </c>
      <c r="Q50" s="116">
        <v>99</v>
      </c>
      <c r="R50">
        <v>533121</v>
      </c>
    </row>
    <row r="51" spans="1:18" x14ac:dyDescent="0.25">
      <c r="A51" s="170">
        <v>43479</v>
      </c>
      <c r="B51" s="116">
        <v>100.15</v>
      </c>
      <c r="C51" s="116">
        <v>97.85</v>
      </c>
      <c r="D51" s="116">
        <v>97.5</v>
      </c>
      <c r="E51" s="116">
        <v>99</v>
      </c>
      <c r="F51" s="116">
        <v>97.85</v>
      </c>
      <c r="G51">
        <v>59088</v>
      </c>
      <c r="H51" s="116"/>
      <c r="I51" s="116"/>
      <c r="L51" s="170">
        <v>43479</v>
      </c>
      <c r="M51" s="116">
        <v>98.05</v>
      </c>
      <c r="N51" s="116">
        <v>100.2</v>
      </c>
      <c r="O51" s="116">
        <v>97.5</v>
      </c>
      <c r="P51" s="116">
        <v>99.05</v>
      </c>
      <c r="Q51" s="116">
        <v>98.05</v>
      </c>
      <c r="R51">
        <v>457526</v>
      </c>
    </row>
    <row r="52" spans="1:18" x14ac:dyDescent="0.25">
      <c r="A52" s="170">
        <v>43480</v>
      </c>
      <c r="B52" s="116">
        <v>99.2</v>
      </c>
      <c r="C52" s="116">
        <v>98.35</v>
      </c>
      <c r="D52" s="116">
        <v>97.8</v>
      </c>
      <c r="E52" s="116">
        <v>98.65</v>
      </c>
      <c r="F52" s="116">
        <v>98.35</v>
      </c>
      <c r="G52">
        <v>60290</v>
      </c>
      <c r="H52" s="116"/>
      <c r="I52" s="116"/>
      <c r="L52" s="170">
        <v>43480</v>
      </c>
      <c r="M52" s="116">
        <v>98.4</v>
      </c>
      <c r="N52" s="116">
        <v>99.2</v>
      </c>
      <c r="O52" s="116">
        <v>97.75</v>
      </c>
      <c r="P52" s="116">
        <v>98.7</v>
      </c>
      <c r="Q52" s="116">
        <v>98.4</v>
      </c>
      <c r="R52">
        <v>341359</v>
      </c>
    </row>
    <row r="53" spans="1:18" x14ac:dyDescent="0.25">
      <c r="A53" s="170">
        <v>43481</v>
      </c>
      <c r="B53" s="116">
        <v>100.25</v>
      </c>
      <c r="C53" s="116">
        <v>99.1</v>
      </c>
      <c r="D53" s="116">
        <v>98.4</v>
      </c>
      <c r="E53" s="116">
        <v>98.5</v>
      </c>
      <c r="F53" s="116">
        <v>99.1</v>
      </c>
      <c r="G53">
        <v>80817</v>
      </c>
      <c r="H53" s="116"/>
      <c r="I53" s="116"/>
      <c r="L53" s="170">
        <v>43481</v>
      </c>
      <c r="M53" s="116">
        <v>99.05</v>
      </c>
      <c r="N53" s="116">
        <v>100.4</v>
      </c>
      <c r="O53" s="116">
        <v>98.2</v>
      </c>
      <c r="P53" s="116">
        <v>98.5</v>
      </c>
      <c r="Q53" s="116">
        <v>99.05</v>
      </c>
      <c r="R53">
        <v>363370</v>
      </c>
    </row>
    <row r="54" spans="1:18" x14ac:dyDescent="0.25">
      <c r="A54" s="170">
        <v>43482</v>
      </c>
      <c r="B54" s="116">
        <v>101</v>
      </c>
      <c r="C54" s="116">
        <v>98.55</v>
      </c>
      <c r="D54" s="116">
        <v>97.85</v>
      </c>
      <c r="E54" s="116">
        <v>99.7</v>
      </c>
      <c r="F54" s="116">
        <v>98.55</v>
      </c>
      <c r="G54">
        <v>95294</v>
      </c>
      <c r="H54" s="116"/>
      <c r="I54" s="116"/>
      <c r="L54" s="170">
        <v>43482</v>
      </c>
      <c r="M54" s="116">
        <v>98.5</v>
      </c>
      <c r="N54" s="116">
        <v>101</v>
      </c>
      <c r="O54" s="116">
        <v>97.8</v>
      </c>
      <c r="P54" s="116">
        <v>99.5</v>
      </c>
      <c r="Q54" s="116">
        <v>98.5</v>
      </c>
      <c r="R54">
        <v>509916</v>
      </c>
    </row>
    <row r="55" spans="1:18" x14ac:dyDescent="0.25">
      <c r="A55" s="170">
        <v>43483</v>
      </c>
      <c r="B55" s="116">
        <v>99.1</v>
      </c>
      <c r="C55" s="116">
        <v>97.95</v>
      </c>
      <c r="D55" s="116">
        <v>97</v>
      </c>
      <c r="E55" s="116">
        <v>99.1</v>
      </c>
      <c r="F55" s="116">
        <v>97.95</v>
      </c>
      <c r="G55">
        <v>63250</v>
      </c>
      <c r="H55" s="116"/>
      <c r="I55" s="116"/>
      <c r="L55" s="170">
        <v>43483</v>
      </c>
      <c r="M55" s="116">
        <v>98.6</v>
      </c>
      <c r="N55" s="116">
        <v>99.5</v>
      </c>
      <c r="O55" s="116">
        <v>97</v>
      </c>
      <c r="P55" s="116">
        <v>99.1</v>
      </c>
      <c r="Q55" s="116">
        <v>98.6</v>
      </c>
      <c r="R55">
        <v>378266</v>
      </c>
    </row>
    <row r="56" spans="1:18" x14ac:dyDescent="0.25">
      <c r="A56" s="170">
        <v>43486</v>
      </c>
      <c r="B56" s="116">
        <v>98.6</v>
      </c>
      <c r="C56" s="116">
        <v>97.55</v>
      </c>
      <c r="D56" s="116">
        <v>97</v>
      </c>
      <c r="E56" s="116">
        <v>97.9</v>
      </c>
      <c r="F56" s="116">
        <v>97.55</v>
      </c>
      <c r="G56">
        <v>60884</v>
      </c>
      <c r="H56" s="116"/>
      <c r="I56" s="116"/>
      <c r="L56" s="170">
        <v>43486</v>
      </c>
      <c r="M56" s="116">
        <v>97.75</v>
      </c>
      <c r="N56" s="116">
        <v>98.8</v>
      </c>
      <c r="O56" s="116">
        <v>97</v>
      </c>
      <c r="P56" s="116">
        <v>98.8</v>
      </c>
      <c r="Q56" s="116">
        <v>97.75</v>
      </c>
      <c r="R56">
        <v>440885</v>
      </c>
    </row>
    <row r="57" spans="1:18" x14ac:dyDescent="0.25">
      <c r="A57" s="170">
        <v>43487</v>
      </c>
      <c r="B57" s="116">
        <v>98.1</v>
      </c>
      <c r="C57" s="116">
        <v>96.85</v>
      </c>
      <c r="D57" s="116">
        <v>95.5</v>
      </c>
      <c r="E57" s="116">
        <v>97.5</v>
      </c>
      <c r="F57" s="116">
        <v>96.85</v>
      </c>
      <c r="G57">
        <v>46793</v>
      </c>
      <c r="H57" s="116"/>
      <c r="I57" s="116"/>
      <c r="L57" s="170">
        <v>43487</v>
      </c>
      <c r="M57" s="116">
        <v>96.9</v>
      </c>
      <c r="N57" s="116">
        <v>98.4</v>
      </c>
      <c r="O57" s="116">
        <v>95.3</v>
      </c>
      <c r="P57" s="116">
        <v>97.75</v>
      </c>
      <c r="Q57" s="116">
        <v>96.9</v>
      </c>
      <c r="R57">
        <v>462224</v>
      </c>
    </row>
    <row r="58" spans="1:18" x14ac:dyDescent="0.25">
      <c r="A58" s="170">
        <v>43488</v>
      </c>
      <c r="B58" s="116">
        <v>97.3</v>
      </c>
      <c r="C58" s="116">
        <v>96.65</v>
      </c>
      <c r="D58" s="116">
        <v>95.85</v>
      </c>
      <c r="E58" s="116">
        <v>96.2</v>
      </c>
      <c r="F58" s="116">
        <v>96.65</v>
      </c>
      <c r="G58">
        <v>55917</v>
      </c>
      <c r="H58" s="116"/>
      <c r="I58" s="116"/>
      <c r="L58" s="170">
        <v>43488</v>
      </c>
      <c r="M58" s="116">
        <v>96.8</v>
      </c>
      <c r="N58" s="116">
        <v>97.45</v>
      </c>
      <c r="O58" s="116">
        <v>95.8</v>
      </c>
      <c r="P58" s="116">
        <v>96.9</v>
      </c>
      <c r="Q58" s="116">
        <v>96.8</v>
      </c>
      <c r="R58">
        <v>323343</v>
      </c>
    </row>
    <row r="59" spans="1:18" x14ac:dyDescent="0.25">
      <c r="A59" s="170">
        <v>43489</v>
      </c>
      <c r="B59" s="116">
        <v>99.45</v>
      </c>
      <c r="C59" s="116">
        <v>98.75</v>
      </c>
      <c r="D59" s="116">
        <v>96</v>
      </c>
      <c r="E59" s="116">
        <v>97</v>
      </c>
      <c r="F59" s="116">
        <v>98.75</v>
      </c>
      <c r="G59">
        <v>79363</v>
      </c>
      <c r="H59" s="116"/>
      <c r="I59" s="116"/>
      <c r="L59" s="170">
        <v>43489</v>
      </c>
      <c r="M59" s="116">
        <v>99.45</v>
      </c>
      <c r="N59" s="116">
        <v>100</v>
      </c>
      <c r="O59" s="116">
        <v>95.95</v>
      </c>
      <c r="P59" s="116">
        <v>97.25</v>
      </c>
      <c r="Q59" s="116">
        <v>99.45</v>
      </c>
      <c r="R59">
        <v>715971</v>
      </c>
    </row>
    <row r="60" spans="1:18" x14ac:dyDescent="0.25">
      <c r="A60" s="170">
        <v>43490</v>
      </c>
      <c r="B60" s="116">
        <v>99.5</v>
      </c>
      <c r="C60" s="116">
        <v>97.45</v>
      </c>
      <c r="D60" s="116">
        <v>94</v>
      </c>
      <c r="E60" s="116">
        <v>99</v>
      </c>
      <c r="F60" s="116">
        <v>97.45</v>
      </c>
      <c r="G60">
        <v>109941</v>
      </c>
      <c r="H60" s="116"/>
      <c r="I60" s="116"/>
      <c r="L60" s="170">
        <v>43490</v>
      </c>
      <c r="M60" s="116">
        <v>98.1</v>
      </c>
      <c r="N60" s="116">
        <v>99.5</v>
      </c>
      <c r="O60" s="116">
        <v>93.45</v>
      </c>
      <c r="P60" s="116">
        <v>98.7</v>
      </c>
      <c r="Q60" s="116">
        <v>98.1</v>
      </c>
      <c r="R60">
        <v>1095182</v>
      </c>
    </row>
    <row r="61" spans="1:18" x14ac:dyDescent="0.25">
      <c r="A61" s="170">
        <v>43493</v>
      </c>
      <c r="B61" s="116">
        <v>98</v>
      </c>
      <c r="C61" s="116">
        <v>88.5</v>
      </c>
      <c r="D61" s="116">
        <v>87.75</v>
      </c>
      <c r="E61" s="116">
        <v>98</v>
      </c>
      <c r="F61" s="116">
        <v>88.5</v>
      </c>
      <c r="G61">
        <v>170332</v>
      </c>
      <c r="H61" s="116"/>
      <c r="I61" s="116"/>
      <c r="L61" s="170">
        <v>43493</v>
      </c>
      <c r="M61" s="116">
        <v>88.55</v>
      </c>
      <c r="N61" s="116">
        <v>97.95</v>
      </c>
      <c r="O61" s="116">
        <v>88.3</v>
      </c>
      <c r="P61" s="116">
        <v>97.95</v>
      </c>
      <c r="Q61" s="116">
        <v>88.55</v>
      </c>
      <c r="R61">
        <v>1186589</v>
      </c>
    </row>
    <row r="62" spans="1:18" x14ac:dyDescent="0.25">
      <c r="A62" s="170">
        <v>43494</v>
      </c>
      <c r="B62" s="116">
        <v>95.7</v>
      </c>
      <c r="C62" s="116">
        <v>93</v>
      </c>
      <c r="D62" s="116">
        <v>89.15</v>
      </c>
      <c r="E62" s="116">
        <v>90.05</v>
      </c>
      <c r="F62" s="116">
        <v>93</v>
      </c>
      <c r="G62">
        <v>318746</v>
      </c>
      <c r="H62" s="116"/>
      <c r="I62" s="116"/>
      <c r="L62" s="170">
        <v>43494</v>
      </c>
      <c r="M62" s="116">
        <v>93.65</v>
      </c>
      <c r="N62" s="116">
        <v>96.4</v>
      </c>
      <c r="O62" s="116">
        <v>88.9</v>
      </c>
      <c r="P62" s="116">
        <v>89.9</v>
      </c>
      <c r="Q62" s="116">
        <v>93.65</v>
      </c>
      <c r="R62">
        <v>1667154</v>
      </c>
    </row>
    <row r="63" spans="1:18" x14ac:dyDescent="0.25">
      <c r="A63" s="170">
        <v>43495</v>
      </c>
      <c r="B63" s="116">
        <v>97</v>
      </c>
      <c r="C63" s="116">
        <v>94.85</v>
      </c>
      <c r="D63" s="116">
        <v>94.25</v>
      </c>
      <c r="E63" s="116">
        <v>95.8</v>
      </c>
      <c r="F63" s="116">
        <v>94.85</v>
      </c>
      <c r="G63">
        <v>96031</v>
      </c>
      <c r="H63" s="116"/>
      <c r="I63" s="116"/>
      <c r="L63" s="170">
        <v>43495</v>
      </c>
      <c r="M63" s="116">
        <v>94.7</v>
      </c>
      <c r="N63" s="116">
        <v>96.7</v>
      </c>
      <c r="O63" s="116">
        <v>94.05</v>
      </c>
      <c r="P63" s="116">
        <v>95.7</v>
      </c>
      <c r="Q63" s="116">
        <v>94.7</v>
      </c>
      <c r="R63">
        <v>455516</v>
      </c>
    </row>
    <row r="64" spans="1:18" x14ac:dyDescent="0.25">
      <c r="A64" s="170">
        <v>43496</v>
      </c>
      <c r="B64" s="116">
        <v>95.95</v>
      </c>
      <c r="C64" s="116">
        <v>93</v>
      </c>
      <c r="D64" s="116">
        <v>91.8</v>
      </c>
      <c r="E64" s="116">
        <v>95.55</v>
      </c>
      <c r="F64" s="116">
        <v>93</v>
      </c>
      <c r="G64">
        <v>102693</v>
      </c>
      <c r="H64" s="116"/>
      <c r="I64" s="116"/>
      <c r="L64" s="170">
        <v>43496</v>
      </c>
      <c r="M64" s="116">
        <v>92.45</v>
      </c>
      <c r="N64" s="116">
        <v>96</v>
      </c>
      <c r="O64" s="116">
        <v>91</v>
      </c>
      <c r="P64" s="116">
        <v>95.3</v>
      </c>
      <c r="Q64" s="116">
        <v>92.45</v>
      </c>
      <c r="R64">
        <v>572228</v>
      </c>
    </row>
    <row r="65" spans="1:18" x14ac:dyDescent="0.25">
      <c r="A65" s="170">
        <v>43497</v>
      </c>
      <c r="B65" s="116">
        <v>94.9</v>
      </c>
      <c r="C65" s="116">
        <v>92.45</v>
      </c>
      <c r="D65" s="116">
        <v>92.05</v>
      </c>
      <c r="E65" s="116">
        <v>94.85</v>
      </c>
      <c r="F65" s="116">
        <v>92.45</v>
      </c>
      <c r="G65">
        <v>90002</v>
      </c>
      <c r="H65" s="116"/>
      <c r="I65" s="116"/>
      <c r="L65" s="170">
        <v>43497</v>
      </c>
      <c r="M65" s="116">
        <v>92.45</v>
      </c>
      <c r="N65" s="116">
        <v>93.3</v>
      </c>
      <c r="O65" s="116">
        <v>92</v>
      </c>
      <c r="P65" s="116">
        <v>92.05</v>
      </c>
      <c r="Q65" s="116">
        <v>92.45</v>
      </c>
      <c r="R65">
        <v>285635</v>
      </c>
    </row>
    <row r="66" spans="1:18" x14ac:dyDescent="0.25">
      <c r="A66" s="170">
        <v>43500</v>
      </c>
      <c r="B66" s="116">
        <v>96.1</v>
      </c>
      <c r="C66" s="116">
        <v>95.5</v>
      </c>
      <c r="D66" s="116">
        <v>85</v>
      </c>
      <c r="E66" s="116">
        <v>92.45</v>
      </c>
      <c r="F66" s="116">
        <v>95.5</v>
      </c>
      <c r="G66">
        <v>181764</v>
      </c>
      <c r="H66" s="116"/>
      <c r="I66" s="116"/>
      <c r="L66" s="170">
        <v>43500</v>
      </c>
      <c r="M66" s="116">
        <v>96</v>
      </c>
      <c r="N66" s="116">
        <v>97.2</v>
      </c>
      <c r="O66" s="116">
        <v>84</v>
      </c>
      <c r="P66" s="116">
        <v>92.9</v>
      </c>
      <c r="Q66" s="116">
        <v>96</v>
      </c>
      <c r="R66">
        <v>1260974</v>
      </c>
    </row>
    <row r="67" spans="1:18" x14ac:dyDescent="0.25">
      <c r="A67" s="170">
        <v>43501</v>
      </c>
      <c r="B67" s="116">
        <v>97.8</v>
      </c>
      <c r="C67" s="116">
        <v>95.85</v>
      </c>
      <c r="D67" s="116">
        <v>94</v>
      </c>
      <c r="E67" s="116">
        <v>95.9</v>
      </c>
      <c r="F67" s="116">
        <v>95.85</v>
      </c>
      <c r="G67">
        <v>102958</v>
      </c>
      <c r="H67" s="116"/>
      <c r="I67" s="116"/>
      <c r="L67" s="170">
        <v>43501</v>
      </c>
      <c r="M67" s="116">
        <v>96.35</v>
      </c>
      <c r="N67" s="116">
        <v>98</v>
      </c>
      <c r="O67" s="116">
        <v>94.05</v>
      </c>
      <c r="P67" s="116">
        <v>95.15</v>
      </c>
      <c r="Q67" s="116">
        <v>96.35</v>
      </c>
      <c r="R67">
        <v>879131</v>
      </c>
    </row>
    <row r="68" spans="1:18" x14ac:dyDescent="0.25">
      <c r="A68" s="170">
        <v>43502</v>
      </c>
      <c r="B68" s="116">
        <v>97.7</v>
      </c>
      <c r="C68" s="116">
        <v>95.95</v>
      </c>
      <c r="D68" s="116">
        <v>93</v>
      </c>
      <c r="E68" s="116">
        <v>97</v>
      </c>
      <c r="F68" s="116">
        <v>95.95</v>
      </c>
      <c r="G68">
        <v>74167</v>
      </c>
      <c r="H68" s="116"/>
      <c r="I68" s="116"/>
      <c r="L68" s="170">
        <v>43502</v>
      </c>
      <c r="M68" s="116">
        <v>96.4</v>
      </c>
      <c r="N68" s="116">
        <v>97.9</v>
      </c>
      <c r="O68" s="116">
        <v>92.9</v>
      </c>
      <c r="P68" s="116">
        <v>97.4</v>
      </c>
      <c r="Q68" s="116">
        <v>96.4</v>
      </c>
      <c r="R68">
        <v>383885</v>
      </c>
    </row>
    <row r="69" spans="1:18" x14ac:dyDescent="0.25">
      <c r="A69" s="170">
        <v>43503</v>
      </c>
      <c r="B69" s="116">
        <v>103.35</v>
      </c>
      <c r="C69" s="116">
        <v>97.9</v>
      </c>
      <c r="D69" s="116">
        <v>97</v>
      </c>
      <c r="E69" s="116">
        <v>97</v>
      </c>
      <c r="F69" s="116">
        <v>97.9</v>
      </c>
      <c r="G69">
        <v>158573</v>
      </c>
      <c r="H69" s="116"/>
      <c r="I69" s="116"/>
      <c r="L69" s="170">
        <v>43503</v>
      </c>
      <c r="M69" s="116">
        <v>97.9</v>
      </c>
      <c r="N69" s="116">
        <v>103.4</v>
      </c>
      <c r="O69" s="116">
        <v>97.1</v>
      </c>
      <c r="P69" s="116">
        <v>97.2</v>
      </c>
      <c r="Q69" s="116">
        <v>97.9</v>
      </c>
      <c r="R69">
        <v>798768</v>
      </c>
    </row>
    <row r="70" spans="1:18" x14ac:dyDescent="0.25">
      <c r="A70" s="170">
        <v>43504</v>
      </c>
      <c r="B70" s="116">
        <v>98.5</v>
      </c>
      <c r="C70" s="116">
        <v>95.35</v>
      </c>
      <c r="D70" s="116">
        <v>94.75</v>
      </c>
      <c r="E70" s="116">
        <v>98</v>
      </c>
      <c r="F70" s="116">
        <v>95.35</v>
      </c>
      <c r="G70">
        <v>67483</v>
      </c>
      <c r="H70" s="116"/>
      <c r="I70" s="116"/>
      <c r="L70" s="170">
        <v>43504</v>
      </c>
      <c r="M70" s="116">
        <v>95.45</v>
      </c>
      <c r="N70" s="116">
        <v>98.7</v>
      </c>
      <c r="O70" s="116">
        <v>94.8</v>
      </c>
      <c r="P70" s="116">
        <v>98</v>
      </c>
      <c r="Q70" s="116">
        <v>95.45</v>
      </c>
      <c r="R70">
        <v>252817</v>
      </c>
    </row>
    <row r="71" spans="1:18" x14ac:dyDescent="0.25">
      <c r="A71" s="170">
        <v>43507</v>
      </c>
      <c r="B71" s="116">
        <v>96.25</v>
      </c>
      <c r="C71" s="116">
        <v>95</v>
      </c>
      <c r="D71" s="116">
        <v>94.15</v>
      </c>
      <c r="E71" s="116">
        <v>95</v>
      </c>
      <c r="F71" s="116">
        <v>95</v>
      </c>
      <c r="G71">
        <v>46024</v>
      </c>
      <c r="H71" s="116"/>
      <c r="I71" s="116"/>
      <c r="L71" s="170">
        <v>43507</v>
      </c>
      <c r="M71" s="116">
        <v>94.8</v>
      </c>
      <c r="N71" s="116">
        <v>96.75</v>
      </c>
      <c r="O71" s="116">
        <v>94</v>
      </c>
      <c r="P71" s="116">
        <v>94.05</v>
      </c>
      <c r="Q71" s="116">
        <v>94.8</v>
      </c>
      <c r="R71">
        <v>239324</v>
      </c>
    </row>
    <row r="72" spans="1:18" x14ac:dyDescent="0.25">
      <c r="A72" s="170">
        <v>43508</v>
      </c>
      <c r="B72" s="116">
        <v>95.65</v>
      </c>
      <c r="C72" s="116">
        <v>94.2</v>
      </c>
      <c r="D72" s="116">
        <v>93.95</v>
      </c>
      <c r="E72" s="116">
        <v>94.35</v>
      </c>
      <c r="F72" s="116">
        <v>94.2</v>
      </c>
      <c r="G72">
        <v>31636</v>
      </c>
      <c r="H72" s="116"/>
      <c r="I72" s="116"/>
      <c r="L72" s="170">
        <v>43508</v>
      </c>
      <c r="M72" s="116">
        <v>94</v>
      </c>
      <c r="N72" s="116">
        <v>95.75</v>
      </c>
      <c r="O72" s="116">
        <v>93.55</v>
      </c>
      <c r="P72" s="116">
        <v>94.8</v>
      </c>
      <c r="Q72" s="116">
        <v>94</v>
      </c>
      <c r="R72">
        <v>178252</v>
      </c>
    </row>
    <row r="73" spans="1:18" x14ac:dyDescent="0.25">
      <c r="A73" s="170">
        <v>43509</v>
      </c>
      <c r="B73" s="116">
        <v>99</v>
      </c>
      <c r="C73" s="116">
        <v>97.4</v>
      </c>
      <c r="D73" s="116">
        <v>94.05</v>
      </c>
      <c r="E73" s="116">
        <v>94.05</v>
      </c>
      <c r="F73" s="116">
        <v>97.4</v>
      </c>
      <c r="G73">
        <v>158091</v>
      </c>
      <c r="H73" s="116"/>
      <c r="I73" s="116"/>
      <c r="L73" s="170">
        <v>43509</v>
      </c>
      <c r="M73" s="116">
        <v>97.7</v>
      </c>
      <c r="N73" s="116">
        <v>99.05</v>
      </c>
      <c r="O73" s="116">
        <v>94.05</v>
      </c>
      <c r="P73" s="116">
        <v>94.05</v>
      </c>
      <c r="Q73" s="116">
        <v>97.7</v>
      </c>
      <c r="R73">
        <v>992892</v>
      </c>
    </row>
    <row r="74" spans="1:18" x14ac:dyDescent="0.25">
      <c r="A74" s="170">
        <v>43510</v>
      </c>
      <c r="B74" s="116">
        <v>97.8</v>
      </c>
      <c r="C74" s="116">
        <v>96</v>
      </c>
      <c r="D74" s="116">
        <v>94.35</v>
      </c>
      <c r="E74" s="116">
        <v>97.8</v>
      </c>
      <c r="F74" s="116">
        <v>96</v>
      </c>
      <c r="G74">
        <v>75078</v>
      </c>
      <c r="H74" s="116"/>
      <c r="I74" s="116"/>
      <c r="L74" s="170">
        <v>43510</v>
      </c>
      <c r="M74" s="116">
        <v>96.2</v>
      </c>
      <c r="N74" s="116">
        <v>98</v>
      </c>
      <c r="O74" s="116">
        <v>94.25</v>
      </c>
      <c r="P74" s="116">
        <v>98</v>
      </c>
      <c r="Q74" s="116">
        <v>96.2</v>
      </c>
      <c r="R74">
        <v>389712</v>
      </c>
    </row>
    <row r="75" spans="1:18" x14ac:dyDescent="0.25">
      <c r="A75" s="170">
        <v>43511</v>
      </c>
      <c r="B75" s="116">
        <v>96.75</v>
      </c>
      <c r="C75" s="116">
        <v>96.15</v>
      </c>
      <c r="D75" s="116">
        <v>94.5</v>
      </c>
      <c r="E75" s="116">
        <v>94.5</v>
      </c>
      <c r="F75" s="116">
        <v>96.15</v>
      </c>
      <c r="G75">
        <v>36206</v>
      </c>
      <c r="H75" s="116"/>
      <c r="I75" s="116"/>
      <c r="L75" s="170">
        <v>43511</v>
      </c>
      <c r="M75" s="116">
        <v>96.9</v>
      </c>
      <c r="N75" s="116">
        <v>97.5</v>
      </c>
      <c r="O75" s="116">
        <v>94.6</v>
      </c>
      <c r="P75" s="116">
        <v>96.55</v>
      </c>
      <c r="Q75" s="116">
        <v>96.9</v>
      </c>
      <c r="R75">
        <v>358062</v>
      </c>
    </row>
    <row r="76" spans="1:18" x14ac:dyDescent="0.25">
      <c r="A76" s="170">
        <v>43514</v>
      </c>
      <c r="B76" s="116">
        <v>96.9</v>
      </c>
      <c r="C76" s="116">
        <v>95.05</v>
      </c>
      <c r="D76" s="116">
        <v>94.25</v>
      </c>
      <c r="E76" s="116">
        <v>95.8</v>
      </c>
      <c r="F76" s="116">
        <v>95.05</v>
      </c>
      <c r="G76">
        <v>58332</v>
      </c>
      <c r="H76" s="116"/>
      <c r="I76" s="116"/>
      <c r="L76" s="170">
        <v>43514</v>
      </c>
      <c r="M76" s="116">
        <v>95.45</v>
      </c>
      <c r="N76" s="116">
        <v>97.15</v>
      </c>
      <c r="O76" s="116">
        <v>94.2</v>
      </c>
      <c r="P76" s="116">
        <v>96</v>
      </c>
      <c r="Q76" s="116">
        <v>95.45</v>
      </c>
      <c r="R76">
        <v>343653</v>
      </c>
    </row>
    <row r="77" spans="1:18" x14ac:dyDescent="0.25">
      <c r="A77" s="170">
        <v>43515</v>
      </c>
      <c r="B77" s="116">
        <v>96.4</v>
      </c>
      <c r="C77" s="116">
        <v>94.95</v>
      </c>
      <c r="D77" s="116">
        <v>94.45</v>
      </c>
      <c r="E77" s="116">
        <v>94.75</v>
      </c>
      <c r="F77" s="116">
        <v>94.95</v>
      </c>
      <c r="G77">
        <v>39565</v>
      </c>
      <c r="H77" s="116"/>
      <c r="I77" s="116"/>
      <c r="L77" s="170">
        <v>43515</v>
      </c>
      <c r="M77" s="116">
        <v>95.1</v>
      </c>
      <c r="N77" s="116">
        <v>96.35</v>
      </c>
      <c r="O77" s="116">
        <v>94.35</v>
      </c>
      <c r="P77" s="116">
        <v>95.3</v>
      </c>
      <c r="Q77" s="116">
        <v>95.1</v>
      </c>
      <c r="R77">
        <v>316209</v>
      </c>
    </row>
    <row r="78" spans="1:18" x14ac:dyDescent="0.25">
      <c r="A78" s="170">
        <v>43516</v>
      </c>
      <c r="B78" s="116">
        <v>97.2</v>
      </c>
      <c r="C78" s="116">
        <v>95.95</v>
      </c>
      <c r="D78" s="116">
        <v>94.45</v>
      </c>
      <c r="E78" s="116">
        <v>95</v>
      </c>
      <c r="F78" s="116">
        <v>95.95</v>
      </c>
      <c r="G78">
        <v>53739</v>
      </c>
      <c r="H78" s="116"/>
      <c r="I78" s="116"/>
      <c r="L78" s="170">
        <v>43516</v>
      </c>
      <c r="M78" s="116">
        <v>95.75</v>
      </c>
      <c r="N78" s="116">
        <v>97.45</v>
      </c>
      <c r="O78" s="116">
        <v>94</v>
      </c>
      <c r="P78" s="116">
        <v>95.4</v>
      </c>
      <c r="Q78" s="116">
        <v>95.75</v>
      </c>
      <c r="R78">
        <v>414982</v>
      </c>
    </row>
    <row r="79" spans="1:18" x14ac:dyDescent="0.25">
      <c r="A79" s="170">
        <v>43517</v>
      </c>
      <c r="B79" s="116">
        <v>99</v>
      </c>
      <c r="C79" s="116">
        <v>98.3</v>
      </c>
      <c r="D79" s="116">
        <v>95.85</v>
      </c>
      <c r="E79" s="116">
        <v>96.9</v>
      </c>
      <c r="F79" s="116">
        <v>98.3</v>
      </c>
      <c r="G79">
        <v>43840</v>
      </c>
      <c r="H79" s="116"/>
      <c r="I79" s="116"/>
      <c r="L79" s="170">
        <v>43517</v>
      </c>
      <c r="M79" s="116">
        <v>98.75</v>
      </c>
      <c r="N79" s="116">
        <v>99.9</v>
      </c>
      <c r="O79" s="116">
        <v>95.85</v>
      </c>
      <c r="P79" s="116">
        <v>96.55</v>
      </c>
      <c r="Q79" s="116">
        <v>98.75</v>
      </c>
      <c r="R79">
        <v>426183</v>
      </c>
    </row>
    <row r="80" spans="1:18" x14ac:dyDescent="0.25">
      <c r="A80" s="170">
        <v>43518</v>
      </c>
      <c r="B80" s="116">
        <v>102.5</v>
      </c>
      <c r="C80" s="116">
        <v>101.85</v>
      </c>
      <c r="D80" s="116">
        <v>98.3</v>
      </c>
      <c r="E80" s="116">
        <v>98.6</v>
      </c>
      <c r="F80" s="116">
        <v>101.85</v>
      </c>
      <c r="G80">
        <v>140418</v>
      </c>
      <c r="H80" s="116"/>
      <c r="I80" s="116"/>
      <c r="L80" s="170">
        <v>43518</v>
      </c>
      <c r="M80" s="116">
        <v>102.2</v>
      </c>
      <c r="N80" s="116">
        <v>103</v>
      </c>
      <c r="O80" s="116">
        <v>98.25</v>
      </c>
      <c r="P80" s="116">
        <v>99.35</v>
      </c>
      <c r="Q80" s="116">
        <v>102.2</v>
      </c>
      <c r="R80">
        <v>932312</v>
      </c>
    </row>
    <row r="81" spans="1:18" x14ac:dyDescent="0.25">
      <c r="A81" s="170">
        <v>43521</v>
      </c>
      <c r="B81" s="116">
        <v>103.85</v>
      </c>
      <c r="C81" s="116">
        <v>101.35</v>
      </c>
      <c r="D81" s="116">
        <v>100.7</v>
      </c>
      <c r="E81" s="116">
        <v>102.9</v>
      </c>
      <c r="F81" s="116">
        <v>101.35</v>
      </c>
      <c r="G81">
        <v>42448</v>
      </c>
      <c r="H81" s="116"/>
      <c r="I81" s="116"/>
      <c r="L81" s="170">
        <v>43521</v>
      </c>
      <c r="M81" s="116">
        <v>100.8</v>
      </c>
      <c r="N81" s="116">
        <v>103.9</v>
      </c>
      <c r="O81" s="116">
        <v>100.25</v>
      </c>
      <c r="P81" s="116">
        <v>102.2</v>
      </c>
      <c r="Q81" s="116">
        <v>100.8</v>
      </c>
      <c r="R81">
        <v>344984</v>
      </c>
    </row>
    <row r="82" spans="1:18" x14ac:dyDescent="0.25">
      <c r="A82" s="170">
        <v>43522</v>
      </c>
      <c r="B82" s="116">
        <v>100.9</v>
      </c>
      <c r="C82" s="116">
        <v>100.05</v>
      </c>
      <c r="D82" s="116">
        <v>96.15</v>
      </c>
      <c r="E82" s="116">
        <v>99.95</v>
      </c>
      <c r="F82" s="116">
        <v>100.05</v>
      </c>
      <c r="G82">
        <v>92745</v>
      </c>
      <c r="H82" s="116"/>
      <c r="I82" s="116"/>
      <c r="L82" s="170">
        <v>43522</v>
      </c>
      <c r="M82" s="116">
        <v>100.55</v>
      </c>
      <c r="N82" s="116">
        <v>101.4</v>
      </c>
      <c r="O82" s="116">
        <v>96.15</v>
      </c>
      <c r="P82" s="116">
        <v>99.5</v>
      </c>
      <c r="Q82" s="116">
        <v>100.55</v>
      </c>
      <c r="R82">
        <v>581121</v>
      </c>
    </row>
    <row r="83" spans="1:18" x14ac:dyDescent="0.25">
      <c r="A83" s="170">
        <v>43523</v>
      </c>
      <c r="B83" s="116">
        <v>103.45</v>
      </c>
      <c r="C83" s="116">
        <v>99.45</v>
      </c>
      <c r="D83" s="116">
        <v>97.3</v>
      </c>
      <c r="E83" s="116">
        <v>102.4</v>
      </c>
      <c r="F83" s="116">
        <v>99.45</v>
      </c>
      <c r="G83">
        <v>77905</v>
      </c>
      <c r="H83" s="116"/>
      <c r="I83" s="116"/>
      <c r="L83" s="170">
        <v>43523</v>
      </c>
      <c r="M83" s="116">
        <v>99.8</v>
      </c>
      <c r="N83" s="116">
        <v>103.45</v>
      </c>
      <c r="O83" s="116">
        <v>97.2</v>
      </c>
      <c r="P83" s="116">
        <v>102</v>
      </c>
      <c r="Q83" s="116">
        <v>99.8</v>
      </c>
      <c r="R83">
        <v>548376</v>
      </c>
    </row>
    <row r="84" spans="1:18" x14ac:dyDescent="0.25">
      <c r="A84" s="170">
        <v>43524</v>
      </c>
      <c r="B84" s="116">
        <v>102.4</v>
      </c>
      <c r="C84" s="116">
        <v>101.65</v>
      </c>
      <c r="D84" s="116">
        <v>99.9</v>
      </c>
      <c r="E84" s="116">
        <v>101.65</v>
      </c>
      <c r="F84" s="116">
        <v>101.65</v>
      </c>
      <c r="G84">
        <v>33072</v>
      </c>
      <c r="H84" s="116"/>
      <c r="I84" s="116"/>
      <c r="L84" s="170">
        <v>43524</v>
      </c>
      <c r="M84" s="116">
        <v>102</v>
      </c>
      <c r="N84" s="116">
        <v>102.55</v>
      </c>
      <c r="O84" s="116">
        <v>99.75</v>
      </c>
      <c r="P84" s="116">
        <v>100.75</v>
      </c>
      <c r="Q84" s="116">
        <v>102</v>
      </c>
      <c r="R84">
        <v>464224</v>
      </c>
    </row>
    <row r="85" spans="1:18" x14ac:dyDescent="0.25">
      <c r="A85" s="170">
        <v>43525</v>
      </c>
      <c r="B85" s="116">
        <v>108.85</v>
      </c>
      <c r="C85" s="116">
        <v>105.6</v>
      </c>
      <c r="D85" s="116">
        <v>102</v>
      </c>
      <c r="E85" s="116">
        <v>102</v>
      </c>
      <c r="F85" s="116">
        <v>105.6</v>
      </c>
      <c r="G85">
        <v>232635</v>
      </c>
      <c r="H85" s="116"/>
      <c r="I85" s="116"/>
      <c r="L85" s="170">
        <v>43525</v>
      </c>
      <c r="M85" s="116">
        <v>106</v>
      </c>
      <c r="N85" s="116">
        <v>108.9</v>
      </c>
      <c r="O85" s="116">
        <v>102.1</v>
      </c>
      <c r="P85" s="116">
        <v>102.1</v>
      </c>
      <c r="Q85" s="116">
        <v>106</v>
      </c>
      <c r="R85">
        <v>1269475</v>
      </c>
    </row>
    <row r="86" spans="1:18" x14ac:dyDescent="0.25">
      <c r="A86" s="170">
        <v>43529</v>
      </c>
      <c r="B86" s="116">
        <v>114.95</v>
      </c>
      <c r="C86" s="116">
        <v>110.35</v>
      </c>
      <c r="D86" s="116">
        <v>105.8</v>
      </c>
      <c r="E86" s="116">
        <v>106</v>
      </c>
      <c r="F86" s="116">
        <v>110.35</v>
      </c>
      <c r="G86">
        <v>290028</v>
      </c>
      <c r="H86" s="116"/>
      <c r="I86" s="116"/>
      <c r="L86" s="170">
        <v>43529</v>
      </c>
      <c r="M86" s="116">
        <v>110.65</v>
      </c>
      <c r="N86" s="116">
        <v>114.7</v>
      </c>
      <c r="O86" s="116">
        <v>105.1</v>
      </c>
      <c r="P86" s="116">
        <v>105.1</v>
      </c>
      <c r="Q86" s="116">
        <v>110.65</v>
      </c>
      <c r="R86">
        <v>2046300</v>
      </c>
    </row>
    <row r="87" spans="1:18" x14ac:dyDescent="0.25">
      <c r="A87" s="170">
        <v>43530</v>
      </c>
      <c r="B87" s="116">
        <v>113.5</v>
      </c>
      <c r="C87" s="116">
        <v>112.5</v>
      </c>
      <c r="D87" s="116">
        <v>109.15</v>
      </c>
      <c r="E87" s="116">
        <v>111.2</v>
      </c>
      <c r="F87" s="116">
        <v>112.5</v>
      </c>
      <c r="G87">
        <v>145281</v>
      </c>
      <c r="H87" s="116"/>
      <c r="I87" s="116"/>
      <c r="L87" s="170">
        <v>43530</v>
      </c>
      <c r="M87" s="116">
        <v>113.1</v>
      </c>
      <c r="N87" s="116">
        <v>114</v>
      </c>
      <c r="O87" s="116">
        <v>100.6</v>
      </c>
      <c r="P87" s="116">
        <v>111.4</v>
      </c>
      <c r="Q87" s="116">
        <v>113.1</v>
      </c>
      <c r="R87">
        <v>1096455</v>
      </c>
    </row>
    <row r="88" spans="1:18" x14ac:dyDescent="0.25">
      <c r="A88" s="170">
        <v>43531</v>
      </c>
      <c r="B88" s="116">
        <v>117.8</v>
      </c>
      <c r="C88" s="116">
        <v>114.95</v>
      </c>
      <c r="D88" s="116">
        <v>112.7</v>
      </c>
      <c r="E88" s="116">
        <v>112.7</v>
      </c>
      <c r="F88" s="116">
        <v>114.95</v>
      </c>
      <c r="G88">
        <v>159354</v>
      </c>
      <c r="H88" s="116"/>
      <c r="I88" s="116"/>
      <c r="L88" s="170">
        <v>43531</v>
      </c>
      <c r="M88" s="116">
        <v>115.2</v>
      </c>
      <c r="N88" s="116">
        <v>117.7</v>
      </c>
      <c r="O88" s="116">
        <v>113.1</v>
      </c>
      <c r="P88" s="116">
        <v>113.55</v>
      </c>
      <c r="Q88" s="116">
        <v>115.2</v>
      </c>
      <c r="R88">
        <v>1018859</v>
      </c>
    </row>
    <row r="89" spans="1:18" x14ac:dyDescent="0.25">
      <c r="A89" s="170">
        <v>43532</v>
      </c>
      <c r="B89" s="116">
        <v>116.25</v>
      </c>
      <c r="C89" s="116">
        <v>114.3</v>
      </c>
      <c r="D89" s="116">
        <v>113.5</v>
      </c>
      <c r="E89" s="116">
        <v>115.7</v>
      </c>
      <c r="F89" s="116">
        <v>114.3</v>
      </c>
      <c r="G89">
        <v>57156</v>
      </c>
      <c r="H89" s="116"/>
      <c r="I89" s="116"/>
      <c r="L89" s="170">
        <v>43532</v>
      </c>
      <c r="M89" s="116">
        <v>114.75</v>
      </c>
      <c r="N89" s="116">
        <v>116</v>
      </c>
      <c r="O89" s="116">
        <v>113.5</v>
      </c>
      <c r="P89" s="116">
        <v>115.2</v>
      </c>
      <c r="Q89" s="116">
        <v>114.75</v>
      </c>
      <c r="R89">
        <v>463357</v>
      </c>
    </row>
    <row r="90" spans="1:18" x14ac:dyDescent="0.25">
      <c r="A90" s="170">
        <v>43535</v>
      </c>
      <c r="B90" s="116">
        <v>118.9</v>
      </c>
      <c r="C90" s="116">
        <v>116.65</v>
      </c>
      <c r="D90" s="116">
        <v>115.8</v>
      </c>
      <c r="E90" s="116">
        <v>116.9</v>
      </c>
      <c r="F90" s="116">
        <v>116.65</v>
      </c>
      <c r="G90">
        <v>88805</v>
      </c>
      <c r="H90" s="116"/>
      <c r="I90" s="116"/>
      <c r="L90" s="170">
        <v>43535</v>
      </c>
      <c r="M90" s="116">
        <v>117.25</v>
      </c>
      <c r="N90" s="116">
        <v>118.8</v>
      </c>
      <c r="O90" s="116">
        <v>115.5</v>
      </c>
      <c r="P90" s="116">
        <v>115.75</v>
      </c>
      <c r="Q90" s="116">
        <v>117.25</v>
      </c>
      <c r="R90">
        <v>669356</v>
      </c>
    </row>
    <row r="91" spans="1:18" x14ac:dyDescent="0.25">
      <c r="A91" s="170">
        <v>43536</v>
      </c>
      <c r="B91" s="116">
        <v>122</v>
      </c>
      <c r="C91" s="116">
        <v>119.9</v>
      </c>
      <c r="D91" s="116">
        <v>117.25</v>
      </c>
      <c r="E91" s="116">
        <v>117.25</v>
      </c>
      <c r="F91" s="116">
        <v>119.9</v>
      </c>
      <c r="G91">
        <v>274571</v>
      </c>
      <c r="H91" s="116"/>
      <c r="I91" s="116"/>
      <c r="L91" s="170">
        <v>43536</v>
      </c>
      <c r="M91" s="116">
        <v>120.05</v>
      </c>
      <c r="N91" s="116">
        <v>122.2</v>
      </c>
      <c r="O91" s="116">
        <v>117.5</v>
      </c>
      <c r="P91" s="116">
        <v>118.45</v>
      </c>
      <c r="Q91" s="116">
        <v>120.05</v>
      </c>
      <c r="R91">
        <v>1551133</v>
      </c>
    </row>
    <row r="92" spans="1:18" x14ac:dyDescent="0.25">
      <c r="A92" s="170">
        <v>43537</v>
      </c>
      <c r="B92" s="116">
        <v>120</v>
      </c>
      <c r="C92" s="116">
        <v>117.85</v>
      </c>
      <c r="D92" s="116">
        <v>117.15</v>
      </c>
      <c r="E92" s="116">
        <v>119.95</v>
      </c>
      <c r="F92" s="116">
        <v>117.85</v>
      </c>
      <c r="G92">
        <v>146656</v>
      </c>
      <c r="H92" s="116"/>
      <c r="I92" s="116"/>
      <c r="L92" s="170">
        <v>43537</v>
      </c>
      <c r="M92" s="116">
        <v>118.75</v>
      </c>
      <c r="N92" s="116">
        <v>120</v>
      </c>
      <c r="O92" s="116">
        <v>118.1</v>
      </c>
      <c r="P92" s="116">
        <v>120</v>
      </c>
      <c r="Q92" s="116">
        <v>118.75</v>
      </c>
      <c r="R92">
        <v>468422</v>
      </c>
    </row>
    <row r="93" spans="1:18" x14ac:dyDescent="0.25">
      <c r="A93" s="170">
        <v>43538</v>
      </c>
      <c r="B93" s="116">
        <v>118.55</v>
      </c>
      <c r="C93" s="116">
        <v>116.3</v>
      </c>
      <c r="D93" s="116">
        <v>115.5</v>
      </c>
      <c r="E93" s="116">
        <v>118.5</v>
      </c>
      <c r="F93" s="116">
        <v>116.3</v>
      </c>
      <c r="G93">
        <v>96227</v>
      </c>
      <c r="H93" s="116"/>
      <c r="I93" s="116"/>
      <c r="L93" s="170">
        <v>43538</v>
      </c>
      <c r="M93" s="116">
        <v>117.2</v>
      </c>
      <c r="N93" s="116">
        <v>118.9</v>
      </c>
      <c r="O93" s="116">
        <v>115.6</v>
      </c>
      <c r="P93" s="116">
        <v>118.65</v>
      </c>
      <c r="Q93" s="116">
        <v>117.2</v>
      </c>
      <c r="R93">
        <v>643626</v>
      </c>
    </row>
    <row r="94" spans="1:18" x14ac:dyDescent="0.25">
      <c r="A94" s="170">
        <v>43539</v>
      </c>
      <c r="B94" s="116">
        <v>117.4</v>
      </c>
      <c r="C94" s="116">
        <v>115.7</v>
      </c>
      <c r="D94" s="116">
        <v>115.2</v>
      </c>
      <c r="E94" s="116">
        <v>117.4</v>
      </c>
      <c r="F94" s="116">
        <v>115.7</v>
      </c>
      <c r="G94">
        <v>61281</v>
      </c>
      <c r="H94" s="116"/>
      <c r="I94" s="116"/>
      <c r="L94" s="170">
        <v>43539</v>
      </c>
      <c r="M94" s="116">
        <v>116.5</v>
      </c>
      <c r="N94" s="116">
        <v>118</v>
      </c>
      <c r="O94" s="116">
        <v>116</v>
      </c>
      <c r="P94" s="116">
        <v>117</v>
      </c>
      <c r="Q94" s="116">
        <v>116.5</v>
      </c>
      <c r="R94">
        <v>659518</v>
      </c>
    </row>
    <row r="95" spans="1:18" x14ac:dyDescent="0.25">
      <c r="A95" s="170">
        <v>43542</v>
      </c>
      <c r="B95" s="116">
        <v>119</v>
      </c>
      <c r="C95" s="116">
        <v>116.25</v>
      </c>
      <c r="D95" s="116">
        <v>115.4</v>
      </c>
      <c r="E95" s="116">
        <v>116</v>
      </c>
      <c r="F95" s="116">
        <v>116.25</v>
      </c>
      <c r="G95">
        <v>32732</v>
      </c>
      <c r="H95" s="116"/>
      <c r="I95" s="116"/>
      <c r="L95" s="170">
        <v>43542</v>
      </c>
      <c r="M95" s="116">
        <v>116.75</v>
      </c>
      <c r="N95" s="116">
        <v>119.25</v>
      </c>
      <c r="O95" s="116">
        <v>116</v>
      </c>
      <c r="P95" s="116">
        <v>116.4</v>
      </c>
      <c r="Q95" s="116">
        <v>116.75</v>
      </c>
      <c r="R95">
        <v>244883</v>
      </c>
    </row>
    <row r="96" spans="1:18" x14ac:dyDescent="0.25">
      <c r="A96" s="170">
        <v>43543</v>
      </c>
      <c r="B96" s="116">
        <v>119.95</v>
      </c>
      <c r="C96" s="116">
        <v>117.5</v>
      </c>
      <c r="D96" s="116">
        <v>116.1</v>
      </c>
      <c r="E96" s="116">
        <v>117.4</v>
      </c>
      <c r="F96" s="116">
        <v>117.5</v>
      </c>
      <c r="G96">
        <v>44559</v>
      </c>
      <c r="H96" s="116"/>
      <c r="I96" s="116"/>
      <c r="L96" s="170">
        <v>43543</v>
      </c>
      <c r="M96" s="116">
        <v>118</v>
      </c>
      <c r="N96" s="116">
        <v>119</v>
      </c>
      <c r="O96" s="116">
        <v>116.1</v>
      </c>
      <c r="P96" s="116">
        <v>117.2</v>
      </c>
      <c r="Q96" s="116">
        <v>118</v>
      </c>
      <c r="R96">
        <v>285002</v>
      </c>
    </row>
    <row r="97" spans="1:18" x14ac:dyDescent="0.25">
      <c r="A97" s="170">
        <v>43544</v>
      </c>
      <c r="B97" s="116">
        <v>118.45</v>
      </c>
      <c r="C97" s="116">
        <v>116.65</v>
      </c>
      <c r="D97" s="116">
        <v>116.1</v>
      </c>
      <c r="E97" s="116">
        <v>118.45</v>
      </c>
      <c r="F97" s="116">
        <v>116.65</v>
      </c>
      <c r="G97">
        <v>30592</v>
      </c>
      <c r="H97" s="116"/>
      <c r="I97" s="116"/>
      <c r="L97" s="170">
        <v>43544</v>
      </c>
      <c r="M97" s="116">
        <v>116.65</v>
      </c>
      <c r="N97" s="116">
        <v>117.9</v>
      </c>
      <c r="O97" s="116">
        <v>116</v>
      </c>
      <c r="P97" s="116">
        <v>117.8</v>
      </c>
      <c r="Q97" s="116">
        <v>116.65</v>
      </c>
      <c r="R97">
        <v>204846</v>
      </c>
    </row>
    <row r="98" spans="1:18" x14ac:dyDescent="0.25">
      <c r="A98" s="170">
        <v>43546</v>
      </c>
      <c r="B98" s="116">
        <v>117.85</v>
      </c>
      <c r="C98" s="116">
        <v>116.35</v>
      </c>
      <c r="D98" s="116">
        <v>115.35</v>
      </c>
      <c r="E98" s="116">
        <v>117.6</v>
      </c>
      <c r="F98" s="116">
        <v>116.35</v>
      </c>
      <c r="G98">
        <v>37525</v>
      </c>
      <c r="H98" s="116"/>
      <c r="I98" s="116"/>
      <c r="L98" s="170">
        <v>43546</v>
      </c>
      <c r="M98" s="116">
        <v>116.2</v>
      </c>
      <c r="N98" s="116">
        <v>117.8</v>
      </c>
      <c r="O98" s="116">
        <v>115.15</v>
      </c>
      <c r="P98" s="116">
        <v>116.85</v>
      </c>
      <c r="Q98" s="116">
        <v>116.2</v>
      </c>
      <c r="R98">
        <v>389292</v>
      </c>
    </row>
    <row r="99" spans="1:18" x14ac:dyDescent="0.25">
      <c r="A99" s="170">
        <v>43549</v>
      </c>
      <c r="B99" s="116">
        <v>116</v>
      </c>
      <c r="C99" s="116">
        <v>114.85</v>
      </c>
      <c r="D99" s="116">
        <v>113.75</v>
      </c>
      <c r="E99" s="116">
        <v>115.7</v>
      </c>
      <c r="F99" s="116">
        <v>114.85</v>
      </c>
      <c r="G99">
        <v>34343</v>
      </c>
      <c r="H99" s="116"/>
      <c r="I99" s="116"/>
      <c r="L99" s="170">
        <v>43549</v>
      </c>
      <c r="M99" s="116">
        <v>115.35</v>
      </c>
      <c r="N99" s="116">
        <v>116.5</v>
      </c>
      <c r="O99" s="116">
        <v>113.3</v>
      </c>
      <c r="P99" s="116">
        <v>115.2</v>
      </c>
      <c r="Q99" s="116">
        <v>115.35</v>
      </c>
      <c r="R99">
        <v>225454</v>
      </c>
    </row>
    <row r="100" spans="1:18" x14ac:dyDescent="0.25">
      <c r="A100" s="170">
        <v>43550</v>
      </c>
      <c r="B100" s="116">
        <v>116.75</v>
      </c>
      <c r="C100" s="116">
        <v>115.65</v>
      </c>
      <c r="D100" s="116">
        <v>114.3</v>
      </c>
      <c r="E100" s="116">
        <v>114.5</v>
      </c>
      <c r="F100" s="116">
        <v>115.65</v>
      </c>
      <c r="G100">
        <v>24511</v>
      </c>
      <c r="H100" s="116"/>
      <c r="I100" s="116"/>
      <c r="L100" s="170">
        <v>43550</v>
      </c>
      <c r="M100" s="116">
        <v>116.15</v>
      </c>
      <c r="N100" s="116">
        <v>116.75</v>
      </c>
      <c r="O100" s="116">
        <v>114.75</v>
      </c>
      <c r="P100" s="116">
        <v>115.65</v>
      </c>
      <c r="Q100" s="116">
        <v>116.15</v>
      </c>
      <c r="R100">
        <v>153241</v>
      </c>
    </row>
    <row r="101" spans="1:18" x14ac:dyDescent="0.25">
      <c r="A101" s="170">
        <v>43551</v>
      </c>
      <c r="B101" s="116">
        <v>117.9</v>
      </c>
      <c r="C101" s="116">
        <v>114.95</v>
      </c>
      <c r="D101" s="116">
        <v>114.15</v>
      </c>
      <c r="E101" s="116">
        <v>116.25</v>
      </c>
      <c r="F101" s="116">
        <v>114.95</v>
      </c>
      <c r="G101">
        <v>86330</v>
      </c>
      <c r="H101" s="116"/>
      <c r="I101" s="116"/>
      <c r="L101" s="170">
        <v>43551</v>
      </c>
      <c r="M101" s="116">
        <v>115.5</v>
      </c>
      <c r="N101" s="116">
        <v>118.4</v>
      </c>
      <c r="O101" s="116">
        <v>115</v>
      </c>
      <c r="P101" s="116">
        <v>116.15</v>
      </c>
      <c r="Q101" s="116">
        <v>115.5</v>
      </c>
      <c r="R101">
        <v>273625</v>
      </c>
    </row>
    <row r="102" spans="1:18" x14ac:dyDescent="0.25">
      <c r="A102" s="170">
        <v>43552</v>
      </c>
      <c r="B102" s="116">
        <v>117.25</v>
      </c>
      <c r="C102" s="116">
        <v>116.6</v>
      </c>
      <c r="D102" s="116">
        <v>115.5</v>
      </c>
      <c r="E102" s="116">
        <v>115.6</v>
      </c>
      <c r="F102" s="116">
        <v>116.6</v>
      </c>
      <c r="G102">
        <v>47304</v>
      </c>
      <c r="H102" s="116"/>
      <c r="I102" s="116"/>
      <c r="L102" s="170">
        <v>43552</v>
      </c>
      <c r="M102" s="116">
        <v>116.9</v>
      </c>
      <c r="N102" s="116">
        <v>117.5</v>
      </c>
      <c r="O102" s="116">
        <v>115.35</v>
      </c>
      <c r="P102" s="116">
        <v>116</v>
      </c>
      <c r="Q102" s="116">
        <v>116.9</v>
      </c>
      <c r="R102">
        <v>123587</v>
      </c>
    </row>
    <row r="103" spans="1:18" x14ac:dyDescent="0.25">
      <c r="A103" s="170">
        <v>43553</v>
      </c>
      <c r="B103" s="116">
        <v>135.4</v>
      </c>
      <c r="C103" s="116">
        <v>128.85</v>
      </c>
      <c r="D103" s="116">
        <v>116.15</v>
      </c>
      <c r="E103" s="116">
        <v>117.9</v>
      </c>
      <c r="F103" s="116">
        <v>128.85</v>
      </c>
      <c r="G103">
        <v>645500</v>
      </c>
      <c r="H103" s="116"/>
      <c r="I103" s="116"/>
      <c r="L103" s="170">
        <v>43553</v>
      </c>
      <c r="M103" s="116">
        <v>128.69999999999999</v>
      </c>
      <c r="N103" s="116">
        <v>135.5</v>
      </c>
      <c r="O103" s="116">
        <v>116.55</v>
      </c>
      <c r="P103" s="116">
        <v>117.75</v>
      </c>
      <c r="Q103" s="116">
        <v>128.69999999999999</v>
      </c>
      <c r="R103">
        <v>3150937</v>
      </c>
    </row>
    <row r="104" spans="1:18" x14ac:dyDescent="0.25">
      <c r="A104" s="170">
        <v>43556</v>
      </c>
      <c r="B104" s="116">
        <v>137.35</v>
      </c>
      <c r="C104" s="116">
        <v>133.35</v>
      </c>
      <c r="D104" s="116">
        <v>129</v>
      </c>
      <c r="E104" s="116">
        <v>130.5</v>
      </c>
      <c r="F104" s="116">
        <v>133.35</v>
      </c>
      <c r="G104">
        <v>208171</v>
      </c>
      <c r="H104" s="116"/>
      <c r="I104" s="116"/>
      <c r="L104" s="170">
        <v>43556</v>
      </c>
      <c r="M104" s="116">
        <v>133.5</v>
      </c>
      <c r="N104" s="116">
        <v>137.5</v>
      </c>
      <c r="O104" s="116">
        <v>129</v>
      </c>
      <c r="P104" s="116">
        <v>129.5</v>
      </c>
      <c r="Q104" s="116">
        <v>133.5</v>
      </c>
      <c r="R104">
        <v>1017473</v>
      </c>
    </row>
    <row r="105" spans="1:18" x14ac:dyDescent="0.25">
      <c r="A105" s="170">
        <v>43557</v>
      </c>
      <c r="B105" s="116">
        <v>137.80000000000001</v>
      </c>
      <c r="C105" s="116">
        <v>133.1</v>
      </c>
      <c r="D105" s="116">
        <v>129.15</v>
      </c>
      <c r="E105" s="116">
        <v>133.44999999999999</v>
      </c>
      <c r="F105" s="116">
        <v>133.1</v>
      </c>
      <c r="G105">
        <v>340149</v>
      </c>
      <c r="H105" s="116"/>
      <c r="I105" s="116"/>
      <c r="L105" s="170">
        <v>43557</v>
      </c>
      <c r="M105" s="116">
        <v>132.30000000000001</v>
      </c>
      <c r="N105" s="116">
        <v>137.4</v>
      </c>
      <c r="O105" s="116">
        <v>128.80000000000001</v>
      </c>
      <c r="P105" s="116">
        <v>133.55000000000001</v>
      </c>
      <c r="Q105" s="116">
        <v>132.30000000000001</v>
      </c>
      <c r="R105">
        <v>1784606</v>
      </c>
    </row>
    <row r="106" spans="1:18" x14ac:dyDescent="0.25">
      <c r="A106" s="170">
        <v>43558</v>
      </c>
      <c r="B106" s="116">
        <v>133.6</v>
      </c>
      <c r="C106" s="116">
        <v>128.19999999999999</v>
      </c>
      <c r="D106" s="116">
        <v>127.7</v>
      </c>
      <c r="E106" s="116">
        <v>133.6</v>
      </c>
      <c r="F106" s="116">
        <v>128.19999999999999</v>
      </c>
      <c r="G106">
        <v>148881</v>
      </c>
      <c r="H106" s="116"/>
      <c r="I106" s="116"/>
      <c r="L106" s="170">
        <v>43558</v>
      </c>
      <c r="M106" s="116">
        <v>128.5</v>
      </c>
      <c r="N106" s="116">
        <v>133.6</v>
      </c>
      <c r="O106" s="116">
        <v>128.1</v>
      </c>
      <c r="P106" s="116">
        <v>132.30000000000001</v>
      </c>
      <c r="Q106" s="116">
        <v>128.5</v>
      </c>
      <c r="R106">
        <v>415786</v>
      </c>
    </row>
    <row r="107" spans="1:18" x14ac:dyDescent="0.25">
      <c r="A107" s="170">
        <v>43559</v>
      </c>
      <c r="B107" s="116">
        <v>133.9</v>
      </c>
      <c r="C107" s="116">
        <v>130.5</v>
      </c>
      <c r="D107" s="116">
        <v>128.6</v>
      </c>
      <c r="E107" s="116">
        <v>129.9</v>
      </c>
      <c r="F107" s="116">
        <v>130.5</v>
      </c>
      <c r="G107">
        <v>96187</v>
      </c>
      <c r="H107" s="116"/>
      <c r="I107" s="116"/>
      <c r="L107" s="170">
        <v>43559</v>
      </c>
      <c r="M107" s="116">
        <v>130.85</v>
      </c>
      <c r="N107" s="116">
        <v>134</v>
      </c>
      <c r="O107" s="116">
        <v>128.44999999999999</v>
      </c>
      <c r="P107" s="116">
        <v>128.9</v>
      </c>
      <c r="Q107" s="116">
        <v>130.85</v>
      </c>
      <c r="R107">
        <v>501350</v>
      </c>
    </row>
    <row r="108" spans="1:18" x14ac:dyDescent="0.25">
      <c r="A108" s="170">
        <v>43560</v>
      </c>
      <c r="B108" s="116">
        <v>133.35</v>
      </c>
      <c r="C108" s="116">
        <v>130</v>
      </c>
      <c r="D108" s="116">
        <v>129.4</v>
      </c>
      <c r="E108" s="116">
        <v>131.1</v>
      </c>
      <c r="F108" s="116">
        <v>130</v>
      </c>
      <c r="G108">
        <v>116261</v>
      </c>
      <c r="H108" s="116"/>
      <c r="I108" s="116"/>
      <c r="L108" s="170">
        <v>43560</v>
      </c>
      <c r="M108" s="116">
        <v>130.1</v>
      </c>
      <c r="N108" s="116">
        <v>133</v>
      </c>
      <c r="O108" s="116">
        <v>129.1</v>
      </c>
      <c r="P108" s="116">
        <v>132.6</v>
      </c>
      <c r="Q108" s="116">
        <v>130.1</v>
      </c>
      <c r="R108">
        <v>313703</v>
      </c>
    </row>
    <row r="109" spans="1:18" x14ac:dyDescent="0.25">
      <c r="A109" s="170">
        <v>43563</v>
      </c>
      <c r="B109" s="116">
        <v>136.69999999999999</v>
      </c>
      <c r="C109" s="116">
        <v>132.9</v>
      </c>
      <c r="D109" s="116">
        <v>130.15</v>
      </c>
      <c r="E109" s="116">
        <v>130.5</v>
      </c>
      <c r="F109" s="116">
        <v>132.9</v>
      </c>
      <c r="G109">
        <v>251598</v>
      </c>
      <c r="H109" s="116"/>
      <c r="I109" s="116"/>
      <c r="L109" s="170">
        <v>43563</v>
      </c>
      <c r="M109" s="116">
        <v>133.05000000000001</v>
      </c>
      <c r="N109" s="116">
        <v>137</v>
      </c>
      <c r="O109" s="116">
        <v>130</v>
      </c>
      <c r="P109" s="116">
        <v>130.69999999999999</v>
      </c>
      <c r="Q109" s="116">
        <v>133.05000000000001</v>
      </c>
      <c r="R109">
        <v>1111499</v>
      </c>
    </row>
    <row r="110" spans="1:18" x14ac:dyDescent="0.25">
      <c r="A110" s="170">
        <v>43564</v>
      </c>
      <c r="B110" s="116">
        <v>133.44999999999999</v>
      </c>
      <c r="C110" s="116">
        <v>131.4</v>
      </c>
      <c r="D110" s="116">
        <v>129.44999999999999</v>
      </c>
      <c r="E110" s="116">
        <v>132.9</v>
      </c>
      <c r="F110" s="116">
        <v>131.4</v>
      </c>
      <c r="G110">
        <v>65524</v>
      </c>
      <c r="H110" s="116"/>
      <c r="I110" s="116"/>
      <c r="L110" s="170">
        <v>43564</v>
      </c>
      <c r="M110" s="116">
        <v>131.30000000000001</v>
      </c>
      <c r="N110" s="116">
        <v>133.44999999999999</v>
      </c>
      <c r="O110" s="116">
        <v>129.30000000000001</v>
      </c>
      <c r="P110" s="116">
        <v>133.19999999999999</v>
      </c>
      <c r="Q110" s="116">
        <v>131.30000000000001</v>
      </c>
      <c r="R110">
        <v>308999</v>
      </c>
    </row>
    <row r="111" spans="1:18" x14ac:dyDescent="0.25">
      <c r="A111" s="170">
        <v>43565</v>
      </c>
      <c r="B111" s="116">
        <v>133.80000000000001</v>
      </c>
      <c r="C111" s="116">
        <v>129.6</v>
      </c>
      <c r="D111" s="116">
        <v>129.1</v>
      </c>
      <c r="E111" s="116">
        <v>131.44999999999999</v>
      </c>
      <c r="F111" s="116">
        <v>129.6</v>
      </c>
      <c r="G111">
        <v>88067</v>
      </c>
      <c r="H111" s="116"/>
      <c r="I111" s="116"/>
      <c r="L111" s="170">
        <v>43565</v>
      </c>
      <c r="M111" s="116">
        <v>129.80000000000001</v>
      </c>
      <c r="N111" s="116">
        <v>133.44999999999999</v>
      </c>
      <c r="O111" s="116">
        <v>129.25</v>
      </c>
      <c r="P111" s="116">
        <v>131.19999999999999</v>
      </c>
      <c r="Q111" s="116">
        <v>129.80000000000001</v>
      </c>
      <c r="R111">
        <v>338994</v>
      </c>
    </row>
    <row r="112" spans="1:18" x14ac:dyDescent="0.25">
      <c r="A112" s="170">
        <v>43566</v>
      </c>
      <c r="B112" s="116">
        <v>132.15</v>
      </c>
      <c r="C112" s="116">
        <v>130.1</v>
      </c>
      <c r="D112" s="116">
        <v>128.19999999999999</v>
      </c>
      <c r="E112" s="116">
        <v>130</v>
      </c>
      <c r="F112" s="116">
        <v>130.1</v>
      </c>
      <c r="G112">
        <v>77023</v>
      </c>
      <c r="H112" s="116"/>
      <c r="I112" s="116"/>
      <c r="L112" s="170">
        <v>43566</v>
      </c>
      <c r="M112" s="116">
        <v>130.35</v>
      </c>
      <c r="N112" s="116">
        <v>132.30000000000001</v>
      </c>
      <c r="O112" s="116">
        <v>128.15</v>
      </c>
      <c r="P112" s="116">
        <v>129.94999999999999</v>
      </c>
      <c r="Q112" s="116">
        <v>130.35</v>
      </c>
      <c r="R112">
        <v>388571</v>
      </c>
    </row>
    <row r="113" spans="1:18" x14ac:dyDescent="0.25">
      <c r="A113" s="170">
        <v>43567</v>
      </c>
      <c r="B113" s="116">
        <v>132</v>
      </c>
      <c r="C113" s="116">
        <v>129.4</v>
      </c>
      <c r="D113" s="116">
        <v>129.1</v>
      </c>
      <c r="E113" s="116">
        <v>129.4</v>
      </c>
      <c r="F113" s="116">
        <v>129.4</v>
      </c>
      <c r="G113">
        <v>57234</v>
      </c>
      <c r="H113" s="116"/>
      <c r="I113" s="116"/>
      <c r="L113" s="170">
        <v>43567</v>
      </c>
      <c r="M113" s="116">
        <v>130.15</v>
      </c>
      <c r="N113" s="116">
        <v>132.30000000000001</v>
      </c>
      <c r="O113" s="116">
        <v>129.75</v>
      </c>
      <c r="P113" s="116">
        <v>130.5</v>
      </c>
      <c r="Q113" s="116">
        <v>130.15</v>
      </c>
      <c r="R113">
        <v>230302</v>
      </c>
    </row>
    <row r="114" spans="1:18" x14ac:dyDescent="0.25">
      <c r="A114" s="170">
        <v>43570</v>
      </c>
      <c r="B114" s="116">
        <v>132.30000000000001</v>
      </c>
      <c r="C114" s="116">
        <v>130.4</v>
      </c>
      <c r="D114" s="116">
        <v>129.9</v>
      </c>
      <c r="E114" s="116">
        <v>130.25</v>
      </c>
      <c r="F114" s="116">
        <v>130.4</v>
      </c>
      <c r="G114">
        <v>37373</v>
      </c>
      <c r="H114" s="116"/>
      <c r="I114" s="116"/>
      <c r="L114" s="170">
        <v>43570</v>
      </c>
      <c r="M114" s="116">
        <v>130.05000000000001</v>
      </c>
      <c r="N114" s="116">
        <v>132.19999999999999</v>
      </c>
      <c r="O114" s="116">
        <v>129.6</v>
      </c>
      <c r="P114" s="116">
        <v>130.85</v>
      </c>
      <c r="Q114" s="116">
        <v>130.05000000000001</v>
      </c>
      <c r="R114">
        <v>298257</v>
      </c>
    </row>
    <row r="115" spans="1:18" x14ac:dyDescent="0.25">
      <c r="A115" s="170">
        <v>43571</v>
      </c>
      <c r="B115" s="116">
        <v>144.69999999999999</v>
      </c>
      <c r="C115" s="116">
        <v>141.30000000000001</v>
      </c>
      <c r="D115" s="116">
        <v>130.05000000000001</v>
      </c>
      <c r="E115" s="116">
        <v>130.4</v>
      </c>
      <c r="F115" s="116">
        <v>141.30000000000001</v>
      </c>
      <c r="G115">
        <v>570411</v>
      </c>
      <c r="H115" s="116"/>
      <c r="I115" s="116"/>
      <c r="L115" s="170">
        <v>43571</v>
      </c>
      <c r="M115" s="116">
        <v>141.65</v>
      </c>
      <c r="N115" s="116">
        <v>144.75</v>
      </c>
      <c r="O115" s="116">
        <v>130.30000000000001</v>
      </c>
      <c r="P115" s="116">
        <v>130.69999999999999</v>
      </c>
      <c r="Q115" s="116">
        <v>141.65</v>
      </c>
      <c r="R115">
        <v>3175557</v>
      </c>
    </row>
    <row r="116" spans="1:18" x14ac:dyDescent="0.25">
      <c r="A116" s="170">
        <v>43573</v>
      </c>
      <c r="B116" s="116">
        <v>146.75</v>
      </c>
      <c r="C116" s="116">
        <v>140.85</v>
      </c>
      <c r="D116" s="116">
        <v>132.6</v>
      </c>
      <c r="E116" s="116">
        <v>141.15</v>
      </c>
      <c r="F116" s="116">
        <v>140.85</v>
      </c>
      <c r="G116">
        <v>386429</v>
      </c>
      <c r="H116" s="116"/>
      <c r="I116" s="116"/>
      <c r="L116" s="170">
        <v>43573</v>
      </c>
      <c r="M116" s="116">
        <v>141.1</v>
      </c>
      <c r="N116" s="116">
        <v>146.5</v>
      </c>
      <c r="O116" s="116">
        <v>132.44999999999999</v>
      </c>
      <c r="P116" s="116">
        <v>141.85</v>
      </c>
      <c r="Q116" s="116">
        <v>141.1</v>
      </c>
      <c r="R116">
        <v>2284428</v>
      </c>
    </row>
    <row r="117" spans="1:18" x14ac:dyDescent="0.25">
      <c r="A117" s="170">
        <v>43577</v>
      </c>
      <c r="B117" s="116">
        <v>152</v>
      </c>
      <c r="C117" s="116">
        <v>145.75</v>
      </c>
      <c r="D117" s="116">
        <v>138</v>
      </c>
      <c r="E117" s="116">
        <v>140.69999999999999</v>
      </c>
      <c r="F117" s="116">
        <v>145.75</v>
      </c>
      <c r="G117">
        <v>499246</v>
      </c>
      <c r="H117" s="116"/>
      <c r="I117" s="116"/>
      <c r="L117" s="170">
        <v>43577</v>
      </c>
      <c r="M117" s="116">
        <v>145.5</v>
      </c>
      <c r="N117" s="116">
        <v>152.30000000000001</v>
      </c>
      <c r="O117" s="116">
        <v>138.55000000000001</v>
      </c>
      <c r="P117" s="116">
        <v>139.69999999999999</v>
      </c>
      <c r="Q117" s="116">
        <v>145.5</v>
      </c>
      <c r="R117">
        <v>2627799</v>
      </c>
    </row>
    <row r="118" spans="1:18" x14ac:dyDescent="0.25">
      <c r="A118" s="170">
        <v>43578</v>
      </c>
      <c r="B118" s="116">
        <v>151.4</v>
      </c>
      <c r="C118" s="116">
        <v>147.75</v>
      </c>
      <c r="D118" s="116">
        <v>146.5</v>
      </c>
      <c r="E118" s="116">
        <v>146.75</v>
      </c>
      <c r="F118" s="116">
        <v>147.75</v>
      </c>
      <c r="G118">
        <v>244017</v>
      </c>
      <c r="H118" s="116"/>
      <c r="I118" s="116"/>
      <c r="L118" s="170">
        <v>43578</v>
      </c>
      <c r="M118" s="116">
        <v>147.6</v>
      </c>
      <c r="N118" s="116">
        <v>151.44999999999999</v>
      </c>
      <c r="O118" s="116">
        <v>146</v>
      </c>
      <c r="P118" s="116">
        <v>146.4</v>
      </c>
      <c r="Q118" s="116">
        <v>147.6</v>
      </c>
      <c r="R118">
        <v>1012260</v>
      </c>
    </row>
    <row r="119" spans="1:18" x14ac:dyDescent="0.25">
      <c r="A119" s="170">
        <v>43579</v>
      </c>
      <c r="B119" s="116">
        <v>153.5</v>
      </c>
      <c r="C119" s="116">
        <v>151.15</v>
      </c>
      <c r="D119" s="116">
        <v>148.9</v>
      </c>
      <c r="E119" s="116">
        <v>149.75</v>
      </c>
      <c r="F119" s="116">
        <v>151.15</v>
      </c>
      <c r="G119">
        <v>159622</v>
      </c>
      <c r="H119" s="116"/>
      <c r="I119" s="116"/>
      <c r="L119" s="170">
        <v>43579</v>
      </c>
      <c r="M119" s="116">
        <v>151.19999999999999</v>
      </c>
      <c r="N119" s="116">
        <v>153.80000000000001</v>
      </c>
      <c r="O119" s="116">
        <v>149</v>
      </c>
      <c r="P119" s="116">
        <v>149.6</v>
      </c>
      <c r="Q119" s="116">
        <v>151.19999999999999</v>
      </c>
      <c r="R119">
        <v>988450</v>
      </c>
    </row>
    <row r="120" spans="1:18" x14ac:dyDescent="0.25">
      <c r="A120" s="170">
        <v>43580</v>
      </c>
      <c r="B120" s="116">
        <v>153</v>
      </c>
      <c r="C120" s="116">
        <v>146.30000000000001</v>
      </c>
      <c r="D120" s="116">
        <v>145.5</v>
      </c>
      <c r="E120" s="116">
        <v>152.05000000000001</v>
      </c>
      <c r="F120" s="116">
        <v>146.30000000000001</v>
      </c>
      <c r="G120">
        <v>71987</v>
      </c>
      <c r="H120" s="116"/>
      <c r="I120" s="116"/>
      <c r="L120" s="170">
        <v>43580</v>
      </c>
      <c r="M120" s="116">
        <v>146.15</v>
      </c>
      <c r="N120" s="116">
        <v>152.65</v>
      </c>
      <c r="O120" s="116">
        <v>145.19999999999999</v>
      </c>
      <c r="P120" s="116">
        <v>152.44999999999999</v>
      </c>
      <c r="Q120" s="116">
        <v>146.15</v>
      </c>
      <c r="R120">
        <v>499126</v>
      </c>
    </row>
    <row r="121" spans="1:18" x14ac:dyDescent="0.25">
      <c r="A121" s="170">
        <v>43581</v>
      </c>
      <c r="B121" s="116">
        <v>147.6</v>
      </c>
      <c r="C121" s="116">
        <v>143.25</v>
      </c>
      <c r="D121" s="116">
        <v>142.75</v>
      </c>
      <c r="E121" s="116">
        <v>147.6</v>
      </c>
      <c r="F121" s="116">
        <v>143.25</v>
      </c>
      <c r="G121">
        <v>58567</v>
      </c>
      <c r="H121" s="116"/>
      <c r="I121" s="116"/>
      <c r="L121" s="170">
        <v>43581</v>
      </c>
      <c r="M121" s="116">
        <v>143.25</v>
      </c>
      <c r="N121" s="116">
        <v>147.80000000000001</v>
      </c>
      <c r="O121" s="116">
        <v>142.30000000000001</v>
      </c>
      <c r="P121" s="116">
        <v>147.1</v>
      </c>
      <c r="Q121" s="116">
        <v>143.25</v>
      </c>
      <c r="R121">
        <v>293719</v>
      </c>
    </row>
    <row r="122" spans="1:18" x14ac:dyDescent="0.25">
      <c r="A122" s="170">
        <v>43585</v>
      </c>
      <c r="B122" s="116">
        <v>147</v>
      </c>
      <c r="C122" s="116">
        <v>133.15</v>
      </c>
      <c r="D122" s="116">
        <v>130.1</v>
      </c>
      <c r="E122" s="116">
        <v>143</v>
      </c>
      <c r="F122" s="116">
        <v>133.15</v>
      </c>
      <c r="G122">
        <v>299647</v>
      </c>
      <c r="H122" s="116"/>
      <c r="I122" s="116"/>
      <c r="L122" s="170">
        <v>43585</v>
      </c>
      <c r="M122" s="116">
        <v>134</v>
      </c>
      <c r="N122" s="116">
        <v>147</v>
      </c>
      <c r="O122" s="116">
        <v>130.6</v>
      </c>
      <c r="P122" s="116">
        <v>143</v>
      </c>
      <c r="Q122" s="116">
        <v>134</v>
      </c>
      <c r="R122">
        <v>804450</v>
      </c>
    </row>
    <row r="123" spans="1:18" x14ac:dyDescent="0.25">
      <c r="A123" s="170">
        <v>43587</v>
      </c>
      <c r="B123" s="116">
        <v>135.9</v>
      </c>
      <c r="C123" s="116">
        <v>131.19999999999999</v>
      </c>
      <c r="D123" s="116">
        <v>130</v>
      </c>
      <c r="E123" s="116">
        <v>132.44999999999999</v>
      </c>
      <c r="F123" s="116">
        <v>131.19999999999999</v>
      </c>
      <c r="G123">
        <v>100355</v>
      </c>
      <c r="H123" s="116"/>
      <c r="I123" s="116"/>
      <c r="L123" s="170">
        <v>43587</v>
      </c>
      <c r="M123" s="116">
        <v>131.19999999999999</v>
      </c>
      <c r="N123" s="116">
        <v>136.1</v>
      </c>
      <c r="O123" s="116">
        <v>130.19999999999999</v>
      </c>
      <c r="P123" s="116">
        <v>132</v>
      </c>
      <c r="Q123" s="116">
        <v>131.19999999999999</v>
      </c>
      <c r="R123">
        <v>662221</v>
      </c>
    </row>
    <row r="124" spans="1:18" x14ac:dyDescent="0.25">
      <c r="A124" s="170">
        <v>43588</v>
      </c>
      <c r="B124" s="116">
        <v>134.25</v>
      </c>
      <c r="C124" s="116">
        <v>132.35</v>
      </c>
      <c r="D124" s="116">
        <v>131.5</v>
      </c>
      <c r="E124" s="116">
        <v>132.75</v>
      </c>
      <c r="F124" s="116">
        <v>132.35</v>
      </c>
      <c r="G124">
        <v>55962</v>
      </c>
      <c r="H124" s="116"/>
      <c r="I124" s="116"/>
      <c r="L124" s="170">
        <v>43588</v>
      </c>
      <c r="M124" s="116">
        <v>132.75</v>
      </c>
      <c r="N124" s="116">
        <v>134.35</v>
      </c>
      <c r="O124" s="116">
        <v>131.55000000000001</v>
      </c>
      <c r="P124" s="116">
        <v>131.69999999999999</v>
      </c>
      <c r="Q124" s="116">
        <v>132.75</v>
      </c>
      <c r="R124">
        <v>274700</v>
      </c>
    </row>
    <row r="125" spans="1:18" x14ac:dyDescent="0.25">
      <c r="A125" s="170">
        <v>43591</v>
      </c>
      <c r="B125" s="116">
        <v>133</v>
      </c>
      <c r="C125" s="116">
        <v>130.5</v>
      </c>
      <c r="D125" s="116">
        <v>130.05000000000001</v>
      </c>
      <c r="E125" s="116">
        <v>131.6</v>
      </c>
      <c r="F125" s="116">
        <v>130.5</v>
      </c>
      <c r="G125">
        <v>95572</v>
      </c>
      <c r="H125" s="116"/>
      <c r="I125" s="116"/>
      <c r="L125" s="170">
        <v>43591</v>
      </c>
      <c r="M125" s="116">
        <v>129.75</v>
      </c>
      <c r="N125" s="116">
        <v>132.9</v>
      </c>
      <c r="O125" s="116">
        <v>129.44999999999999</v>
      </c>
      <c r="P125" s="116">
        <v>131.19999999999999</v>
      </c>
      <c r="Q125" s="116">
        <v>129.75</v>
      </c>
      <c r="R125">
        <v>309542</v>
      </c>
    </row>
    <row r="126" spans="1:18" x14ac:dyDescent="0.25">
      <c r="A126" s="170">
        <v>43592</v>
      </c>
      <c r="B126" s="116">
        <v>137.19999999999999</v>
      </c>
      <c r="C126" s="116">
        <v>134.05000000000001</v>
      </c>
      <c r="D126" s="116">
        <v>131.05000000000001</v>
      </c>
      <c r="E126" s="116">
        <v>131.4</v>
      </c>
      <c r="F126" s="116">
        <v>134.05000000000001</v>
      </c>
      <c r="G126">
        <v>138254</v>
      </c>
      <c r="H126" s="116"/>
      <c r="I126" s="116"/>
      <c r="L126" s="170">
        <v>43592</v>
      </c>
      <c r="M126" s="116">
        <v>134.80000000000001</v>
      </c>
      <c r="N126" s="116">
        <v>137.4</v>
      </c>
      <c r="O126" s="116">
        <v>130.5</v>
      </c>
      <c r="P126" s="116">
        <v>130.55000000000001</v>
      </c>
      <c r="Q126" s="116">
        <v>134.80000000000001</v>
      </c>
      <c r="R126">
        <v>904522</v>
      </c>
    </row>
    <row r="127" spans="1:18" x14ac:dyDescent="0.25">
      <c r="A127" s="170">
        <v>43593</v>
      </c>
      <c r="B127" s="116">
        <v>134.85</v>
      </c>
      <c r="C127" s="116">
        <v>131.44999999999999</v>
      </c>
      <c r="D127" s="116">
        <v>130.15</v>
      </c>
      <c r="E127" s="116">
        <v>133.05000000000001</v>
      </c>
      <c r="F127" s="116">
        <v>131.44999999999999</v>
      </c>
      <c r="G127">
        <v>65747</v>
      </c>
      <c r="H127" s="116"/>
      <c r="I127" s="116"/>
      <c r="L127" s="170">
        <v>43593</v>
      </c>
      <c r="M127" s="116">
        <v>130.94999999999999</v>
      </c>
      <c r="N127" s="116">
        <v>134.69999999999999</v>
      </c>
      <c r="O127" s="116">
        <v>128.85</v>
      </c>
      <c r="P127" s="116">
        <v>133.05000000000001</v>
      </c>
      <c r="Q127" s="116">
        <v>130.94999999999999</v>
      </c>
      <c r="R127">
        <v>309514</v>
      </c>
    </row>
    <row r="128" spans="1:18" x14ac:dyDescent="0.25">
      <c r="A128" s="170">
        <v>43594</v>
      </c>
      <c r="B128" s="116">
        <v>134.80000000000001</v>
      </c>
      <c r="C128" s="116">
        <v>132.5</v>
      </c>
      <c r="D128" s="116">
        <v>130.1</v>
      </c>
      <c r="E128" s="116">
        <v>130.1</v>
      </c>
      <c r="F128" s="116">
        <v>132.5</v>
      </c>
      <c r="G128">
        <v>63475</v>
      </c>
      <c r="H128" s="116"/>
      <c r="I128" s="116"/>
      <c r="L128" s="170">
        <v>43594</v>
      </c>
      <c r="M128" s="116">
        <v>132.25</v>
      </c>
      <c r="N128" s="116">
        <v>134.80000000000001</v>
      </c>
      <c r="O128" s="116">
        <v>131.1</v>
      </c>
      <c r="P128" s="116">
        <v>134.69999999999999</v>
      </c>
      <c r="Q128" s="116">
        <v>132.25</v>
      </c>
      <c r="R128">
        <v>380930</v>
      </c>
    </row>
    <row r="129" spans="1:18" x14ac:dyDescent="0.25">
      <c r="A129" s="170">
        <v>43595</v>
      </c>
      <c r="B129" s="116">
        <v>134</v>
      </c>
      <c r="C129" s="116">
        <v>130.94999999999999</v>
      </c>
      <c r="D129" s="116">
        <v>130.4</v>
      </c>
      <c r="E129" s="116">
        <v>133</v>
      </c>
      <c r="F129" s="116">
        <v>130.94999999999999</v>
      </c>
      <c r="G129">
        <v>38357</v>
      </c>
      <c r="H129" s="116"/>
      <c r="I129" s="116"/>
      <c r="L129" s="170">
        <v>43595</v>
      </c>
      <c r="M129" s="116">
        <v>131.05000000000001</v>
      </c>
      <c r="N129" s="116">
        <v>134.4</v>
      </c>
      <c r="O129" s="116">
        <v>130.44999999999999</v>
      </c>
      <c r="P129" s="116">
        <v>133.30000000000001</v>
      </c>
      <c r="Q129" s="116">
        <v>131.05000000000001</v>
      </c>
      <c r="R129">
        <v>232537</v>
      </c>
    </row>
    <row r="130" spans="1:18" x14ac:dyDescent="0.25">
      <c r="A130" s="170">
        <v>43598</v>
      </c>
      <c r="B130" s="116">
        <v>135.25</v>
      </c>
      <c r="C130" s="116">
        <v>123.65</v>
      </c>
      <c r="D130" s="116">
        <v>121.4</v>
      </c>
      <c r="E130" s="116">
        <v>132</v>
      </c>
      <c r="F130" s="116">
        <v>123.65</v>
      </c>
      <c r="G130">
        <v>77087</v>
      </c>
      <c r="H130" s="116"/>
      <c r="I130" s="116"/>
      <c r="L130" s="170">
        <v>43598</v>
      </c>
      <c r="M130" s="116">
        <v>123.2</v>
      </c>
      <c r="N130" s="116">
        <v>135.4</v>
      </c>
      <c r="O130" s="116">
        <v>121</v>
      </c>
      <c r="P130" s="116">
        <v>131.4</v>
      </c>
      <c r="Q130" s="116">
        <v>123.2</v>
      </c>
      <c r="R130">
        <v>532402</v>
      </c>
    </row>
    <row r="131" spans="1:18" x14ac:dyDescent="0.25">
      <c r="A131" s="170">
        <v>43599</v>
      </c>
      <c r="B131" s="116">
        <v>122.2</v>
      </c>
      <c r="C131" s="116">
        <v>118.15</v>
      </c>
      <c r="D131" s="116">
        <v>113.9</v>
      </c>
      <c r="E131" s="116">
        <v>120</v>
      </c>
      <c r="F131" s="116">
        <v>118.15</v>
      </c>
      <c r="G131">
        <v>138634</v>
      </c>
      <c r="H131" s="116"/>
      <c r="I131" s="116"/>
      <c r="L131" s="170">
        <v>43599</v>
      </c>
      <c r="M131" s="116">
        <v>117.95</v>
      </c>
      <c r="N131" s="116">
        <v>122</v>
      </c>
      <c r="O131" s="116">
        <v>113.2</v>
      </c>
      <c r="P131" s="116">
        <v>119.55</v>
      </c>
      <c r="Q131" s="116">
        <v>117.95</v>
      </c>
      <c r="R131">
        <v>835593</v>
      </c>
    </row>
    <row r="132" spans="1:18" x14ac:dyDescent="0.25">
      <c r="A132" s="170">
        <v>43600</v>
      </c>
      <c r="B132" s="116">
        <v>122.25</v>
      </c>
      <c r="C132" s="116">
        <v>119</v>
      </c>
      <c r="D132" s="116">
        <v>118.2</v>
      </c>
      <c r="E132" s="116">
        <v>119</v>
      </c>
      <c r="F132" s="116">
        <v>119</v>
      </c>
      <c r="G132">
        <v>85071</v>
      </c>
      <c r="H132" s="116"/>
      <c r="I132" s="116"/>
      <c r="L132" s="170">
        <v>43600</v>
      </c>
      <c r="M132" s="116">
        <v>118.95</v>
      </c>
      <c r="N132" s="116">
        <v>122.25</v>
      </c>
      <c r="O132" s="116">
        <v>117.85</v>
      </c>
      <c r="P132" s="116">
        <v>119.15</v>
      </c>
      <c r="Q132" s="116">
        <v>118.95</v>
      </c>
      <c r="R132">
        <v>469929</v>
      </c>
    </row>
    <row r="133" spans="1:18" x14ac:dyDescent="0.25">
      <c r="A133" s="170">
        <v>43601</v>
      </c>
      <c r="B133" s="116">
        <v>119.25</v>
      </c>
      <c r="C133" s="116">
        <v>114.75</v>
      </c>
      <c r="D133" s="116">
        <v>112.7</v>
      </c>
      <c r="E133" s="116">
        <v>119</v>
      </c>
      <c r="F133" s="116">
        <v>114.75</v>
      </c>
      <c r="G133">
        <v>76046</v>
      </c>
      <c r="H133" s="116"/>
      <c r="I133" s="116"/>
      <c r="L133" s="170">
        <v>43601</v>
      </c>
      <c r="M133" s="116">
        <v>114.8</v>
      </c>
      <c r="N133" s="116">
        <v>119.9</v>
      </c>
      <c r="O133" s="116">
        <v>113.05</v>
      </c>
      <c r="P133" s="116">
        <v>119</v>
      </c>
      <c r="Q133" s="116">
        <v>114.8</v>
      </c>
      <c r="R133">
        <v>419323</v>
      </c>
    </row>
    <row r="134" spans="1:18" x14ac:dyDescent="0.25">
      <c r="A134" s="170">
        <v>43602</v>
      </c>
      <c r="B134" s="116">
        <v>118.15</v>
      </c>
      <c r="C134" s="116">
        <v>115.6</v>
      </c>
      <c r="D134" s="116">
        <v>114.5</v>
      </c>
      <c r="E134" s="116">
        <v>115.3</v>
      </c>
      <c r="F134" s="116">
        <v>115.6</v>
      </c>
      <c r="G134">
        <v>94562</v>
      </c>
      <c r="H134" s="116"/>
      <c r="I134" s="116"/>
      <c r="L134" s="170">
        <v>43602</v>
      </c>
      <c r="M134" s="116">
        <v>115.55</v>
      </c>
      <c r="N134" s="116">
        <v>117.9</v>
      </c>
      <c r="O134" s="116">
        <v>114.05</v>
      </c>
      <c r="P134" s="116">
        <v>115.05</v>
      </c>
      <c r="Q134" s="116">
        <v>115.55</v>
      </c>
      <c r="R134">
        <v>478070</v>
      </c>
    </row>
    <row r="135" spans="1:18" x14ac:dyDescent="0.25">
      <c r="A135" s="170">
        <v>43605</v>
      </c>
      <c r="B135" s="116">
        <v>134.5</v>
      </c>
      <c r="C135" s="116">
        <v>130.1</v>
      </c>
      <c r="D135" s="116">
        <v>126.7</v>
      </c>
      <c r="E135" s="116">
        <v>130</v>
      </c>
      <c r="F135" s="116">
        <v>130.1</v>
      </c>
      <c r="G135">
        <v>322226</v>
      </c>
      <c r="H135" s="116"/>
      <c r="I135" s="116"/>
      <c r="L135" s="170">
        <v>43605</v>
      </c>
      <c r="M135" s="116">
        <v>130.30000000000001</v>
      </c>
      <c r="N135" s="116">
        <v>132.9</v>
      </c>
      <c r="O135" s="116">
        <v>126.15</v>
      </c>
      <c r="P135" s="116">
        <v>130</v>
      </c>
      <c r="Q135" s="116">
        <v>130.30000000000001</v>
      </c>
      <c r="R135">
        <v>1909809</v>
      </c>
    </row>
    <row r="136" spans="1:18" x14ac:dyDescent="0.25">
      <c r="A136" s="170">
        <v>43606</v>
      </c>
      <c r="B136" s="116">
        <v>134.19999999999999</v>
      </c>
      <c r="C136" s="116">
        <v>131</v>
      </c>
      <c r="D136" s="116">
        <v>129.5</v>
      </c>
      <c r="E136" s="116">
        <v>131.05000000000001</v>
      </c>
      <c r="F136" s="116">
        <v>131</v>
      </c>
      <c r="G136">
        <v>203968</v>
      </c>
      <c r="H136" s="116"/>
      <c r="I136" s="116"/>
      <c r="L136" s="170">
        <v>43606</v>
      </c>
      <c r="M136" s="116">
        <v>131.25</v>
      </c>
      <c r="N136" s="116">
        <v>134.1</v>
      </c>
      <c r="O136" s="116">
        <v>129.1</v>
      </c>
      <c r="P136" s="116">
        <v>131.85</v>
      </c>
      <c r="Q136" s="116">
        <v>131.25</v>
      </c>
      <c r="R136">
        <v>832157</v>
      </c>
    </row>
    <row r="137" spans="1:18" x14ac:dyDescent="0.25">
      <c r="A137" s="170">
        <v>43607</v>
      </c>
      <c r="B137" s="116">
        <v>134.5</v>
      </c>
      <c r="C137" s="116">
        <v>133.69999999999999</v>
      </c>
      <c r="D137" s="116">
        <v>130.69999999999999</v>
      </c>
      <c r="E137" s="116">
        <v>132</v>
      </c>
      <c r="F137" s="116">
        <v>133.69999999999999</v>
      </c>
      <c r="G137">
        <v>126889</v>
      </c>
      <c r="H137" s="116"/>
      <c r="I137" s="116"/>
      <c r="L137" s="170">
        <v>43607</v>
      </c>
      <c r="M137" s="116">
        <v>133.69999999999999</v>
      </c>
      <c r="N137" s="116">
        <v>134</v>
      </c>
      <c r="O137" s="116">
        <v>130</v>
      </c>
      <c r="P137" s="116">
        <v>131.94999999999999</v>
      </c>
      <c r="Q137" s="116">
        <v>133.69999999999999</v>
      </c>
      <c r="R137">
        <v>766826</v>
      </c>
    </row>
    <row r="138" spans="1:18" x14ac:dyDescent="0.25">
      <c r="A138" s="170">
        <v>43608</v>
      </c>
      <c r="B138" s="116">
        <v>145.5</v>
      </c>
      <c r="C138" s="116">
        <v>136.30000000000001</v>
      </c>
      <c r="D138" s="116">
        <v>135.15</v>
      </c>
      <c r="E138" s="116">
        <v>139.05000000000001</v>
      </c>
      <c r="F138" s="116">
        <v>136.30000000000001</v>
      </c>
      <c r="G138">
        <v>552712</v>
      </c>
      <c r="H138" s="116"/>
      <c r="I138" s="116"/>
      <c r="L138" s="170">
        <v>43608</v>
      </c>
      <c r="M138" s="116">
        <v>135.85</v>
      </c>
      <c r="N138" s="116">
        <v>145.9</v>
      </c>
      <c r="O138" s="116">
        <v>133.5</v>
      </c>
      <c r="P138" s="116">
        <v>140</v>
      </c>
      <c r="Q138" s="116">
        <v>135.85</v>
      </c>
      <c r="R138">
        <v>2298249</v>
      </c>
    </row>
    <row r="139" spans="1:18" x14ac:dyDescent="0.25">
      <c r="A139" s="170">
        <v>43609</v>
      </c>
      <c r="B139" s="116">
        <v>138.75</v>
      </c>
      <c r="C139" s="116">
        <v>136.19999999999999</v>
      </c>
      <c r="D139" s="116">
        <v>133</v>
      </c>
      <c r="E139" s="116">
        <v>137.19999999999999</v>
      </c>
      <c r="F139" s="116">
        <v>136.19999999999999</v>
      </c>
      <c r="G139">
        <v>122884</v>
      </c>
      <c r="H139" s="116"/>
      <c r="I139" s="116"/>
      <c r="L139" s="170">
        <v>43609</v>
      </c>
      <c r="M139" s="116">
        <v>136</v>
      </c>
      <c r="N139" s="116">
        <v>138.9</v>
      </c>
      <c r="O139" s="116">
        <v>132.9</v>
      </c>
      <c r="P139" s="116">
        <v>137.9</v>
      </c>
      <c r="Q139" s="116">
        <v>136</v>
      </c>
      <c r="R139">
        <v>538701</v>
      </c>
    </row>
    <row r="140" spans="1:18" x14ac:dyDescent="0.25">
      <c r="A140" s="170">
        <v>43612</v>
      </c>
      <c r="B140" s="116">
        <v>147</v>
      </c>
      <c r="C140" s="116">
        <v>142.9</v>
      </c>
      <c r="D140" s="116">
        <v>136.19999999999999</v>
      </c>
      <c r="E140" s="116">
        <v>136.69999999999999</v>
      </c>
      <c r="F140" s="116">
        <v>142.9</v>
      </c>
      <c r="G140">
        <v>340465</v>
      </c>
      <c r="H140" s="116"/>
      <c r="I140" s="116"/>
      <c r="L140" s="170">
        <v>43612</v>
      </c>
      <c r="M140" s="116">
        <v>143.25</v>
      </c>
      <c r="N140" s="116">
        <v>147.44999999999999</v>
      </c>
      <c r="O140" s="116">
        <v>136.5</v>
      </c>
      <c r="P140" s="116">
        <v>137</v>
      </c>
      <c r="Q140" s="116">
        <v>143.25</v>
      </c>
      <c r="R140">
        <v>2739690</v>
      </c>
    </row>
    <row r="141" spans="1:18" x14ac:dyDescent="0.25">
      <c r="A141" s="170">
        <v>43613</v>
      </c>
      <c r="B141" s="116">
        <v>164.8</v>
      </c>
      <c r="C141" s="116">
        <v>163.19999999999999</v>
      </c>
      <c r="D141" s="116">
        <v>141.94999999999999</v>
      </c>
      <c r="E141" s="116">
        <v>146</v>
      </c>
      <c r="F141" s="116">
        <v>163.19999999999999</v>
      </c>
      <c r="G141">
        <v>1130671</v>
      </c>
      <c r="H141" s="116"/>
      <c r="I141" s="116"/>
      <c r="L141" s="170">
        <v>43613</v>
      </c>
      <c r="M141" s="116">
        <v>163.25</v>
      </c>
      <c r="N141" s="116">
        <v>165.4</v>
      </c>
      <c r="O141" s="116">
        <v>141.6</v>
      </c>
      <c r="P141" s="116">
        <v>146</v>
      </c>
      <c r="Q141" s="116">
        <v>163.25</v>
      </c>
      <c r="R141">
        <v>7666645</v>
      </c>
    </row>
    <row r="142" spans="1:18" x14ac:dyDescent="0.25">
      <c r="A142" s="170">
        <v>43614</v>
      </c>
      <c r="B142" s="116">
        <v>174.4</v>
      </c>
      <c r="C142" s="116">
        <v>167.45</v>
      </c>
      <c r="D142" s="116">
        <v>160.55000000000001</v>
      </c>
      <c r="E142" s="116">
        <v>163.30000000000001</v>
      </c>
      <c r="F142" s="116">
        <v>167.45</v>
      </c>
      <c r="G142">
        <v>875738</v>
      </c>
      <c r="H142" s="116"/>
      <c r="I142" s="116"/>
      <c r="L142" s="170">
        <v>43614</v>
      </c>
      <c r="M142" s="116">
        <v>167.75</v>
      </c>
      <c r="N142" s="116">
        <v>174.5</v>
      </c>
      <c r="O142" s="116">
        <v>160.1</v>
      </c>
      <c r="P142" s="116">
        <v>162.6</v>
      </c>
      <c r="Q142" s="116">
        <v>167.75</v>
      </c>
      <c r="R142">
        <v>6101639</v>
      </c>
    </row>
    <row r="143" spans="1:18" x14ac:dyDescent="0.25">
      <c r="A143" s="170">
        <v>43615</v>
      </c>
      <c r="B143" s="116">
        <v>172.5</v>
      </c>
      <c r="C143" s="116">
        <v>170.7</v>
      </c>
      <c r="D143" s="116">
        <v>164.7</v>
      </c>
      <c r="E143" s="116">
        <v>168.1</v>
      </c>
      <c r="F143" s="116">
        <v>170.7</v>
      </c>
      <c r="G143">
        <v>406109</v>
      </c>
      <c r="H143" s="116"/>
      <c r="I143" s="116"/>
      <c r="L143" s="170">
        <v>43615</v>
      </c>
      <c r="M143" s="116">
        <v>171.15</v>
      </c>
      <c r="N143" s="116">
        <v>172.7</v>
      </c>
      <c r="O143" s="116">
        <v>164</v>
      </c>
      <c r="P143" s="116">
        <v>167.95</v>
      </c>
      <c r="Q143" s="116">
        <v>171.15</v>
      </c>
      <c r="R143">
        <v>2433004</v>
      </c>
    </row>
    <row r="144" spans="1:18" x14ac:dyDescent="0.25">
      <c r="A144" s="170">
        <v>43616</v>
      </c>
      <c r="B144" s="116">
        <v>172.85</v>
      </c>
      <c r="C144" s="116">
        <v>164.95</v>
      </c>
      <c r="D144" s="116">
        <v>164.1</v>
      </c>
      <c r="E144" s="116">
        <v>170.8</v>
      </c>
      <c r="F144" s="116">
        <v>164.95</v>
      </c>
      <c r="G144">
        <v>240542</v>
      </c>
      <c r="H144" s="116"/>
      <c r="I144" s="116"/>
      <c r="L144" s="170">
        <v>43616</v>
      </c>
      <c r="M144" s="116">
        <v>164.85</v>
      </c>
      <c r="N144" s="116">
        <v>172.8</v>
      </c>
      <c r="O144" s="116">
        <v>164.25</v>
      </c>
      <c r="P144" s="116">
        <v>170</v>
      </c>
      <c r="Q144" s="116">
        <v>164.85</v>
      </c>
      <c r="R144">
        <v>1269835</v>
      </c>
    </row>
    <row r="145" spans="1:18" x14ac:dyDescent="0.25">
      <c r="A145" s="170">
        <v>43619</v>
      </c>
      <c r="B145" s="116">
        <v>179.7</v>
      </c>
      <c r="C145" s="116">
        <v>177.6</v>
      </c>
      <c r="D145" s="116">
        <v>166.7</v>
      </c>
      <c r="E145" s="116">
        <v>166.7</v>
      </c>
      <c r="F145" s="116">
        <v>177.6</v>
      </c>
      <c r="G145">
        <v>833667</v>
      </c>
      <c r="H145" s="116"/>
      <c r="I145" s="116"/>
      <c r="L145" s="170">
        <v>43619</v>
      </c>
      <c r="M145" s="116">
        <v>178.65</v>
      </c>
      <c r="N145" s="116">
        <v>180.25</v>
      </c>
      <c r="O145" s="116">
        <v>166.65</v>
      </c>
      <c r="P145" s="116">
        <v>167</v>
      </c>
      <c r="Q145" s="116">
        <v>178.65</v>
      </c>
      <c r="R145">
        <v>4940331</v>
      </c>
    </row>
    <row r="146" spans="1:18" x14ac:dyDescent="0.25">
      <c r="A146" s="170">
        <v>43620</v>
      </c>
      <c r="B146" s="116">
        <v>184.25</v>
      </c>
      <c r="C146" s="116">
        <v>181.75</v>
      </c>
      <c r="D146" s="116">
        <v>178.9</v>
      </c>
      <c r="E146" s="116">
        <v>179.3</v>
      </c>
      <c r="F146" s="116">
        <v>181.75</v>
      </c>
      <c r="G146">
        <v>441554</v>
      </c>
      <c r="H146" s="116"/>
      <c r="I146" s="116"/>
      <c r="L146" s="170">
        <v>43620</v>
      </c>
      <c r="M146" s="116">
        <v>181.7</v>
      </c>
      <c r="N146" s="116">
        <v>184.15</v>
      </c>
      <c r="O146" s="116">
        <v>177.9</v>
      </c>
      <c r="P146" s="116">
        <v>179.1</v>
      </c>
      <c r="Q146" s="116">
        <v>181.7</v>
      </c>
      <c r="R146">
        <v>2395791</v>
      </c>
    </row>
    <row r="147" spans="1:18" x14ac:dyDescent="0.25">
      <c r="A147" s="170">
        <v>43622</v>
      </c>
      <c r="B147" s="116">
        <v>180.6</v>
      </c>
      <c r="C147" s="116">
        <v>170.1</v>
      </c>
      <c r="D147" s="116">
        <v>166.6</v>
      </c>
      <c r="E147" s="116">
        <v>180.6</v>
      </c>
      <c r="F147" s="116">
        <v>170.1</v>
      </c>
      <c r="G147">
        <v>329112</v>
      </c>
      <c r="H147" s="116"/>
      <c r="I147" s="116"/>
      <c r="L147" s="170">
        <v>43622</v>
      </c>
      <c r="M147" s="116">
        <v>170.35</v>
      </c>
      <c r="N147" s="116">
        <v>179.9</v>
      </c>
      <c r="O147" s="116">
        <v>166.8</v>
      </c>
      <c r="P147" s="116">
        <v>179.9</v>
      </c>
      <c r="Q147" s="116">
        <v>170.35</v>
      </c>
      <c r="R147">
        <v>1884457</v>
      </c>
    </row>
    <row r="148" spans="1:18" x14ac:dyDescent="0.25">
      <c r="A148" s="170">
        <v>43623</v>
      </c>
      <c r="B148" s="116">
        <v>173.8</v>
      </c>
      <c r="C148" s="116">
        <v>170.3</v>
      </c>
      <c r="D148" s="116">
        <v>168.3</v>
      </c>
      <c r="E148" s="116">
        <v>171.35</v>
      </c>
      <c r="F148" s="116">
        <v>170.3</v>
      </c>
      <c r="G148">
        <v>228140</v>
      </c>
      <c r="H148" s="116"/>
      <c r="I148" s="116"/>
      <c r="L148" s="170">
        <v>43623</v>
      </c>
      <c r="M148" s="116">
        <v>169.9</v>
      </c>
      <c r="N148" s="116">
        <v>174</v>
      </c>
      <c r="O148" s="116">
        <v>168.1</v>
      </c>
      <c r="P148" s="116">
        <v>171</v>
      </c>
      <c r="Q148" s="116">
        <v>169.9</v>
      </c>
      <c r="R148">
        <v>1044187</v>
      </c>
    </row>
    <row r="149" spans="1:18" x14ac:dyDescent="0.25">
      <c r="A149" s="170">
        <v>43626</v>
      </c>
      <c r="B149" s="116">
        <v>173.5</v>
      </c>
      <c r="C149" s="116">
        <v>170.55</v>
      </c>
      <c r="D149" s="116">
        <v>170.1</v>
      </c>
      <c r="E149" s="116">
        <v>171.1</v>
      </c>
      <c r="F149" s="116">
        <v>170.55</v>
      </c>
      <c r="G149">
        <v>87536</v>
      </c>
      <c r="H149" s="116"/>
      <c r="I149" s="116"/>
      <c r="L149" s="170">
        <v>43626</v>
      </c>
      <c r="M149" s="116">
        <v>170.65</v>
      </c>
      <c r="N149" s="116">
        <v>173.55</v>
      </c>
      <c r="O149" s="116">
        <v>169.5</v>
      </c>
      <c r="P149" s="116">
        <v>171.6</v>
      </c>
      <c r="Q149" s="116">
        <v>170.65</v>
      </c>
      <c r="R149">
        <v>585996</v>
      </c>
    </row>
    <row r="150" spans="1:18" x14ac:dyDescent="0.25">
      <c r="A150" s="170">
        <v>43627</v>
      </c>
      <c r="B150" s="116">
        <v>171.45</v>
      </c>
      <c r="C150" s="116">
        <v>166.8</v>
      </c>
      <c r="D150" s="116">
        <v>166.2</v>
      </c>
      <c r="E150" s="116">
        <v>171.45</v>
      </c>
      <c r="F150" s="116">
        <v>166.8</v>
      </c>
      <c r="G150">
        <v>75996</v>
      </c>
      <c r="H150" s="116"/>
      <c r="I150" s="116"/>
      <c r="L150" s="170">
        <v>43627</v>
      </c>
      <c r="M150" s="116">
        <v>166.3</v>
      </c>
      <c r="N150" s="116">
        <v>171.7</v>
      </c>
      <c r="O150" s="116">
        <v>165.7</v>
      </c>
      <c r="P150" s="116">
        <v>171.6</v>
      </c>
      <c r="Q150" s="116">
        <v>166.3</v>
      </c>
      <c r="R150">
        <v>461658</v>
      </c>
    </row>
    <row r="151" spans="1:18" x14ac:dyDescent="0.25">
      <c r="A151" s="170">
        <v>43628</v>
      </c>
      <c r="B151" s="116">
        <v>171.95</v>
      </c>
      <c r="C151" s="116">
        <v>169.25</v>
      </c>
      <c r="D151" s="116">
        <v>165</v>
      </c>
      <c r="E151" s="116">
        <v>167.3</v>
      </c>
      <c r="F151" s="116">
        <v>169.25</v>
      </c>
      <c r="G151">
        <v>182290</v>
      </c>
      <c r="H151" s="116"/>
      <c r="I151" s="116"/>
      <c r="L151" s="170">
        <v>43628</v>
      </c>
      <c r="M151" s="116">
        <v>169.6</v>
      </c>
      <c r="N151" s="116">
        <v>172.3</v>
      </c>
      <c r="O151" s="116">
        <v>164.65</v>
      </c>
      <c r="P151" s="116">
        <v>166.5</v>
      </c>
      <c r="Q151" s="116">
        <v>169.6</v>
      </c>
      <c r="R151">
        <v>1088194</v>
      </c>
    </row>
    <row r="152" spans="1:18" x14ac:dyDescent="0.25">
      <c r="A152" s="170">
        <v>43629</v>
      </c>
      <c r="B152" s="116">
        <v>171.7</v>
      </c>
      <c r="C152" s="116">
        <v>168.55</v>
      </c>
      <c r="D152" s="116">
        <v>166.65</v>
      </c>
      <c r="E152" s="116">
        <v>170.25</v>
      </c>
      <c r="F152" s="116">
        <v>168.55</v>
      </c>
      <c r="G152">
        <v>88699</v>
      </c>
      <c r="H152" s="116"/>
      <c r="I152" s="116"/>
      <c r="L152" s="170">
        <v>43629</v>
      </c>
      <c r="M152" s="116">
        <v>168.75</v>
      </c>
      <c r="N152" s="116">
        <v>171.95</v>
      </c>
      <c r="O152" s="116">
        <v>166.4</v>
      </c>
      <c r="P152" s="116">
        <v>169.95</v>
      </c>
      <c r="Q152" s="116">
        <v>168.75</v>
      </c>
      <c r="R152">
        <v>461180</v>
      </c>
    </row>
    <row r="153" spans="1:18" x14ac:dyDescent="0.25">
      <c r="A153" s="170">
        <v>43630</v>
      </c>
      <c r="B153" s="116">
        <v>180</v>
      </c>
      <c r="C153" s="116">
        <v>173.95</v>
      </c>
      <c r="D153" s="116">
        <v>172.85</v>
      </c>
      <c r="E153" s="116">
        <v>175</v>
      </c>
      <c r="F153" s="116">
        <v>173.95</v>
      </c>
      <c r="G153">
        <v>364179</v>
      </c>
      <c r="H153" s="116"/>
      <c r="I153" s="116"/>
      <c r="L153" s="170">
        <v>43630</v>
      </c>
      <c r="M153" s="116">
        <v>173.95</v>
      </c>
      <c r="N153" s="116">
        <v>180</v>
      </c>
      <c r="O153" s="116">
        <v>173.05</v>
      </c>
      <c r="P153" s="116">
        <v>175.5</v>
      </c>
      <c r="Q153" s="116">
        <v>173.95</v>
      </c>
      <c r="R153">
        <v>2435871</v>
      </c>
    </row>
    <row r="154" spans="1:18" x14ac:dyDescent="0.25">
      <c r="A154" s="170">
        <v>43633</v>
      </c>
      <c r="B154" s="116">
        <v>174</v>
      </c>
      <c r="C154" s="116">
        <v>167.45</v>
      </c>
      <c r="D154" s="116">
        <v>166.85</v>
      </c>
      <c r="E154" s="116">
        <v>173.95</v>
      </c>
      <c r="F154" s="116">
        <v>167.45</v>
      </c>
      <c r="G154">
        <v>89759</v>
      </c>
      <c r="H154" s="116"/>
      <c r="I154" s="116"/>
      <c r="L154" s="170">
        <v>43633</v>
      </c>
      <c r="M154" s="116">
        <v>167.35</v>
      </c>
      <c r="N154" s="116">
        <v>174.8</v>
      </c>
      <c r="O154" s="116">
        <v>166.7</v>
      </c>
      <c r="P154" s="116">
        <v>174</v>
      </c>
      <c r="Q154" s="116">
        <v>167.35</v>
      </c>
      <c r="R154">
        <v>498593</v>
      </c>
    </row>
    <row r="155" spans="1:18" x14ac:dyDescent="0.25">
      <c r="A155" s="170">
        <v>43634</v>
      </c>
      <c r="B155" s="116">
        <v>168.95</v>
      </c>
      <c r="C155" s="116">
        <v>165.15</v>
      </c>
      <c r="D155" s="116">
        <v>164.55</v>
      </c>
      <c r="E155" s="116">
        <v>168</v>
      </c>
      <c r="F155" s="116">
        <v>165.15</v>
      </c>
      <c r="G155">
        <v>82144</v>
      </c>
      <c r="H155" s="116"/>
      <c r="I155" s="116"/>
      <c r="L155" s="170">
        <v>43634</v>
      </c>
      <c r="M155" s="116">
        <v>165.4</v>
      </c>
      <c r="N155" s="116">
        <v>169</v>
      </c>
      <c r="O155" s="116">
        <v>164.6</v>
      </c>
      <c r="P155" s="116">
        <v>167.35</v>
      </c>
      <c r="Q155" s="116">
        <v>165.4</v>
      </c>
      <c r="R155">
        <v>405246</v>
      </c>
    </row>
    <row r="156" spans="1:18" x14ac:dyDescent="0.25">
      <c r="A156" s="170">
        <v>43635</v>
      </c>
      <c r="B156" s="116">
        <v>167.75</v>
      </c>
      <c r="C156" s="116">
        <v>161.44999999999999</v>
      </c>
      <c r="D156" s="116">
        <v>157.5</v>
      </c>
      <c r="E156" s="116">
        <v>166</v>
      </c>
      <c r="F156" s="116">
        <v>161.44999999999999</v>
      </c>
      <c r="G156">
        <v>128461</v>
      </c>
      <c r="H156" s="116"/>
      <c r="I156" s="116"/>
      <c r="L156" s="170">
        <v>43635</v>
      </c>
      <c r="M156" s="116">
        <v>161.5</v>
      </c>
      <c r="N156" s="116">
        <v>168.35</v>
      </c>
      <c r="O156" s="116">
        <v>157.5</v>
      </c>
      <c r="P156" s="116">
        <v>166.1</v>
      </c>
      <c r="Q156" s="116">
        <v>161.5</v>
      </c>
      <c r="R156">
        <v>699957</v>
      </c>
    </row>
    <row r="157" spans="1:18" x14ac:dyDescent="0.25">
      <c r="A157" s="170">
        <v>43636</v>
      </c>
      <c r="B157" s="116">
        <v>160.05000000000001</v>
      </c>
      <c r="C157" s="116">
        <v>158.15</v>
      </c>
      <c r="D157" s="116">
        <v>155.55000000000001</v>
      </c>
      <c r="E157" s="116">
        <v>160.05000000000001</v>
      </c>
      <c r="F157" s="116">
        <v>158.15</v>
      </c>
      <c r="G157">
        <v>93565</v>
      </c>
      <c r="H157" s="116"/>
      <c r="I157" s="116"/>
      <c r="L157" s="170">
        <v>43636</v>
      </c>
      <c r="M157" s="116">
        <v>158.35</v>
      </c>
      <c r="N157" s="116">
        <v>160.5</v>
      </c>
      <c r="O157" s="116">
        <v>155.4</v>
      </c>
      <c r="P157" s="116">
        <v>157.6</v>
      </c>
      <c r="Q157" s="116">
        <v>158.35</v>
      </c>
      <c r="R157">
        <v>676637</v>
      </c>
    </row>
    <row r="158" spans="1:18" x14ac:dyDescent="0.25">
      <c r="A158" s="170">
        <v>43637</v>
      </c>
      <c r="B158" s="116">
        <v>163.05000000000001</v>
      </c>
      <c r="C158" s="116">
        <v>159.5</v>
      </c>
      <c r="D158" s="116">
        <v>153</v>
      </c>
      <c r="E158" s="116">
        <v>157.9</v>
      </c>
      <c r="F158" s="116">
        <v>159.5</v>
      </c>
      <c r="G158">
        <v>129698</v>
      </c>
      <c r="H158" s="116"/>
      <c r="I158" s="116"/>
      <c r="L158" s="170">
        <v>43637</v>
      </c>
      <c r="M158" s="116">
        <v>159.44999999999999</v>
      </c>
      <c r="N158" s="116">
        <v>162.85</v>
      </c>
      <c r="O158" s="116">
        <v>156.5</v>
      </c>
      <c r="P158" s="116">
        <v>158.35</v>
      </c>
      <c r="Q158" s="116">
        <v>159.44999999999999</v>
      </c>
      <c r="R158">
        <v>683080</v>
      </c>
    </row>
    <row r="159" spans="1:18" x14ac:dyDescent="0.25">
      <c r="A159" s="170">
        <v>43640</v>
      </c>
      <c r="B159" s="116">
        <v>162.44999999999999</v>
      </c>
      <c r="C159" s="116">
        <v>158.69999999999999</v>
      </c>
      <c r="D159" s="116">
        <v>157.9</v>
      </c>
      <c r="E159" s="116">
        <v>160.69999999999999</v>
      </c>
      <c r="F159" s="116">
        <v>158.69999999999999</v>
      </c>
      <c r="G159">
        <v>56299</v>
      </c>
      <c r="H159" s="116"/>
      <c r="I159" s="116"/>
      <c r="L159" s="170">
        <v>43640</v>
      </c>
      <c r="M159" s="116">
        <v>158.69999999999999</v>
      </c>
      <c r="N159" s="116">
        <v>162.5</v>
      </c>
      <c r="O159" s="116">
        <v>157.55000000000001</v>
      </c>
      <c r="P159" s="116">
        <v>160.6</v>
      </c>
      <c r="Q159" s="116">
        <v>158.69999999999999</v>
      </c>
      <c r="R159">
        <v>275114</v>
      </c>
    </row>
    <row r="160" spans="1:18" x14ac:dyDescent="0.25">
      <c r="A160" s="170">
        <v>43641</v>
      </c>
      <c r="B160" s="116">
        <v>166.2</v>
      </c>
      <c r="C160" s="116">
        <v>162.25</v>
      </c>
      <c r="D160" s="116">
        <v>156</v>
      </c>
      <c r="E160" s="116">
        <v>157.9</v>
      </c>
      <c r="F160" s="116">
        <v>162.25</v>
      </c>
      <c r="G160">
        <v>182034</v>
      </c>
      <c r="H160" s="116"/>
      <c r="I160" s="116"/>
      <c r="L160" s="170">
        <v>43641</v>
      </c>
      <c r="M160" s="116">
        <v>162.19999999999999</v>
      </c>
      <c r="N160" s="116">
        <v>166.25</v>
      </c>
      <c r="O160" s="116">
        <v>155.9</v>
      </c>
      <c r="P160" s="116">
        <v>159.35</v>
      </c>
      <c r="Q160" s="116">
        <v>162.19999999999999</v>
      </c>
      <c r="R160">
        <v>826013</v>
      </c>
    </row>
    <row r="161" spans="1:18" x14ac:dyDescent="0.25">
      <c r="A161" s="170">
        <v>43642</v>
      </c>
      <c r="B161" s="116">
        <v>164.8</v>
      </c>
      <c r="C161" s="116">
        <v>162.19999999999999</v>
      </c>
      <c r="D161" s="116">
        <v>160.30000000000001</v>
      </c>
      <c r="E161" s="116">
        <v>161.94999999999999</v>
      </c>
      <c r="F161" s="116">
        <v>162.19999999999999</v>
      </c>
      <c r="G161">
        <v>110121</v>
      </c>
      <c r="H161" s="116"/>
      <c r="I161" s="116"/>
      <c r="L161" s="170">
        <v>43642</v>
      </c>
      <c r="M161" s="116">
        <v>162.25</v>
      </c>
      <c r="N161" s="116">
        <v>165</v>
      </c>
      <c r="O161" s="116">
        <v>160.1</v>
      </c>
      <c r="P161" s="116">
        <v>160.80000000000001</v>
      </c>
      <c r="Q161" s="116">
        <v>162.25</v>
      </c>
      <c r="R161">
        <v>554210</v>
      </c>
    </row>
    <row r="162" spans="1:18" x14ac:dyDescent="0.25">
      <c r="A162" s="170">
        <v>43643</v>
      </c>
      <c r="B162" s="116">
        <v>170.6</v>
      </c>
      <c r="C162" s="116">
        <v>167.5</v>
      </c>
      <c r="D162" s="116">
        <v>163.1</v>
      </c>
      <c r="E162" s="116">
        <v>163.69999999999999</v>
      </c>
      <c r="F162" s="116">
        <v>167.5</v>
      </c>
      <c r="G162">
        <v>160938</v>
      </c>
      <c r="H162" s="116"/>
      <c r="I162" s="116"/>
      <c r="L162" s="170">
        <v>43643</v>
      </c>
      <c r="M162" s="116">
        <v>167.45</v>
      </c>
      <c r="N162" s="116">
        <v>170.9</v>
      </c>
      <c r="O162" s="116">
        <v>162.55000000000001</v>
      </c>
      <c r="P162" s="116">
        <v>162.55000000000001</v>
      </c>
      <c r="Q162" s="116">
        <v>167.45</v>
      </c>
      <c r="R162">
        <v>983387</v>
      </c>
    </row>
    <row r="163" spans="1:18" x14ac:dyDescent="0.25">
      <c r="A163" s="170">
        <v>43644</v>
      </c>
      <c r="B163" s="116">
        <v>171.05</v>
      </c>
      <c r="C163" s="116">
        <v>169.95</v>
      </c>
      <c r="D163" s="116">
        <v>168.05</v>
      </c>
      <c r="E163" s="116">
        <v>170</v>
      </c>
      <c r="F163" s="116">
        <v>169.95</v>
      </c>
      <c r="G163">
        <v>96236</v>
      </c>
      <c r="H163" s="116"/>
      <c r="I163" s="116"/>
      <c r="L163" s="170">
        <v>43644</v>
      </c>
      <c r="M163" s="116">
        <v>170.1</v>
      </c>
      <c r="N163" s="116">
        <v>171.25</v>
      </c>
      <c r="O163" s="116">
        <v>168</v>
      </c>
      <c r="P163" s="116">
        <v>169.3</v>
      </c>
      <c r="Q163" s="116">
        <v>170.1</v>
      </c>
      <c r="R163">
        <v>868765</v>
      </c>
    </row>
    <row r="164" spans="1:18" x14ac:dyDescent="0.25">
      <c r="A164" s="170">
        <v>43647</v>
      </c>
      <c r="B164" s="116">
        <v>174.6</v>
      </c>
      <c r="C164" s="116">
        <v>171.95</v>
      </c>
      <c r="D164" s="116">
        <v>168.6</v>
      </c>
      <c r="E164" s="116">
        <v>170</v>
      </c>
      <c r="F164" s="116">
        <v>171.95</v>
      </c>
      <c r="G164">
        <v>100051</v>
      </c>
      <c r="H164" s="116"/>
      <c r="I164" s="116"/>
      <c r="L164" s="170">
        <v>43647</v>
      </c>
      <c r="M164" s="116">
        <v>172</v>
      </c>
      <c r="N164" s="116">
        <v>174.65</v>
      </c>
      <c r="O164" s="116">
        <v>168.5</v>
      </c>
      <c r="P164" s="116">
        <v>169.8</v>
      </c>
      <c r="Q164" s="116">
        <v>172</v>
      </c>
      <c r="R164">
        <v>743786</v>
      </c>
    </row>
    <row r="165" spans="1:18" x14ac:dyDescent="0.25">
      <c r="A165" s="170">
        <v>43648</v>
      </c>
      <c r="B165" s="116">
        <v>180.5</v>
      </c>
      <c r="C165" s="116">
        <v>175.3</v>
      </c>
      <c r="D165" s="116">
        <v>172.05</v>
      </c>
      <c r="E165" s="116">
        <v>173.3</v>
      </c>
      <c r="F165" s="116">
        <v>175.3</v>
      </c>
      <c r="G165">
        <v>202104</v>
      </c>
      <c r="H165" s="116"/>
      <c r="I165" s="116"/>
      <c r="L165" s="170">
        <v>43648</v>
      </c>
      <c r="M165" s="116">
        <v>175.55</v>
      </c>
      <c r="N165" s="116">
        <v>180.7</v>
      </c>
      <c r="O165" s="116">
        <v>171.75</v>
      </c>
      <c r="P165" s="116">
        <v>172.9</v>
      </c>
      <c r="Q165" s="116">
        <v>175.55</v>
      </c>
      <c r="R165">
        <v>1576370</v>
      </c>
    </row>
    <row r="166" spans="1:18" x14ac:dyDescent="0.25">
      <c r="A166" s="170">
        <v>43649</v>
      </c>
      <c r="B166" s="116">
        <v>178.3</v>
      </c>
      <c r="C166" s="116">
        <v>174.25</v>
      </c>
      <c r="D166" s="116">
        <v>173.25</v>
      </c>
      <c r="E166" s="116">
        <v>175.3</v>
      </c>
      <c r="F166" s="116">
        <v>174.25</v>
      </c>
      <c r="G166">
        <v>90841</v>
      </c>
      <c r="H166" s="116"/>
      <c r="I166" s="116"/>
      <c r="L166" s="170">
        <v>43649</v>
      </c>
      <c r="M166" s="116">
        <v>174.25</v>
      </c>
      <c r="N166" s="116">
        <v>178.65</v>
      </c>
      <c r="O166" s="116">
        <v>173.25</v>
      </c>
      <c r="P166" s="116">
        <v>174.7</v>
      </c>
      <c r="Q166" s="116">
        <v>174.25</v>
      </c>
      <c r="R166">
        <v>631985</v>
      </c>
    </row>
    <row r="167" spans="1:18" x14ac:dyDescent="0.25">
      <c r="A167" s="170">
        <v>43650</v>
      </c>
      <c r="B167" s="116">
        <v>177.7</v>
      </c>
      <c r="C167" s="116">
        <v>174.15</v>
      </c>
      <c r="D167" s="116">
        <v>173.55</v>
      </c>
      <c r="E167" s="116">
        <v>174.5</v>
      </c>
      <c r="F167" s="116">
        <v>174.15</v>
      </c>
      <c r="G167">
        <v>77151</v>
      </c>
      <c r="H167" s="116"/>
      <c r="I167" s="116"/>
      <c r="L167" s="170">
        <v>43650</v>
      </c>
      <c r="M167" s="116">
        <v>174.1</v>
      </c>
      <c r="N167" s="116">
        <v>177.5</v>
      </c>
      <c r="O167" s="116">
        <v>173.55</v>
      </c>
      <c r="P167" s="116">
        <v>175</v>
      </c>
      <c r="Q167" s="116">
        <v>174.1</v>
      </c>
      <c r="R167">
        <v>473313</v>
      </c>
    </row>
    <row r="168" spans="1:18" x14ac:dyDescent="0.25">
      <c r="A168" s="170">
        <v>43651</v>
      </c>
      <c r="B168" s="116">
        <v>175.25</v>
      </c>
      <c r="C168" s="116">
        <v>167.45</v>
      </c>
      <c r="D168" s="116">
        <v>166.55</v>
      </c>
      <c r="E168" s="116">
        <v>174.2</v>
      </c>
      <c r="F168" s="116">
        <v>167.45</v>
      </c>
      <c r="G168">
        <v>79052</v>
      </c>
      <c r="H168" s="116"/>
      <c r="I168" s="116"/>
      <c r="L168" s="170">
        <v>43651</v>
      </c>
      <c r="M168" s="116">
        <v>167.35</v>
      </c>
      <c r="N168" s="116">
        <v>175.4</v>
      </c>
      <c r="O168" s="116">
        <v>166.2</v>
      </c>
      <c r="P168" s="116">
        <v>174.9</v>
      </c>
      <c r="Q168" s="116">
        <v>167.35</v>
      </c>
      <c r="R168">
        <v>469789</v>
      </c>
    </row>
    <row r="169" spans="1:18" x14ac:dyDescent="0.25">
      <c r="A169" s="170">
        <v>43654</v>
      </c>
      <c r="B169" s="116">
        <v>166.8</v>
      </c>
      <c r="C169" s="116">
        <v>163.30000000000001</v>
      </c>
      <c r="D169" s="116">
        <v>162.55000000000001</v>
      </c>
      <c r="E169" s="116">
        <v>166.8</v>
      </c>
      <c r="F169" s="116">
        <v>163.30000000000001</v>
      </c>
      <c r="G169">
        <v>38556</v>
      </c>
      <c r="H169" s="116"/>
      <c r="I169" s="116"/>
      <c r="L169" s="170">
        <v>43654</v>
      </c>
      <c r="M169" s="116">
        <v>163.44999999999999</v>
      </c>
      <c r="N169" s="116">
        <v>166.2</v>
      </c>
      <c r="O169" s="116">
        <v>163.1</v>
      </c>
      <c r="P169" s="116">
        <v>166</v>
      </c>
      <c r="Q169" s="116">
        <v>163.44999999999999</v>
      </c>
      <c r="R169">
        <v>327217</v>
      </c>
    </row>
    <row r="170" spans="1:18" x14ac:dyDescent="0.25">
      <c r="A170" s="170">
        <v>43655</v>
      </c>
      <c r="B170" s="116">
        <v>167.2</v>
      </c>
      <c r="C170" s="116">
        <v>164.3</v>
      </c>
      <c r="D170" s="116">
        <v>158</v>
      </c>
      <c r="E170" s="116">
        <v>164</v>
      </c>
      <c r="F170" s="116">
        <v>164.3</v>
      </c>
      <c r="G170">
        <v>99901</v>
      </c>
      <c r="H170" s="116"/>
      <c r="I170" s="116"/>
      <c r="L170" s="170">
        <v>43655</v>
      </c>
      <c r="M170" s="116">
        <v>164.4</v>
      </c>
      <c r="N170" s="116">
        <v>167.4</v>
      </c>
      <c r="O170" s="116">
        <v>158.6</v>
      </c>
      <c r="P170" s="116">
        <v>163.35</v>
      </c>
      <c r="Q170" s="116">
        <v>164.4</v>
      </c>
      <c r="R170">
        <v>863251</v>
      </c>
    </row>
    <row r="171" spans="1:18" x14ac:dyDescent="0.25">
      <c r="A171" s="170">
        <v>43656</v>
      </c>
      <c r="B171" s="116">
        <v>166.85</v>
      </c>
      <c r="C171" s="116">
        <v>163.30000000000001</v>
      </c>
      <c r="D171" s="116">
        <v>162.94999999999999</v>
      </c>
      <c r="E171" s="116">
        <v>165.1</v>
      </c>
      <c r="F171" s="116">
        <v>163.30000000000001</v>
      </c>
      <c r="G171">
        <v>41280</v>
      </c>
      <c r="H171" s="116"/>
      <c r="I171" s="116"/>
      <c r="L171" s="170">
        <v>43656</v>
      </c>
      <c r="M171" s="116">
        <v>163.25</v>
      </c>
      <c r="N171" s="116">
        <v>166.7</v>
      </c>
      <c r="O171" s="116">
        <v>163.1</v>
      </c>
      <c r="P171" s="116">
        <v>165.15</v>
      </c>
      <c r="Q171" s="116">
        <v>163.25</v>
      </c>
      <c r="R171">
        <v>383523</v>
      </c>
    </row>
    <row r="172" spans="1:18" x14ac:dyDescent="0.25">
      <c r="A172" s="170">
        <v>43657</v>
      </c>
      <c r="B172" s="116">
        <v>165.25</v>
      </c>
      <c r="C172" s="116">
        <v>163.9</v>
      </c>
      <c r="D172" s="116">
        <v>163</v>
      </c>
      <c r="E172" s="116">
        <v>164.55</v>
      </c>
      <c r="F172" s="116">
        <v>163.9</v>
      </c>
      <c r="G172">
        <v>32091</v>
      </c>
      <c r="H172" s="116"/>
      <c r="I172" s="116"/>
      <c r="L172" s="170">
        <v>43657</v>
      </c>
      <c r="M172" s="116">
        <v>163.9</v>
      </c>
      <c r="N172" s="116">
        <v>165.3</v>
      </c>
      <c r="O172" s="116">
        <v>163.1</v>
      </c>
      <c r="P172" s="116">
        <v>164.65</v>
      </c>
      <c r="Q172" s="116">
        <v>163.9</v>
      </c>
      <c r="R172">
        <v>165980</v>
      </c>
    </row>
    <row r="173" spans="1:18" x14ac:dyDescent="0.25">
      <c r="A173" s="170">
        <v>43658</v>
      </c>
      <c r="B173" s="116">
        <v>166.5</v>
      </c>
      <c r="C173" s="116">
        <v>163.1</v>
      </c>
      <c r="D173" s="116">
        <v>163</v>
      </c>
      <c r="E173" s="116">
        <v>164.7</v>
      </c>
      <c r="F173" s="116">
        <v>163.1</v>
      </c>
      <c r="G173">
        <v>55629</v>
      </c>
      <c r="H173" s="116"/>
      <c r="I173" s="116"/>
      <c r="L173" s="170">
        <v>43658</v>
      </c>
      <c r="M173" s="116">
        <v>163.19999999999999</v>
      </c>
      <c r="N173" s="116">
        <v>166.3</v>
      </c>
      <c r="O173" s="116">
        <v>163.1</v>
      </c>
      <c r="P173" s="116">
        <v>164.05</v>
      </c>
      <c r="Q173" s="116">
        <v>163.19999999999999</v>
      </c>
      <c r="R173">
        <v>277761</v>
      </c>
    </row>
    <row r="174" spans="1:18" x14ac:dyDescent="0.25">
      <c r="A174" s="170">
        <v>43661</v>
      </c>
      <c r="B174" s="116">
        <v>165.15</v>
      </c>
      <c r="C174" s="116">
        <v>163.1</v>
      </c>
      <c r="D174" s="116">
        <v>160.75</v>
      </c>
      <c r="E174" s="116">
        <v>163.5</v>
      </c>
      <c r="F174" s="116">
        <v>163.1</v>
      </c>
      <c r="G174">
        <v>25761</v>
      </c>
      <c r="H174" s="116"/>
      <c r="I174" s="116"/>
      <c r="L174" s="170">
        <v>43661</v>
      </c>
      <c r="M174" s="116">
        <v>163.15</v>
      </c>
      <c r="N174" s="116">
        <v>164.85</v>
      </c>
      <c r="O174" s="116">
        <v>160.30000000000001</v>
      </c>
      <c r="P174" s="116">
        <v>163</v>
      </c>
      <c r="Q174" s="116">
        <v>163.15</v>
      </c>
      <c r="R174">
        <v>235989</v>
      </c>
    </row>
    <row r="175" spans="1:18" x14ac:dyDescent="0.25">
      <c r="A175" s="170">
        <v>43662</v>
      </c>
      <c r="B175" s="116">
        <v>177.6</v>
      </c>
      <c r="C175" s="116">
        <v>172.2</v>
      </c>
      <c r="D175" s="116">
        <v>161.69999999999999</v>
      </c>
      <c r="E175" s="116">
        <v>162.65</v>
      </c>
      <c r="F175" s="116">
        <v>172.2</v>
      </c>
      <c r="G175">
        <v>280564</v>
      </c>
      <c r="H175" s="116"/>
      <c r="I175" s="116"/>
      <c r="L175" s="170">
        <v>43662</v>
      </c>
      <c r="M175" s="116">
        <v>172.15</v>
      </c>
      <c r="N175" s="116">
        <v>177.75</v>
      </c>
      <c r="O175" s="116">
        <v>161.05000000000001</v>
      </c>
      <c r="P175" s="116">
        <v>163.9</v>
      </c>
      <c r="Q175" s="116">
        <v>172.15</v>
      </c>
      <c r="R175">
        <v>1773978</v>
      </c>
    </row>
    <row r="176" spans="1:18" x14ac:dyDescent="0.25">
      <c r="A176" s="170">
        <v>43663</v>
      </c>
      <c r="B176" s="116">
        <v>181</v>
      </c>
      <c r="C176" s="116">
        <v>175.4</v>
      </c>
      <c r="D176" s="116">
        <v>173.7</v>
      </c>
      <c r="E176" s="116">
        <v>174.7</v>
      </c>
      <c r="F176" s="116">
        <v>175.4</v>
      </c>
      <c r="G176">
        <v>255764</v>
      </c>
      <c r="H176" s="116"/>
      <c r="I176" s="116"/>
      <c r="L176" s="170">
        <v>43663</v>
      </c>
      <c r="M176" s="116">
        <v>175.5</v>
      </c>
      <c r="N176" s="116">
        <v>181</v>
      </c>
      <c r="O176" s="116">
        <v>173.75</v>
      </c>
      <c r="P176" s="116">
        <v>174</v>
      </c>
      <c r="Q176" s="116">
        <v>175.5</v>
      </c>
      <c r="R176">
        <v>2390851</v>
      </c>
    </row>
    <row r="177" spans="1:18" x14ac:dyDescent="0.25">
      <c r="A177" s="170">
        <v>43664</v>
      </c>
      <c r="B177" s="116">
        <v>175</v>
      </c>
      <c r="C177" s="116">
        <v>169.9</v>
      </c>
      <c r="D177" s="116">
        <v>168.75</v>
      </c>
      <c r="E177" s="116">
        <v>175</v>
      </c>
      <c r="F177" s="116">
        <v>169.9</v>
      </c>
      <c r="G177">
        <v>74168</v>
      </c>
      <c r="H177" s="116"/>
      <c r="I177" s="116"/>
      <c r="L177" s="170">
        <v>43664</v>
      </c>
      <c r="M177" s="116">
        <v>169.95</v>
      </c>
      <c r="N177" s="116">
        <v>174.85</v>
      </c>
      <c r="O177" s="116">
        <v>169</v>
      </c>
      <c r="P177" s="116">
        <v>174.85</v>
      </c>
      <c r="Q177" s="116">
        <v>169.95</v>
      </c>
      <c r="R177">
        <v>499924</v>
      </c>
    </row>
    <row r="178" spans="1:18" x14ac:dyDescent="0.25">
      <c r="A178" s="170">
        <v>43665</v>
      </c>
      <c r="B178" s="116">
        <v>172.05</v>
      </c>
      <c r="C178" s="116">
        <v>164.25</v>
      </c>
      <c r="D178" s="116">
        <v>163.6</v>
      </c>
      <c r="E178" s="116">
        <v>170.9</v>
      </c>
      <c r="F178" s="116">
        <v>164.25</v>
      </c>
      <c r="G178">
        <v>73782</v>
      </c>
      <c r="H178" s="116"/>
      <c r="I178" s="116"/>
      <c r="L178" s="170">
        <v>43665</v>
      </c>
      <c r="M178" s="116">
        <v>164.25</v>
      </c>
      <c r="N178" s="116">
        <v>171.9</v>
      </c>
      <c r="O178" s="116">
        <v>163.5</v>
      </c>
      <c r="P178" s="116">
        <v>170.1</v>
      </c>
      <c r="Q178" s="116">
        <v>164.25</v>
      </c>
      <c r="R178">
        <v>540401</v>
      </c>
    </row>
    <row r="179" spans="1:18" x14ac:dyDescent="0.25">
      <c r="A179" s="170">
        <v>43668</v>
      </c>
      <c r="B179" s="116">
        <v>167.35</v>
      </c>
      <c r="C179" s="116">
        <v>164.7</v>
      </c>
      <c r="D179" s="116">
        <v>159</v>
      </c>
      <c r="E179" s="116">
        <v>164</v>
      </c>
      <c r="F179" s="116">
        <v>164.7</v>
      </c>
      <c r="G179">
        <v>62841</v>
      </c>
      <c r="H179" s="116"/>
      <c r="I179" s="116"/>
      <c r="L179" s="170">
        <v>43668</v>
      </c>
      <c r="M179" s="116">
        <v>164.6</v>
      </c>
      <c r="N179" s="116">
        <v>167.6</v>
      </c>
      <c r="O179" s="116">
        <v>158.9</v>
      </c>
      <c r="P179" s="116">
        <v>162.4</v>
      </c>
      <c r="Q179" s="116">
        <v>164.6</v>
      </c>
      <c r="R179">
        <v>438196</v>
      </c>
    </row>
    <row r="180" spans="1:18" x14ac:dyDescent="0.25">
      <c r="A180" s="170">
        <v>43669</v>
      </c>
      <c r="B180" s="116">
        <v>167</v>
      </c>
      <c r="C180" s="116">
        <v>163.35</v>
      </c>
      <c r="D180" s="116">
        <v>162.19999999999999</v>
      </c>
      <c r="E180" s="116">
        <v>165.85</v>
      </c>
      <c r="F180" s="116">
        <v>163.35</v>
      </c>
      <c r="G180">
        <v>38505</v>
      </c>
      <c r="H180" s="116"/>
      <c r="I180" s="116"/>
      <c r="L180" s="170">
        <v>43669</v>
      </c>
      <c r="M180" s="116">
        <v>163.5</v>
      </c>
      <c r="N180" s="116">
        <v>166.9</v>
      </c>
      <c r="O180" s="116">
        <v>161.5</v>
      </c>
      <c r="P180" s="116">
        <v>165.75</v>
      </c>
      <c r="Q180" s="116">
        <v>163.5</v>
      </c>
      <c r="R180">
        <v>272935</v>
      </c>
    </row>
    <row r="181" spans="1:18" x14ac:dyDescent="0.25">
      <c r="A181" s="170">
        <v>43670</v>
      </c>
      <c r="B181" s="116">
        <v>164.65</v>
      </c>
      <c r="C181" s="116">
        <v>161.15</v>
      </c>
      <c r="D181" s="116">
        <v>159.30000000000001</v>
      </c>
      <c r="E181" s="116">
        <v>163.65</v>
      </c>
      <c r="F181" s="116">
        <v>161.15</v>
      </c>
      <c r="G181">
        <v>50167</v>
      </c>
      <c r="H181" s="116"/>
      <c r="I181" s="116"/>
      <c r="L181" s="170">
        <v>43670</v>
      </c>
      <c r="M181" s="116">
        <v>161.30000000000001</v>
      </c>
      <c r="N181" s="116">
        <v>164.75</v>
      </c>
      <c r="O181" s="116">
        <v>159.6</v>
      </c>
      <c r="P181" s="116">
        <v>163.6</v>
      </c>
      <c r="Q181" s="116">
        <v>161.30000000000001</v>
      </c>
      <c r="R181">
        <v>346275</v>
      </c>
    </row>
    <row r="182" spans="1:18" x14ac:dyDescent="0.25">
      <c r="A182" s="170">
        <v>43671</v>
      </c>
      <c r="B182" s="116">
        <v>164.4</v>
      </c>
      <c r="C182" s="116">
        <v>160.30000000000001</v>
      </c>
      <c r="D182" s="116">
        <v>158.5</v>
      </c>
      <c r="E182" s="116">
        <v>163.15</v>
      </c>
      <c r="F182" s="116">
        <v>160.30000000000001</v>
      </c>
      <c r="G182">
        <v>24523</v>
      </c>
      <c r="H182" s="116"/>
      <c r="I182" s="116"/>
      <c r="L182" s="170">
        <v>43671</v>
      </c>
      <c r="M182" s="116">
        <v>160.35</v>
      </c>
      <c r="N182" s="116">
        <v>164.5</v>
      </c>
      <c r="O182" s="116">
        <v>158.55000000000001</v>
      </c>
      <c r="P182" s="116">
        <v>162.75</v>
      </c>
      <c r="Q182" s="116">
        <v>160.35</v>
      </c>
      <c r="R182">
        <v>278894</v>
      </c>
    </row>
    <row r="183" spans="1:18" x14ac:dyDescent="0.25">
      <c r="A183" s="170">
        <v>43672</v>
      </c>
      <c r="B183" s="116">
        <v>162.94999999999999</v>
      </c>
      <c r="C183" s="116">
        <v>160.80000000000001</v>
      </c>
      <c r="D183" s="116">
        <v>159.05000000000001</v>
      </c>
      <c r="E183" s="116">
        <v>160.4</v>
      </c>
      <c r="F183" s="116">
        <v>160.80000000000001</v>
      </c>
      <c r="G183">
        <v>36150</v>
      </c>
      <c r="H183" s="116"/>
      <c r="I183" s="116"/>
      <c r="L183" s="170">
        <v>43672</v>
      </c>
      <c r="M183" s="116">
        <v>160.85</v>
      </c>
      <c r="N183" s="116">
        <v>162.9</v>
      </c>
      <c r="O183" s="116">
        <v>159.15</v>
      </c>
      <c r="P183" s="116">
        <v>161.9</v>
      </c>
      <c r="Q183" s="116">
        <v>160.85</v>
      </c>
      <c r="R183">
        <v>274778</v>
      </c>
    </row>
    <row r="184" spans="1:18" x14ac:dyDescent="0.25">
      <c r="A184" s="170">
        <v>43675</v>
      </c>
      <c r="B184" s="116">
        <v>161.15</v>
      </c>
      <c r="C184" s="116">
        <v>159.65</v>
      </c>
      <c r="D184" s="116">
        <v>158.30000000000001</v>
      </c>
      <c r="E184" s="116">
        <v>159.6</v>
      </c>
      <c r="F184" s="116">
        <v>159.65</v>
      </c>
      <c r="G184">
        <v>27640</v>
      </c>
      <c r="H184" s="116"/>
      <c r="I184" s="116"/>
      <c r="L184" s="170">
        <v>43675</v>
      </c>
      <c r="M184" s="116">
        <v>159.69999999999999</v>
      </c>
      <c r="N184" s="116">
        <v>161.55000000000001</v>
      </c>
      <c r="O184" s="116">
        <v>158.19999999999999</v>
      </c>
      <c r="P184" s="116">
        <v>161.1</v>
      </c>
      <c r="Q184" s="116">
        <v>159.69999999999999</v>
      </c>
      <c r="R184">
        <v>267937</v>
      </c>
    </row>
    <row r="185" spans="1:18" x14ac:dyDescent="0.25">
      <c r="A185" s="170">
        <v>43676</v>
      </c>
      <c r="B185" s="116">
        <v>161.5</v>
      </c>
      <c r="C185" s="116">
        <v>157.85</v>
      </c>
      <c r="D185" s="116">
        <v>154.4</v>
      </c>
      <c r="E185" s="116">
        <v>161.44999999999999</v>
      </c>
      <c r="F185" s="116">
        <v>157.85</v>
      </c>
      <c r="G185">
        <v>47409</v>
      </c>
      <c r="H185" s="116"/>
      <c r="I185" s="116"/>
      <c r="L185" s="170">
        <v>43676</v>
      </c>
      <c r="M185" s="116">
        <v>157.55000000000001</v>
      </c>
      <c r="N185" s="116">
        <v>161.44999999999999</v>
      </c>
      <c r="O185" s="116">
        <v>154.4</v>
      </c>
      <c r="P185" s="116">
        <v>160.69999999999999</v>
      </c>
      <c r="Q185" s="116">
        <v>157.55000000000001</v>
      </c>
      <c r="R185">
        <v>320824</v>
      </c>
    </row>
    <row r="186" spans="1:18" x14ac:dyDescent="0.25">
      <c r="A186" s="170">
        <v>43677</v>
      </c>
      <c r="B186" s="116">
        <v>161.6</v>
      </c>
      <c r="C186" s="116">
        <v>153.44999999999999</v>
      </c>
      <c r="D186" s="116">
        <v>148.75</v>
      </c>
      <c r="E186" s="116">
        <v>160.35</v>
      </c>
      <c r="F186" s="116">
        <v>153.44999999999999</v>
      </c>
      <c r="G186">
        <v>73858</v>
      </c>
      <c r="H186" s="116"/>
      <c r="I186" s="116"/>
      <c r="L186" s="170">
        <v>43677</v>
      </c>
      <c r="M186" s="116">
        <v>153.05000000000001</v>
      </c>
      <c r="N186" s="116">
        <v>161.6</v>
      </c>
      <c r="O186" s="116">
        <v>148.55000000000001</v>
      </c>
      <c r="P186" s="116">
        <v>158.1</v>
      </c>
      <c r="Q186" s="116">
        <v>153.05000000000001</v>
      </c>
      <c r="R186">
        <v>569728</v>
      </c>
    </row>
    <row r="187" spans="1:18" x14ac:dyDescent="0.25">
      <c r="A187" s="170">
        <v>43678</v>
      </c>
      <c r="B187" s="116">
        <v>155.30000000000001</v>
      </c>
      <c r="C187" s="116">
        <v>153.15</v>
      </c>
      <c r="D187" s="116">
        <v>149.05000000000001</v>
      </c>
      <c r="E187" s="116">
        <v>149.55000000000001</v>
      </c>
      <c r="F187" s="116">
        <v>153.15</v>
      </c>
      <c r="G187">
        <v>42377</v>
      </c>
      <c r="H187" s="116"/>
      <c r="I187" s="116"/>
      <c r="L187" s="170">
        <v>43678</v>
      </c>
      <c r="M187" s="116">
        <v>152.75</v>
      </c>
      <c r="N187" s="116">
        <v>155.80000000000001</v>
      </c>
      <c r="O187" s="116">
        <v>149.65</v>
      </c>
      <c r="P187" s="116">
        <v>149.65</v>
      </c>
      <c r="Q187" s="116">
        <v>152.75</v>
      </c>
      <c r="R187">
        <v>610162</v>
      </c>
    </row>
    <row r="188" spans="1:18" x14ac:dyDescent="0.25">
      <c r="A188" s="170">
        <v>43679</v>
      </c>
      <c r="B188" s="116">
        <v>157.85</v>
      </c>
      <c r="C188" s="116">
        <v>154</v>
      </c>
      <c r="D188" s="116">
        <v>150</v>
      </c>
      <c r="E188" s="116">
        <v>152.94999999999999</v>
      </c>
      <c r="F188" s="116">
        <v>154</v>
      </c>
      <c r="G188">
        <v>65218</v>
      </c>
      <c r="H188" s="116"/>
      <c r="I188" s="116"/>
      <c r="L188" s="170">
        <v>43679</v>
      </c>
      <c r="M188" s="116">
        <v>153.9</v>
      </c>
      <c r="N188" s="116">
        <v>157.75</v>
      </c>
      <c r="O188" s="116">
        <v>150</v>
      </c>
      <c r="P188" s="116">
        <v>151.1</v>
      </c>
      <c r="Q188" s="116">
        <v>153.9</v>
      </c>
      <c r="R188">
        <v>527332</v>
      </c>
    </row>
    <row r="189" spans="1:18" x14ac:dyDescent="0.25">
      <c r="A189" s="170">
        <v>43682</v>
      </c>
      <c r="B189" s="116">
        <v>153.5</v>
      </c>
      <c r="C189" s="116">
        <v>149.5</v>
      </c>
      <c r="D189" s="116">
        <v>148</v>
      </c>
      <c r="E189" s="116">
        <v>153.5</v>
      </c>
      <c r="F189" s="116">
        <v>149.5</v>
      </c>
      <c r="G189">
        <v>50655</v>
      </c>
      <c r="H189" s="116"/>
      <c r="I189" s="116"/>
      <c r="L189" s="170">
        <v>43682</v>
      </c>
      <c r="M189" s="116">
        <v>149.6</v>
      </c>
      <c r="N189" s="116">
        <v>151.94999999999999</v>
      </c>
      <c r="O189" s="116">
        <v>147</v>
      </c>
      <c r="P189" s="116">
        <v>151.05000000000001</v>
      </c>
      <c r="Q189" s="116">
        <v>149.6</v>
      </c>
      <c r="R189">
        <v>489051</v>
      </c>
    </row>
    <row r="190" spans="1:18" x14ac:dyDescent="0.25">
      <c r="A190" s="170">
        <v>43683</v>
      </c>
      <c r="B190" s="116">
        <v>156</v>
      </c>
      <c r="C190" s="116">
        <v>154.6</v>
      </c>
      <c r="D190" s="116">
        <v>149</v>
      </c>
      <c r="E190" s="116">
        <v>150</v>
      </c>
      <c r="F190" s="116">
        <v>154.6</v>
      </c>
      <c r="G190">
        <v>39550</v>
      </c>
      <c r="H190" s="116"/>
      <c r="I190" s="116"/>
      <c r="L190" s="170">
        <v>43683</v>
      </c>
      <c r="M190" s="116">
        <v>154.55000000000001</v>
      </c>
      <c r="N190" s="116">
        <v>155.75</v>
      </c>
      <c r="O190" s="116">
        <v>149.30000000000001</v>
      </c>
      <c r="P190" s="116">
        <v>149.94999999999999</v>
      </c>
      <c r="Q190" s="116">
        <v>154.55000000000001</v>
      </c>
      <c r="R190">
        <v>415635</v>
      </c>
    </row>
    <row r="191" spans="1:18" x14ac:dyDescent="0.25">
      <c r="A191" s="170">
        <v>43684</v>
      </c>
      <c r="B191" s="116">
        <v>163.75</v>
      </c>
      <c r="C191" s="116">
        <v>156.85</v>
      </c>
      <c r="D191" s="116">
        <v>155.19999999999999</v>
      </c>
      <c r="E191" s="116">
        <v>155.75</v>
      </c>
      <c r="F191" s="116">
        <v>156.85</v>
      </c>
      <c r="G191">
        <v>75212</v>
      </c>
      <c r="H191" s="116"/>
      <c r="I191" s="116"/>
      <c r="L191" s="170">
        <v>43684</v>
      </c>
      <c r="M191" s="116">
        <v>156.94999999999999</v>
      </c>
      <c r="N191" s="116">
        <v>163.95</v>
      </c>
      <c r="O191" s="116">
        <v>154.5</v>
      </c>
      <c r="P191" s="116">
        <v>155.05000000000001</v>
      </c>
      <c r="Q191" s="116">
        <v>156.94999999999999</v>
      </c>
      <c r="R191">
        <v>901026</v>
      </c>
    </row>
    <row r="192" spans="1:18" x14ac:dyDescent="0.25">
      <c r="A192" s="170">
        <v>43685</v>
      </c>
      <c r="B192" s="116">
        <v>166.95</v>
      </c>
      <c r="C192" s="116">
        <v>160.80000000000001</v>
      </c>
      <c r="D192" s="116">
        <v>158.85</v>
      </c>
      <c r="E192" s="116">
        <v>162.65</v>
      </c>
      <c r="F192" s="116">
        <v>160.80000000000001</v>
      </c>
      <c r="G192">
        <v>149245</v>
      </c>
      <c r="H192" s="116"/>
      <c r="I192" s="116"/>
      <c r="L192" s="170">
        <v>43685</v>
      </c>
      <c r="M192" s="116">
        <v>160.80000000000001</v>
      </c>
      <c r="N192" s="116">
        <v>166.9</v>
      </c>
      <c r="O192" s="116">
        <v>158.6</v>
      </c>
      <c r="P192" s="116">
        <v>162.94999999999999</v>
      </c>
      <c r="Q192" s="116">
        <v>160.80000000000001</v>
      </c>
      <c r="R192">
        <v>1353872</v>
      </c>
    </row>
    <row r="193" spans="1:18" x14ac:dyDescent="0.25">
      <c r="A193" s="170">
        <v>43686</v>
      </c>
      <c r="B193" s="116">
        <v>163.4</v>
      </c>
      <c r="C193" s="116">
        <v>157.69999999999999</v>
      </c>
      <c r="D193" s="116">
        <v>156.55000000000001</v>
      </c>
      <c r="E193" s="116">
        <v>163.4</v>
      </c>
      <c r="F193" s="116">
        <v>157.69999999999999</v>
      </c>
      <c r="G193">
        <v>47809</v>
      </c>
      <c r="H193" s="116"/>
      <c r="I193" s="116"/>
      <c r="L193" s="170">
        <v>43686</v>
      </c>
      <c r="M193" s="116">
        <v>157.65</v>
      </c>
      <c r="N193" s="116">
        <v>162.9</v>
      </c>
      <c r="O193" s="116">
        <v>156.44999999999999</v>
      </c>
      <c r="P193" s="116">
        <v>161.80000000000001</v>
      </c>
      <c r="Q193" s="116">
        <v>157.65</v>
      </c>
      <c r="R193">
        <v>496456</v>
      </c>
    </row>
    <row r="194" spans="1:18" x14ac:dyDescent="0.25">
      <c r="A194" s="170">
        <v>43690</v>
      </c>
      <c r="B194" s="116">
        <v>157.69999999999999</v>
      </c>
      <c r="C194" s="116">
        <v>152.44999999999999</v>
      </c>
      <c r="D194" s="116">
        <v>151.35</v>
      </c>
      <c r="E194" s="116">
        <v>156.30000000000001</v>
      </c>
      <c r="F194" s="116">
        <v>152.44999999999999</v>
      </c>
      <c r="G194">
        <v>30168</v>
      </c>
      <c r="H194" s="116"/>
      <c r="I194" s="116"/>
      <c r="L194" s="170">
        <v>43690</v>
      </c>
      <c r="M194" s="116">
        <v>152.69999999999999</v>
      </c>
      <c r="N194" s="116">
        <v>157.94999999999999</v>
      </c>
      <c r="O194" s="116">
        <v>151.5</v>
      </c>
      <c r="P194" s="116">
        <v>157.55000000000001</v>
      </c>
      <c r="Q194" s="116">
        <v>152.69999999999999</v>
      </c>
      <c r="R194">
        <v>352156</v>
      </c>
    </row>
    <row r="195" spans="1:18" x14ac:dyDescent="0.25">
      <c r="A195" s="170">
        <v>43691</v>
      </c>
      <c r="B195" s="116">
        <v>156.69999999999999</v>
      </c>
      <c r="C195" s="116">
        <v>153.5</v>
      </c>
      <c r="D195" s="116">
        <v>151.69999999999999</v>
      </c>
      <c r="E195" s="116">
        <v>154.4</v>
      </c>
      <c r="F195" s="116">
        <v>153.5</v>
      </c>
      <c r="G195">
        <v>35471</v>
      </c>
      <c r="H195" s="116"/>
      <c r="I195" s="116"/>
      <c r="L195" s="170">
        <v>43691</v>
      </c>
      <c r="M195" s="116">
        <v>153.44999999999999</v>
      </c>
      <c r="N195" s="116">
        <v>156.6</v>
      </c>
      <c r="O195" s="116">
        <v>151.55000000000001</v>
      </c>
      <c r="P195" s="116">
        <v>154.5</v>
      </c>
      <c r="Q195" s="116">
        <v>153.44999999999999</v>
      </c>
      <c r="R195">
        <v>310914</v>
      </c>
    </row>
    <row r="196" spans="1:18" x14ac:dyDescent="0.25">
      <c r="A196" s="170">
        <v>43693</v>
      </c>
      <c r="B196" s="116">
        <v>155</v>
      </c>
      <c r="C196" s="116">
        <v>153.19999999999999</v>
      </c>
      <c r="D196" s="116">
        <v>151.69999999999999</v>
      </c>
      <c r="E196" s="116">
        <v>153.5</v>
      </c>
      <c r="F196" s="116">
        <v>153.19999999999999</v>
      </c>
      <c r="G196">
        <v>25834</v>
      </c>
      <c r="H196" s="116"/>
      <c r="I196" s="116"/>
      <c r="L196" s="170">
        <v>43693</v>
      </c>
      <c r="M196" s="116">
        <v>153.15</v>
      </c>
      <c r="N196" s="116">
        <v>154.85</v>
      </c>
      <c r="O196" s="116">
        <v>151.44999999999999</v>
      </c>
      <c r="P196" s="116">
        <v>153.6</v>
      </c>
      <c r="Q196" s="116">
        <v>153.15</v>
      </c>
      <c r="R196">
        <v>275742</v>
      </c>
    </row>
    <row r="197" spans="1:18" x14ac:dyDescent="0.25">
      <c r="A197" s="170">
        <v>43696</v>
      </c>
      <c r="B197" s="116">
        <v>154.80000000000001</v>
      </c>
      <c r="C197" s="116">
        <v>152.6</v>
      </c>
      <c r="D197" s="116">
        <v>151.5</v>
      </c>
      <c r="E197" s="116">
        <v>154.80000000000001</v>
      </c>
      <c r="F197" s="116">
        <v>152.6</v>
      </c>
      <c r="G197">
        <v>25376</v>
      </c>
      <c r="H197" s="116"/>
      <c r="I197" s="116"/>
      <c r="L197" s="170">
        <v>43696</v>
      </c>
      <c r="M197" s="116">
        <v>152.80000000000001</v>
      </c>
      <c r="N197" s="116">
        <v>154.65</v>
      </c>
      <c r="O197" s="116">
        <v>151.5</v>
      </c>
      <c r="P197" s="116">
        <v>153.30000000000001</v>
      </c>
      <c r="Q197" s="116">
        <v>152.80000000000001</v>
      </c>
      <c r="R197">
        <v>234600</v>
      </c>
    </row>
    <row r="198" spans="1:18" x14ac:dyDescent="0.25">
      <c r="A198" s="170">
        <v>43697</v>
      </c>
      <c r="B198" s="116">
        <v>160</v>
      </c>
      <c r="C198" s="116">
        <v>155.1</v>
      </c>
      <c r="D198" s="116">
        <v>153</v>
      </c>
      <c r="E198" s="116">
        <v>153.5</v>
      </c>
      <c r="F198" s="116">
        <v>155.1</v>
      </c>
      <c r="G198">
        <v>79791</v>
      </c>
      <c r="H198" s="116"/>
      <c r="I198" s="116"/>
      <c r="L198" s="170">
        <v>43697</v>
      </c>
      <c r="M198" s="116">
        <v>155.15</v>
      </c>
      <c r="N198" s="116">
        <v>159.44999999999999</v>
      </c>
      <c r="O198" s="116">
        <v>152.65</v>
      </c>
      <c r="P198" s="116">
        <v>153.1</v>
      </c>
      <c r="Q198" s="116">
        <v>155.15</v>
      </c>
      <c r="R198">
        <v>490947</v>
      </c>
    </row>
    <row r="199" spans="1:18" x14ac:dyDescent="0.25">
      <c r="A199" s="170">
        <v>43698</v>
      </c>
      <c r="B199" s="116">
        <v>157.5</v>
      </c>
      <c r="C199" s="116">
        <v>152.05000000000001</v>
      </c>
      <c r="D199" s="116">
        <v>151</v>
      </c>
      <c r="E199" s="116">
        <v>154.9</v>
      </c>
      <c r="F199" s="116">
        <v>152.05000000000001</v>
      </c>
      <c r="G199">
        <v>47561</v>
      </c>
      <c r="H199" s="116"/>
      <c r="I199" s="116"/>
      <c r="L199" s="170">
        <v>43698</v>
      </c>
      <c r="M199" s="116">
        <v>152.1</v>
      </c>
      <c r="N199" s="116">
        <v>157.65</v>
      </c>
      <c r="O199" s="116">
        <v>150.5</v>
      </c>
      <c r="P199" s="116">
        <v>155</v>
      </c>
      <c r="Q199" s="116">
        <v>152.1</v>
      </c>
      <c r="R199">
        <v>384147</v>
      </c>
    </row>
    <row r="200" spans="1:18" x14ac:dyDescent="0.25">
      <c r="A200" s="170">
        <v>43699</v>
      </c>
      <c r="B200" s="116">
        <v>153.1</v>
      </c>
      <c r="C200" s="116">
        <v>146.15</v>
      </c>
      <c r="D200" s="116">
        <v>145.44999999999999</v>
      </c>
      <c r="E200" s="116">
        <v>153.1</v>
      </c>
      <c r="F200" s="116">
        <v>146.15</v>
      </c>
      <c r="G200">
        <v>37133</v>
      </c>
      <c r="H200" s="116"/>
      <c r="I200" s="116"/>
      <c r="L200" s="170">
        <v>43699</v>
      </c>
      <c r="M200" s="116">
        <v>146.30000000000001</v>
      </c>
      <c r="N200" s="116">
        <v>153</v>
      </c>
      <c r="O200" s="116">
        <v>145.35</v>
      </c>
      <c r="P200" s="116">
        <v>152.1</v>
      </c>
      <c r="Q200" s="116">
        <v>146.30000000000001</v>
      </c>
      <c r="R200">
        <v>289216</v>
      </c>
    </row>
    <row r="201" spans="1:18" x14ac:dyDescent="0.25">
      <c r="A201" s="170">
        <v>43700</v>
      </c>
      <c r="B201" s="116">
        <v>148.75</v>
      </c>
      <c r="C201" s="116">
        <v>146.5</v>
      </c>
      <c r="D201" s="116">
        <v>141</v>
      </c>
      <c r="E201" s="116">
        <v>145</v>
      </c>
      <c r="F201" s="116">
        <v>146.5</v>
      </c>
      <c r="G201">
        <v>44508</v>
      </c>
      <c r="H201" s="116"/>
      <c r="I201" s="116"/>
      <c r="L201" s="170">
        <v>43700</v>
      </c>
      <c r="M201" s="116">
        <v>146.6</v>
      </c>
      <c r="N201" s="116">
        <v>148.69999999999999</v>
      </c>
      <c r="O201" s="116">
        <v>141</v>
      </c>
      <c r="P201" s="116">
        <v>142.55000000000001</v>
      </c>
      <c r="Q201" s="116">
        <v>146.6</v>
      </c>
      <c r="R201">
        <v>353163</v>
      </c>
    </row>
    <row r="202" spans="1:18" x14ac:dyDescent="0.25">
      <c r="A202" s="170">
        <v>43703</v>
      </c>
      <c r="B202" s="116">
        <v>151.5</v>
      </c>
      <c r="C202" s="116">
        <v>147.9</v>
      </c>
      <c r="D202" s="116">
        <v>144.25</v>
      </c>
      <c r="E202" s="116">
        <v>150</v>
      </c>
      <c r="F202" s="116">
        <v>147.9</v>
      </c>
      <c r="G202">
        <v>36754</v>
      </c>
      <c r="H202" s="116"/>
      <c r="I202" s="116"/>
      <c r="L202" s="170">
        <v>43703</v>
      </c>
      <c r="M202" s="116">
        <v>148</v>
      </c>
      <c r="N202" s="116">
        <v>151.44999999999999</v>
      </c>
      <c r="O202" s="116">
        <v>143.69999999999999</v>
      </c>
      <c r="P202" s="116">
        <v>150</v>
      </c>
      <c r="Q202" s="116">
        <v>148</v>
      </c>
      <c r="R202">
        <v>320649</v>
      </c>
    </row>
    <row r="203" spans="1:18" x14ac:dyDescent="0.25">
      <c r="A203" s="170">
        <v>43704</v>
      </c>
      <c r="B203" s="116">
        <v>150.80000000000001</v>
      </c>
      <c r="C203" s="116">
        <v>148.19999999999999</v>
      </c>
      <c r="D203" s="116">
        <v>147</v>
      </c>
      <c r="E203" s="116">
        <v>149.5</v>
      </c>
      <c r="F203" s="116">
        <v>148.19999999999999</v>
      </c>
      <c r="G203">
        <v>41246</v>
      </c>
      <c r="H203" s="116"/>
      <c r="I203" s="116"/>
      <c r="L203" s="170">
        <v>43704</v>
      </c>
      <c r="M203" s="116">
        <v>148.19999999999999</v>
      </c>
      <c r="N203" s="116">
        <v>151</v>
      </c>
      <c r="O203" s="116">
        <v>147.19999999999999</v>
      </c>
      <c r="P203" s="116">
        <v>148.4</v>
      </c>
      <c r="Q203" s="116">
        <v>148.19999999999999</v>
      </c>
      <c r="R203">
        <v>552020</v>
      </c>
    </row>
    <row r="204" spans="1:18" x14ac:dyDescent="0.25">
      <c r="A204" s="170">
        <v>43705</v>
      </c>
      <c r="B204" s="116">
        <v>150</v>
      </c>
      <c r="C204" s="116">
        <v>146.80000000000001</v>
      </c>
      <c r="D204" s="116">
        <v>146.1</v>
      </c>
      <c r="E204" s="116">
        <v>149</v>
      </c>
      <c r="F204" s="116">
        <v>146.80000000000001</v>
      </c>
      <c r="G204">
        <v>42867</v>
      </c>
      <c r="H204" s="116"/>
      <c r="I204" s="116"/>
      <c r="L204" s="170">
        <v>43705</v>
      </c>
      <c r="M204" s="116">
        <v>147.1</v>
      </c>
      <c r="N204" s="116">
        <v>149.9</v>
      </c>
      <c r="O204" s="116">
        <v>146.05000000000001</v>
      </c>
      <c r="P204" s="116">
        <v>148.80000000000001</v>
      </c>
      <c r="Q204" s="116">
        <v>147.1</v>
      </c>
      <c r="R204">
        <v>232974</v>
      </c>
    </row>
    <row r="205" spans="1:18" x14ac:dyDescent="0.25">
      <c r="A205" s="170">
        <v>43706</v>
      </c>
      <c r="B205" s="116">
        <v>147.44999999999999</v>
      </c>
      <c r="C205" s="116">
        <v>143.75</v>
      </c>
      <c r="D205" s="116">
        <v>143.30000000000001</v>
      </c>
      <c r="E205" s="116">
        <v>146.44999999999999</v>
      </c>
      <c r="F205" s="116">
        <v>143.75</v>
      </c>
      <c r="G205">
        <v>28118</v>
      </c>
      <c r="H205" s="116"/>
      <c r="I205" s="116"/>
      <c r="L205" s="170">
        <v>43706</v>
      </c>
      <c r="M205" s="116">
        <v>143.85</v>
      </c>
      <c r="N205" s="116">
        <v>147.19999999999999</v>
      </c>
      <c r="O205" s="116">
        <v>143.25</v>
      </c>
      <c r="P205" s="116">
        <v>146.5</v>
      </c>
      <c r="Q205" s="116">
        <v>143.85</v>
      </c>
      <c r="R205">
        <v>158967</v>
      </c>
    </row>
    <row r="206" spans="1:18" x14ac:dyDescent="0.25">
      <c r="A206" s="170">
        <v>43707</v>
      </c>
      <c r="B206" s="116">
        <v>144.44999999999999</v>
      </c>
      <c r="C206" s="116">
        <v>140.4</v>
      </c>
      <c r="D206" s="116">
        <v>139</v>
      </c>
      <c r="E206" s="116">
        <v>144</v>
      </c>
      <c r="F206" s="116">
        <v>140.4</v>
      </c>
      <c r="G206">
        <v>52257</v>
      </c>
      <c r="H206" s="116"/>
      <c r="I206" s="116"/>
      <c r="L206" s="170">
        <v>43707</v>
      </c>
      <c r="M206" s="116">
        <v>140.44999999999999</v>
      </c>
      <c r="N206" s="116">
        <v>144.4</v>
      </c>
      <c r="O206" s="116">
        <v>139</v>
      </c>
      <c r="P206" s="116">
        <v>143.44999999999999</v>
      </c>
      <c r="Q206" s="116">
        <v>140.44999999999999</v>
      </c>
      <c r="R206">
        <v>606027</v>
      </c>
    </row>
    <row r="207" spans="1:18" x14ac:dyDescent="0.25">
      <c r="A207" s="170">
        <v>43711</v>
      </c>
      <c r="B207" s="116">
        <v>142.80000000000001</v>
      </c>
      <c r="C207" s="116">
        <v>139.19999999999999</v>
      </c>
      <c r="D207" s="116">
        <v>137.30000000000001</v>
      </c>
      <c r="E207" s="116">
        <v>140.94999999999999</v>
      </c>
      <c r="F207" s="116">
        <v>139.19999999999999</v>
      </c>
      <c r="G207">
        <v>38216</v>
      </c>
      <c r="H207" s="116"/>
      <c r="I207" s="116"/>
      <c r="L207" s="170">
        <v>43711</v>
      </c>
      <c r="M207" s="116">
        <v>139.19999999999999</v>
      </c>
      <c r="N207" s="116">
        <v>142.94999999999999</v>
      </c>
      <c r="O207" s="116">
        <v>137.1</v>
      </c>
      <c r="P207" s="116">
        <v>139.9</v>
      </c>
      <c r="Q207" s="116">
        <v>139.19999999999999</v>
      </c>
      <c r="R207">
        <v>339958</v>
      </c>
    </row>
    <row r="208" spans="1:18" x14ac:dyDescent="0.25">
      <c r="A208" s="170">
        <v>43712</v>
      </c>
      <c r="B208" s="116">
        <v>139.9</v>
      </c>
      <c r="C208" s="116">
        <v>135.9</v>
      </c>
      <c r="D208" s="116">
        <v>132.25</v>
      </c>
      <c r="E208" s="116">
        <v>139.55000000000001</v>
      </c>
      <c r="F208" s="116">
        <v>135.9</v>
      </c>
      <c r="G208">
        <v>35932</v>
      </c>
      <c r="H208" s="116"/>
      <c r="I208" s="116"/>
      <c r="L208" s="170">
        <v>43712</v>
      </c>
      <c r="M208" s="116">
        <v>135.94999999999999</v>
      </c>
      <c r="N208" s="116">
        <v>140.25</v>
      </c>
      <c r="O208" s="116">
        <v>135.5</v>
      </c>
      <c r="P208" s="116">
        <v>139</v>
      </c>
      <c r="Q208" s="116">
        <v>135.94999999999999</v>
      </c>
      <c r="R208">
        <v>294187</v>
      </c>
    </row>
    <row r="209" spans="1:18" x14ac:dyDescent="0.25">
      <c r="A209" s="170">
        <v>43713</v>
      </c>
      <c r="B209" s="116">
        <v>139</v>
      </c>
      <c r="C209" s="116">
        <v>137</v>
      </c>
      <c r="D209" s="116">
        <v>136</v>
      </c>
      <c r="E209" s="116">
        <v>137.19999999999999</v>
      </c>
      <c r="F209" s="116">
        <v>137</v>
      </c>
      <c r="G209">
        <v>32157</v>
      </c>
      <c r="H209" s="116"/>
      <c r="I209" s="116"/>
      <c r="L209" s="170">
        <v>43713</v>
      </c>
      <c r="M209" s="116">
        <v>137.15</v>
      </c>
      <c r="N209" s="116">
        <v>139.5</v>
      </c>
      <c r="O209" s="116">
        <v>136.15</v>
      </c>
      <c r="P209" s="116">
        <v>136.6</v>
      </c>
      <c r="Q209" s="116">
        <v>137.15</v>
      </c>
      <c r="R209">
        <v>351954</v>
      </c>
    </row>
    <row r="210" spans="1:18" x14ac:dyDescent="0.25">
      <c r="A210" s="170">
        <v>43714</v>
      </c>
      <c r="B210" s="116">
        <v>139.19999999999999</v>
      </c>
      <c r="C210" s="116">
        <v>137.30000000000001</v>
      </c>
      <c r="D210" s="116">
        <v>136</v>
      </c>
      <c r="E210" s="116">
        <v>138</v>
      </c>
      <c r="F210" s="116">
        <v>137.30000000000001</v>
      </c>
      <c r="G210">
        <v>39157</v>
      </c>
      <c r="H210" s="116"/>
      <c r="I210" s="116"/>
      <c r="L210" s="170">
        <v>43714</v>
      </c>
      <c r="M210" s="116">
        <v>137.44999999999999</v>
      </c>
      <c r="N210" s="116">
        <v>138.94999999999999</v>
      </c>
      <c r="O210" s="116">
        <v>135.80000000000001</v>
      </c>
      <c r="P210" s="116">
        <v>136.85</v>
      </c>
      <c r="Q210" s="116">
        <v>137.44999999999999</v>
      </c>
      <c r="R210">
        <v>325892</v>
      </c>
    </row>
    <row r="211" spans="1:18" x14ac:dyDescent="0.25">
      <c r="A211" s="170">
        <v>43717</v>
      </c>
      <c r="B211" s="116">
        <v>137.65</v>
      </c>
      <c r="C211" s="116">
        <v>134.69999999999999</v>
      </c>
      <c r="D211" s="116">
        <v>133.80000000000001</v>
      </c>
      <c r="E211" s="116">
        <v>137.05000000000001</v>
      </c>
      <c r="F211" s="116">
        <v>134.69999999999999</v>
      </c>
      <c r="G211">
        <v>56156</v>
      </c>
      <c r="H211" s="116"/>
      <c r="I211" s="116"/>
      <c r="L211" s="170">
        <v>43717</v>
      </c>
      <c r="M211" s="116">
        <v>134.80000000000001</v>
      </c>
      <c r="N211" s="116">
        <v>138</v>
      </c>
      <c r="O211" s="116">
        <v>133.6</v>
      </c>
      <c r="P211" s="116">
        <v>138</v>
      </c>
      <c r="Q211" s="116">
        <v>134.80000000000001</v>
      </c>
      <c r="R211">
        <v>639225</v>
      </c>
    </row>
    <row r="212" spans="1:18" x14ac:dyDescent="0.25">
      <c r="A212" s="170">
        <v>43719</v>
      </c>
      <c r="B212" s="116">
        <v>141.75</v>
      </c>
      <c r="C212" s="116">
        <v>137.5</v>
      </c>
      <c r="D212" s="116">
        <v>133.55000000000001</v>
      </c>
      <c r="E212" s="116">
        <v>134.1</v>
      </c>
      <c r="F212" s="116">
        <v>137.5</v>
      </c>
      <c r="G212">
        <v>66346</v>
      </c>
      <c r="H212" s="116"/>
      <c r="I212" s="116"/>
      <c r="L212" s="170">
        <v>43719</v>
      </c>
      <c r="M212" s="116">
        <v>137.5</v>
      </c>
      <c r="N212" s="116">
        <v>141.9</v>
      </c>
      <c r="O212" s="116">
        <v>133.30000000000001</v>
      </c>
      <c r="P212" s="116">
        <v>133.30000000000001</v>
      </c>
      <c r="Q212" s="116">
        <v>137.5</v>
      </c>
      <c r="R212">
        <v>853048</v>
      </c>
    </row>
    <row r="213" spans="1:18" x14ac:dyDescent="0.25">
      <c r="A213" s="170">
        <v>43720</v>
      </c>
      <c r="B213" s="116">
        <v>140</v>
      </c>
      <c r="C213" s="116">
        <v>137.94999999999999</v>
      </c>
      <c r="D213" s="116">
        <v>137.1</v>
      </c>
      <c r="E213" s="116">
        <v>138.55000000000001</v>
      </c>
      <c r="F213" s="116">
        <v>137.94999999999999</v>
      </c>
      <c r="G213">
        <v>31809</v>
      </c>
      <c r="H213" s="116"/>
      <c r="I213" s="116"/>
      <c r="L213" s="170">
        <v>43720</v>
      </c>
      <c r="M213" s="116">
        <v>138.05000000000001</v>
      </c>
      <c r="N213" s="116">
        <v>140.05000000000001</v>
      </c>
      <c r="O213" s="116">
        <v>137.05000000000001</v>
      </c>
      <c r="P213" s="116">
        <v>138.5</v>
      </c>
      <c r="Q213" s="116">
        <v>138.05000000000001</v>
      </c>
      <c r="R213">
        <v>297367</v>
      </c>
    </row>
    <row r="214" spans="1:18" x14ac:dyDescent="0.25">
      <c r="A214" s="170">
        <v>43721</v>
      </c>
      <c r="B214" s="116">
        <v>144.75</v>
      </c>
      <c r="C214" s="116">
        <v>143.25</v>
      </c>
      <c r="D214" s="116">
        <v>138.69999999999999</v>
      </c>
      <c r="E214" s="116">
        <v>141.5</v>
      </c>
      <c r="F214" s="116">
        <v>143.25</v>
      </c>
      <c r="G214">
        <v>138818</v>
      </c>
      <c r="H214" s="116"/>
      <c r="I214" s="116"/>
      <c r="L214" s="170">
        <v>43721</v>
      </c>
      <c r="M214" s="116">
        <v>143.25</v>
      </c>
      <c r="N214" s="116">
        <v>144.80000000000001</v>
      </c>
      <c r="O214" s="116">
        <v>138.6</v>
      </c>
      <c r="P214" s="116">
        <v>140.05000000000001</v>
      </c>
      <c r="Q214" s="116">
        <v>143.25</v>
      </c>
      <c r="R214">
        <v>1503990</v>
      </c>
    </row>
    <row r="215" spans="1:18" x14ac:dyDescent="0.25">
      <c r="A215" s="170">
        <v>43724</v>
      </c>
      <c r="B215" s="116">
        <v>144.5</v>
      </c>
      <c r="C215" s="116">
        <v>140.75</v>
      </c>
      <c r="D215" s="116">
        <v>140.25</v>
      </c>
      <c r="E215" s="116">
        <v>143</v>
      </c>
      <c r="F215" s="116">
        <v>140.75</v>
      </c>
      <c r="G215">
        <v>100535</v>
      </c>
      <c r="H215" s="116"/>
      <c r="I215" s="116"/>
      <c r="L215" s="170">
        <v>43724</v>
      </c>
      <c r="M215" s="116">
        <v>140.80000000000001</v>
      </c>
      <c r="N215" s="116">
        <v>144.4</v>
      </c>
      <c r="O215" s="116">
        <v>140.5</v>
      </c>
      <c r="P215" s="116">
        <v>142.5</v>
      </c>
      <c r="Q215" s="116">
        <v>140.80000000000001</v>
      </c>
      <c r="R215">
        <v>714126</v>
      </c>
    </row>
    <row r="216" spans="1:18" x14ac:dyDescent="0.25">
      <c r="A216" s="170">
        <v>43725</v>
      </c>
      <c r="B216" s="116">
        <v>143.69999999999999</v>
      </c>
      <c r="C216" s="116">
        <v>139.44999999999999</v>
      </c>
      <c r="D216" s="116">
        <v>139</v>
      </c>
      <c r="E216" s="116">
        <v>142</v>
      </c>
      <c r="F216" s="116">
        <v>139.44999999999999</v>
      </c>
      <c r="G216">
        <v>62832</v>
      </c>
      <c r="H216" s="116"/>
      <c r="I216" s="116"/>
      <c r="L216" s="170">
        <v>43725</v>
      </c>
      <c r="M216" s="116">
        <v>139.5</v>
      </c>
      <c r="N216" s="116">
        <v>143.80000000000001</v>
      </c>
      <c r="O216" s="116">
        <v>138.35</v>
      </c>
      <c r="P216" s="116">
        <v>141.85</v>
      </c>
      <c r="Q216" s="116">
        <v>139.5</v>
      </c>
      <c r="R216">
        <v>426875</v>
      </c>
    </row>
    <row r="217" spans="1:18" x14ac:dyDescent="0.25">
      <c r="A217" s="170">
        <v>43726</v>
      </c>
      <c r="B217" s="116">
        <v>141.75</v>
      </c>
      <c r="C217" s="116">
        <v>138.35</v>
      </c>
      <c r="D217" s="116">
        <v>138.1</v>
      </c>
      <c r="E217" s="116">
        <v>140.4</v>
      </c>
      <c r="F217" s="116">
        <v>138.35</v>
      </c>
      <c r="G217">
        <v>26254</v>
      </c>
      <c r="H217" s="116"/>
      <c r="I217" s="116"/>
      <c r="L217" s="170">
        <v>43726</v>
      </c>
      <c r="M217" s="116">
        <v>138.35</v>
      </c>
      <c r="N217" s="116">
        <v>141.5</v>
      </c>
      <c r="O217" s="116">
        <v>138</v>
      </c>
      <c r="P217" s="116">
        <v>140.94999999999999</v>
      </c>
      <c r="Q217" s="116">
        <v>138.35</v>
      </c>
      <c r="R217">
        <v>227492</v>
      </c>
    </row>
    <row r="218" spans="1:18" x14ac:dyDescent="0.25">
      <c r="A218" s="170">
        <v>43727</v>
      </c>
      <c r="B218" s="116">
        <v>140.05000000000001</v>
      </c>
      <c r="C218" s="116">
        <v>135.19999999999999</v>
      </c>
      <c r="D218" s="116">
        <v>133.9</v>
      </c>
      <c r="E218" s="116">
        <v>139</v>
      </c>
      <c r="F218" s="116">
        <v>135.19999999999999</v>
      </c>
      <c r="G218">
        <v>39382</v>
      </c>
      <c r="H218" s="116"/>
      <c r="I218" s="116"/>
      <c r="L218" s="170">
        <v>43727</v>
      </c>
      <c r="M218" s="116">
        <v>135.25</v>
      </c>
      <c r="N218" s="116">
        <v>139.9</v>
      </c>
      <c r="O218" s="116">
        <v>133.75</v>
      </c>
      <c r="P218" s="116">
        <v>139.35</v>
      </c>
      <c r="Q218" s="116">
        <v>135.25</v>
      </c>
      <c r="R218">
        <v>246618</v>
      </c>
    </row>
    <row r="219" spans="1:18" x14ac:dyDescent="0.25">
      <c r="A219" s="170">
        <v>43728</v>
      </c>
      <c r="B219" s="116">
        <v>137.80000000000001</v>
      </c>
      <c r="C219" s="116">
        <v>133.19999999999999</v>
      </c>
      <c r="D219" s="116">
        <v>128.1</v>
      </c>
      <c r="E219" s="116">
        <v>136.15</v>
      </c>
      <c r="F219" s="116">
        <v>133.19999999999999</v>
      </c>
      <c r="G219">
        <v>126249</v>
      </c>
      <c r="H219" s="116"/>
      <c r="I219" s="116"/>
      <c r="L219" s="170">
        <v>43728</v>
      </c>
      <c r="M219" s="116">
        <v>133.35</v>
      </c>
      <c r="N219" s="116">
        <v>138</v>
      </c>
      <c r="O219" s="116">
        <v>128.1</v>
      </c>
      <c r="P219" s="116">
        <v>136.9</v>
      </c>
      <c r="Q219" s="116">
        <v>133.35</v>
      </c>
      <c r="R219">
        <v>1877757</v>
      </c>
    </row>
    <row r="220" spans="1:18" x14ac:dyDescent="0.25">
      <c r="A220" s="170">
        <v>43731</v>
      </c>
      <c r="B220" s="116">
        <v>139.55000000000001</v>
      </c>
      <c r="C220" s="116">
        <v>135.05000000000001</v>
      </c>
      <c r="D220" s="116">
        <v>134.15</v>
      </c>
      <c r="E220" s="116">
        <v>137</v>
      </c>
      <c r="F220" s="116">
        <v>135.05000000000001</v>
      </c>
      <c r="G220">
        <v>78609</v>
      </c>
      <c r="H220" s="116"/>
      <c r="I220" s="116"/>
      <c r="L220" s="170">
        <v>43731</v>
      </c>
      <c r="M220" s="116">
        <v>135.35</v>
      </c>
      <c r="N220" s="116">
        <v>140</v>
      </c>
      <c r="O220" s="116">
        <v>134.1</v>
      </c>
      <c r="P220" s="116">
        <v>137.69999999999999</v>
      </c>
      <c r="Q220" s="116">
        <v>135.35</v>
      </c>
      <c r="R220">
        <v>497130</v>
      </c>
    </row>
    <row r="221" spans="1:18" x14ac:dyDescent="0.25">
      <c r="A221" s="170">
        <v>43732</v>
      </c>
      <c r="B221" s="116">
        <v>137</v>
      </c>
      <c r="C221" s="116">
        <v>133.19999999999999</v>
      </c>
      <c r="D221" s="116">
        <v>131.69999999999999</v>
      </c>
      <c r="E221" s="116">
        <v>137</v>
      </c>
      <c r="F221" s="116">
        <v>133.19999999999999</v>
      </c>
      <c r="G221">
        <v>52905</v>
      </c>
      <c r="H221" s="116"/>
      <c r="I221" s="116"/>
      <c r="L221" s="170">
        <v>43732</v>
      </c>
      <c r="M221" s="116">
        <v>133.1</v>
      </c>
      <c r="N221" s="116">
        <v>136.9</v>
      </c>
      <c r="O221" s="116">
        <v>131.75</v>
      </c>
      <c r="P221" s="116">
        <v>133.05000000000001</v>
      </c>
      <c r="Q221" s="116">
        <v>133.1</v>
      </c>
      <c r="R221">
        <v>491534</v>
      </c>
    </row>
    <row r="222" spans="1:18" x14ac:dyDescent="0.25">
      <c r="A222" s="170">
        <v>43733</v>
      </c>
      <c r="B222" s="116">
        <v>134.75</v>
      </c>
      <c r="C222" s="116">
        <v>131.4</v>
      </c>
      <c r="D222" s="116">
        <v>131.1</v>
      </c>
      <c r="E222" s="116">
        <v>133.80000000000001</v>
      </c>
      <c r="F222" s="116">
        <v>131.4</v>
      </c>
      <c r="G222">
        <v>45340</v>
      </c>
      <c r="H222" s="116"/>
      <c r="I222" s="116"/>
      <c r="L222" s="170">
        <v>43733</v>
      </c>
      <c r="M222" s="116">
        <v>131.44999999999999</v>
      </c>
      <c r="N222" s="116">
        <v>135.6</v>
      </c>
      <c r="O222" s="116">
        <v>131.05000000000001</v>
      </c>
      <c r="P222" s="116">
        <v>134</v>
      </c>
      <c r="Q222" s="116">
        <v>131.44999999999999</v>
      </c>
      <c r="R222">
        <v>420526</v>
      </c>
    </row>
    <row r="223" spans="1:18" x14ac:dyDescent="0.25">
      <c r="A223" s="170">
        <v>43734</v>
      </c>
      <c r="B223" s="116">
        <v>137</v>
      </c>
      <c r="C223" s="116">
        <v>132.55000000000001</v>
      </c>
      <c r="D223" s="116">
        <v>131.19999999999999</v>
      </c>
      <c r="E223" s="116">
        <v>132</v>
      </c>
      <c r="F223" s="116">
        <v>132.55000000000001</v>
      </c>
      <c r="G223">
        <v>106948</v>
      </c>
      <c r="H223" s="116"/>
      <c r="I223" s="116"/>
      <c r="L223" s="170">
        <v>43734</v>
      </c>
      <c r="M223" s="116">
        <v>132.69999999999999</v>
      </c>
      <c r="N223" s="116">
        <v>137.30000000000001</v>
      </c>
      <c r="O223" s="116">
        <v>130.19999999999999</v>
      </c>
      <c r="P223" s="116">
        <v>132.4</v>
      </c>
      <c r="Q223" s="116">
        <v>132.69999999999999</v>
      </c>
      <c r="R223">
        <v>1027867</v>
      </c>
    </row>
    <row r="224" spans="1:18" x14ac:dyDescent="0.25">
      <c r="A224" s="170">
        <v>43735</v>
      </c>
      <c r="B224" s="116">
        <v>135.9</v>
      </c>
      <c r="C224" s="116">
        <v>132.35</v>
      </c>
      <c r="D224" s="116">
        <v>131.9</v>
      </c>
      <c r="E224" s="116">
        <v>133.19999999999999</v>
      </c>
      <c r="F224" s="116">
        <v>132.35</v>
      </c>
      <c r="G224">
        <v>37819</v>
      </c>
      <c r="H224" s="116"/>
      <c r="I224" s="116"/>
      <c r="L224" s="170">
        <v>43735</v>
      </c>
      <c r="M224" s="116">
        <v>132.5</v>
      </c>
      <c r="N224" s="116">
        <v>136</v>
      </c>
      <c r="O224" s="116">
        <v>131.9</v>
      </c>
      <c r="P224" s="116">
        <v>133</v>
      </c>
      <c r="Q224" s="116">
        <v>132.5</v>
      </c>
      <c r="R224">
        <v>455998</v>
      </c>
    </row>
    <row r="225" spans="1:18" x14ac:dyDescent="0.25">
      <c r="A225" s="170">
        <v>43738</v>
      </c>
      <c r="B225" s="116">
        <v>133.5</v>
      </c>
      <c r="C225" s="116">
        <v>129.15</v>
      </c>
      <c r="D225" s="116">
        <v>128.85</v>
      </c>
      <c r="E225" s="116">
        <v>132.19999999999999</v>
      </c>
      <c r="F225" s="116">
        <v>129.15</v>
      </c>
      <c r="G225">
        <v>41574</v>
      </c>
      <c r="H225" s="116"/>
      <c r="I225" s="116"/>
      <c r="L225" s="170">
        <v>43738</v>
      </c>
      <c r="M225" s="116">
        <v>129.19999999999999</v>
      </c>
      <c r="N225" s="116">
        <v>133.55000000000001</v>
      </c>
      <c r="O225" s="116">
        <v>128.69999999999999</v>
      </c>
      <c r="P225" s="116">
        <v>132.5</v>
      </c>
      <c r="Q225" s="116">
        <v>129.19999999999999</v>
      </c>
      <c r="R225">
        <v>630386</v>
      </c>
    </row>
    <row r="226" spans="1:18" x14ac:dyDescent="0.25">
      <c r="A226" s="170">
        <v>43739</v>
      </c>
      <c r="B226" s="116">
        <v>136.30000000000001</v>
      </c>
      <c r="C226" s="116">
        <v>130.30000000000001</v>
      </c>
      <c r="D226" s="116">
        <v>128.6</v>
      </c>
      <c r="E226" s="116">
        <v>130.85</v>
      </c>
      <c r="F226" s="116">
        <v>130.30000000000001</v>
      </c>
      <c r="G226">
        <v>89170</v>
      </c>
      <c r="H226" s="116"/>
      <c r="I226" s="116"/>
      <c r="L226" s="170">
        <v>43739</v>
      </c>
      <c r="M226" s="116">
        <v>130.4</v>
      </c>
      <c r="N226" s="116">
        <v>136.4</v>
      </c>
      <c r="O226" s="116">
        <v>128.55000000000001</v>
      </c>
      <c r="P226" s="116">
        <v>130.9</v>
      </c>
      <c r="Q226" s="116">
        <v>130.4</v>
      </c>
      <c r="R226">
        <v>971007</v>
      </c>
    </row>
    <row r="227" spans="1:18" x14ac:dyDescent="0.25">
      <c r="A227" s="170">
        <v>43741</v>
      </c>
      <c r="B227" s="116">
        <v>132.69999999999999</v>
      </c>
      <c r="C227" s="116">
        <v>128.6</v>
      </c>
      <c r="D227" s="116">
        <v>125</v>
      </c>
      <c r="E227" s="116">
        <v>130.05000000000001</v>
      </c>
      <c r="F227" s="116">
        <v>128.6</v>
      </c>
      <c r="G227">
        <v>36133</v>
      </c>
      <c r="H227" s="116"/>
      <c r="I227" s="116"/>
      <c r="L227" s="170">
        <v>43741</v>
      </c>
      <c r="M227" s="116">
        <v>128.65</v>
      </c>
      <c r="N227" s="116">
        <v>132.9</v>
      </c>
      <c r="O227" s="116">
        <v>128.1</v>
      </c>
      <c r="P227" s="116">
        <v>130</v>
      </c>
      <c r="Q227" s="116">
        <v>128.65</v>
      </c>
      <c r="R227">
        <v>401737</v>
      </c>
    </row>
    <row r="228" spans="1:18" x14ac:dyDescent="0.25">
      <c r="A228" s="170">
        <v>43742</v>
      </c>
      <c r="B228" s="116">
        <v>131.4</v>
      </c>
      <c r="C228" s="116">
        <v>127.8</v>
      </c>
      <c r="D228" s="116">
        <v>127.5</v>
      </c>
      <c r="E228" s="116">
        <v>129.19999999999999</v>
      </c>
      <c r="F228" s="116">
        <v>127.8</v>
      </c>
      <c r="G228">
        <v>46528</v>
      </c>
      <c r="H228" s="116"/>
      <c r="I228" s="116"/>
      <c r="L228" s="170">
        <v>43742</v>
      </c>
      <c r="M228" s="116">
        <v>127.85</v>
      </c>
      <c r="N228" s="116">
        <v>131.4</v>
      </c>
      <c r="O228" s="116">
        <v>127.4</v>
      </c>
      <c r="P228" s="116">
        <v>129.80000000000001</v>
      </c>
      <c r="Q228" s="116">
        <v>127.85</v>
      </c>
      <c r="R228">
        <v>349316</v>
      </c>
    </row>
    <row r="229" spans="1:18" x14ac:dyDescent="0.25">
      <c r="A229" s="170">
        <v>43745</v>
      </c>
      <c r="B229" s="116">
        <v>132</v>
      </c>
      <c r="C229" s="116">
        <v>130.1</v>
      </c>
      <c r="D229" s="116">
        <v>128</v>
      </c>
      <c r="E229" s="116">
        <v>128.4</v>
      </c>
      <c r="F229" s="116">
        <v>130.1</v>
      </c>
      <c r="G229">
        <v>42027</v>
      </c>
      <c r="H229" s="116"/>
      <c r="I229" s="116"/>
      <c r="L229" s="170">
        <v>43745</v>
      </c>
      <c r="M229" s="116">
        <v>130.1</v>
      </c>
      <c r="N229" s="116">
        <v>131.94999999999999</v>
      </c>
      <c r="O229" s="116">
        <v>127.7</v>
      </c>
      <c r="P229" s="116">
        <v>127.9</v>
      </c>
      <c r="Q229" s="116">
        <v>130.1</v>
      </c>
      <c r="R229">
        <v>402366</v>
      </c>
    </row>
    <row r="230" spans="1:18" x14ac:dyDescent="0.25">
      <c r="A230" s="170">
        <v>43747</v>
      </c>
      <c r="B230" s="116">
        <v>138.30000000000001</v>
      </c>
      <c r="C230" s="116">
        <v>136.25</v>
      </c>
      <c r="D230" s="116">
        <v>131.05000000000001</v>
      </c>
      <c r="E230" s="116">
        <v>131.5</v>
      </c>
      <c r="F230" s="116">
        <v>136.25</v>
      </c>
      <c r="G230">
        <v>153089</v>
      </c>
      <c r="H230" s="116"/>
      <c r="I230" s="116"/>
      <c r="L230" s="170">
        <v>43747</v>
      </c>
      <c r="M230" s="116">
        <v>136.05000000000001</v>
      </c>
      <c r="N230" s="116">
        <v>138.4</v>
      </c>
      <c r="O230" s="116">
        <v>131.30000000000001</v>
      </c>
      <c r="P230" s="116">
        <v>131.55000000000001</v>
      </c>
      <c r="Q230" s="116">
        <v>136.05000000000001</v>
      </c>
      <c r="R230">
        <v>1712612</v>
      </c>
    </row>
    <row r="231" spans="1:18" x14ac:dyDescent="0.25">
      <c r="A231" s="170">
        <v>43748</v>
      </c>
      <c r="B231" s="116">
        <v>142.80000000000001</v>
      </c>
      <c r="C231" s="116">
        <v>138.35</v>
      </c>
      <c r="D231" s="116">
        <v>136.9</v>
      </c>
      <c r="E231" s="116">
        <v>138.80000000000001</v>
      </c>
      <c r="F231" s="116">
        <v>138.35</v>
      </c>
      <c r="G231">
        <v>217027</v>
      </c>
      <c r="H231" s="116"/>
      <c r="I231" s="116"/>
      <c r="L231" s="170">
        <v>43748</v>
      </c>
      <c r="M231" s="116">
        <v>138.5</v>
      </c>
      <c r="N231" s="116">
        <v>142.94999999999999</v>
      </c>
      <c r="O231" s="116">
        <v>136.80000000000001</v>
      </c>
      <c r="P231" s="116">
        <v>138</v>
      </c>
      <c r="Q231" s="116">
        <v>138.5</v>
      </c>
      <c r="R231">
        <v>1889479</v>
      </c>
    </row>
    <row r="232" spans="1:18" x14ac:dyDescent="0.25">
      <c r="A232" s="170">
        <v>43749</v>
      </c>
      <c r="B232" s="116">
        <v>142</v>
      </c>
      <c r="C232" s="116">
        <v>137.65</v>
      </c>
      <c r="D232" s="116">
        <v>137.30000000000001</v>
      </c>
      <c r="E232" s="116">
        <v>139.4</v>
      </c>
      <c r="F232" s="116">
        <v>137.65</v>
      </c>
      <c r="G232">
        <v>88142</v>
      </c>
      <c r="H232" s="116"/>
      <c r="I232" s="116"/>
      <c r="L232" s="170">
        <v>43749</v>
      </c>
      <c r="M232" s="116">
        <v>137.65</v>
      </c>
      <c r="N232" s="116">
        <v>142</v>
      </c>
      <c r="O232" s="116">
        <v>137.1</v>
      </c>
      <c r="P232" s="116">
        <v>139.05000000000001</v>
      </c>
      <c r="Q232" s="116">
        <v>137.65</v>
      </c>
      <c r="R232">
        <v>699218</v>
      </c>
    </row>
    <row r="233" spans="1:18" x14ac:dyDescent="0.25">
      <c r="A233" s="170">
        <v>43752</v>
      </c>
      <c r="B233" s="116">
        <v>162.4</v>
      </c>
      <c r="C233" s="116">
        <v>150.6</v>
      </c>
      <c r="D233" s="116">
        <v>148.80000000000001</v>
      </c>
      <c r="E233" s="116">
        <v>162.4</v>
      </c>
      <c r="F233" s="116">
        <v>150.6</v>
      </c>
      <c r="G233">
        <v>681718</v>
      </c>
      <c r="H233" s="116"/>
      <c r="I233" s="116"/>
      <c r="L233" s="170">
        <v>43752</v>
      </c>
      <c r="M233" s="116">
        <v>150.75</v>
      </c>
      <c r="N233" s="116">
        <v>163</v>
      </c>
      <c r="O233" s="116">
        <v>148.80000000000001</v>
      </c>
      <c r="P233" s="116">
        <v>163</v>
      </c>
      <c r="Q233" s="116">
        <v>150.75</v>
      </c>
      <c r="R233">
        <v>7049507</v>
      </c>
    </row>
    <row r="234" spans="1:18" x14ac:dyDescent="0.25">
      <c r="A234" s="170">
        <v>43753</v>
      </c>
      <c r="B234" s="116">
        <v>155.69999999999999</v>
      </c>
      <c r="C234" s="116">
        <v>151.6</v>
      </c>
      <c r="D234" s="116">
        <v>150</v>
      </c>
      <c r="E234" s="116">
        <v>154.94999999999999</v>
      </c>
      <c r="F234" s="116">
        <v>151.6</v>
      </c>
      <c r="G234">
        <v>252840</v>
      </c>
      <c r="H234" s="116"/>
      <c r="I234" s="116"/>
      <c r="L234" s="170">
        <v>43753</v>
      </c>
      <c r="M234" s="116">
        <v>151.55000000000001</v>
      </c>
      <c r="N234" s="116">
        <v>155.69999999999999</v>
      </c>
      <c r="O234" s="116">
        <v>150.1</v>
      </c>
      <c r="P234" s="116">
        <v>154.80000000000001</v>
      </c>
      <c r="Q234" s="116">
        <v>151.55000000000001</v>
      </c>
      <c r="R234">
        <v>1819063</v>
      </c>
    </row>
    <row r="235" spans="1:18" x14ac:dyDescent="0.25">
      <c r="A235" s="170">
        <v>43754</v>
      </c>
      <c r="B235" s="116">
        <v>152.6</v>
      </c>
      <c r="C235" s="116">
        <v>148.30000000000001</v>
      </c>
      <c r="D235" s="116">
        <v>148</v>
      </c>
      <c r="E235" s="116">
        <v>151.6</v>
      </c>
      <c r="F235" s="116">
        <v>148.30000000000001</v>
      </c>
      <c r="G235">
        <v>83181</v>
      </c>
      <c r="H235" s="116"/>
      <c r="I235" s="116"/>
      <c r="L235" s="170">
        <v>43754</v>
      </c>
      <c r="M235" s="116">
        <v>148.4</v>
      </c>
      <c r="N235" s="116">
        <v>152.30000000000001</v>
      </c>
      <c r="O235" s="116">
        <v>148</v>
      </c>
      <c r="P235" s="116">
        <v>152.1</v>
      </c>
      <c r="Q235" s="116">
        <v>148.4</v>
      </c>
      <c r="R235">
        <v>729488</v>
      </c>
    </row>
    <row r="236" spans="1:18" x14ac:dyDescent="0.25">
      <c r="A236" s="170">
        <v>43755</v>
      </c>
      <c r="B236" s="116">
        <v>153.5</v>
      </c>
      <c r="C236" s="116">
        <v>148.85</v>
      </c>
      <c r="D236" s="116">
        <v>146</v>
      </c>
      <c r="E236" s="116">
        <v>147.05000000000001</v>
      </c>
      <c r="F236" s="116">
        <v>148.85</v>
      </c>
      <c r="G236">
        <v>266331</v>
      </c>
      <c r="H236" s="116"/>
      <c r="I236" s="116"/>
      <c r="L236" s="170">
        <v>43755</v>
      </c>
      <c r="M236" s="116">
        <v>148.80000000000001</v>
      </c>
      <c r="N236" s="116">
        <v>153.55000000000001</v>
      </c>
      <c r="O236" s="116">
        <v>146.05000000000001</v>
      </c>
      <c r="P236" s="116">
        <v>146.19999999999999</v>
      </c>
      <c r="Q236" s="116">
        <v>148.80000000000001</v>
      </c>
      <c r="R236">
        <v>1786496</v>
      </c>
    </row>
    <row r="237" spans="1:18" x14ac:dyDescent="0.25">
      <c r="A237" s="170">
        <v>43756</v>
      </c>
      <c r="B237" s="116">
        <v>153.5</v>
      </c>
      <c r="C237" s="116">
        <v>151</v>
      </c>
      <c r="D237" s="116">
        <v>149.19999999999999</v>
      </c>
      <c r="E237" s="116">
        <v>149.19999999999999</v>
      </c>
      <c r="F237" s="116">
        <v>151</v>
      </c>
      <c r="G237">
        <v>158879</v>
      </c>
      <c r="H237" s="116"/>
      <c r="I237" s="116"/>
      <c r="L237" s="170">
        <v>43756</v>
      </c>
      <c r="M237" s="116">
        <v>151</v>
      </c>
      <c r="N237" s="116">
        <v>153.44999999999999</v>
      </c>
      <c r="O237" s="116">
        <v>149.6</v>
      </c>
      <c r="P237" s="116">
        <v>149.80000000000001</v>
      </c>
      <c r="Q237" s="116">
        <v>151</v>
      </c>
      <c r="R237">
        <v>1207003</v>
      </c>
    </row>
    <row r="238" spans="1:18" x14ac:dyDescent="0.25">
      <c r="A238" s="170">
        <v>43760</v>
      </c>
      <c r="B238" s="116">
        <v>152.85</v>
      </c>
      <c r="C238" s="116">
        <v>148.35</v>
      </c>
      <c r="D238" s="116">
        <v>148</v>
      </c>
      <c r="E238" s="116">
        <v>150.75</v>
      </c>
      <c r="F238" s="116">
        <v>148.35</v>
      </c>
      <c r="G238">
        <v>76156</v>
      </c>
      <c r="H238" s="116"/>
      <c r="I238" s="116"/>
      <c r="L238" s="170">
        <v>43760</v>
      </c>
      <c r="M238" s="116">
        <v>148.44999999999999</v>
      </c>
      <c r="N238" s="116">
        <v>152.85</v>
      </c>
      <c r="O238" s="116">
        <v>148.1</v>
      </c>
      <c r="P238" s="116">
        <v>149.5</v>
      </c>
      <c r="Q238" s="116">
        <v>148.44999999999999</v>
      </c>
      <c r="R238">
        <v>698922</v>
      </c>
    </row>
    <row r="239" spans="1:18" x14ac:dyDescent="0.25">
      <c r="A239" s="170">
        <v>43761</v>
      </c>
      <c r="B239" s="116">
        <v>152.9</v>
      </c>
      <c r="C239" s="116">
        <v>147.1</v>
      </c>
      <c r="D239" s="116">
        <v>146.69999999999999</v>
      </c>
      <c r="E239" s="116">
        <v>152.9</v>
      </c>
      <c r="F239" s="116">
        <v>147.1</v>
      </c>
      <c r="G239">
        <v>61883</v>
      </c>
      <c r="H239" s="116"/>
      <c r="I239" s="116"/>
      <c r="L239" s="170">
        <v>43761</v>
      </c>
      <c r="M239" s="116">
        <v>147.05000000000001</v>
      </c>
      <c r="N239" s="116">
        <v>149.55000000000001</v>
      </c>
      <c r="O239" s="116">
        <v>146.75</v>
      </c>
      <c r="P239" s="116">
        <v>149.1</v>
      </c>
      <c r="Q239" s="116">
        <v>147.05000000000001</v>
      </c>
      <c r="R239">
        <v>583127</v>
      </c>
    </row>
    <row r="240" spans="1:18" x14ac:dyDescent="0.25">
      <c r="A240" s="170">
        <v>43762</v>
      </c>
      <c r="B240" s="116">
        <v>148.44999999999999</v>
      </c>
      <c r="C240" s="116">
        <v>145.6</v>
      </c>
      <c r="D240" s="116">
        <v>145.15</v>
      </c>
      <c r="E240" s="116">
        <v>147</v>
      </c>
      <c r="F240" s="116">
        <v>145.6</v>
      </c>
      <c r="G240">
        <v>61291</v>
      </c>
      <c r="H240" s="116"/>
      <c r="I240" s="116"/>
      <c r="L240" s="170">
        <v>43762</v>
      </c>
      <c r="M240" s="116">
        <v>145.69999999999999</v>
      </c>
      <c r="N240" s="116">
        <v>148.35</v>
      </c>
      <c r="O240" s="116">
        <v>145.05000000000001</v>
      </c>
      <c r="P240" s="116">
        <v>147.80000000000001</v>
      </c>
      <c r="Q240" s="116">
        <v>145.69999999999999</v>
      </c>
      <c r="R240">
        <v>806140</v>
      </c>
    </row>
    <row r="241" spans="1:18" x14ac:dyDescent="0.25">
      <c r="A241" s="170">
        <v>43763</v>
      </c>
      <c r="B241" s="116">
        <v>149.5</v>
      </c>
      <c r="C241" s="116">
        <v>146.80000000000001</v>
      </c>
      <c r="D241" s="116">
        <v>144.85</v>
      </c>
      <c r="E241" s="116">
        <v>146</v>
      </c>
      <c r="F241" s="116">
        <v>146.80000000000001</v>
      </c>
      <c r="G241">
        <v>99911</v>
      </c>
      <c r="H241" s="116"/>
      <c r="I241" s="116"/>
      <c r="L241" s="170">
        <v>43763</v>
      </c>
      <c r="M241" s="116">
        <v>146.75</v>
      </c>
      <c r="N241" s="116">
        <v>149.44999999999999</v>
      </c>
      <c r="O241" s="116">
        <v>144.75</v>
      </c>
      <c r="P241" s="116">
        <v>145.80000000000001</v>
      </c>
      <c r="Q241" s="116">
        <v>146.75</v>
      </c>
      <c r="R241">
        <v>712618</v>
      </c>
    </row>
    <row r="242" spans="1:18" x14ac:dyDescent="0.25">
      <c r="A242" s="170">
        <v>43765</v>
      </c>
      <c r="B242" s="116">
        <v>149</v>
      </c>
      <c r="C242" s="116">
        <v>148.4</v>
      </c>
      <c r="D242" s="116">
        <v>147.55000000000001</v>
      </c>
      <c r="E242" s="116">
        <v>148.65</v>
      </c>
      <c r="F242" s="116">
        <v>148.4</v>
      </c>
      <c r="G242">
        <v>16558</v>
      </c>
      <c r="H242" s="116"/>
      <c r="I242" s="116"/>
      <c r="L242" s="170">
        <v>43765</v>
      </c>
      <c r="M242" s="116">
        <v>148.35</v>
      </c>
      <c r="N242" s="116">
        <v>148.94999999999999</v>
      </c>
      <c r="O242" s="116">
        <v>147.30000000000001</v>
      </c>
      <c r="P242" s="116">
        <v>148</v>
      </c>
      <c r="Q242" s="116">
        <v>148.35</v>
      </c>
      <c r="R242">
        <v>206203</v>
      </c>
    </row>
    <row r="243" spans="1:18" x14ac:dyDescent="0.25">
      <c r="A243" s="170">
        <v>43767</v>
      </c>
      <c r="B243" s="116">
        <v>151.65</v>
      </c>
      <c r="C243" s="116">
        <v>147.9</v>
      </c>
      <c r="D243" s="116">
        <v>147.1</v>
      </c>
      <c r="E243" s="116">
        <v>148</v>
      </c>
      <c r="F243" s="116">
        <v>147.9</v>
      </c>
      <c r="G243">
        <v>90175</v>
      </c>
      <c r="H243" s="116"/>
      <c r="I243" s="116"/>
      <c r="L243" s="170">
        <v>43767</v>
      </c>
      <c r="M243" s="116">
        <v>147.9</v>
      </c>
      <c r="N243" s="116">
        <v>151.69999999999999</v>
      </c>
      <c r="O243" s="116">
        <v>147</v>
      </c>
      <c r="P243" s="116">
        <v>149</v>
      </c>
      <c r="Q243" s="116">
        <v>147.9</v>
      </c>
      <c r="R243">
        <v>1021416</v>
      </c>
    </row>
    <row r="244" spans="1:18" x14ac:dyDescent="0.25">
      <c r="A244" s="170">
        <v>43768</v>
      </c>
      <c r="B244" s="116">
        <v>150.5</v>
      </c>
      <c r="C244" s="116">
        <v>146.9</v>
      </c>
      <c r="D244" s="116">
        <v>146.5</v>
      </c>
      <c r="E244" s="116">
        <v>148.5</v>
      </c>
      <c r="F244" s="116">
        <v>146.9</v>
      </c>
      <c r="G244">
        <v>106137</v>
      </c>
      <c r="H244" s="116"/>
      <c r="I244" s="116"/>
      <c r="L244" s="170">
        <v>43768</v>
      </c>
      <c r="M244" s="116">
        <v>146.9</v>
      </c>
      <c r="N244" s="116">
        <v>150.4</v>
      </c>
      <c r="O244" s="116">
        <v>146.6</v>
      </c>
      <c r="P244" s="116">
        <v>148.5</v>
      </c>
      <c r="Q244" s="116">
        <v>146.9</v>
      </c>
      <c r="R244">
        <v>1306351</v>
      </c>
    </row>
    <row r="245" spans="1:18" x14ac:dyDescent="0.25">
      <c r="A245" s="170">
        <v>43769</v>
      </c>
      <c r="B245" s="116">
        <v>149.15</v>
      </c>
      <c r="C245" s="116">
        <v>147.19999999999999</v>
      </c>
      <c r="D245" s="116">
        <v>147</v>
      </c>
      <c r="E245" s="116">
        <v>148</v>
      </c>
      <c r="F245" s="116">
        <v>147.19999999999999</v>
      </c>
      <c r="G245">
        <v>73318</v>
      </c>
      <c r="H245" s="116"/>
      <c r="I245" s="116"/>
      <c r="L245" s="170">
        <v>43769</v>
      </c>
      <c r="M245" s="116">
        <v>147.1</v>
      </c>
      <c r="N245" s="116">
        <v>149.05000000000001</v>
      </c>
      <c r="O245" s="116">
        <v>146.9</v>
      </c>
      <c r="P245" s="116">
        <v>147.05000000000001</v>
      </c>
      <c r="Q245" s="116">
        <v>147.1</v>
      </c>
      <c r="R245">
        <v>702046</v>
      </c>
    </row>
    <row r="246" spans="1:18" x14ac:dyDescent="0.25">
      <c r="A246" s="170">
        <v>43770</v>
      </c>
      <c r="B246" s="116">
        <v>148.35</v>
      </c>
      <c r="C246" s="116">
        <v>146.80000000000001</v>
      </c>
      <c r="D246" s="116">
        <v>146.65</v>
      </c>
      <c r="E246" s="116">
        <v>147.69999999999999</v>
      </c>
      <c r="F246" s="116">
        <v>146.80000000000001</v>
      </c>
      <c r="G246">
        <v>41525</v>
      </c>
      <c r="H246" s="116"/>
      <c r="I246" s="116"/>
      <c r="L246" s="170">
        <v>43770</v>
      </c>
      <c r="M246" s="116">
        <v>146.85</v>
      </c>
      <c r="N246" s="116">
        <v>148.4</v>
      </c>
      <c r="O246" s="116">
        <v>146.80000000000001</v>
      </c>
      <c r="P246" s="116">
        <v>147.44999999999999</v>
      </c>
      <c r="Q246" s="116">
        <v>146.85</v>
      </c>
      <c r="R246">
        <v>381934</v>
      </c>
    </row>
    <row r="247" spans="1:18" x14ac:dyDescent="0.25">
      <c r="A247" s="170">
        <v>43773</v>
      </c>
      <c r="B247" s="116">
        <v>149</v>
      </c>
      <c r="C247" s="116">
        <v>147.94999999999999</v>
      </c>
      <c r="D247" s="116">
        <v>146.5</v>
      </c>
      <c r="E247" s="116">
        <v>147</v>
      </c>
      <c r="F247" s="116">
        <v>147.94999999999999</v>
      </c>
      <c r="G247">
        <v>102767</v>
      </c>
      <c r="H247" s="116"/>
      <c r="I247" s="116"/>
      <c r="L247" s="170">
        <v>43773</v>
      </c>
      <c r="M247" s="116">
        <v>147.9</v>
      </c>
      <c r="N247" s="116">
        <v>148.9</v>
      </c>
      <c r="O247" s="116">
        <v>146.6</v>
      </c>
      <c r="P247" s="116">
        <v>146.6</v>
      </c>
      <c r="Q247" s="116">
        <v>147.9</v>
      </c>
      <c r="R247">
        <v>806625</v>
      </c>
    </row>
    <row r="248" spans="1:18" x14ac:dyDescent="0.25">
      <c r="A248" s="170">
        <v>43774</v>
      </c>
      <c r="B248" s="116">
        <v>148.94999999999999</v>
      </c>
      <c r="C248" s="116">
        <v>146.80000000000001</v>
      </c>
      <c r="D248" s="116">
        <v>146.5</v>
      </c>
      <c r="E248" s="116">
        <v>148.5</v>
      </c>
      <c r="F248" s="116">
        <v>146.80000000000001</v>
      </c>
      <c r="G248">
        <v>50741</v>
      </c>
      <c r="H248" s="116"/>
      <c r="I248" s="116"/>
      <c r="L248" s="170">
        <v>43774</v>
      </c>
      <c r="M248" s="116">
        <v>146.75</v>
      </c>
      <c r="N248" s="116">
        <v>148.85</v>
      </c>
      <c r="O248" s="116">
        <v>146.5</v>
      </c>
      <c r="P248" s="116">
        <v>148.05000000000001</v>
      </c>
      <c r="Q248" s="116">
        <v>146.75</v>
      </c>
      <c r="R248">
        <v>458786</v>
      </c>
    </row>
    <row r="249" spans="1:18" x14ac:dyDescent="0.25">
      <c r="A249" s="170">
        <v>43775</v>
      </c>
      <c r="B249" s="116">
        <v>149.19999999999999</v>
      </c>
      <c r="C249" s="116">
        <v>147.69999999999999</v>
      </c>
      <c r="D249" s="116">
        <v>146.80000000000001</v>
      </c>
      <c r="E249" s="116">
        <v>147.19999999999999</v>
      </c>
      <c r="F249" s="116">
        <v>147.69999999999999</v>
      </c>
      <c r="G249">
        <v>55781</v>
      </c>
      <c r="H249" s="116"/>
      <c r="I249" s="116"/>
      <c r="L249" s="170">
        <v>43775</v>
      </c>
      <c r="M249" s="116">
        <v>147.69999999999999</v>
      </c>
      <c r="N249" s="116">
        <v>149.15</v>
      </c>
      <c r="O249" s="116">
        <v>146.69999999999999</v>
      </c>
      <c r="P249" s="116">
        <v>147.19999999999999</v>
      </c>
      <c r="Q249" s="116">
        <v>147.69999999999999</v>
      </c>
      <c r="R249">
        <v>918476</v>
      </c>
    </row>
    <row r="250" spans="1:18" x14ac:dyDescent="0.25">
      <c r="A250" s="170">
        <v>43776</v>
      </c>
      <c r="B250" s="116">
        <v>148.69999999999999</v>
      </c>
      <c r="C250" s="116">
        <v>147.30000000000001</v>
      </c>
      <c r="D250" s="116">
        <v>147.05000000000001</v>
      </c>
      <c r="E250" s="116">
        <v>147.9</v>
      </c>
      <c r="F250" s="116">
        <v>147.30000000000001</v>
      </c>
      <c r="G250">
        <v>44495</v>
      </c>
      <c r="H250" s="116"/>
      <c r="I250" s="116"/>
      <c r="L250" s="170">
        <v>43776</v>
      </c>
      <c r="M250" s="116">
        <v>147.35</v>
      </c>
      <c r="N250" s="116">
        <v>148.69999999999999</v>
      </c>
      <c r="O250" s="116">
        <v>147.1</v>
      </c>
      <c r="P250" s="116">
        <v>147.94999999999999</v>
      </c>
      <c r="Q250" s="116">
        <v>147.35</v>
      </c>
      <c r="R250">
        <v>385595</v>
      </c>
    </row>
    <row r="251" spans="1:18" x14ac:dyDescent="0.25">
      <c r="A251" s="170">
        <v>43777</v>
      </c>
      <c r="B251" s="116">
        <v>149</v>
      </c>
      <c r="C251" s="116">
        <v>146.80000000000001</v>
      </c>
      <c r="D251" s="116">
        <v>146.65</v>
      </c>
      <c r="E251" s="116">
        <v>147.30000000000001</v>
      </c>
      <c r="F251" s="116">
        <v>146.80000000000001</v>
      </c>
      <c r="G251">
        <v>70525</v>
      </c>
      <c r="H251" s="116"/>
      <c r="I251" s="116"/>
      <c r="L251" s="170">
        <v>43777</v>
      </c>
      <c r="M251" s="116">
        <v>146.80000000000001</v>
      </c>
      <c r="N251" s="116">
        <v>148.69999999999999</v>
      </c>
      <c r="O251" s="116">
        <v>146.6</v>
      </c>
      <c r="P251" s="116">
        <v>147.44999999999999</v>
      </c>
      <c r="Q251" s="116">
        <v>146.80000000000001</v>
      </c>
      <c r="R251">
        <v>557647</v>
      </c>
    </row>
    <row r="252" spans="1:18" x14ac:dyDescent="0.25">
      <c r="A252" s="170">
        <v>43780</v>
      </c>
      <c r="B252" s="116">
        <v>148.5</v>
      </c>
      <c r="C252" s="116">
        <v>148.15</v>
      </c>
      <c r="D252" s="116">
        <v>146.9</v>
      </c>
      <c r="E252" s="116">
        <v>146.9</v>
      </c>
      <c r="F252" s="116">
        <v>148.15</v>
      </c>
      <c r="G252">
        <v>54167</v>
      </c>
      <c r="H252" s="116"/>
      <c r="I252" s="116"/>
      <c r="L252" s="170">
        <v>43780</v>
      </c>
      <c r="M252" s="116">
        <v>148</v>
      </c>
      <c r="N252" s="116">
        <v>148.5</v>
      </c>
      <c r="O252" s="116">
        <v>146.6</v>
      </c>
      <c r="P252" s="116">
        <v>147.30000000000001</v>
      </c>
      <c r="Q252" s="116">
        <v>148</v>
      </c>
      <c r="R252">
        <v>616045</v>
      </c>
    </row>
    <row r="253" spans="1:18" x14ac:dyDescent="0.25">
      <c r="A253" s="170">
        <v>43782</v>
      </c>
      <c r="B253" s="116">
        <v>151.5</v>
      </c>
      <c r="C253" s="116">
        <v>148.35</v>
      </c>
      <c r="D253" s="116">
        <v>148.1</v>
      </c>
      <c r="E253" s="116">
        <v>149.9</v>
      </c>
      <c r="F253" s="116">
        <v>148.35</v>
      </c>
      <c r="G253">
        <v>160663</v>
      </c>
      <c r="H253" s="116"/>
      <c r="I253" s="116"/>
      <c r="L253" s="170">
        <v>43782</v>
      </c>
      <c r="M253" s="116">
        <v>148.4</v>
      </c>
      <c r="N253" s="116">
        <v>151.4</v>
      </c>
      <c r="O253" s="116">
        <v>148.19999999999999</v>
      </c>
      <c r="P253" s="116">
        <v>148.69999999999999</v>
      </c>
      <c r="Q253" s="116">
        <v>148.4</v>
      </c>
      <c r="R253">
        <v>1862264</v>
      </c>
    </row>
    <row r="254" spans="1:18" x14ac:dyDescent="0.25">
      <c r="A254" s="170">
        <v>43783</v>
      </c>
      <c r="B254" s="116">
        <v>149.15</v>
      </c>
      <c r="C254" s="116">
        <v>147.30000000000001</v>
      </c>
      <c r="D254" s="116">
        <v>147</v>
      </c>
      <c r="E254" s="116">
        <v>149.15</v>
      </c>
      <c r="F254" s="116">
        <v>147.30000000000001</v>
      </c>
      <c r="G254">
        <v>56275</v>
      </c>
      <c r="H254" s="116"/>
      <c r="I254" s="116"/>
      <c r="L254" s="170">
        <v>43783</v>
      </c>
      <c r="M254" s="116">
        <v>147.4</v>
      </c>
      <c r="N254" s="116">
        <v>148.9</v>
      </c>
      <c r="O254" s="116">
        <v>147.15</v>
      </c>
      <c r="P254" s="116">
        <v>148.9</v>
      </c>
      <c r="Q254" s="116">
        <v>147.4</v>
      </c>
      <c r="R254">
        <v>546430</v>
      </c>
    </row>
    <row r="255" spans="1:18" x14ac:dyDescent="0.25">
      <c r="A255" s="170">
        <v>43784</v>
      </c>
      <c r="B255" s="116">
        <v>148.9</v>
      </c>
      <c r="C255" s="116">
        <v>146.44999999999999</v>
      </c>
      <c r="D255" s="116">
        <v>146.19999999999999</v>
      </c>
      <c r="E255" s="116">
        <v>147.44999999999999</v>
      </c>
      <c r="F255" s="116">
        <v>146.44999999999999</v>
      </c>
      <c r="G255">
        <v>38574</v>
      </c>
      <c r="H255" s="116"/>
      <c r="I255" s="116"/>
      <c r="L255" s="170">
        <v>43784</v>
      </c>
      <c r="M255" s="116">
        <v>146.55000000000001</v>
      </c>
      <c r="N255" s="116">
        <v>147.85</v>
      </c>
      <c r="O255" s="116">
        <v>146.05000000000001</v>
      </c>
      <c r="P255" s="116">
        <v>147.5</v>
      </c>
      <c r="Q255" s="116">
        <v>146.55000000000001</v>
      </c>
      <c r="R255">
        <v>498918</v>
      </c>
    </row>
    <row r="256" spans="1:18" x14ac:dyDescent="0.25">
      <c r="A256" s="170">
        <v>43787</v>
      </c>
      <c r="B256" s="116">
        <v>147</v>
      </c>
      <c r="C256" s="116">
        <v>146.25</v>
      </c>
      <c r="D256" s="116">
        <v>146.1</v>
      </c>
      <c r="E256" s="116">
        <v>147</v>
      </c>
      <c r="F256" s="116">
        <v>146.25</v>
      </c>
      <c r="G256">
        <v>25523</v>
      </c>
      <c r="H256" s="116"/>
      <c r="I256" s="116"/>
      <c r="L256" s="170">
        <v>43787</v>
      </c>
      <c r="M256" s="116">
        <v>146.35</v>
      </c>
      <c r="N256" s="116">
        <v>147</v>
      </c>
      <c r="O256" s="116">
        <v>146.15</v>
      </c>
      <c r="P256" s="116">
        <v>146.80000000000001</v>
      </c>
      <c r="Q256" s="116">
        <v>146.35</v>
      </c>
      <c r="R256">
        <v>316184</v>
      </c>
    </row>
    <row r="257" spans="1:18" x14ac:dyDescent="0.25">
      <c r="A257" s="170">
        <v>43788</v>
      </c>
      <c r="B257" s="116">
        <v>147.69999999999999</v>
      </c>
      <c r="C257" s="116">
        <v>146.4</v>
      </c>
      <c r="D257" s="116">
        <v>146.05000000000001</v>
      </c>
      <c r="E257" s="116">
        <v>146.25</v>
      </c>
      <c r="F257" s="116">
        <v>146.4</v>
      </c>
      <c r="G257">
        <v>35047</v>
      </c>
      <c r="H257" s="116"/>
      <c r="I257" s="116"/>
      <c r="L257" s="170">
        <v>43788</v>
      </c>
      <c r="M257" s="116">
        <v>146.44999999999999</v>
      </c>
      <c r="N257" s="116">
        <v>147.75</v>
      </c>
      <c r="O257" s="116">
        <v>146.19999999999999</v>
      </c>
      <c r="P257" s="116">
        <v>146.35</v>
      </c>
      <c r="Q257" s="116">
        <v>146.44999999999999</v>
      </c>
      <c r="R257">
        <v>337626</v>
      </c>
    </row>
    <row r="258" spans="1:18" x14ac:dyDescent="0.25">
      <c r="A258" s="170">
        <v>43789</v>
      </c>
      <c r="B258" s="116">
        <v>148.25</v>
      </c>
      <c r="C258" s="116">
        <v>146.55000000000001</v>
      </c>
      <c r="D258" s="116">
        <v>146.25</v>
      </c>
      <c r="E258" s="116">
        <v>146.35</v>
      </c>
      <c r="F258" s="116">
        <v>146.55000000000001</v>
      </c>
      <c r="G258">
        <v>47745</v>
      </c>
      <c r="H258" s="116"/>
      <c r="I258" s="116"/>
      <c r="L258" s="170">
        <v>43789</v>
      </c>
      <c r="M258" s="116">
        <v>146.55000000000001</v>
      </c>
      <c r="N258" s="116">
        <v>148.4</v>
      </c>
      <c r="O258" s="116">
        <v>146.15</v>
      </c>
      <c r="P258" s="116">
        <v>146.15</v>
      </c>
      <c r="Q258" s="116">
        <v>146.55000000000001</v>
      </c>
      <c r="R258">
        <v>527163</v>
      </c>
    </row>
    <row r="259" spans="1:18" x14ac:dyDescent="0.25">
      <c r="A259" s="170">
        <v>43790</v>
      </c>
      <c r="B259" s="116">
        <v>147.35</v>
      </c>
      <c r="C259" s="116">
        <v>146.30000000000001</v>
      </c>
      <c r="D259" s="116">
        <v>146</v>
      </c>
      <c r="E259" s="116">
        <v>147.05000000000001</v>
      </c>
      <c r="F259" s="116">
        <v>146.30000000000001</v>
      </c>
      <c r="G259">
        <v>32807</v>
      </c>
      <c r="H259" s="116"/>
      <c r="I259" s="116"/>
      <c r="L259" s="170">
        <v>43790</v>
      </c>
      <c r="M259" s="116">
        <v>146.30000000000001</v>
      </c>
      <c r="N259" s="116">
        <v>147.4</v>
      </c>
      <c r="O259" s="116">
        <v>146.15</v>
      </c>
      <c r="P259" s="116">
        <v>146.6</v>
      </c>
      <c r="Q259" s="116">
        <v>146.30000000000001</v>
      </c>
      <c r="R259">
        <v>437965</v>
      </c>
    </row>
    <row r="260" spans="1:18" x14ac:dyDescent="0.25">
      <c r="A260" s="170">
        <v>43791</v>
      </c>
      <c r="B260" s="116">
        <v>147.4</v>
      </c>
      <c r="C260" s="116">
        <v>146.15</v>
      </c>
      <c r="D260" s="116">
        <v>145.94999999999999</v>
      </c>
      <c r="E260" s="116">
        <v>147</v>
      </c>
      <c r="F260" s="116">
        <v>146.15</v>
      </c>
      <c r="G260">
        <v>37461</v>
      </c>
      <c r="H260" s="116"/>
      <c r="I260" s="116"/>
      <c r="L260" s="170">
        <v>43791</v>
      </c>
      <c r="M260" s="116">
        <v>146.25</v>
      </c>
      <c r="N260" s="116">
        <v>147.4</v>
      </c>
      <c r="O260" s="116">
        <v>145.94999999999999</v>
      </c>
      <c r="P260" s="116">
        <v>146.9</v>
      </c>
      <c r="Q260" s="116">
        <v>146.25</v>
      </c>
      <c r="R260">
        <v>709471</v>
      </c>
    </row>
    <row r="261" spans="1:18" x14ac:dyDescent="0.25">
      <c r="A261" s="170">
        <v>43794</v>
      </c>
      <c r="B261" s="116">
        <v>148.30000000000001</v>
      </c>
      <c r="C261" s="116">
        <v>147.30000000000001</v>
      </c>
      <c r="D261" s="116">
        <v>146.6</v>
      </c>
      <c r="E261" s="116">
        <v>146.80000000000001</v>
      </c>
      <c r="F261" s="116">
        <v>147.30000000000001</v>
      </c>
      <c r="G261">
        <v>50271</v>
      </c>
      <c r="H261" s="116"/>
      <c r="I261" s="116"/>
      <c r="L261" s="170">
        <v>43794</v>
      </c>
      <c r="M261" s="116">
        <v>147.30000000000001</v>
      </c>
      <c r="N261" s="116">
        <v>148.19999999999999</v>
      </c>
      <c r="O261" s="116">
        <v>146.25</v>
      </c>
      <c r="P261" s="116">
        <v>146.25</v>
      </c>
      <c r="Q261" s="116">
        <v>147.30000000000001</v>
      </c>
      <c r="R261">
        <v>619423</v>
      </c>
    </row>
    <row r="262" spans="1:18" x14ac:dyDescent="0.25">
      <c r="A262" s="170">
        <v>43795</v>
      </c>
      <c r="B262" s="116">
        <v>147.94999999999999</v>
      </c>
      <c r="C262" s="116">
        <v>146.15</v>
      </c>
      <c r="D262" s="116">
        <v>145.9</v>
      </c>
      <c r="E262" s="116">
        <v>147.80000000000001</v>
      </c>
      <c r="F262" s="116">
        <v>146.15</v>
      </c>
      <c r="G262">
        <v>27366</v>
      </c>
      <c r="H262" s="116"/>
      <c r="I262" s="116"/>
      <c r="L262" s="170">
        <v>43795</v>
      </c>
      <c r="M262" s="116">
        <v>146.19999999999999</v>
      </c>
      <c r="N262" s="116">
        <v>147.9</v>
      </c>
      <c r="O262" s="116">
        <v>146.05000000000001</v>
      </c>
      <c r="P262" s="116">
        <v>147.5</v>
      </c>
      <c r="Q262" s="116">
        <v>146.19999999999999</v>
      </c>
      <c r="R262">
        <v>507181</v>
      </c>
    </row>
    <row r="263" spans="1:18" x14ac:dyDescent="0.25">
      <c r="A263" s="170">
        <v>43796</v>
      </c>
      <c r="B263" s="116">
        <v>147.6</v>
      </c>
      <c r="C263" s="116">
        <v>146.65</v>
      </c>
      <c r="D263" s="116">
        <v>146.05000000000001</v>
      </c>
      <c r="E263" s="116">
        <v>147.6</v>
      </c>
      <c r="F263" s="116">
        <v>146.65</v>
      </c>
      <c r="G263">
        <v>25515</v>
      </c>
      <c r="H263" s="116"/>
      <c r="I263" s="116"/>
      <c r="L263" s="170">
        <v>43796</v>
      </c>
      <c r="M263" s="116">
        <v>146.69999999999999</v>
      </c>
      <c r="N263" s="116">
        <v>147.19999999999999</v>
      </c>
      <c r="O263" s="116">
        <v>146.1</v>
      </c>
      <c r="P263" s="116">
        <v>146.1</v>
      </c>
      <c r="Q263" s="116">
        <v>146.69999999999999</v>
      </c>
      <c r="R263">
        <v>312919</v>
      </c>
    </row>
    <row r="264" spans="1:18" x14ac:dyDescent="0.25">
      <c r="A264" s="170">
        <v>43797</v>
      </c>
      <c r="B264" s="116">
        <v>152</v>
      </c>
      <c r="C264" s="116">
        <v>149.5</v>
      </c>
      <c r="D264" s="116">
        <v>146.75</v>
      </c>
      <c r="E264" s="116">
        <v>147.69999999999999</v>
      </c>
      <c r="F264" s="116">
        <v>149.5</v>
      </c>
      <c r="G264">
        <v>357228</v>
      </c>
      <c r="H264" s="116"/>
      <c r="I264" s="116"/>
      <c r="L264" s="170">
        <v>43797</v>
      </c>
      <c r="M264" s="116">
        <v>149.44999999999999</v>
      </c>
      <c r="N264" s="116">
        <v>151.94999999999999</v>
      </c>
      <c r="O264" s="116">
        <v>146.69999999999999</v>
      </c>
      <c r="P264" s="116">
        <v>146.9</v>
      </c>
      <c r="Q264" s="116">
        <v>149.44999999999999</v>
      </c>
      <c r="R264">
        <v>2975528</v>
      </c>
    </row>
    <row r="265" spans="1:18" x14ac:dyDescent="0.25">
      <c r="A265" s="170">
        <v>43798</v>
      </c>
      <c r="B265" s="116">
        <v>168.6</v>
      </c>
      <c r="C265" s="116">
        <v>161.30000000000001</v>
      </c>
      <c r="D265" s="116">
        <v>149.35</v>
      </c>
      <c r="E265" s="116">
        <v>150.5</v>
      </c>
      <c r="F265" s="116">
        <v>161.30000000000001</v>
      </c>
      <c r="G265">
        <v>1383240</v>
      </c>
      <c r="H265" s="116"/>
      <c r="I265" s="116"/>
      <c r="L265" s="170">
        <v>43798</v>
      </c>
      <c r="M265" s="116">
        <v>161.35</v>
      </c>
      <c r="N265" s="116">
        <v>168.7</v>
      </c>
      <c r="O265" s="116">
        <v>149.1</v>
      </c>
      <c r="P265" s="116">
        <v>150.5</v>
      </c>
      <c r="Q265" s="116">
        <v>161.35</v>
      </c>
      <c r="R265">
        <v>10414685</v>
      </c>
    </row>
    <row r="266" spans="1:18" x14ac:dyDescent="0.25">
      <c r="A266" s="170">
        <v>43801</v>
      </c>
      <c r="B266" s="116">
        <v>167.7</v>
      </c>
      <c r="C266" s="116">
        <v>164</v>
      </c>
      <c r="D266" s="116">
        <v>158.5</v>
      </c>
      <c r="E266" s="116">
        <v>161.85</v>
      </c>
      <c r="F266" s="116">
        <v>164</v>
      </c>
      <c r="G266">
        <v>491639</v>
      </c>
      <c r="H266" s="116"/>
      <c r="I266" s="116"/>
      <c r="L266" s="170">
        <v>43801</v>
      </c>
      <c r="M266" s="116">
        <v>164.15</v>
      </c>
      <c r="N266" s="116">
        <v>167.7</v>
      </c>
      <c r="O266" s="116">
        <v>158.15</v>
      </c>
      <c r="P266" s="116">
        <v>161.5</v>
      </c>
      <c r="Q266" s="116">
        <v>164.15</v>
      </c>
      <c r="R266">
        <v>3953480</v>
      </c>
    </row>
    <row r="267" spans="1:18" x14ac:dyDescent="0.25">
      <c r="A267" s="170">
        <v>43802</v>
      </c>
      <c r="B267" s="116">
        <v>165</v>
      </c>
      <c r="C267" s="116">
        <v>155.15</v>
      </c>
      <c r="D267" s="116">
        <v>153.94999999999999</v>
      </c>
      <c r="E267" s="116">
        <v>164</v>
      </c>
      <c r="F267" s="116">
        <v>155.15</v>
      </c>
      <c r="G267">
        <v>227509</v>
      </c>
      <c r="H267" s="116"/>
      <c r="I267" s="116"/>
      <c r="L267" s="170">
        <v>43802</v>
      </c>
      <c r="M267" s="116">
        <v>155.25</v>
      </c>
      <c r="N267" s="116">
        <v>164.9</v>
      </c>
      <c r="O267" s="116">
        <v>153.94999999999999</v>
      </c>
      <c r="P267" s="116">
        <v>164</v>
      </c>
      <c r="Q267" s="116">
        <v>155.25</v>
      </c>
      <c r="R267">
        <v>1702781</v>
      </c>
    </row>
    <row r="268" spans="1:18" x14ac:dyDescent="0.25">
      <c r="A268" s="170">
        <v>43803</v>
      </c>
      <c r="B268" s="116">
        <v>158.4</v>
      </c>
      <c r="C268" s="116">
        <v>155.9</v>
      </c>
      <c r="D268" s="116">
        <v>152</v>
      </c>
      <c r="E268" s="116">
        <v>154</v>
      </c>
      <c r="F268" s="116">
        <v>155.9</v>
      </c>
      <c r="G268">
        <v>211508</v>
      </c>
      <c r="H268" s="116"/>
      <c r="I268" s="116"/>
      <c r="L268" s="170">
        <v>43803</v>
      </c>
      <c r="M268" s="116">
        <v>156</v>
      </c>
      <c r="N268" s="116">
        <v>158.44999999999999</v>
      </c>
      <c r="O268" s="116">
        <v>151.80000000000001</v>
      </c>
      <c r="P268" s="116">
        <v>153.4</v>
      </c>
      <c r="Q268" s="116">
        <v>156</v>
      </c>
      <c r="R268">
        <v>1564047</v>
      </c>
    </row>
    <row r="269" spans="1:18" x14ac:dyDescent="0.25">
      <c r="A269" s="170">
        <v>43804</v>
      </c>
      <c r="B269" s="116">
        <v>156.85</v>
      </c>
      <c r="C269" s="116">
        <v>152.30000000000001</v>
      </c>
      <c r="D269" s="116">
        <v>151.5</v>
      </c>
      <c r="E269" s="116">
        <v>156.85</v>
      </c>
      <c r="F269" s="116">
        <v>152.30000000000001</v>
      </c>
      <c r="G269">
        <v>105129</v>
      </c>
      <c r="H269" s="116"/>
      <c r="I269" s="116"/>
      <c r="L269" s="170">
        <v>43804</v>
      </c>
      <c r="M269" s="116">
        <v>152.25</v>
      </c>
      <c r="N269" s="116">
        <v>156.69999999999999</v>
      </c>
      <c r="O269" s="116">
        <v>151.5</v>
      </c>
      <c r="P269" s="116">
        <v>156.6</v>
      </c>
      <c r="Q269" s="116">
        <v>152.25</v>
      </c>
      <c r="R269">
        <v>754544</v>
      </c>
    </row>
    <row r="270" spans="1:18" x14ac:dyDescent="0.25">
      <c r="A270" s="170">
        <v>43805</v>
      </c>
      <c r="B270" s="116">
        <v>155.15</v>
      </c>
      <c r="C270" s="116">
        <v>150.55000000000001</v>
      </c>
      <c r="D270" s="116">
        <v>150</v>
      </c>
      <c r="E270" s="116">
        <v>151.4</v>
      </c>
      <c r="F270" s="116">
        <v>150.55000000000001</v>
      </c>
      <c r="G270">
        <v>155957</v>
      </c>
      <c r="H270" s="116"/>
      <c r="I270" s="116"/>
      <c r="L270" s="170">
        <v>43805</v>
      </c>
      <c r="M270" s="116">
        <v>150.65</v>
      </c>
      <c r="N270" s="116">
        <v>155.25</v>
      </c>
      <c r="O270" s="116">
        <v>150</v>
      </c>
      <c r="P270" s="116">
        <v>152.30000000000001</v>
      </c>
      <c r="Q270" s="116">
        <v>150.65</v>
      </c>
      <c r="R270">
        <v>1304654</v>
      </c>
    </row>
    <row r="271" spans="1:18" x14ac:dyDescent="0.25">
      <c r="A271" s="170">
        <v>43808</v>
      </c>
      <c r="B271" s="116">
        <v>153.4</v>
      </c>
      <c r="C271" s="116">
        <v>150.9</v>
      </c>
      <c r="D271" s="116">
        <v>150.1</v>
      </c>
      <c r="E271" s="116">
        <v>151.94999999999999</v>
      </c>
      <c r="F271" s="116">
        <v>150.9</v>
      </c>
      <c r="G271">
        <v>147177</v>
      </c>
      <c r="H271" s="116"/>
      <c r="I271" s="116"/>
      <c r="L271" s="170">
        <v>43808</v>
      </c>
      <c r="M271" s="116">
        <v>150.69999999999999</v>
      </c>
      <c r="N271" s="116">
        <v>153.35</v>
      </c>
      <c r="O271" s="116">
        <v>150</v>
      </c>
      <c r="P271" s="116">
        <v>151</v>
      </c>
      <c r="Q271" s="116">
        <v>150.69999999999999</v>
      </c>
      <c r="R271">
        <v>891402</v>
      </c>
    </row>
    <row r="272" spans="1:18" x14ac:dyDescent="0.25">
      <c r="A272" s="170">
        <v>43809</v>
      </c>
      <c r="B272" s="116">
        <v>157.5</v>
      </c>
      <c r="C272" s="116">
        <v>153.19999999999999</v>
      </c>
      <c r="D272" s="116">
        <v>152</v>
      </c>
      <c r="E272" s="116">
        <v>152</v>
      </c>
      <c r="F272" s="116">
        <v>153.19999999999999</v>
      </c>
      <c r="G272">
        <v>195881</v>
      </c>
      <c r="H272" s="116"/>
      <c r="I272" s="116"/>
      <c r="L272" s="170">
        <v>43809</v>
      </c>
      <c r="M272" s="116">
        <v>153.30000000000001</v>
      </c>
      <c r="N272" s="116">
        <v>157.65</v>
      </c>
      <c r="O272" s="116">
        <v>151.19999999999999</v>
      </c>
      <c r="P272" s="116">
        <v>151.19999999999999</v>
      </c>
      <c r="Q272" s="116">
        <v>153.30000000000001</v>
      </c>
      <c r="R272">
        <v>1686674</v>
      </c>
    </row>
    <row r="273" spans="1:18" x14ac:dyDescent="0.25">
      <c r="A273" s="170">
        <v>43810</v>
      </c>
      <c r="B273" s="116">
        <v>155.5</v>
      </c>
      <c r="C273" s="116">
        <v>152</v>
      </c>
      <c r="D273" s="116">
        <v>151.25</v>
      </c>
      <c r="E273" s="116">
        <v>154.44999999999999</v>
      </c>
      <c r="F273" s="116">
        <v>152</v>
      </c>
      <c r="G273">
        <v>106900</v>
      </c>
      <c r="H273" s="116"/>
      <c r="I273" s="116"/>
      <c r="L273" s="170">
        <v>43810</v>
      </c>
      <c r="M273" s="116">
        <v>152</v>
      </c>
      <c r="N273" s="116">
        <v>155.5</v>
      </c>
      <c r="O273" s="116">
        <v>151.05000000000001</v>
      </c>
      <c r="P273" s="116">
        <v>154.05000000000001</v>
      </c>
      <c r="Q273" s="116">
        <v>152</v>
      </c>
      <c r="R273">
        <v>825701</v>
      </c>
    </row>
    <row r="274" spans="1:18" x14ac:dyDescent="0.25">
      <c r="A274" s="170">
        <v>43811</v>
      </c>
      <c r="B274" s="116">
        <v>154.55000000000001</v>
      </c>
      <c r="C274" s="116">
        <v>151.80000000000001</v>
      </c>
      <c r="D274" s="116">
        <v>151.4</v>
      </c>
      <c r="E274" s="116">
        <v>153.9</v>
      </c>
      <c r="F274" s="116">
        <v>151.80000000000001</v>
      </c>
      <c r="G274">
        <v>77047</v>
      </c>
      <c r="H274" s="116"/>
      <c r="I274" s="116"/>
      <c r="L274" s="170">
        <v>43811</v>
      </c>
      <c r="M274" s="116">
        <v>151.9</v>
      </c>
      <c r="N274" s="116">
        <v>154.44999999999999</v>
      </c>
      <c r="O274" s="116">
        <v>151.4</v>
      </c>
      <c r="P274" s="116">
        <v>152.9</v>
      </c>
      <c r="Q274" s="116">
        <v>151.9</v>
      </c>
      <c r="R274">
        <v>654162</v>
      </c>
    </row>
    <row r="275" spans="1:18" x14ac:dyDescent="0.25">
      <c r="A275" s="170">
        <v>43812</v>
      </c>
      <c r="B275" s="116">
        <v>153.25</v>
      </c>
      <c r="C275" s="116">
        <v>151.6</v>
      </c>
      <c r="D275" s="116">
        <v>151</v>
      </c>
      <c r="E275" s="116">
        <v>151.9</v>
      </c>
      <c r="F275" s="116">
        <v>151.6</v>
      </c>
      <c r="G275">
        <v>58729</v>
      </c>
      <c r="H275" s="116"/>
      <c r="I275" s="116"/>
      <c r="L275" s="170">
        <v>43812</v>
      </c>
      <c r="M275" s="116">
        <v>151.55000000000001</v>
      </c>
      <c r="N275" s="116">
        <v>153.4</v>
      </c>
      <c r="O275" s="116">
        <v>151.1</v>
      </c>
      <c r="P275" s="116">
        <v>152</v>
      </c>
      <c r="Q275" s="116">
        <v>151.55000000000001</v>
      </c>
      <c r="R275">
        <v>542839</v>
      </c>
    </row>
    <row r="276" spans="1:18" x14ac:dyDescent="0.25">
      <c r="A276" s="170">
        <v>43815</v>
      </c>
      <c r="B276" s="116">
        <v>153.80000000000001</v>
      </c>
      <c r="C276" s="116">
        <v>151.5</v>
      </c>
      <c r="D276" s="116">
        <v>151.19999999999999</v>
      </c>
      <c r="E276" s="116">
        <v>151.6</v>
      </c>
      <c r="F276" s="116">
        <v>151.5</v>
      </c>
      <c r="G276">
        <v>89606</v>
      </c>
      <c r="H276" s="116"/>
      <c r="I276" s="116"/>
      <c r="L276" s="170">
        <v>43815</v>
      </c>
      <c r="M276" s="116">
        <v>151.6</v>
      </c>
      <c r="N276" s="116">
        <v>153.75</v>
      </c>
      <c r="O276" s="116">
        <v>151.25</v>
      </c>
      <c r="P276" s="116">
        <v>151.25</v>
      </c>
      <c r="Q276" s="116">
        <v>151.6</v>
      </c>
      <c r="R276">
        <v>627133</v>
      </c>
    </row>
    <row r="277" spans="1:18" x14ac:dyDescent="0.25">
      <c r="A277" s="170">
        <v>43816</v>
      </c>
      <c r="B277" s="116">
        <v>152.5</v>
      </c>
      <c r="C277" s="116">
        <v>150.55000000000001</v>
      </c>
      <c r="D277" s="116">
        <v>150.35</v>
      </c>
      <c r="E277" s="116">
        <v>152.30000000000001</v>
      </c>
      <c r="F277" s="116">
        <v>150.55000000000001</v>
      </c>
      <c r="G277">
        <v>70864</v>
      </c>
      <c r="H277" s="116"/>
      <c r="I277" s="116"/>
      <c r="L277" s="170">
        <v>43816</v>
      </c>
      <c r="M277" s="116">
        <v>150.65</v>
      </c>
      <c r="N277" s="116">
        <v>152.55000000000001</v>
      </c>
      <c r="O277" s="116">
        <v>150.4</v>
      </c>
      <c r="P277" s="116">
        <v>152</v>
      </c>
      <c r="Q277" s="116">
        <v>150.65</v>
      </c>
      <c r="R277">
        <v>562415</v>
      </c>
    </row>
    <row r="278" spans="1:18" x14ac:dyDescent="0.25">
      <c r="A278" s="170">
        <v>43817</v>
      </c>
      <c r="B278" s="116">
        <v>152</v>
      </c>
      <c r="C278" s="116">
        <v>150.69999999999999</v>
      </c>
      <c r="D278" s="116">
        <v>150.44999999999999</v>
      </c>
      <c r="E278" s="116">
        <v>151</v>
      </c>
      <c r="F278" s="116">
        <v>150.69999999999999</v>
      </c>
      <c r="G278">
        <v>53894</v>
      </c>
      <c r="H278" s="116"/>
      <c r="I278" s="116"/>
      <c r="L278" s="170">
        <v>43817</v>
      </c>
      <c r="M278" s="116">
        <v>150.75</v>
      </c>
      <c r="N278" s="116">
        <v>151.9</v>
      </c>
      <c r="O278" s="116">
        <v>150.5</v>
      </c>
      <c r="P278" s="116">
        <v>151</v>
      </c>
      <c r="Q278" s="116">
        <v>150.75</v>
      </c>
      <c r="R278">
        <v>380427</v>
      </c>
    </row>
    <row r="279" spans="1:18" x14ac:dyDescent="0.25">
      <c r="A279" s="170">
        <v>43818</v>
      </c>
      <c r="B279" s="116">
        <v>151.5</v>
      </c>
      <c r="C279" s="116">
        <v>150.94999999999999</v>
      </c>
      <c r="D279" s="116">
        <v>150.5</v>
      </c>
      <c r="E279" s="116">
        <v>151.44999999999999</v>
      </c>
      <c r="F279" s="116">
        <v>150.94999999999999</v>
      </c>
      <c r="G279">
        <v>73575</v>
      </c>
      <c r="H279" s="116"/>
      <c r="I279" s="116"/>
      <c r="L279" s="170">
        <v>43818</v>
      </c>
      <c r="M279" s="116">
        <v>151.1</v>
      </c>
      <c r="N279" s="116">
        <v>151.5</v>
      </c>
      <c r="O279" s="116">
        <v>150.44999999999999</v>
      </c>
      <c r="P279" s="116">
        <v>150.6</v>
      </c>
      <c r="Q279" s="116">
        <v>151.1</v>
      </c>
      <c r="R279">
        <v>374913</v>
      </c>
    </row>
    <row r="280" spans="1:18" x14ac:dyDescent="0.25">
      <c r="A280" s="170">
        <v>43819</v>
      </c>
      <c r="B280" s="116">
        <v>153</v>
      </c>
      <c r="C280" s="116">
        <v>151</v>
      </c>
      <c r="D280" s="116">
        <v>150.85</v>
      </c>
      <c r="E280" s="116">
        <v>151.35</v>
      </c>
      <c r="F280" s="116">
        <v>151</v>
      </c>
      <c r="G280">
        <v>97063</v>
      </c>
      <c r="H280" s="116"/>
      <c r="I280" s="116"/>
      <c r="L280" s="170">
        <v>43819</v>
      </c>
      <c r="M280" s="116">
        <v>151</v>
      </c>
      <c r="N280" s="116">
        <v>152.9</v>
      </c>
      <c r="O280" s="116">
        <v>151</v>
      </c>
      <c r="P280" s="116">
        <v>151.1</v>
      </c>
      <c r="Q280" s="116">
        <v>151</v>
      </c>
      <c r="R280">
        <v>879699</v>
      </c>
    </row>
    <row r="281" spans="1:18" x14ac:dyDescent="0.25">
      <c r="A281" s="170">
        <v>43822</v>
      </c>
      <c r="B281" s="116">
        <v>151.05000000000001</v>
      </c>
      <c r="C281" s="116">
        <v>149.94999999999999</v>
      </c>
      <c r="D281" s="116">
        <v>149.05000000000001</v>
      </c>
      <c r="E281" s="116">
        <v>151.05000000000001</v>
      </c>
      <c r="F281" s="116">
        <v>149.94999999999999</v>
      </c>
      <c r="G281">
        <v>65113</v>
      </c>
      <c r="H281" s="116"/>
      <c r="I281" s="116"/>
      <c r="L281" s="170">
        <v>43822</v>
      </c>
      <c r="M281" s="116">
        <v>150.05000000000001</v>
      </c>
      <c r="N281" s="116">
        <v>150.85</v>
      </c>
      <c r="O281" s="116">
        <v>148.75</v>
      </c>
      <c r="P281" s="116">
        <v>150.69999999999999</v>
      </c>
      <c r="Q281" s="116">
        <v>150.05000000000001</v>
      </c>
      <c r="R281">
        <v>551702</v>
      </c>
    </row>
    <row r="282" spans="1:18" x14ac:dyDescent="0.25">
      <c r="A282" s="170">
        <v>43823</v>
      </c>
      <c r="B282" s="116">
        <v>158.69999999999999</v>
      </c>
      <c r="C282" s="116">
        <v>157.05000000000001</v>
      </c>
      <c r="D282" s="116">
        <v>150.30000000000001</v>
      </c>
      <c r="E282" s="116">
        <v>150.35</v>
      </c>
      <c r="F282" s="116">
        <v>157.05000000000001</v>
      </c>
      <c r="G282">
        <v>389913</v>
      </c>
      <c r="H282" s="116"/>
      <c r="I282" s="116"/>
      <c r="L282" s="170">
        <v>43823</v>
      </c>
      <c r="M282" s="116">
        <v>157.05000000000001</v>
      </c>
      <c r="N282" s="116">
        <v>158.69999999999999</v>
      </c>
      <c r="O282" s="116">
        <v>150.15</v>
      </c>
      <c r="P282" s="116">
        <v>150.15</v>
      </c>
      <c r="Q282" s="116">
        <v>157.05000000000001</v>
      </c>
      <c r="R282">
        <v>3877678</v>
      </c>
    </row>
    <row r="283" spans="1:18" x14ac:dyDescent="0.25">
      <c r="A283" s="170">
        <v>43825</v>
      </c>
      <c r="B283" s="116">
        <v>159.94999999999999</v>
      </c>
      <c r="C283" s="116">
        <v>155</v>
      </c>
      <c r="D283" s="116">
        <v>154.35</v>
      </c>
      <c r="E283" s="116">
        <v>156.6</v>
      </c>
      <c r="F283" s="116">
        <v>155</v>
      </c>
      <c r="G283">
        <v>213143</v>
      </c>
      <c r="H283" s="116"/>
      <c r="I283" s="116"/>
      <c r="L283" s="170">
        <v>43825</v>
      </c>
      <c r="M283" s="116">
        <v>155</v>
      </c>
      <c r="N283" s="116">
        <v>159.94999999999999</v>
      </c>
      <c r="O283" s="116">
        <v>154.1</v>
      </c>
      <c r="P283" s="116">
        <v>156.19999999999999</v>
      </c>
      <c r="Q283" s="116">
        <v>155</v>
      </c>
      <c r="R283">
        <v>2044960</v>
      </c>
    </row>
    <row r="284" spans="1:18" x14ac:dyDescent="0.25">
      <c r="A284" s="170">
        <v>43826</v>
      </c>
      <c r="B284" s="116">
        <v>158.5</v>
      </c>
      <c r="C284" s="116">
        <v>155.65</v>
      </c>
      <c r="D284" s="116">
        <v>154</v>
      </c>
      <c r="E284" s="116">
        <v>156.94999999999999</v>
      </c>
      <c r="F284" s="116">
        <v>155.65</v>
      </c>
      <c r="G284">
        <v>102905</v>
      </c>
      <c r="H284" s="116"/>
      <c r="I284" s="116"/>
      <c r="L284" s="170">
        <v>43826</v>
      </c>
      <c r="M284" s="116">
        <v>155.69999999999999</v>
      </c>
      <c r="N284" s="116">
        <v>158.5</v>
      </c>
      <c r="O284" s="116">
        <v>153.94999999999999</v>
      </c>
      <c r="P284" s="116">
        <v>155.65</v>
      </c>
      <c r="Q284" s="116">
        <v>155.69999999999999</v>
      </c>
      <c r="R284">
        <v>1048977</v>
      </c>
    </row>
    <row r="285" spans="1:18" x14ac:dyDescent="0.25">
      <c r="A285" s="170">
        <v>43829</v>
      </c>
      <c r="B285" s="116">
        <v>157</v>
      </c>
      <c r="C285" s="116">
        <v>155.75</v>
      </c>
      <c r="D285" s="116">
        <v>154.1</v>
      </c>
      <c r="E285" s="116">
        <v>156.25</v>
      </c>
      <c r="F285" s="116">
        <v>155.75</v>
      </c>
      <c r="G285">
        <v>126232</v>
      </c>
      <c r="H285" s="116"/>
      <c r="I285" s="116"/>
      <c r="L285" s="170">
        <v>43829</v>
      </c>
      <c r="M285" s="116">
        <v>155.80000000000001</v>
      </c>
      <c r="N285" s="116">
        <v>156.9</v>
      </c>
      <c r="O285" s="116">
        <v>154.05000000000001</v>
      </c>
      <c r="P285" s="116">
        <v>156</v>
      </c>
      <c r="Q285" s="116">
        <v>155.80000000000001</v>
      </c>
      <c r="R285">
        <v>866718</v>
      </c>
    </row>
    <row r="286" spans="1:18" x14ac:dyDescent="0.25">
      <c r="A286" s="170">
        <v>43830</v>
      </c>
      <c r="B286" s="116">
        <v>164.3</v>
      </c>
      <c r="C286" s="116">
        <v>162.69999999999999</v>
      </c>
      <c r="D286" s="116">
        <v>155.5</v>
      </c>
      <c r="E286" s="116">
        <v>155.5</v>
      </c>
      <c r="F286" s="116">
        <v>162.69999999999999</v>
      </c>
      <c r="G286">
        <v>367732</v>
      </c>
      <c r="H286" s="116"/>
      <c r="I286" s="116"/>
      <c r="L286" s="170">
        <v>43830</v>
      </c>
      <c r="M286" s="116">
        <v>162.69999999999999</v>
      </c>
      <c r="N286" s="116">
        <v>164.4</v>
      </c>
      <c r="O286" s="116">
        <v>155.15</v>
      </c>
      <c r="P286" s="116">
        <v>155.44999999999999</v>
      </c>
      <c r="Q286" s="116">
        <v>162.69999999999999</v>
      </c>
      <c r="R286">
        <v>3897522</v>
      </c>
    </row>
    <row r="287" spans="1:18" x14ac:dyDescent="0.25">
      <c r="A287" s="170">
        <v>43831</v>
      </c>
      <c r="B287" s="116">
        <v>179.7</v>
      </c>
      <c r="C287" s="116">
        <v>176.95</v>
      </c>
      <c r="D287" s="116">
        <v>160.5</v>
      </c>
      <c r="E287" s="116">
        <v>163.80000000000001</v>
      </c>
      <c r="F287" s="116">
        <v>176.95</v>
      </c>
      <c r="G287">
        <v>743121</v>
      </c>
      <c r="H287" s="116"/>
      <c r="I287" s="116"/>
      <c r="L287" s="170">
        <v>43831</v>
      </c>
      <c r="M287" s="116">
        <v>176.85</v>
      </c>
      <c r="N287" s="116">
        <v>179.7</v>
      </c>
      <c r="O287" s="116">
        <v>160.4</v>
      </c>
      <c r="P287" s="116">
        <v>163.4</v>
      </c>
      <c r="Q287" s="116">
        <v>176.85</v>
      </c>
      <c r="R287">
        <v>7801084</v>
      </c>
    </row>
    <row r="288" spans="1:18" x14ac:dyDescent="0.25">
      <c r="A288" s="170">
        <v>43832</v>
      </c>
      <c r="B288" s="116">
        <v>185.6</v>
      </c>
      <c r="C288" s="116">
        <v>179.75</v>
      </c>
      <c r="D288" s="116">
        <v>177.35</v>
      </c>
      <c r="E288" s="116">
        <v>178.1</v>
      </c>
      <c r="F288" s="116">
        <v>179.75</v>
      </c>
      <c r="G288">
        <v>758097</v>
      </c>
      <c r="H288" s="116"/>
      <c r="I288" s="116"/>
      <c r="L288" s="170">
        <v>43832</v>
      </c>
      <c r="M288" s="116">
        <v>179.95</v>
      </c>
      <c r="N288" s="116">
        <v>185.6</v>
      </c>
      <c r="O288" s="116">
        <v>177.2</v>
      </c>
      <c r="P288" s="116">
        <v>178.35</v>
      </c>
      <c r="Q288" s="116">
        <v>179.95</v>
      </c>
      <c r="R288">
        <v>8005588</v>
      </c>
    </row>
    <row r="289" spans="1:18" x14ac:dyDescent="0.25">
      <c r="A289" s="170">
        <v>43833</v>
      </c>
      <c r="B289" s="116">
        <v>182</v>
      </c>
      <c r="C289" s="116">
        <v>174.3</v>
      </c>
      <c r="D289" s="116">
        <v>172.5</v>
      </c>
      <c r="E289" s="116">
        <v>177.4</v>
      </c>
      <c r="F289" s="116">
        <v>174.3</v>
      </c>
      <c r="G289">
        <v>441673</v>
      </c>
      <c r="H289" s="116"/>
      <c r="I289" s="116"/>
      <c r="L289" s="170">
        <v>43833</v>
      </c>
      <c r="M289" s="116">
        <v>174.5</v>
      </c>
      <c r="N289" s="116">
        <v>182</v>
      </c>
      <c r="O289" s="116">
        <v>172.3</v>
      </c>
      <c r="P289" s="116">
        <v>177</v>
      </c>
      <c r="Q289" s="116">
        <v>174.5</v>
      </c>
      <c r="R289">
        <v>3420929</v>
      </c>
    </row>
    <row r="290" spans="1:18" x14ac:dyDescent="0.25">
      <c r="A290" s="170">
        <v>43836</v>
      </c>
      <c r="B290" s="116">
        <v>174.4</v>
      </c>
      <c r="C290" s="116">
        <v>163.25</v>
      </c>
      <c r="D290" s="116">
        <v>157.05000000000001</v>
      </c>
      <c r="E290" s="116">
        <v>174.4</v>
      </c>
      <c r="F290" s="116">
        <v>163.25</v>
      </c>
      <c r="G290">
        <v>411659</v>
      </c>
      <c r="H290" s="116"/>
      <c r="I290" s="116"/>
      <c r="L290" s="170">
        <v>43836</v>
      </c>
      <c r="M290" s="116">
        <v>163.30000000000001</v>
      </c>
      <c r="N290" s="116">
        <v>173.35</v>
      </c>
      <c r="O290" s="116">
        <v>157</v>
      </c>
      <c r="P290" s="116">
        <v>173</v>
      </c>
      <c r="Q290" s="116">
        <v>163.30000000000001</v>
      </c>
      <c r="R290">
        <v>3235049</v>
      </c>
    </row>
    <row r="291" spans="1:18" x14ac:dyDescent="0.25">
      <c r="A291" s="170">
        <v>43837</v>
      </c>
      <c r="B291" s="116">
        <v>173</v>
      </c>
      <c r="C291" s="116">
        <v>171.05</v>
      </c>
      <c r="D291" s="116">
        <v>166</v>
      </c>
      <c r="E291" s="116">
        <v>168</v>
      </c>
      <c r="F291" s="116">
        <v>171.05</v>
      </c>
      <c r="G291">
        <v>365087</v>
      </c>
      <c r="H291" s="116"/>
      <c r="I291" s="116"/>
      <c r="L291" s="170">
        <v>43837</v>
      </c>
      <c r="M291" s="116">
        <v>171.1</v>
      </c>
      <c r="N291" s="116">
        <v>173</v>
      </c>
      <c r="O291" s="116">
        <v>165.8</v>
      </c>
      <c r="P291" s="116">
        <v>165.8</v>
      </c>
      <c r="Q291" s="116">
        <v>171.1</v>
      </c>
      <c r="R291">
        <v>3698599</v>
      </c>
    </row>
    <row r="292" spans="1:18" x14ac:dyDescent="0.25">
      <c r="A292" s="170">
        <v>43838</v>
      </c>
      <c r="B292" s="116">
        <v>173.2</v>
      </c>
      <c r="C292" s="116">
        <v>168.3</v>
      </c>
      <c r="D292" s="116">
        <v>166</v>
      </c>
      <c r="E292" s="116">
        <v>167</v>
      </c>
      <c r="F292" s="116">
        <v>168.3</v>
      </c>
      <c r="G292">
        <v>256073</v>
      </c>
      <c r="H292" s="116"/>
      <c r="I292" s="116"/>
      <c r="L292" s="170">
        <v>43838</v>
      </c>
      <c r="M292" s="116">
        <v>168.25</v>
      </c>
      <c r="N292" s="116">
        <v>173</v>
      </c>
      <c r="O292" s="116">
        <v>165.8</v>
      </c>
      <c r="P292" s="116">
        <v>167.3</v>
      </c>
      <c r="Q292" s="116">
        <v>168.25</v>
      </c>
      <c r="R292">
        <v>2106347</v>
      </c>
    </row>
    <row r="293" spans="1:18" x14ac:dyDescent="0.25">
      <c r="A293" s="170">
        <v>43839</v>
      </c>
      <c r="B293" s="116">
        <v>174.55</v>
      </c>
      <c r="C293" s="116">
        <v>169.55</v>
      </c>
      <c r="D293" s="116">
        <v>169</v>
      </c>
      <c r="E293" s="116">
        <v>171.1</v>
      </c>
      <c r="F293" s="116">
        <v>169.55</v>
      </c>
      <c r="G293">
        <v>277756</v>
      </c>
      <c r="H293" s="116"/>
      <c r="I293" s="116"/>
      <c r="L293" s="170">
        <v>43839</v>
      </c>
      <c r="M293" s="116">
        <v>169.6</v>
      </c>
      <c r="N293" s="116">
        <v>174.9</v>
      </c>
      <c r="O293" s="116">
        <v>168.9</v>
      </c>
      <c r="P293" s="116">
        <v>172.5</v>
      </c>
      <c r="Q293" s="116">
        <v>169.6</v>
      </c>
      <c r="R293">
        <v>1688538</v>
      </c>
    </row>
    <row r="294" spans="1:18" x14ac:dyDescent="0.25">
      <c r="A294" s="170">
        <v>43840</v>
      </c>
      <c r="B294" s="116">
        <v>171</v>
      </c>
      <c r="C294" s="116">
        <v>164</v>
      </c>
      <c r="D294" s="116">
        <v>163.35</v>
      </c>
      <c r="E294" s="116">
        <v>170.55</v>
      </c>
      <c r="F294" s="116">
        <v>164</v>
      </c>
      <c r="G294">
        <v>224676</v>
      </c>
      <c r="H294" s="116"/>
      <c r="I294" s="116"/>
      <c r="L294" s="170">
        <v>43840</v>
      </c>
      <c r="M294" s="116">
        <v>164.25</v>
      </c>
      <c r="N294" s="116">
        <v>171</v>
      </c>
      <c r="O294" s="116">
        <v>163</v>
      </c>
      <c r="P294" s="116">
        <v>170.7</v>
      </c>
      <c r="Q294" s="116">
        <v>164.25</v>
      </c>
      <c r="R294">
        <v>1484336</v>
      </c>
    </row>
    <row r="295" spans="1:18" x14ac:dyDescent="0.25">
      <c r="A295" s="170">
        <v>43843</v>
      </c>
      <c r="B295" s="116">
        <v>169.9</v>
      </c>
      <c r="C295" s="116">
        <v>168</v>
      </c>
      <c r="D295" s="116">
        <v>164.55</v>
      </c>
      <c r="E295" s="116">
        <v>165.65</v>
      </c>
      <c r="F295" s="116">
        <v>168</v>
      </c>
      <c r="G295">
        <v>154750</v>
      </c>
      <c r="H295" s="116"/>
      <c r="I295" s="116"/>
      <c r="L295" s="170">
        <v>43843</v>
      </c>
      <c r="M295" s="116">
        <v>168</v>
      </c>
      <c r="N295" s="116">
        <v>169.95</v>
      </c>
      <c r="O295" s="116">
        <v>165</v>
      </c>
      <c r="P295" s="116">
        <v>165</v>
      </c>
      <c r="Q295" s="116">
        <v>168</v>
      </c>
      <c r="R295">
        <v>1371568</v>
      </c>
    </row>
    <row r="296" spans="1:18" x14ac:dyDescent="0.25">
      <c r="A296" s="170">
        <v>43844</v>
      </c>
      <c r="B296" s="116">
        <v>171.5</v>
      </c>
      <c r="C296" s="116">
        <v>169.2</v>
      </c>
      <c r="D296" s="116">
        <v>166.65</v>
      </c>
      <c r="E296" s="116">
        <v>169.4</v>
      </c>
      <c r="F296" s="116">
        <v>169.2</v>
      </c>
      <c r="G296">
        <v>157851</v>
      </c>
      <c r="H296" s="116"/>
      <c r="I296" s="116"/>
      <c r="L296" s="170">
        <v>43844</v>
      </c>
      <c r="M296" s="116">
        <v>169.25</v>
      </c>
      <c r="N296" s="116">
        <v>171.5</v>
      </c>
      <c r="O296" s="116">
        <v>166.45</v>
      </c>
      <c r="P296" s="116">
        <v>168.55</v>
      </c>
      <c r="Q296" s="116">
        <v>169.25</v>
      </c>
      <c r="R296">
        <v>1181436</v>
      </c>
    </row>
    <row r="297" spans="1:18" x14ac:dyDescent="0.25">
      <c r="A297" s="170">
        <v>43845</v>
      </c>
      <c r="B297" s="116">
        <v>177.5</v>
      </c>
      <c r="C297" s="116">
        <v>174.7</v>
      </c>
      <c r="D297" s="116">
        <v>171</v>
      </c>
      <c r="E297" s="116">
        <v>171.2</v>
      </c>
      <c r="F297" s="116">
        <v>174.7</v>
      </c>
      <c r="G297">
        <v>384501</v>
      </c>
      <c r="H297" s="116"/>
      <c r="I297" s="116"/>
      <c r="L297" s="170">
        <v>43845</v>
      </c>
      <c r="M297" s="116">
        <v>174.9</v>
      </c>
      <c r="N297" s="116">
        <v>177.7</v>
      </c>
      <c r="O297" s="116">
        <v>170.65</v>
      </c>
      <c r="P297" s="116">
        <v>171</v>
      </c>
      <c r="Q297" s="116">
        <v>174.9</v>
      </c>
      <c r="R297">
        <v>3823035</v>
      </c>
    </row>
    <row r="298" spans="1:18" x14ac:dyDescent="0.25">
      <c r="A298" s="170">
        <v>43846</v>
      </c>
      <c r="B298" s="116">
        <v>178.45</v>
      </c>
      <c r="C298" s="116">
        <v>174.05</v>
      </c>
      <c r="D298" s="116">
        <v>173.3</v>
      </c>
      <c r="E298" s="116">
        <v>176</v>
      </c>
      <c r="F298" s="116">
        <v>174.05</v>
      </c>
      <c r="G298">
        <v>178443</v>
      </c>
      <c r="H298" s="116"/>
      <c r="I298" s="116"/>
      <c r="L298" s="170">
        <v>43846</v>
      </c>
      <c r="M298" s="116">
        <v>174.15</v>
      </c>
      <c r="N298" s="116">
        <v>178.4</v>
      </c>
      <c r="O298" s="116">
        <v>173.25</v>
      </c>
      <c r="P298" s="116">
        <v>175.95</v>
      </c>
      <c r="Q298" s="116">
        <v>174.15</v>
      </c>
      <c r="R298">
        <v>1539425</v>
      </c>
    </row>
    <row r="299" spans="1:18" x14ac:dyDescent="0.25">
      <c r="A299" s="170">
        <v>43847</v>
      </c>
      <c r="B299" s="116">
        <v>178.5</v>
      </c>
      <c r="C299" s="116">
        <v>174.45</v>
      </c>
      <c r="D299" s="116">
        <v>171.8</v>
      </c>
      <c r="E299" s="116">
        <v>173.1</v>
      </c>
      <c r="F299" s="116">
        <v>174.45</v>
      </c>
      <c r="G299">
        <v>268829</v>
      </c>
      <c r="H299" s="116"/>
      <c r="I299" s="116"/>
      <c r="L299" s="170">
        <v>43847</v>
      </c>
      <c r="M299" s="116">
        <v>174.65</v>
      </c>
      <c r="N299" s="116">
        <v>178.45</v>
      </c>
      <c r="O299" s="116">
        <v>171.65</v>
      </c>
      <c r="P299" s="116">
        <v>172.5</v>
      </c>
      <c r="Q299" s="116">
        <v>174.65</v>
      </c>
      <c r="R299">
        <v>2357915</v>
      </c>
    </row>
    <row r="300" spans="1:18" x14ac:dyDescent="0.25">
      <c r="A300" s="170">
        <v>43850</v>
      </c>
      <c r="B300" s="116">
        <v>177</v>
      </c>
      <c r="C300" s="116">
        <v>171.95</v>
      </c>
      <c r="D300" s="116">
        <v>171.4</v>
      </c>
      <c r="E300" s="116">
        <v>176.3</v>
      </c>
      <c r="F300" s="116">
        <v>171.95</v>
      </c>
      <c r="G300">
        <v>137752</v>
      </c>
      <c r="H300" s="116"/>
      <c r="I300" s="116"/>
      <c r="L300" s="170">
        <v>43850</v>
      </c>
      <c r="M300" s="116">
        <v>172.05</v>
      </c>
      <c r="N300" s="116">
        <v>176.95</v>
      </c>
      <c r="O300" s="116">
        <v>171.35</v>
      </c>
      <c r="P300" s="116">
        <v>175.9</v>
      </c>
      <c r="Q300" s="116">
        <v>172.05</v>
      </c>
      <c r="R300">
        <v>983264</v>
      </c>
    </row>
    <row r="301" spans="1:18" x14ac:dyDescent="0.25">
      <c r="A301" s="170">
        <v>43851</v>
      </c>
      <c r="B301" s="116">
        <v>172.55</v>
      </c>
      <c r="C301" s="116">
        <v>169.65</v>
      </c>
      <c r="D301" s="116">
        <v>169.2</v>
      </c>
      <c r="E301" s="116">
        <v>171.9</v>
      </c>
      <c r="F301" s="116">
        <v>169.65</v>
      </c>
      <c r="G301">
        <v>66737</v>
      </c>
      <c r="H301" s="116"/>
      <c r="I301" s="116"/>
      <c r="L301" s="170">
        <v>43851</v>
      </c>
      <c r="M301" s="116">
        <v>169.8</v>
      </c>
      <c r="N301" s="116">
        <v>172.55</v>
      </c>
      <c r="O301" s="116">
        <v>169.2</v>
      </c>
      <c r="P301" s="116">
        <v>171.35</v>
      </c>
      <c r="Q301" s="116">
        <v>169.8</v>
      </c>
      <c r="R301">
        <v>646295</v>
      </c>
    </row>
    <row r="302" spans="1:18" x14ac:dyDescent="0.25">
      <c r="A302" s="170">
        <v>43852</v>
      </c>
      <c r="B302" s="116">
        <v>171.4</v>
      </c>
      <c r="C302" s="116">
        <v>166.8</v>
      </c>
      <c r="D302" s="116">
        <v>165.6</v>
      </c>
      <c r="E302" s="116">
        <v>170.15</v>
      </c>
      <c r="F302" s="116">
        <v>166.8</v>
      </c>
      <c r="G302">
        <v>93818</v>
      </c>
      <c r="H302" s="116"/>
      <c r="I302" s="116"/>
      <c r="L302" s="170">
        <v>43852</v>
      </c>
      <c r="M302" s="116">
        <v>166.85</v>
      </c>
      <c r="N302" s="116">
        <v>171.45</v>
      </c>
      <c r="O302" s="116">
        <v>165.25</v>
      </c>
      <c r="P302" s="116">
        <v>170.7</v>
      </c>
      <c r="Q302" s="116">
        <v>166.85</v>
      </c>
      <c r="R302">
        <v>710302</v>
      </c>
    </row>
    <row r="303" spans="1:18" x14ac:dyDescent="0.25">
      <c r="A303" s="170">
        <v>43853</v>
      </c>
      <c r="B303" s="116">
        <v>174.75</v>
      </c>
      <c r="C303" s="116">
        <v>172.85</v>
      </c>
      <c r="D303" s="116">
        <v>166.6</v>
      </c>
      <c r="E303" s="116">
        <v>167.5</v>
      </c>
      <c r="F303" s="116">
        <v>172.85</v>
      </c>
      <c r="G303">
        <v>200248</v>
      </c>
      <c r="H303" s="116"/>
      <c r="I303" s="116"/>
      <c r="L303" s="170">
        <v>43853</v>
      </c>
      <c r="M303" s="116">
        <v>172.9</v>
      </c>
      <c r="N303" s="116">
        <v>174.8</v>
      </c>
      <c r="O303" s="116">
        <v>166.55</v>
      </c>
      <c r="P303" s="116">
        <v>167.3</v>
      </c>
      <c r="Q303" s="116">
        <v>172.9</v>
      </c>
      <c r="R303">
        <v>1942737</v>
      </c>
    </row>
    <row r="304" spans="1:18" x14ac:dyDescent="0.25">
      <c r="A304" s="170">
        <v>43854</v>
      </c>
      <c r="B304" s="116">
        <v>177.5</v>
      </c>
      <c r="C304" s="116">
        <v>175.3</v>
      </c>
      <c r="D304" s="116">
        <v>148</v>
      </c>
      <c r="E304" s="116">
        <v>157</v>
      </c>
      <c r="F304" s="116">
        <v>175.3</v>
      </c>
      <c r="G304">
        <v>1254590</v>
      </c>
      <c r="H304" s="116"/>
      <c r="I304" s="116"/>
      <c r="L304" s="170">
        <v>43854</v>
      </c>
      <c r="M304" s="116">
        <v>175.25</v>
      </c>
      <c r="N304" s="116">
        <v>177.5</v>
      </c>
      <c r="O304" s="116">
        <v>148.75</v>
      </c>
      <c r="P304" s="116">
        <v>155</v>
      </c>
      <c r="Q304" s="116">
        <v>175.25</v>
      </c>
      <c r="R304">
        <v>14812545</v>
      </c>
    </row>
    <row r="305" spans="1:18" x14ac:dyDescent="0.25">
      <c r="A305" s="170">
        <v>43857</v>
      </c>
      <c r="B305" s="116">
        <v>179.4</v>
      </c>
      <c r="C305" s="116">
        <v>173.8</v>
      </c>
      <c r="D305" s="116">
        <v>172.1</v>
      </c>
      <c r="E305" s="116">
        <v>174.05</v>
      </c>
      <c r="F305" s="116">
        <v>173.8</v>
      </c>
      <c r="G305">
        <v>270288</v>
      </c>
      <c r="H305" s="116"/>
      <c r="I305" s="116"/>
      <c r="L305" s="170">
        <v>43857</v>
      </c>
      <c r="M305" s="116">
        <v>173.9</v>
      </c>
      <c r="N305" s="116">
        <v>179.45</v>
      </c>
      <c r="O305" s="116">
        <v>172</v>
      </c>
      <c r="P305" s="116">
        <v>173.65</v>
      </c>
      <c r="Q305" s="116">
        <v>173.9</v>
      </c>
      <c r="R305">
        <v>2660162</v>
      </c>
    </row>
    <row r="306" spans="1:18" x14ac:dyDescent="0.25">
      <c r="A306" s="170">
        <v>43858</v>
      </c>
      <c r="B306" s="116">
        <v>176.2</v>
      </c>
      <c r="C306" s="116">
        <v>170.25</v>
      </c>
      <c r="D306" s="116">
        <v>168.35</v>
      </c>
      <c r="E306" s="116">
        <v>176.1</v>
      </c>
      <c r="F306" s="116">
        <v>170.25</v>
      </c>
      <c r="G306">
        <v>170812</v>
      </c>
      <c r="H306" s="116"/>
      <c r="I306" s="116"/>
      <c r="L306" s="170">
        <v>43858</v>
      </c>
      <c r="M306" s="116">
        <v>170.15</v>
      </c>
      <c r="N306" s="116">
        <v>176</v>
      </c>
      <c r="O306" s="116">
        <v>168.25</v>
      </c>
      <c r="P306" s="116">
        <v>175</v>
      </c>
      <c r="Q306" s="116">
        <v>170.15</v>
      </c>
      <c r="R306">
        <v>946344</v>
      </c>
    </row>
    <row r="307" spans="1:18" x14ac:dyDescent="0.25">
      <c r="A307" s="170">
        <v>43859</v>
      </c>
      <c r="B307" s="116">
        <v>174.4</v>
      </c>
      <c r="C307" s="116">
        <v>169.8</v>
      </c>
      <c r="D307" s="116">
        <v>169</v>
      </c>
      <c r="E307" s="116">
        <v>171.9</v>
      </c>
      <c r="F307" s="116">
        <v>169.8</v>
      </c>
      <c r="G307">
        <v>143151</v>
      </c>
      <c r="H307" s="116"/>
      <c r="I307" s="116"/>
      <c r="L307" s="170">
        <v>43859</v>
      </c>
      <c r="M307" s="116">
        <v>169.9</v>
      </c>
      <c r="N307" s="116">
        <v>174.45</v>
      </c>
      <c r="O307" s="116">
        <v>168.5</v>
      </c>
      <c r="P307" s="116">
        <v>171.9</v>
      </c>
      <c r="Q307" s="116">
        <v>169.9</v>
      </c>
      <c r="R307">
        <v>992354</v>
      </c>
    </row>
    <row r="308" spans="1:18" x14ac:dyDescent="0.25">
      <c r="A308" s="170">
        <v>43860</v>
      </c>
      <c r="B308" s="116">
        <v>171.1</v>
      </c>
      <c r="C308" s="116">
        <v>166.45</v>
      </c>
      <c r="D308" s="116">
        <v>165.6</v>
      </c>
      <c r="E308" s="116">
        <v>170.4</v>
      </c>
      <c r="F308" s="116">
        <v>166.45</v>
      </c>
      <c r="G308">
        <v>175162</v>
      </c>
      <c r="H308" s="116"/>
      <c r="I308" s="116"/>
      <c r="L308" s="170">
        <v>43860</v>
      </c>
      <c r="M308" s="116">
        <v>166.75</v>
      </c>
      <c r="N308" s="116">
        <v>171.15</v>
      </c>
      <c r="O308" s="116">
        <v>165.55</v>
      </c>
      <c r="P308" s="116">
        <v>170.4</v>
      </c>
      <c r="Q308" s="116">
        <v>166.75</v>
      </c>
      <c r="R308">
        <v>652688</v>
      </c>
    </row>
    <row r="309" spans="1:18" x14ac:dyDescent="0.25">
      <c r="A309" s="170">
        <v>43861</v>
      </c>
      <c r="B309" s="116">
        <v>170.9</v>
      </c>
      <c r="C309" s="116">
        <v>166.5</v>
      </c>
      <c r="D309" s="116">
        <v>165.8</v>
      </c>
      <c r="E309" s="116">
        <v>168.95</v>
      </c>
      <c r="F309" s="116">
        <v>166.5</v>
      </c>
      <c r="G309">
        <v>128901</v>
      </c>
      <c r="H309" s="116"/>
      <c r="I309" s="116"/>
      <c r="L309" s="170">
        <v>43861</v>
      </c>
      <c r="M309" s="116">
        <v>166.4</v>
      </c>
      <c r="N309" s="116">
        <v>171</v>
      </c>
      <c r="O309" s="116">
        <v>165.7</v>
      </c>
      <c r="P309" s="116">
        <v>168.8</v>
      </c>
      <c r="Q309" s="116">
        <v>166.4</v>
      </c>
      <c r="R309">
        <v>912144</v>
      </c>
    </row>
    <row r="310" spans="1:18" x14ac:dyDescent="0.25">
      <c r="A310" s="170">
        <v>43862</v>
      </c>
      <c r="B310" s="116">
        <v>171.85</v>
      </c>
      <c r="C310" s="116">
        <v>165.1</v>
      </c>
      <c r="D310" s="116">
        <v>164.4</v>
      </c>
      <c r="E310" s="116">
        <v>168.25</v>
      </c>
      <c r="F310" s="116">
        <v>165.1</v>
      </c>
      <c r="G310">
        <v>167575</v>
      </c>
      <c r="H310" s="116"/>
      <c r="I310" s="116"/>
      <c r="L310" s="170">
        <v>43862</v>
      </c>
      <c r="M310" s="116">
        <v>165.2</v>
      </c>
      <c r="N310" s="116">
        <v>171.8</v>
      </c>
      <c r="O310" s="116">
        <v>164.2</v>
      </c>
      <c r="P310" s="116">
        <v>165.95</v>
      </c>
      <c r="Q310" s="116">
        <v>165.2</v>
      </c>
      <c r="R310">
        <v>1240435</v>
      </c>
    </row>
    <row r="311" spans="1:18" x14ac:dyDescent="0.25">
      <c r="A311" s="170">
        <v>43864</v>
      </c>
      <c r="B311" s="116">
        <v>168.9</v>
      </c>
      <c r="C311" s="116">
        <v>165.1</v>
      </c>
      <c r="D311" s="116">
        <v>164.3</v>
      </c>
      <c r="E311" s="116">
        <v>168.75</v>
      </c>
      <c r="F311" s="116">
        <v>165.1</v>
      </c>
      <c r="G311">
        <v>87911</v>
      </c>
      <c r="H311" s="116"/>
      <c r="I311" s="116"/>
      <c r="L311" s="170">
        <v>43864</v>
      </c>
      <c r="M311" s="116">
        <v>165.15</v>
      </c>
      <c r="N311" s="116">
        <v>168.9</v>
      </c>
      <c r="O311" s="116">
        <v>164.25</v>
      </c>
      <c r="P311" s="116">
        <v>165.2</v>
      </c>
      <c r="Q311" s="116">
        <v>165.15</v>
      </c>
      <c r="R311">
        <v>794039</v>
      </c>
    </row>
    <row r="312" spans="1:18" x14ac:dyDescent="0.25">
      <c r="A312" s="170">
        <v>43865</v>
      </c>
      <c r="B312" s="116">
        <v>169.05</v>
      </c>
      <c r="C312" s="116">
        <v>167.05</v>
      </c>
      <c r="D312" s="116">
        <v>166.05</v>
      </c>
      <c r="E312" s="116">
        <v>166.05</v>
      </c>
      <c r="F312" s="116">
        <v>167.05</v>
      </c>
      <c r="G312">
        <v>118592</v>
      </c>
      <c r="H312" s="116"/>
      <c r="I312" s="116"/>
      <c r="L312" s="170">
        <v>43865</v>
      </c>
      <c r="M312" s="116">
        <v>167.15</v>
      </c>
      <c r="N312" s="116">
        <v>169</v>
      </c>
      <c r="O312" s="116">
        <v>166.2</v>
      </c>
      <c r="P312" s="116">
        <v>166.8</v>
      </c>
      <c r="Q312" s="116">
        <v>167.15</v>
      </c>
      <c r="R312">
        <v>741382</v>
      </c>
    </row>
    <row r="313" spans="1:18" x14ac:dyDescent="0.25">
      <c r="A313" s="170">
        <v>43866</v>
      </c>
      <c r="B313" s="116">
        <v>176.6</v>
      </c>
      <c r="C313" s="116">
        <v>172.55</v>
      </c>
      <c r="D313" s="116">
        <v>167.5</v>
      </c>
      <c r="E313" s="116">
        <v>168.7</v>
      </c>
      <c r="F313" s="116">
        <v>172.55</v>
      </c>
      <c r="G313">
        <v>282216</v>
      </c>
      <c r="H313" s="116"/>
      <c r="I313" s="116"/>
      <c r="L313" s="170">
        <v>43866</v>
      </c>
      <c r="M313" s="116">
        <v>172.7</v>
      </c>
      <c r="N313" s="116">
        <v>176.6</v>
      </c>
      <c r="O313" s="116">
        <v>167.5</v>
      </c>
      <c r="P313" s="116">
        <v>168.3</v>
      </c>
      <c r="Q313" s="116">
        <v>172.7</v>
      </c>
      <c r="R313">
        <v>2621494</v>
      </c>
    </row>
    <row r="314" spans="1:18" x14ac:dyDescent="0.25">
      <c r="A314" s="170">
        <v>43867</v>
      </c>
      <c r="B314" s="116">
        <v>174.7</v>
      </c>
      <c r="C314" s="116">
        <v>170.25</v>
      </c>
      <c r="D314" s="116">
        <v>169.2</v>
      </c>
      <c r="E314" s="116">
        <v>174.7</v>
      </c>
      <c r="F314" s="116">
        <v>170.25</v>
      </c>
      <c r="G314">
        <v>118278</v>
      </c>
      <c r="H314" s="116"/>
      <c r="I314" s="116"/>
      <c r="L314" s="170">
        <v>43867</v>
      </c>
      <c r="M314" s="116">
        <v>170.4</v>
      </c>
      <c r="N314" s="116">
        <v>174.45</v>
      </c>
      <c r="O314" s="116">
        <v>169.05</v>
      </c>
      <c r="P314" s="116">
        <v>174.35</v>
      </c>
      <c r="Q314" s="116">
        <v>170.4</v>
      </c>
      <c r="R314">
        <v>872853</v>
      </c>
    </row>
    <row r="315" spans="1:18" x14ac:dyDescent="0.25">
      <c r="A315" s="170">
        <v>43868</v>
      </c>
      <c r="B315" s="116">
        <v>174.8</v>
      </c>
      <c r="C315" s="116">
        <v>171.8</v>
      </c>
      <c r="D315" s="116">
        <v>166</v>
      </c>
      <c r="E315" s="116">
        <v>166</v>
      </c>
      <c r="F315" s="116">
        <v>171.8</v>
      </c>
      <c r="G315">
        <v>105782</v>
      </c>
      <c r="H315" s="116"/>
      <c r="I315" s="116"/>
      <c r="L315" s="170">
        <v>43868</v>
      </c>
      <c r="M315" s="116">
        <v>171.75</v>
      </c>
      <c r="N315" s="116">
        <v>174.95</v>
      </c>
      <c r="O315" s="116">
        <v>170</v>
      </c>
      <c r="P315" s="116">
        <v>170</v>
      </c>
      <c r="Q315" s="116">
        <v>171.75</v>
      </c>
      <c r="R315">
        <v>1236764</v>
      </c>
    </row>
    <row r="316" spans="1:18" x14ac:dyDescent="0.25">
      <c r="A316" s="170">
        <v>43871</v>
      </c>
      <c r="B316" s="116">
        <v>173.5</v>
      </c>
      <c r="C316" s="116">
        <v>171.1</v>
      </c>
      <c r="D316" s="116">
        <v>170.35</v>
      </c>
      <c r="E316" s="116">
        <v>172.9</v>
      </c>
      <c r="F316" s="116">
        <v>171.1</v>
      </c>
      <c r="G316">
        <v>63887</v>
      </c>
      <c r="H316" s="116"/>
      <c r="I316" s="116"/>
      <c r="L316" s="170">
        <v>43871</v>
      </c>
      <c r="M316" s="116">
        <v>171.15</v>
      </c>
      <c r="N316" s="116">
        <v>173.65</v>
      </c>
      <c r="O316" s="116">
        <v>170.1</v>
      </c>
      <c r="P316" s="116">
        <v>172.8</v>
      </c>
      <c r="Q316" s="116">
        <v>171.15</v>
      </c>
      <c r="R316">
        <v>574224</v>
      </c>
    </row>
    <row r="317" spans="1:18" x14ac:dyDescent="0.25">
      <c r="A317" s="170">
        <v>43872</v>
      </c>
      <c r="B317" s="116">
        <v>172.55</v>
      </c>
      <c r="C317" s="116">
        <v>169.25</v>
      </c>
      <c r="D317" s="116">
        <v>169</v>
      </c>
      <c r="E317" s="116">
        <v>172.5</v>
      </c>
      <c r="F317" s="116">
        <v>169.25</v>
      </c>
      <c r="G317">
        <v>64065</v>
      </c>
      <c r="H317" s="116"/>
      <c r="I317" s="116"/>
      <c r="L317" s="170">
        <v>43872</v>
      </c>
      <c r="M317" s="116">
        <v>169.4</v>
      </c>
      <c r="N317" s="116">
        <v>172.5</v>
      </c>
      <c r="O317" s="116">
        <v>169</v>
      </c>
      <c r="P317" s="116">
        <v>172.2</v>
      </c>
      <c r="Q317" s="116">
        <v>169.4</v>
      </c>
      <c r="R317">
        <v>576489</v>
      </c>
    </row>
    <row r="318" spans="1:18" x14ac:dyDescent="0.25">
      <c r="A318" s="170">
        <v>43873</v>
      </c>
      <c r="B318" s="116">
        <v>170.9</v>
      </c>
      <c r="C318" s="116">
        <v>168.3</v>
      </c>
      <c r="D318" s="116">
        <v>166.75</v>
      </c>
      <c r="E318" s="116">
        <v>170.7</v>
      </c>
      <c r="F318" s="116">
        <v>168.3</v>
      </c>
      <c r="G318">
        <v>94335</v>
      </c>
      <c r="H318" s="116"/>
      <c r="I318" s="116"/>
      <c r="L318" s="170">
        <v>43873</v>
      </c>
      <c r="M318" s="116">
        <v>168.6</v>
      </c>
      <c r="N318" s="116">
        <v>170.95</v>
      </c>
      <c r="O318" s="116">
        <v>166.8</v>
      </c>
      <c r="P318" s="116">
        <v>169.85</v>
      </c>
      <c r="Q318" s="116">
        <v>168.6</v>
      </c>
      <c r="R318">
        <v>579296</v>
      </c>
    </row>
    <row r="319" spans="1:18" x14ac:dyDescent="0.25">
      <c r="A319" s="170">
        <v>43874</v>
      </c>
      <c r="B319" s="116">
        <v>169.85</v>
      </c>
      <c r="C319" s="116">
        <v>167.25</v>
      </c>
      <c r="D319" s="116">
        <v>166.7</v>
      </c>
      <c r="E319" s="116">
        <v>169.5</v>
      </c>
      <c r="F319" s="116">
        <v>167.25</v>
      </c>
      <c r="G319">
        <v>77452</v>
      </c>
      <c r="H319" s="116"/>
      <c r="I319" s="116"/>
      <c r="L319" s="170">
        <v>43874</v>
      </c>
      <c r="M319" s="116">
        <v>167.55</v>
      </c>
      <c r="N319" s="116">
        <v>169.7</v>
      </c>
      <c r="O319" s="116">
        <v>166.45</v>
      </c>
      <c r="P319" s="116">
        <v>169</v>
      </c>
      <c r="Q319" s="116">
        <v>167.55</v>
      </c>
      <c r="R319">
        <v>476204</v>
      </c>
    </row>
    <row r="320" spans="1:18" x14ac:dyDescent="0.25">
      <c r="A320" s="170">
        <v>43875</v>
      </c>
      <c r="B320" s="116">
        <v>168.45</v>
      </c>
      <c r="C320" s="116">
        <v>164.95</v>
      </c>
      <c r="D320" s="116">
        <v>164.1</v>
      </c>
      <c r="E320" s="116">
        <v>167.4</v>
      </c>
      <c r="F320" s="116">
        <v>164.95</v>
      </c>
      <c r="G320">
        <v>65698</v>
      </c>
      <c r="H320" s="116"/>
      <c r="I320" s="116"/>
      <c r="L320" s="170">
        <v>43875</v>
      </c>
      <c r="M320" s="116">
        <v>165</v>
      </c>
      <c r="N320" s="116">
        <v>168.5</v>
      </c>
      <c r="O320" s="116">
        <v>164</v>
      </c>
      <c r="P320" s="116">
        <v>167.75</v>
      </c>
      <c r="Q320" s="116">
        <v>165</v>
      </c>
      <c r="R320">
        <v>539895</v>
      </c>
    </row>
    <row r="321" spans="1:18" x14ac:dyDescent="0.25">
      <c r="A321" s="170">
        <v>43878</v>
      </c>
      <c r="B321" s="116">
        <v>169.4</v>
      </c>
      <c r="C321" s="116">
        <v>166.55</v>
      </c>
      <c r="D321" s="116">
        <v>163.19999999999999</v>
      </c>
      <c r="E321" s="116">
        <v>165.9</v>
      </c>
      <c r="F321" s="116">
        <v>166.55</v>
      </c>
      <c r="G321">
        <v>99327</v>
      </c>
      <c r="H321" s="116"/>
      <c r="I321" s="116"/>
      <c r="L321" s="170">
        <v>43878</v>
      </c>
      <c r="M321" s="116">
        <v>166.05</v>
      </c>
      <c r="N321" s="116">
        <v>169.5</v>
      </c>
      <c r="O321" s="116">
        <v>163.25</v>
      </c>
      <c r="P321" s="116">
        <v>165.8</v>
      </c>
      <c r="Q321" s="116">
        <v>166.05</v>
      </c>
      <c r="R321">
        <v>1187408</v>
      </c>
    </row>
    <row r="322" spans="1:18" x14ac:dyDescent="0.25">
      <c r="A322" s="170">
        <v>43879</v>
      </c>
      <c r="B322" s="116">
        <v>167.3</v>
      </c>
      <c r="C322" s="116">
        <v>164.1</v>
      </c>
      <c r="D322" s="116">
        <v>163.4</v>
      </c>
      <c r="E322" s="116">
        <v>164.55</v>
      </c>
      <c r="F322" s="116">
        <v>164.1</v>
      </c>
      <c r="G322">
        <v>81874</v>
      </c>
      <c r="H322" s="116"/>
      <c r="I322" s="116"/>
      <c r="L322" s="170">
        <v>43879</v>
      </c>
      <c r="M322" s="116">
        <v>164.25</v>
      </c>
      <c r="N322" s="116">
        <v>167.4</v>
      </c>
      <c r="O322" s="116">
        <v>163.15</v>
      </c>
      <c r="P322" s="116">
        <v>165.5</v>
      </c>
      <c r="Q322" s="116">
        <v>164.25</v>
      </c>
      <c r="R322">
        <v>585429</v>
      </c>
    </row>
    <row r="323" spans="1:18" x14ac:dyDescent="0.25">
      <c r="A323" s="170">
        <v>43880</v>
      </c>
      <c r="B323" s="116">
        <v>166.3</v>
      </c>
      <c r="C323" s="116">
        <v>164.3</v>
      </c>
      <c r="D323" s="116">
        <v>163.85</v>
      </c>
      <c r="E323" s="116">
        <v>165.9</v>
      </c>
      <c r="F323" s="116">
        <v>164.3</v>
      </c>
      <c r="G323">
        <v>47236</v>
      </c>
      <c r="H323" s="116"/>
      <c r="I323" s="116"/>
      <c r="L323" s="170">
        <v>43880</v>
      </c>
      <c r="M323" s="116">
        <v>164.35</v>
      </c>
      <c r="N323" s="116">
        <v>166.4</v>
      </c>
      <c r="O323" s="116">
        <v>164</v>
      </c>
      <c r="P323" s="116">
        <v>165.45</v>
      </c>
      <c r="Q323" s="116">
        <v>164.35</v>
      </c>
      <c r="R323">
        <v>303346</v>
      </c>
    </row>
    <row r="324" spans="1:18" x14ac:dyDescent="0.25">
      <c r="A324" s="170">
        <v>43881</v>
      </c>
      <c r="B324" s="116">
        <v>194.55</v>
      </c>
      <c r="C324" s="116">
        <v>185.5</v>
      </c>
      <c r="D324" s="116">
        <v>163</v>
      </c>
      <c r="E324" s="116">
        <v>164.05</v>
      </c>
      <c r="F324" s="116">
        <v>185.5</v>
      </c>
      <c r="G324">
        <v>614302</v>
      </c>
      <c r="H324" s="116"/>
      <c r="I324" s="116"/>
      <c r="L324" s="170">
        <v>43881</v>
      </c>
      <c r="M324" s="116">
        <v>184.85</v>
      </c>
      <c r="N324" s="116">
        <v>194.5</v>
      </c>
      <c r="O324" s="116">
        <v>163</v>
      </c>
      <c r="P324" s="116">
        <v>164.8</v>
      </c>
      <c r="Q324" s="116">
        <v>184.85</v>
      </c>
      <c r="R324">
        <v>6391050</v>
      </c>
    </row>
    <row r="325" spans="1:18" x14ac:dyDescent="0.25">
      <c r="A325" s="170">
        <v>43885</v>
      </c>
      <c r="B325" s="116">
        <v>192.9</v>
      </c>
      <c r="C325" s="116">
        <v>164.45</v>
      </c>
      <c r="D325" s="116">
        <v>163</v>
      </c>
      <c r="E325" s="116">
        <v>189.4</v>
      </c>
      <c r="F325" s="116">
        <v>164.45</v>
      </c>
      <c r="G325">
        <v>681072</v>
      </c>
      <c r="H325" s="116"/>
      <c r="I325" s="116"/>
      <c r="L325" s="170">
        <v>43885</v>
      </c>
      <c r="M325" s="116">
        <v>164.65</v>
      </c>
      <c r="N325" s="116">
        <v>193</v>
      </c>
      <c r="O325" s="116">
        <v>163.05000000000001</v>
      </c>
      <c r="P325" s="116">
        <v>189.95</v>
      </c>
      <c r="Q325" s="116">
        <v>164.65</v>
      </c>
      <c r="R325">
        <v>7758117</v>
      </c>
    </row>
    <row r="326" spans="1:18" x14ac:dyDescent="0.25">
      <c r="A326" s="170">
        <v>43886</v>
      </c>
      <c r="B326" s="116">
        <v>167</v>
      </c>
      <c r="C326" s="116">
        <v>154.65</v>
      </c>
      <c r="D326" s="116">
        <v>153.6</v>
      </c>
      <c r="E326" s="116">
        <v>167</v>
      </c>
      <c r="F326" s="116">
        <v>154.65</v>
      </c>
      <c r="G326">
        <v>412598</v>
      </c>
      <c r="H326" s="116"/>
      <c r="I326" s="116"/>
      <c r="L326" s="170">
        <v>43886</v>
      </c>
      <c r="M326" s="116">
        <v>154.65</v>
      </c>
      <c r="N326" s="116">
        <v>166.5</v>
      </c>
      <c r="O326" s="116">
        <v>153.5</v>
      </c>
      <c r="P326" s="116">
        <v>165.7</v>
      </c>
      <c r="Q326" s="116">
        <v>154.65</v>
      </c>
      <c r="R326">
        <v>4544431</v>
      </c>
    </row>
    <row r="327" spans="1:18" x14ac:dyDescent="0.25">
      <c r="A327" s="170">
        <v>43887</v>
      </c>
      <c r="B327" s="116">
        <v>159.9</v>
      </c>
      <c r="C327" s="116">
        <v>149.05000000000001</v>
      </c>
      <c r="D327" s="116">
        <v>148.5</v>
      </c>
      <c r="E327" s="116">
        <v>152.05000000000001</v>
      </c>
      <c r="F327" s="116">
        <v>149.05000000000001</v>
      </c>
      <c r="G327">
        <v>338402</v>
      </c>
      <c r="H327" s="116"/>
      <c r="I327" s="116"/>
      <c r="L327" s="170">
        <v>43887</v>
      </c>
      <c r="M327" s="116">
        <v>149</v>
      </c>
      <c r="N327" s="116">
        <v>159.69999999999999</v>
      </c>
      <c r="O327" s="116">
        <v>148.1</v>
      </c>
      <c r="P327" s="116">
        <v>152.9</v>
      </c>
      <c r="Q327" s="116">
        <v>149</v>
      </c>
      <c r="R327">
        <v>4322437</v>
      </c>
    </row>
    <row r="328" spans="1:18" x14ac:dyDescent="0.25">
      <c r="A328" s="170">
        <v>43888</v>
      </c>
      <c r="B328" s="116">
        <v>151.94999999999999</v>
      </c>
      <c r="C328" s="116">
        <v>147.19999999999999</v>
      </c>
      <c r="D328" s="116">
        <v>143.75</v>
      </c>
      <c r="E328" s="116">
        <v>150.85</v>
      </c>
      <c r="F328" s="116">
        <v>147.19999999999999</v>
      </c>
      <c r="G328">
        <v>310317</v>
      </c>
      <c r="H328" s="116"/>
      <c r="I328" s="116"/>
      <c r="L328" s="170">
        <v>43888</v>
      </c>
      <c r="M328" s="116">
        <v>147.25</v>
      </c>
      <c r="N328" s="116">
        <v>152</v>
      </c>
      <c r="O328" s="116">
        <v>143.6</v>
      </c>
      <c r="P328" s="116">
        <v>150</v>
      </c>
      <c r="Q328" s="116">
        <v>147.25</v>
      </c>
      <c r="R328">
        <v>2324713</v>
      </c>
    </row>
    <row r="329" spans="1:18" x14ac:dyDescent="0.25">
      <c r="A329" s="170">
        <v>43889</v>
      </c>
      <c r="B329" s="116">
        <v>140.9</v>
      </c>
      <c r="C329" s="116">
        <v>133.9</v>
      </c>
      <c r="D329" s="116">
        <v>125</v>
      </c>
      <c r="E329" s="116">
        <v>139.9</v>
      </c>
      <c r="F329" s="116">
        <v>133.9</v>
      </c>
      <c r="G329">
        <v>426016945</v>
      </c>
      <c r="H329" s="116"/>
      <c r="I329" s="116"/>
      <c r="L329" s="170">
        <v>43889</v>
      </c>
      <c r="M329" s="116">
        <v>134.05000000000001</v>
      </c>
      <c r="N329" s="116">
        <v>139.94999999999999</v>
      </c>
      <c r="O329" s="116">
        <v>125.3</v>
      </c>
      <c r="P329" s="116">
        <v>137.5</v>
      </c>
      <c r="Q329" s="116">
        <v>134.05000000000001</v>
      </c>
      <c r="R329">
        <v>31903550</v>
      </c>
    </row>
    <row r="330" spans="1:18" x14ac:dyDescent="0.25">
      <c r="A330" s="170">
        <v>43892</v>
      </c>
      <c r="B330" s="116">
        <v>146.35</v>
      </c>
      <c r="C330" s="116">
        <v>133.80000000000001</v>
      </c>
      <c r="D330" s="116">
        <v>130.75</v>
      </c>
      <c r="E330" s="116">
        <v>140</v>
      </c>
      <c r="F330" s="116">
        <v>133.80000000000001</v>
      </c>
      <c r="G330">
        <v>646702</v>
      </c>
      <c r="H330" s="116"/>
      <c r="I330" s="116"/>
      <c r="L330" s="170">
        <v>43892</v>
      </c>
      <c r="M330" s="116">
        <v>133.69999999999999</v>
      </c>
      <c r="N330" s="116">
        <v>146.4</v>
      </c>
      <c r="O330" s="116">
        <v>130.55000000000001</v>
      </c>
      <c r="P330" s="116">
        <v>140.30000000000001</v>
      </c>
      <c r="Q330" s="116">
        <v>133.69999999999999</v>
      </c>
      <c r="R330">
        <v>5583534</v>
      </c>
    </row>
    <row r="331" spans="1:18" x14ac:dyDescent="0.25">
      <c r="A331" s="170">
        <v>43893</v>
      </c>
      <c r="B331" s="116">
        <v>139.1</v>
      </c>
      <c r="C331" s="116">
        <v>134.25</v>
      </c>
      <c r="D331" s="116">
        <v>131</v>
      </c>
      <c r="E331" s="116">
        <v>135.5</v>
      </c>
      <c r="F331" s="116">
        <v>134.25</v>
      </c>
      <c r="G331">
        <v>374168</v>
      </c>
      <c r="H331" s="116"/>
      <c r="I331" s="116"/>
      <c r="L331" s="170">
        <v>43893</v>
      </c>
      <c r="M331" s="116">
        <v>134.25</v>
      </c>
      <c r="N331" s="116">
        <v>139</v>
      </c>
      <c r="O331" s="116">
        <v>130.80000000000001</v>
      </c>
      <c r="P331" s="116">
        <v>136.1</v>
      </c>
      <c r="Q331" s="116">
        <v>134.25</v>
      </c>
      <c r="R331">
        <v>3640772</v>
      </c>
    </row>
    <row r="332" spans="1:18" x14ac:dyDescent="0.25">
      <c r="A332" s="170">
        <v>43894</v>
      </c>
      <c r="B332" s="116">
        <v>135.05000000000001</v>
      </c>
      <c r="C332" s="116">
        <v>130.4</v>
      </c>
      <c r="D332" s="116">
        <v>126.3</v>
      </c>
      <c r="E332" s="116">
        <v>134.4</v>
      </c>
      <c r="F332" s="116">
        <v>130.4</v>
      </c>
      <c r="G332">
        <v>271718</v>
      </c>
      <c r="H332" s="116"/>
      <c r="I332" s="116"/>
      <c r="L332" s="170">
        <v>43894</v>
      </c>
      <c r="M332" s="116">
        <v>130.4</v>
      </c>
      <c r="N332" s="116">
        <v>134.85</v>
      </c>
      <c r="O332" s="116">
        <v>126.35</v>
      </c>
      <c r="P332" s="116">
        <v>134.25</v>
      </c>
      <c r="Q332" s="116">
        <v>130.4</v>
      </c>
      <c r="R332">
        <v>2325074</v>
      </c>
    </row>
    <row r="333" spans="1:18" x14ac:dyDescent="0.25">
      <c r="A333" s="170">
        <v>43895</v>
      </c>
      <c r="B333" s="116">
        <v>135.44999999999999</v>
      </c>
      <c r="C333" s="116">
        <v>131.44999999999999</v>
      </c>
      <c r="D333" s="116">
        <v>127.1</v>
      </c>
      <c r="E333" s="116">
        <v>131.5</v>
      </c>
      <c r="F333" s="116">
        <v>131.44999999999999</v>
      </c>
      <c r="G333">
        <v>266529</v>
      </c>
      <c r="H333" s="116"/>
      <c r="I333" s="116"/>
      <c r="L333" s="170">
        <v>43895</v>
      </c>
      <c r="M333" s="116">
        <v>131.30000000000001</v>
      </c>
      <c r="N333" s="116">
        <v>135.6</v>
      </c>
      <c r="O333" s="116">
        <v>127</v>
      </c>
      <c r="P333" s="116">
        <v>131</v>
      </c>
      <c r="Q333" s="116">
        <v>131.30000000000001</v>
      </c>
      <c r="R333">
        <v>2696074</v>
      </c>
    </row>
    <row r="334" spans="1:18" x14ac:dyDescent="0.25">
      <c r="A334" s="170">
        <v>43896</v>
      </c>
      <c r="B334" s="116">
        <v>128.69999999999999</v>
      </c>
      <c r="C334" s="116">
        <v>127.2</v>
      </c>
      <c r="D334" s="116">
        <v>121.5</v>
      </c>
      <c r="E334" s="116">
        <v>125</v>
      </c>
      <c r="F334" s="116">
        <v>127.2</v>
      </c>
      <c r="G334">
        <v>185171</v>
      </c>
      <c r="H334" s="116"/>
      <c r="I334" s="116"/>
      <c r="L334" s="170">
        <v>43896</v>
      </c>
      <c r="M334" s="116">
        <v>127.2</v>
      </c>
      <c r="N334" s="116">
        <v>128.75</v>
      </c>
      <c r="O334" s="116">
        <v>121</v>
      </c>
      <c r="P334" s="116">
        <v>124</v>
      </c>
      <c r="Q334" s="116">
        <v>127.2</v>
      </c>
      <c r="R334">
        <v>1709004</v>
      </c>
    </row>
    <row r="335" spans="1:18" x14ac:dyDescent="0.25">
      <c r="A335" s="170">
        <v>43899</v>
      </c>
      <c r="B335" s="116">
        <v>125.4</v>
      </c>
      <c r="C335" s="116">
        <v>120.05</v>
      </c>
      <c r="D335" s="116">
        <v>115.5</v>
      </c>
      <c r="E335" s="116">
        <v>123</v>
      </c>
      <c r="F335" s="116">
        <v>120.05</v>
      </c>
      <c r="G335">
        <v>279809</v>
      </c>
      <c r="H335" s="116"/>
      <c r="I335" s="116"/>
      <c r="L335" s="170">
        <v>43899</v>
      </c>
      <c r="M335" s="116">
        <v>120.2</v>
      </c>
      <c r="N335" s="116">
        <v>123.85</v>
      </c>
      <c r="O335" s="116">
        <v>115.5</v>
      </c>
      <c r="P335" s="116">
        <v>120.85</v>
      </c>
      <c r="Q335" s="116">
        <v>120.2</v>
      </c>
      <c r="R335">
        <v>2394235</v>
      </c>
    </row>
    <row r="336" spans="1:18" x14ac:dyDescent="0.25">
      <c r="A336" s="170">
        <v>43901</v>
      </c>
      <c r="B336" s="116">
        <v>126.1</v>
      </c>
      <c r="C336" s="116">
        <v>119.7</v>
      </c>
      <c r="D336" s="116">
        <v>118.2</v>
      </c>
      <c r="E336" s="116">
        <v>120.95</v>
      </c>
      <c r="F336" s="116">
        <v>119.7</v>
      </c>
      <c r="G336">
        <v>176893</v>
      </c>
      <c r="H336" s="116"/>
      <c r="I336" s="116"/>
      <c r="L336" s="170">
        <v>43901</v>
      </c>
      <c r="M336" s="116">
        <v>119.8</v>
      </c>
      <c r="N336" s="116">
        <v>126</v>
      </c>
      <c r="O336" s="116">
        <v>118.2</v>
      </c>
      <c r="P336" s="116">
        <v>120</v>
      </c>
      <c r="Q336" s="116">
        <v>119.8</v>
      </c>
      <c r="R336">
        <v>1818434</v>
      </c>
    </row>
    <row r="337" spans="1:18" x14ac:dyDescent="0.25">
      <c r="A337" s="170">
        <v>43902</v>
      </c>
      <c r="B337" s="116">
        <v>114.5</v>
      </c>
      <c r="C337" s="116">
        <v>98.9</v>
      </c>
      <c r="D337" s="116">
        <v>95.8</v>
      </c>
      <c r="E337" s="116">
        <v>111.55</v>
      </c>
      <c r="F337" s="116">
        <v>98.9</v>
      </c>
      <c r="G337">
        <v>583004</v>
      </c>
      <c r="H337" s="116"/>
      <c r="I337" s="116"/>
      <c r="L337" s="170">
        <v>43902</v>
      </c>
      <c r="M337" s="116">
        <v>98.95</v>
      </c>
      <c r="N337" s="116">
        <v>113.7</v>
      </c>
      <c r="O337" s="116">
        <v>95.85</v>
      </c>
      <c r="P337" s="116">
        <v>110</v>
      </c>
      <c r="Q337" s="116">
        <v>98.95</v>
      </c>
      <c r="R337">
        <v>5119104</v>
      </c>
    </row>
    <row r="338" spans="1:18" x14ac:dyDescent="0.25">
      <c r="A338" s="170">
        <v>43903</v>
      </c>
      <c r="B338" s="116">
        <v>108.8</v>
      </c>
      <c r="C338" s="116">
        <v>105.25</v>
      </c>
      <c r="D338" s="116">
        <v>85</v>
      </c>
      <c r="E338" s="116">
        <v>87.7</v>
      </c>
      <c r="F338" s="116">
        <v>105.25</v>
      </c>
      <c r="G338">
        <v>432958</v>
      </c>
      <c r="H338" s="116"/>
      <c r="I338" s="116"/>
      <c r="L338" s="170">
        <v>43903</v>
      </c>
      <c r="M338" s="116">
        <v>105.75</v>
      </c>
      <c r="N338" s="116">
        <v>108.7</v>
      </c>
      <c r="O338" s="116">
        <v>84.55</v>
      </c>
      <c r="P338" s="116">
        <v>86.5</v>
      </c>
      <c r="Q338" s="116">
        <v>105.75</v>
      </c>
      <c r="R338">
        <v>4102337</v>
      </c>
    </row>
    <row r="339" spans="1:18" x14ac:dyDescent="0.25">
      <c r="A339" s="170">
        <v>43906</v>
      </c>
      <c r="B339" s="116">
        <v>117</v>
      </c>
      <c r="C339" s="116">
        <v>103.35</v>
      </c>
      <c r="D339" s="116">
        <v>96</v>
      </c>
      <c r="E339" s="116">
        <v>96</v>
      </c>
      <c r="F339" s="116">
        <v>103.35</v>
      </c>
      <c r="G339">
        <v>487747</v>
      </c>
      <c r="H339" s="116"/>
      <c r="I339" s="116"/>
      <c r="L339" s="170">
        <v>43906</v>
      </c>
      <c r="M339" s="116">
        <v>103.7</v>
      </c>
      <c r="N339" s="116">
        <v>117</v>
      </c>
      <c r="O339" s="116">
        <v>97.8</v>
      </c>
      <c r="P339" s="116">
        <v>99.3</v>
      </c>
      <c r="Q339" s="116">
        <v>103.7</v>
      </c>
      <c r="R339">
        <v>3575009</v>
      </c>
    </row>
    <row r="340" spans="1:18" x14ac:dyDescent="0.25">
      <c r="A340" s="170">
        <v>43907</v>
      </c>
      <c r="B340" s="116">
        <v>111.4</v>
      </c>
      <c r="C340" s="116">
        <v>107.6</v>
      </c>
      <c r="D340" s="116">
        <v>102.2</v>
      </c>
      <c r="E340" s="116">
        <v>106.95</v>
      </c>
      <c r="F340" s="116">
        <v>107.6</v>
      </c>
      <c r="G340">
        <v>278295</v>
      </c>
      <c r="H340" s="116"/>
      <c r="I340" s="116"/>
      <c r="L340" s="170">
        <v>43907</v>
      </c>
      <c r="M340" s="116">
        <v>107.55</v>
      </c>
      <c r="N340" s="116">
        <v>111.5</v>
      </c>
      <c r="O340" s="116">
        <v>102</v>
      </c>
      <c r="P340" s="116">
        <v>103.85</v>
      </c>
      <c r="Q340" s="116">
        <v>107.55</v>
      </c>
      <c r="R340">
        <v>2546345</v>
      </c>
    </row>
    <row r="341" spans="1:18" x14ac:dyDescent="0.25">
      <c r="A341" s="170">
        <v>43908</v>
      </c>
      <c r="B341" s="116">
        <v>114.5</v>
      </c>
      <c r="C341" s="116">
        <v>103.2</v>
      </c>
      <c r="D341" s="116">
        <v>99.45</v>
      </c>
      <c r="E341" s="116">
        <v>109.9</v>
      </c>
      <c r="F341" s="116">
        <v>103.2</v>
      </c>
      <c r="G341">
        <v>205795</v>
      </c>
      <c r="H341" s="116"/>
      <c r="I341" s="116"/>
      <c r="L341" s="170">
        <v>43908</v>
      </c>
      <c r="M341" s="116">
        <v>103.65</v>
      </c>
      <c r="N341" s="116">
        <v>112.7</v>
      </c>
      <c r="O341" s="116">
        <v>99.4</v>
      </c>
      <c r="P341" s="116">
        <v>109.7</v>
      </c>
      <c r="Q341" s="116">
        <v>103.65</v>
      </c>
      <c r="R341">
        <v>1540671</v>
      </c>
    </row>
    <row r="342" spans="1:18" x14ac:dyDescent="0.25">
      <c r="A342" s="170">
        <v>43909</v>
      </c>
      <c r="B342" s="116">
        <v>103.5</v>
      </c>
      <c r="C342" s="116">
        <v>98.75</v>
      </c>
      <c r="D342" s="116">
        <v>96</v>
      </c>
      <c r="E342" s="116">
        <v>99.8</v>
      </c>
      <c r="F342" s="116">
        <v>98.75</v>
      </c>
      <c r="G342">
        <v>307356</v>
      </c>
      <c r="H342" s="116"/>
      <c r="I342" s="116"/>
      <c r="L342" s="170">
        <v>43909</v>
      </c>
      <c r="M342" s="116">
        <v>98.85</v>
      </c>
      <c r="N342" s="116">
        <v>103.4</v>
      </c>
      <c r="O342" s="116">
        <v>95.65</v>
      </c>
      <c r="P342" s="116">
        <v>99.7</v>
      </c>
      <c r="Q342" s="116">
        <v>98.85</v>
      </c>
      <c r="R342">
        <v>1739558</v>
      </c>
    </row>
    <row r="343" spans="1:18" x14ac:dyDescent="0.25">
      <c r="A343" s="170">
        <v>43910</v>
      </c>
      <c r="B343" s="116">
        <v>103.1</v>
      </c>
      <c r="C343" s="116">
        <v>99</v>
      </c>
      <c r="D343" s="116">
        <v>96.3</v>
      </c>
      <c r="E343" s="116">
        <v>100.5</v>
      </c>
      <c r="F343" s="116">
        <v>99</v>
      </c>
      <c r="G343">
        <v>205537</v>
      </c>
      <c r="H343" s="116"/>
      <c r="I343" s="116"/>
      <c r="L343" s="170">
        <v>43910</v>
      </c>
      <c r="M343" s="116">
        <v>99.1</v>
      </c>
      <c r="N343" s="116">
        <v>103.1</v>
      </c>
      <c r="O343" s="116">
        <v>96</v>
      </c>
      <c r="P343" s="116">
        <v>100.1</v>
      </c>
      <c r="Q343" s="116">
        <v>99.1</v>
      </c>
      <c r="R343">
        <v>1538995</v>
      </c>
    </row>
    <row r="344" spans="1:18" x14ac:dyDescent="0.25">
      <c r="A344" s="170">
        <v>43913</v>
      </c>
      <c r="B344" s="116">
        <v>94.8</v>
      </c>
      <c r="C344" s="116">
        <v>89.1</v>
      </c>
      <c r="D344" s="116">
        <v>89.1</v>
      </c>
      <c r="E344" s="116">
        <v>93.9</v>
      </c>
      <c r="F344" s="116">
        <v>89.1</v>
      </c>
      <c r="G344">
        <v>65037</v>
      </c>
      <c r="H344" s="116"/>
      <c r="I344" s="116"/>
      <c r="L344" s="170">
        <v>43913</v>
      </c>
      <c r="M344" s="116">
        <v>89.2</v>
      </c>
      <c r="N344" s="116">
        <v>94.9</v>
      </c>
      <c r="O344" s="116">
        <v>89.2</v>
      </c>
      <c r="P344" s="116">
        <v>89.2</v>
      </c>
      <c r="Q344" s="116">
        <v>89.2</v>
      </c>
      <c r="R344">
        <v>512757</v>
      </c>
    </row>
    <row r="345" spans="1:18" x14ac:dyDescent="0.25">
      <c r="A345" s="170">
        <v>43914</v>
      </c>
      <c r="B345" s="116">
        <v>93.45</v>
      </c>
      <c r="C345" s="116">
        <v>81.900000000000006</v>
      </c>
      <c r="D345" s="116">
        <v>80.2</v>
      </c>
      <c r="E345" s="116">
        <v>93.45</v>
      </c>
      <c r="F345" s="116">
        <v>81.900000000000006</v>
      </c>
      <c r="G345">
        <v>220660</v>
      </c>
      <c r="H345" s="116"/>
      <c r="I345" s="116"/>
      <c r="L345" s="170">
        <v>43914</v>
      </c>
      <c r="M345" s="116">
        <v>81.75</v>
      </c>
      <c r="N345" s="116">
        <v>93.05</v>
      </c>
      <c r="O345" s="116">
        <v>80.3</v>
      </c>
      <c r="P345" s="116">
        <v>91</v>
      </c>
      <c r="Q345" s="116">
        <v>81.75</v>
      </c>
      <c r="R345">
        <v>1359289</v>
      </c>
    </row>
    <row r="346" spans="1:18" x14ac:dyDescent="0.25">
      <c r="A346" s="170">
        <v>43915</v>
      </c>
      <c r="B346" s="116">
        <v>86.4</v>
      </c>
      <c r="C346" s="116">
        <v>84.1</v>
      </c>
      <c r="D346" s="116">
        <v>76.7</v>
      </c>
      <c r="E346" s="116">
        <v>82.5</v>
      </c>
      <c r="F346" s="116">
        <v>84.1</v>
      </c>
      <c r="G346">
        <v>175576</v>
      </c>
      <c r="H346" s="116"/>
      <c r="I346" s="116"/>
      <c r="L346" s="170">
        <v>43915</v>
      </c>
      <c r="M346" s="116">
        <v>84.15</v>
      </c>
      <c r="N346" s="116">
        <v>86.4</v>
      </c>
      <c r="O346" s="116">
        <v>76.599999999999994</v>
      </c>
      <c r="P346" s="116">
        <v>80</v>
      </c>
      <c r="Q346" s="116">
        <v>84.15</v>
      </c>
      <c r="R346">
        <v>1243198</v>
      </c>
    </row>
    <row r="347" spans="1:18" x14ac:dyDescent="0.25">
      <c r="A347" s="170">
        <v>43916</v>
      </c>
      <c r="B347" s="116">
        <v>92.5</v>
      </c>
      <c r="C347" s="116">
        <v>90.7</v>
      </c>
      <c r="D347" s="116">
        <v>82.75</v>
      </c>
      <c r="E347" s="116">
        <v>85</v>
      </c>
      <c r="F347" s="116">
        <v>90.7</v>
      </c>
      <c r="G347">
        <v>221417</v>
      </c>
      <c r="H347" s="116"/>
      <c r="I347" s="116"/>
      <c r="L347" s="170">
        <v>43916</v>
      </c>
      <c r="M347" s="116">
        <v>90.65</v>
      </c>
      <c r="N347" s="116">
        <v>92.25</v>
      </c>
      <c r="O347" s="116">
        <v>82.4</v>
      </c>
      <c r="P347" s="116">
        <v>84.25</v>
      </c>
      <c r="Q347" s="116">
        <v>90.65</v>
      </c>
      <c r="R347">
        <v>2221997</v>
      </c>
    </row>
    <row r="348" spans="1:18" x14ac:dyDescent="0.25">
      <c r="A348" s="170">
        <v>43917</v>
      </c>
      <c r="B348" s="116">
        <v>96</v>
      </c>
      <c r="C348" s="116">
        <v>88.55</v>
      </c>
      <c r="D348" s="116">
        <v>87.5</v>
      </c>
      <c r="E348" s="116">
        <v>95</v>
      </c>
      <c r="F348" s="116">
        <v>88.55</v>
      </c>
      <c r="G348">
        <v>148838</v>
      </c>
      <c r="H348" s="116"/>
      <c r="I348" s="116"/>
      <c r="L348" s="170">
        <v>43917</v>
      </c>
      <c r="M348" s="116">
        <v>88.5</v>
      </c>
      <c r="N348" s="116">
        <v>95.75</v>
      </c>
      <c r="O348" s="116">
        <v>87.3</v>
      </c>
      <c r="P348" s="116">
        <v>95.25</v>
      </c>
      <c r="Q348" s="116">
        <v>88.5</v>
      </c>
      <c r="R348">
        <v>1294549</v>
      </c>
    </row>
    <row r="349" spans="1:18" x14ac:dyDescent="0.25">
      <c r="A349" s="170">
        <v>43920</v>
      </c>
      <c r="B349" s="116">
        <v>88.55</v>
      </c>
      <c r="C349" s="116">
        <v>83.6</v>
      </c>
      <c r="D349" s="116">
        <v>82.25</v>
      </c>
      <c r="E349" s="116">
        <v>88.55</v>
      </c>
      <c r="F349" s="116">
        <v>83.6</v>
      </c>
      <c r="G349">
        <v>129583</v>
      </c>
      <c r="H349" s="116"/>
      <c r="I349" s="116"/>
      <c r="L349" s="170">
        <v>43920</v>
      </c>
      <c r="M349" s="116">
        <v>83.7</v>
      </c>
      <c r="N349" s="116">
        <v>86.75</v>
      </c>
      <c r="O349" s="116">
        <v>82.8</v>
      </c>
      <c r="P349" s="116">
        <v>86.75</v>
      </c>
      <c r="Q349" s="116">
        <v>83.7</v>
      </c>
      <c r="R349">
        <v>745086</v>
      </c>
    </row>
    <row r="350" spans="1:18" x14ac:dyDescent="0.25">
      <c r="A350" s="170">
        <v>43921</v>
      </c>
      <c r="B350" s="116">
        <v>88.75</v>
      </c>
      <c r="C350" s="116">
        <v>86.4</v>
      </c>
      <c r="D350" s="116">
        <v>84.05</v>
      </c>
      <c r="E350" s="116">
        <v>85</v>
      </c>
      <c r="F350" s="116">
        <v>86.4</v>
      </c>
      <c r="G350">
        <v>65347</v>
      </c>
      <c r="H350" s="116"/>
      <c r="I350" s="116"/>
      <c r="L350" s="170">
        <v>43921</v>
      </c>
      <c r="M350" s="116">
        <v>86.35</v>
      </c>
      <c r="N350" s="116">
        <v>89</v>
      </c>
      <c r="O350" s="116">
        <v>84.65</v>
      </c>
      <c r="P350" s="116">
        <v>84.65</v>
      </c>
      <c r="Q350" s="116">
        <v>86.35</v>
      </c>
      <c r="R350">
        <v>844667</v>
      </c>
    </row>
    <row r="351" spans="1:18" x14ac:dyDescent="0.25">
      <c r="A351" s="170">
        <v>43922</v>
      </c>
      <c r="B351" s="116">
        <v>91.15</v>
      </c>
      <c r="C351" s="116">
        <v>89.1</v>
      </c>
      <c r="D351" s="116">
        <v>85.95</v>
      </c>
      <c r="E351" s="116">
        <v>87.75</v>
      </c>
      <c r="F351" s="116">
        <v>89.1</v>
      </c>
      <c r="G351">
        <v>86164</v>
      </c>
      <c r="H351" s="116"/>
      <c r="I351" s="116"/>
      <c r="L351" s="170">
        <v>43922</v>
      </c>
      <c r="M351" s="116">
        <v>89</v>
      </c>
      <c r="N351" s="116">
        <v>91.2</v>
      </c>
      <c r="O351" s="116">
        <v>85</v>
      </c>
      <c r="P351" s="116">
        <v>86.9</v>
      </c>
      <c r="Q351" s="116">
        <v>89</v>
      </c>
      <c r="R351">
        <v>922474</v>
      </c>
    </row>
    <row r="352" spans="1:18" x14ac:dyDescent="0.25">
      <c r="A352" s="170">
        <v>43924</v>
      </c>
      <c r="B352" s="116">
        <v>92</v>
      </c>
      <c r="C352" s="116">
        <v>90.3</v>
      </c>
      <c r="D352" s="116">
        <v>89</v>
      </c>
      <c r="E352" s="116">
        <v>90.4</v>
      </c>
      <c r="F352" s="116">
        <v>90.3</v>
      </c>
      <c r="G352">
        <v>89613</v>
      </c>
      <c r="H352" s="116"/>
      <c r="I352" s="116"/>
      <c r="L352" s="170">
        <v>43924</v>
      </c>
      <c r="M352" s="116">
        <v>90.35</v>
      </c>
      <c r="N352" s="116">
        <v>92</v>
      </c>
      <c r="O352" s="116">
        <v>88.95</v>
      </c>
      <c r="P352" s="116">
        <v>89.9</v>
      </c>
      <c r="Q352" s="116">
        <v>90.35</v>
      </c>
      <c r="R352">
        <v>894968</v>
      </c>
    </row>
    <row r="353" spans="1:18" x14ac:dyDescent="0.25">
      <c r="A353" s="170">
        <v>43928</v>
      </c>
      <c r="B353" s="116">
        <v>95.7</v>
      </c>
      <c r="C353" s="116">
        <v>94</v>
      </c>
      <c r="D353" s="116">
        <v>91.8</v>
      </c>
      <c r="E353" s="116">
        <v>94.45</v>
      </c>
      <c r="F353" s="116">
        <v>94</v>
      </c>
      <c r="G353">
        <v>94734</v>
      </c>
      <c r="H353" s="116"/>
      <c r="I353" s="116"/>
      <c r="L353" s="170">
        <v>43928</v>
      </c>
      <c r="M353" s="116">
        <v>94</v>
      </c>
      <c r="N353" s="116">
        <v>95.65</v>
      </c>
      <c r="O353" s="116">
        <v>91.6</v>
      </c>
      <c r="P353" s="116">
        <v>93.85</v>
      </c>
      <c r="Q353" s="116">
        <v>94</v>
      </c>
      <c r="R353">
        <v>1154236</v>
      </c>
    </row>
    <row r="354" spans="1:18" x14ac:dyDescent="0.25">
      <c r="A354" s="170">
        <v>43929</v>
      </c>
      <c r="B354" s="116">
        <v>96.45</v>
      </c>
      <c r="C354" s="116">
        <v>90.85</v>
      </c>
      <c r="D354" s="116">
        <v>90.45</v>
      </c>
      <c r="E354" s="116">
        <v>95.5</v>
      </c>
      <c r="F354" s="116">
        <v>90.85</v>
      </c>
      <c r="G354">
        <v>158288</v>
      </c>
      <c r="H354" s="116"/>
      <c r="I354" s="116"/>
      <c r="L354" s="170">
        <v>43929</v>
      </c>
      <c r="M354" s="116">
        <v>90.8</v>
      </c>
      <c r="N354" s="116">
        <v>96.35</v>
      </c>
      <c r="O354" s="116">
        <v>90.5</v>
      </c>
      <c r="P354" s="116">
        <v>93.9</v>
      </c>
      <c r="Q354" s="116">
        <v>90.8</v>
      </c>
      <c r="R354">
        <v>1888606</v>
      </c>
    </row>
    <row r="355" spans="1:18" x14ac:dyDescent="0.25">
      <c r="A355" s="170">
        <v>43930</v>
      </c>
      <c r="B355" s="116">
        <v>96.75</v>
      </c>
      <c r="C355" s="116">
        <v>92.8</v>
      </c>
      <c r="D355" s="116">
        <v>92.45</v>
      </c>
      <c r="E355" s="116">
        <v>93.25</v>
      </c>
      <c r="F355" s="116">
        <v>92.8</v>
      </c>
      <c r="G355">
        <v>169203</v>
      </c>
      <c r="H355" s="116"/>
      <c r="I355" s="116"/>
      <c r="L355" s="170">
        <v>43930</v>
      </c>
      <c r="M355" s="116">
        <v>92.7</v>
      </c>
      <c r="N355" s="116">
        <v>96.7</v>
      </c>
      <c r="O355" s="116">
        <v>92.2</v>
      </c>
      <c r="P355" s="116">
        <v>92.95</v>
      </c>
      <c r="Q355" s="116">
        <v>92.7</v>
      </c>
      <c r="R355">
        <v>2453013</v>
      </c>
    </row>
    <row r="356" spans="1:18" x14ac:dyDescent="0.25">
      <c r="A356" s="170">
        <v>43934</v>
      </c>
      <c r="B356" s="116">
        <v>93.85</v>
      </c>
      <c r="C356" s="116">
        <v>92.85</v>
      </c>
      <c r="D356" s="116">
        <v>90.4</v>
      </c>
      <c r="E356" s="116">
        <v>91.8</v>
      </c>
      <c r="F356" s="116">
        <v>92.85</v>
      </c>
      <c r="G356">
        <v>119423</v>
      </c>
      <c r="H356" s="116"/>
      <c r="I356" s="116"/>
      <c r="L356" s="170">
        <v>43934</v>
      </c>
      <c r="M356" s="116">
        <v>93</v>
      </c>
      <c r="N356" s="116">
        <v>93.9</v>
      </c>
      <c r="O356" s="116">
        <v>90.4</v>
      </c>
      <c r="P356" s="116">
        <v>93.5</v>
      </c>
      <c r="Q356" s="116">
        <v>93</v>
      </c>
      <c r="R356">
        <v>1259160</v>
      </c>
    </row>
    <row r="357" spans="1:18" x14ac:dyDescent="0.25">
      <c r="A357" s="170">
        <v>43936</v>
      </c>
      <c r="B357" s="116">
        <v>103.25</v>
      </c>
      <c r="C357" s="116">
        <v>96.75</v>
      </c>
      <c r="D357" s="116">
        <v>92.7</v>
      </c>
      <c r="E357" s="116">
        <v>94.9</v>
      </c>
      <c r="F357" s="116">
        <v>96.75</v>
      </c>
      <c r="G357">
        <v>441971</v>
      </c>
      <c r="H357" s="116"/>
      <c r="I357" s="116"/>
      <c r="L357" s="170">
        <v>43936</v>
      </c>
      <c r="M357" s="116">
        <v>96.7</v>
      </c>
      <c r="N357" s="116">
        <v>103.4</v>
      </c>
      <c r="O357" s="116">
        <v>92.55</v>
      </c>
      <c r="P357" s="116">
        <v>94.4</v>
      </c>
      <c r="Q357" s="116">
        <v>96.7</v>
      </c>
      <c r="R357">
        <v>5072647</v>
      </c>
    </row>
    <row r="358" spans="1:18" x14ac:dyDescent="0.25">
      <c r="A358" s="170">
        <v>43937</v>
      </c>
      <c r="B358" s="116">
        <v>100.4</v>
      </c>
      <c r="C358" s="116">
        <v>98.85</v>
      </c>
      <c r="D358" s="116">
        <v>95</v>
      </c>
      <c r="E358" s="116">
        <v>95.2</v>
      </c>
      <c r="F358" s="116">
        <v>98.85</v>
      </c>
      <c r="G358">
        <v>104127</v>
      </c>
      <c r="H358" s="116"/>
      <c r="I358" s="116"/>
      <c r="L358" s="170">
        <v>43937</v>
      </c>
      <c r="M358" s="116">
        <v>98.9</v>
      </c>
      <c r="N358" s="116">
        <v>100</v>
      </c>
      <c r="O358" s="116">
        <v>95.3</v>
      </c>
      <c r="P358" s="116">
        <v>96.05</v>
      </c>
      <c r="Q358" s="116">
        <v>98.9</v>
      </c>
      <c r="R358">
        <v>1410715</v>
      </c>
    </row>
    <row r="359" spans="1:18" x14ac:dyDescent="0.25">
      <c r="A359" s="170">
        <v>43938</v>
      </c>
      <c r="B359" s="116">
        <v>106.5</v>
      </c>
      <c r="C359" s="116">
        <v>103.65</v>
      </c>
      <c r="D359" s="116">
        <v>99.3</v>
      </c>
      <c r="E359" s="116">
        <v>101.9</v>
      </c>
      <c r="F359" s="116">
        <v>103.65</v>
      </c>
      <c r="G359">
        <v>297722</v>
      </c>
      <c r="H359" s="116"/>
      <c r="I359" s="116"/>
      <c r="L359" s="170">
        <v>43938</v>
      </c>
      <c r="M359" s="116">
        <v>103.75</v>
      </c>
      <c r="N359" s="116">
        <v>106.75</v>
      </c>
      <c r="O359" s="116">
        <v>99.15</v>
      </c>
      <c r="P359" s="116">
        <v>102</v>
      </c>
      <c r="Q359" s="116">
        <v>103.75</v>
      </c>
      <c r="R359">
        <v>3526996</v>
      </c>
    </row>
    <row r="360" spans="1:18" x14ac:dyDescent="0.25">
      <c r="A360" s="170">
        <v>43941</v>
      </c>
      <c r="B360" s="116">
        <v>110</v>
      </c>
      <c r="C360" s="116">
        <v>106.3</v>
      </c>
      <c r="D360" s="116">
        <v>102.9</v>
      </c>
      <c r="E360" s="116">
        <v>106.8</v>
      </c>
      <c r="F360" s="116">
        <v>106.3</v>
      </c>
      <c r="G360">
        <v>349827</v>
      </c>
      <c r="H360" s="116"/>
      <c r="I360" s="116"/>
      <c r="L360" s="170">
        <v>43941</v>
      </c>
      <c r="M360" s="116">
        <v>106.5</v>
      </c>
      <c r="N360" s="116">
        <v>109.9</v>
      </c>
      <c r="O360" s="116">
        <v>102.9</v>
      </c>
      <c r="P360" s="116">
        <v>104.7</v>
      </c>
      <c r="Q360" s="116">
        <v>106.5</v>
      </c>
      <c r="R360">
        <v>5453078</v>
      </c>
    </row>
    <row r="361" spans="1:18" x14ac:dyDescent="0.25">
      <c r="A361" s="170">
        <v>43942</v>
      </c>
      <c r="B361" s="116">
        <v>104</v>
      </c>
      <c r="C361" s="116">
        <v>99.15</v>
      </c>
      <c r="D361" s="116">
        <v>98</v>
      </c>
      <c r="E361" s="116">
        <v>104</v>
      </c>
      <c r="F361" s="116">
        <v>99.15</v>
      </c>
      <c r="G361">
        <v>181354</v>
      </c>
      <c r="H361" s="116"/>
      <c r="I361" s="116"/>
      <c r="L361" s="170">
        <v>43942</v>
      </c>
      <c r="M361" s="116">
        <v>99.35</v>
      </c>
      <c r="N361" s="116">
        <v>104</v>
      </c>
      <c r="O361" s="116">
        <v>98</v>
      </c>
      <c r="P361" s="116">
        <v>104</v>
      </c>
      <c r="Q361" s="116">
        <v>99.35</v>
      </c>
      <c r="R361">
        <v>1833335</v>
      </c>
    </row>
    <row r="362" spans="1:18" x14ac:dyDescent="0.25">
      <c r="A362" s="170">
        <v>43943</v>
      </c>
      <c r="B362" s="116">
        <v>99.5</v>
      </c>
      <c r="C362" s="116">
        <v>97.95</v>
      </c>
      <c r="D362" s="116">
        <v>96.25</v>
      </c>
      <c r="E362" s="116">
        <v>99</v>
      </c>
      <c r="F362" s="116">
        <v>97.95</v>
      </c>
      <c r="G362">
        <v>116138</v>
      </c>
      <c r="H362" s="116"/>
      <c r="I362" s="116"/>
      <c r="L362" s="170">
        <v>43943</v>
      </c>
      <c r="M362" s="116">
        <v>98</v>
      </c>
      <c r="N362" s="116">
        <v>99.5</v>
      </c>
      <c r="O362" s="116">
        <v>96.2</v>
      </c>
      <c r="P362" s="116">
        <v>98.5</v>
      </c>
      <c r="Q362" s="116">
        <v>98</v>
      </c>
      <c r="R362">
        <v>1431276</v>
      </c>
    </row>
    <row r="363" spans="1:18" x14ac:dyDescent="0.25">
      <c r="A363" s="170">
        <v>43944</v>
      </c>
      <c r="B363" s="116">
        <v>101.65</v>
      </c>
      <c r="C363" s="116">
        <v>99.15</v>
      </c>
      <c r="D363" s="116">
        <v>98.6</v>
      </c>
      <c r="E363" s="116">
        <v>99</v>
      </c>
      <c r="F363" s="116">
        <v>99.15</v>
      </c>
      <c r="G363">
        <v>95788</v>
      </c>
      <c r="H363" s="116"/>
      <c r="I363" s="116"/>
      <c r="L363" s="170">
        <v>43944</v>
      </c>
      <c r="M363" s="116">
        <v>99.15</v>
      </c>
      <c r="N363" s="116">
        <v>101.7</v>
      </c>
      <c r="O363" s="116">
        <v>98.6</v>
      </c>
      <c r="P363" s="116">
        <v>99</v>
      </c>
      <c r="Q363" s="116">
        <v>99.15</v>
      </c>
      <c r="R363">
        <v>1028242</v>
      </c>
    </row>
    <row r="364" spans="1:18" x14ac:dyDescent="0.25">
      <c r="A364" s="170">
        <v>43945</v>
      </c>
      <c r="B364" s="116">
        <v>101.1</v>
      </c>
      <c r="C364" s="116">
        <v>97.3</v>
      </c>
      <c r="D364" s="116">
        <v>97</v>
      </c>
      <c r="E364" s="116">
        <v>98.95</v>
      </c>
      <c r="F364" s="116">
        <v>97.3</v>
      </c>
      <c r="G364">
        <v>89952</v>
      </c>
      <c r="H364" s="116"/>
      <c r="I364" s="116"/>
      <c r="L364" s="170">
        <v>43945</v>
      </c>
      <c r="M364" s="116">
        <v>97.25</v>
      </c>
      <c r="N364" s="116">
        <v>101.2</v>
      </c>
      <c r="O364" s="116">
        <v>97</v>
      </c>
      <c r="P364" s="116">
        <v>98</v>
      </c>
      <c r="Q364" s="116">
        <v>97.25</v>
      </c>
      <c r="R364">
        <v>900444</v>
      </c>
    </row>
    <row r="365" spans="1:18" x14ac:dyDescent="0.25">
      <c r="A365" s="170">
        <v>43948</v>
      </c>
      <c r="B365" s="116">
        <v>99.85</v>
      </c>
      <c r="C365" s="116">
        <v>98.05</v>
      </c>
      <c r="D365" s="116">
        <v>96.5</v>
      </c>
      <c r="E365" s="116">
        <v>98.9</v>
      </c>
      <c r="F365" s="116">
        <v>98.05</v>
      </c>
      <c r="G365">
        <v>50702</v>
      </c>
      <c r="H365" s="116"/>
      <c r="I365" s="116"/>
      <c r="L365" s="170">
        <v>43948</v>
      </c>
      <c r="M365" s="116">
        <v>98.5</v>
      </c>
      <c r="N365" s="116">
        <v>99.8</v>
      </c>
      <c r="O365" s="116">
        <v>97.5</v>
      </c>
      <c r="P365" s="116">
        <v>97.5</v>
      </c>
      <c r="Q365" s="116">
        <v>98.5</v>
      </c>
      <c r="R365">
        <v>604363</v>
      </c>
    </row>
    <row r="366" spans="1:18" x14ac:dyDescent="0.25">
      <c r="A366" s="170">
        <v>43949</v>
      </c>
      <c r="B366" s="116">
        <v>107.2</v>
      </c>
      <c r="C366" s="116">
        <v>104</v>
      </c>
      <c r="D366" s="116">
        <v>98.6</v>
      </c>
      <c r="E366" s="116">
        <v>99.8</v>
      </c>
      <c r="F366" s="116">
        <v>104</v>
      </c>
      <c r="G366">
        <v>351253</v>
      </c>
      <c r="H366" s="116"/>
      <c r="I366" s="116"/>
      <c r="L366" s="170">
        <v>43949</v>
      </c>
      <c r="M366" s="116">
        <v>104.1</v>
      </c>
      <c r="N366" s="116">
        <v>107.2</v>
      </c>
      <c r="O366" s="116">
        <v>98.6</v>
      </c>
      <c r="P366" s="116">
        <v>98.95</v>
      </c>
      <c r="Q366" s="116">
        <v>104.1</v>
      </c>
      <c r="R366">
        <v>6102925</v>
      </c>
    </row>
    <row r="367" spans="1:18" x14ac:dyDescent="0.25">
      <c r="A367" s="170">
        <v>43950</v>
      </c>
      <c r="B367" s="116">
        <v>107.9</v>
      </c>
      <c r="C367" s="116">
        <v>105.7</v>
      </c>
      <c r="D367" s="116">
        <v>104.1</v>
      </c>
      <c r="E367" s="116">
        <v>104.1</v>
      </c>
      <c r="F367" s="116">
        <v>105.7</v>
      </c>
      <c r="G367">
        <v>291057</v>
      </c>
      <c r="H367" s="116"/>
      <c r="I367" s="116"/>
      <c r="L367" s="170">
        <v>43950</v>
      </c>
      <c r="M367" s="116">
        <v>105.85</v>
      </c>
      <c r="N367" s="116">
        <v>107.9</v>
      </c>
      <c r="O367" s="116">
        <v>104.5</v>
      </c>
      <c r="P367" s="116">
        <v>104.9</v>
      </c>
      <c r="Q367" s="116">
        <v>105.85</v>
      </c>
      <c r="R367">
        <v>2742210</v>
      </c>
    </row>
    <row r="368" spans="1:18" x14ac:dyDescent="0.25">
      <c r="A368" s="170">
        <v>43951</v>
      </c>
      <c r="B368" s="116">
        <v>109</v>
      </c>
      <c r="C368" s="116">
        <v>105.25</v>
      </c>
      <c r="D368" s="116">
        <v>104.45</v>
      </c>
      <c r="E368" s="116">
        <v>107.85</v>
      </c>
      <c r="F368" s="116">
        <v>105.25</v>
      </c>
      <c r="G368">
        <v>169163</v>
      </c>
      <c r="H368" s="116"/>
      <c r="I368" s="116"/>
      <c r="L368" s="170">
        <v>43951</v>
      </c>
      <c r="M368" s="116">
        <v>105.35</v>
      </c>
      <c r="N368" s="116">
        <v>108.9</v>
      </c>
      <c r="O368" s="116">
        <v>104.55</v>
      </c>
      <c r="P368" s="116">
        <v>107.1</v>
      </c>
      <c r="Q368" s="116">
        <v>105.35</v>
      </c>
      <c r="R368">
        <v>1989814</v>
      </c>
    </row>
    <row r="369" spans="1:18" x14ac:dyDescent="0.25">
      <c r="A369" s="170">
        <v>43955</v>
      </c>
      <c r="B369" s="116">
        <v>102</v>
      </c>
      <c r="C369" s="116">
        <v>99.85</v>
      </c>
      <c r="D369" s="116">
        <v>99.1</v>
      </c>
      <c r="E369" s="116">
        <v>101.5</v>
      </c>
      <c r="F369" s="116">
        <v>99.85</v>
      </c>
      <c r="G369">
        <v>417411</v>
      </c>
      <c r="H369" s="116"/>
      <c r="I369" s="116"/>
      <c r="L369" s="170">
        <v>43955</v>
      </c>
      <c r="M369" s="116">
        <v>99.8</v>
      </c>
      <c r="N369" s="116">
        <v>101.9</v>
      </c>
      <c r="O369" s="116">
        <v>99.05</v>
      </c>
      <c r="P369" s="116">
        <v>100.25</v>
      </c>
      <c r="Q369" s="116">
        <v>99.8</v>
      </c>
      <c r="R369">
        <v>3582200</v>
      </c>
    </row>
    <row r="370" spans="1:18" x14ac:dyDescent="0.25">
      <c r="A370" s="170">
        <v>43956</v>
      </c>
      <c r="B370" s="116">
        <v>102.75</v>
      </c>
      <c r="C370" s="116">
        <v>97.35</v>
      </c>
      <c r="D370" s="116">
        <v>97</v>
      </c>
      <c r="E370" s="116">
        <v>100.25</v>
      </c>
      <c r="F370" s="116">
        <v>97.35</v>
      </c>
      <c r="G370">
        <v>147256</v>
      </c>
      <c r="H370" s="116"/>
      <c r="I370" s="116"/>
      <c r="L370" s="170">
        <v>43956</v>
      </c>
      <c r="M370" s="116">
        <v>97.35</v>
      </c>
      <c r="N370" s="116">
        <v>102.7</v>
      </c>
      <c r="O370" s="116">
        <v>96.9</v>
      </c>
      <c r="P370" s="116">
        <v>101.8</v>
      </c>
      <c r="Q370" s="116">
        <v>97.35</v>
      </c>
      <c r="R370">
        <v>1852718</v>
      </c>
    </row>
    <row r="371" spans="1:18" x14ac:dyDescent="0.25">
      <c r="A371" s="170">
        <v>43957</v>
      </c>
      <c r="B371" s="116">
        <v>100.85</v>
      </c>
      <c r="C371" s="116">
        <v>99.7</v>
      </c>
      <c r="D371" s="116">
        <v>96.8</v>
      </c>
      <c r="E371" s="116">
        <v>98</v>
      </c>
      <c r="F371" s="116">
        <v>99.7</v>
      </c>
      <c r="G371">
        <v>193751</v>
      </c>
      <c r="H371" s="116"/>
      <c r="I371" s="116"/>
      <c r="L371" s="170">
        <v>43957</v>
      </c>
      <c r="M371" s="116">
        <v>99.7</v>
      </c>
      <c r="N371" s="116">
        <v>100.8</v>
      </c>
      <c r="O371" s="116">
        <v>96.6</v>
      </c>
      <c r="P371" s="116">
        <v>97.9</v>
      </c>
      <c r="Q371" s="116">
        <v>99.7</v>
      </c>
      <c r="R371">
        <v>1907044</v>
      </c>
    </row>
    <row r="372" spans="1:18" x14ac:dyDescent="0.25">
      <c r="A372" s="170">
        <v>43958</v>
      </c>
      <c r="B372" s="116">
        <v>105.35</v>
      </c>
      <c r="C372" s="116">
        <v>104.15</v>
      </c>
      <c r="D372" s="116">
        <v>99.6</v>
      </c>
      <c r="E372" s="116">
        <v>100</v>
      </c>
      <c r="F372" s="116">
        <v>104.15</v>
      </c>
      <c r="G372">
        <v>346547</v>
      </c>
      <c r="H372" s="116"/>
      <c r="I372" s="116"/>
      <c r="L372" s="170">
        <v>43958</v>
      </c>
      <c r="M372" s="116">
        <v>104.35</v>
      </c>
      <c r="N372" s="116">
        <v>105.35</v>
      </c>
      <c r="O372" s="116">
        <v>99.35</v>
      </c>
      <c r="P372" s="116">
        <v>100.1</v>
      </c>
      <c r="Q372" s="116">
        <v>104.35</v>
      </c>
      <c r="R372">
        <v>3332375</v>
      </c>
    </row>
    <row r="373" spans="1:18" x14ac:dyDescent="0.25">
      <c r="A373" s="170">
        <v>43959</v>
      </c>
      <c r="B373" s="116">
        <v>113.8</v>
      </c>
      <c r="C373" s="116">
        <v>107.35</v>
      </c>
      <c r="D373" s="116">
        <v>104.7</v>
      </c>
      <c r="E373" s="116">
        <v>106.65</v>
      </c>
      <c r="F373" s="116">
        <v>107.35</v>
      </c>
      <c r="G373">
        <v>776977</v>
      </c>
      <c r="H373" s="116"/>
      <c r="I373" s="116"/>
      <c r="L373" s="170">
        <v>43959</v>
      </c>
      <c r="M373" s="116">
        <v>107.3</v>
      </c>
      <c r="N373" s="116">
        <v>114</v>
      </c>
      <c r="O373" s="116">
        <v>104.5</v>
      </c>
      <c r="P373" s="116">
        <v>106.7</v>
      </c>
      <c r="Q373" s="116">
        <v>107.3</v>
      </c>
      <c r="R373">
        <v>11366869</v>
      </c>
    </row>
    <row r="374" spans="1:18" x14ac:dyDescent="0.25">
      <c r="A374" s="170">
        <v>43962</v>
      </c>
      <c r="B374" s="116">
        <v>111.2</v>
      </c>
      <c r="C374" s="116">
        <v>106.3</v>
      </c>
      <c r="D374" s="116">
        <v>105.55</v>
      </c>
      <c r="E374" s="116">
        <v>109.25</v>
      </c>
      <c r="F374" s="116">
        <v>106.3</v>
      </c>
      <c r="G374">
        <v>239677</v>
      </c>
      <c r="H374" s="116"/>
      <c r="I374" s="116"/>
      <c r="L374" s="170">
        <v>43962</v>
      </c>
      <c r="M374" s="116">
        <v>106.45</v>
      </c>
      <c r="N374" s="116">
        <v>111.35</v>
      </c>
      <c r="O374" s="116">
        <v>105.55</v>
      </c>
      <c r="P374" s="116">
        <v>108.7</v>
      </c>
      <c r="Q374" s="116">
        <v>106.45</v>
      </c>
      <c r="R374">
        <v>2707598</v>
      </c>
    </row>
    <row r="375" spans="1:18" x14ac:dyDescent="0.25">
      <c r="A375" s="170">
        <v>43963</v>
      </c>
      <c r="B375" s="116">
        <v>106.6</v>
      </c>
      <c r="C375" s="116">
        <v>104.6</v>
      </c>
      <c r="D375" s="116">
        <v>102.6</v>
      </c>
      <c r="E375" s="116">
        <v>106.6</v>
      </c>
      <c r="F375" s="116">
        <v>104.6</v>
      </c>
      <c r="G375">
        <v>148604</v>
      </c>
      <c r="H375" s="116"/>
      <c r="I375" s="116"/>
      <c r="L375" s="170">
        <v>43963</v>
      </c>
      <c r="M375" s="116">
        <v>104.6</v>
      </c>
      <c r="N375" s="116">
        <v>106.5</v>
      </c>
      <c r="O375" s="116">
        <v>102.5</v>
      </c>
      <c r="P375" s="116">
        <v>104.45</v>
      </c>
      <c r="Q375" s="116">
        <v>104.6</v>
      </c>
      <c r="R375">
        <v>1317098</v>
      </c>
    </row>
    <row r="376" spans="1:18" x14ac:dyDescent="0.25">
      <c r="A376" s="170">
        <v>43964</v>
      </c>
      <c r="B376" s="116">
        <v>108.75</v>
      </c>
      <c r="C376" s="116">
        <v>106.05</v>
      </c>
      <c r="D376" s="116">
        <v>105.35</v>
      </c>
      <c r="E376" s="116">
        <v>107.9</v>
      </c>
      <c r="F376" s="116">
        <v>106.05</v>
      </c>
      <c r="G376">
        <v>128629</v>
      </c>
      <c r="H376" s="116"/>
      <c r="I376" s="116"/>
      <c r="L376" s="170">
        <v>43964</v>
      </c>
      <c r="M376" s="116">
        <v>106</v>
      </c>
      <c r="N376" s="116">
        <v>109</v>
      </c>
      <c r="O376" s="116">
        <v>105.4</v>
      </c>
      <c r="P376" s="116">
        <v>108</v>
      </c>
      <c r="Q376" s="116">
        <v>106</v>
      </c>
      <c r="R376">
        <v>1107531</v>
      </c>
    </row>
    <row r="377" spans="1:18" x14ac:dyDescent="0.25">
      <c r="A377" s="170">
        <v>43965</v>
      </c>
      <c r="B377" s="116">
        <v>108.5</v>
      </c>
      <c r="C377" s="116">
        <v>106.3</v>
      </c>
      <c r="D377" s="116">
        <v>104.6</v>
      </c>
      <c r="E377" s="116">
        <v>105.8</v>
      </c>
      <c r="F377" s="116">
        <v>106.3</v>
      </c>
      <c r="G377">
        <v>108610</v>
      </c>
      <c r="H377" s="116"/>
      <c r="I377" s="116"/>
      <c r="L377" s="170">
        <v>43965</v>
      </c>
      <c r="M377" s="116">
        <v>106.35</v>
      </c>
      <c r="N377" s="116">
        <v>108.45</v>
      </c>
      <c r="O377" s="116">
        <v>104.5</v>
      </c>
      <c r="P377" s="116">
        <v>105.3</v>
      </c>
      <c r="Q377" s="116">
        <v>106.35</v>
      </c>
      <c r="R377">
        <v>1356108</v>
      </c>
    </row>
    <row r="378" spans="1:18" x14ac:dyDescent="0.25">
      <c r="A378" s="170">
        <v>43966</v>
      </c>
      <c r="B378" s="116">
        <v>109.9</v>
      </c>
      <c r="C378" s="116">
        <v>107.35</v>
      </c>
      <c r="D378" s="116">
        <v>106.6</v>
      </c>
      <c r="E378" s="116">
        <v>109</v>
      </c>
      <c r="F378" s="116">
        <v>107.35</v>
      </c>
      <c r="G378">
        <v>129448</v>
      </c>
      <c r="H378" s="116"/>
      <c r="I378" s="116"/>
      <c r="L378" s="170">
        <v>43966</v>
      </c>
      <c r="M378" s="116">
        <v>107.45</v>
      </c>
      <c r="N378" s="116">
        <v>109.8</v>
      </c>
      <c r="O378" s="116">
        <v>106.5</v>
      </c>
      <c r="P378" s="116">
        <v>108</v>
      </c>
      <c r="Q378" s="116">
        <v>107.45</v>
      </c>
      <c r="R378">
        <v>1697595</v>
      </c>
    </row>
    <row r="379" spans="1:18" x14ac:dyDescent="0.25">
      <c r="A379" s="170">
        <v>43969</v>
      </c>
      <c r="B379" s="116">
        <v>109</v>
      </c>
      <c r="C379" s="116">
        <v>101.5</v>
      </c>
      <c r="D379" s="116">
        <v>101</v>
      </c>
      <c r="E379" s="116">
        <v>109</v>
      </c>
      <c r="F379" s="116">
        <v>101.5</v>
      </c>
      <c r="G379">
        <v>147101</v>
      </c>
      <c r="H379" s="116"/>
      <c r="I379" s="116"/>
      <c r="L379" s="170">
        <v>43969</v>
      </c>
      <c r="M379" s="116">
        <v>101.6</v>
      </c>
      <c r="N379" s="116">
        <v>108.5</v>
      </c>
      <c r="O379" s="116">
        <v>101.1</v>
      </c>
      <c r="P379" s="116">
        <v>108.5</v>
      </c>
      <c r="Q379" s="116">
        <v>101.6</v>
      </c>
      <c r="R379">
        <v>1132268</v>
      </c>
    </row>
    <row r="380" spans="1:18" x14ac:dyDescent="0.25">
      <c r="A380" s="170">
        <v>43970</v>
      </c>
      <c r="B380" s="116">
        <v>108.1</v>
      </c>
      <c r="C380" s="116">
        <v>106.45</v>
      </c>
      <c r="D380" s="116">
        <v>102.6</v>
      </c>
      <c r="E380" s="116">
        <v>103.4</v>
      </c>
      <c r="F380" s="116">
        <v>106.45</v>
      </c>
      <c r="G380">
        <v>181193</v>
      </c>
      <c r="H380" s="116"/>
      <c r="I380" s="116"/>
      <c r="L380" s="170">
        <v>43970</v>
      </c>
      <c r="M380" s="116">
        <v>106.35</v>
      </c>
      <c r="N380" s="116">
        <v>108.2</v>
      </c>
      <c r="O380" s="116">
        <v>102.6</v>
      </c>
      <c r="P380" s="116">
        <v>103.45</v>
      </c>
      <c r="Q380" s="116">
        <v>106.35</v>
      </c>
      <c r="R380">
        <v>2658003</v>
      </c>
    </row>
    <row r="381" spans="1:18" x14ac:dyDescent="0.25">
      <c r="A381" s="170">
        <v>43971</v>
      </c>
      <c r="B381" s="116">
        <v>107.6</v>
      </c>
      <c r="C381" s="116">
        <v>106.25</v>
      </c>
      <c r="D381" s="116">
        <v>105.5</v>
      </c>
      <c r="E381" s="116">
        <v>107</v>
      </c>
      <c r="F381" s="116">
        <v>106.25</v>
      </c>
      <c r="G381">
        <v>59336</v>
      </c>
      <c r="H381" s="116"/>
      <c r="I381" s="116"/>
      <c r="L381" s="170">
        <v>43971</v>
      </c>
      <c r="M381" s="116">
        <v>106.35</v>
      </c>
      <c r="N381" s="116">
        <v>107.65</v>
      </c>
      <c r="O381" s="116">
        <v>105.5</v>
      </c>
      <c r="P381" s="116">
        <v>107</v>
      </c>
      <c r="Q381" s="116">
        <v>106.35</v>
      </c>
      <c r="R381">
        <v>903249</v>
      </c>
    </row>
    <row r="382" spans="1:18" x14ac:dyDescent="0.25">
      <c r="A382" s="170">
        <v>43972</v>
      </c>
      <c r="B382" s="116">
        <v>115</v>
      </c>
      <c r="C382" s="116">
        <v>112.2</v>
      </c>
      <c r="D382" s="116">
        <v>106</v>
      </c>
      <c r="E382" s="116">
        <v>106.25</v>
      </c>
      <c r="F382" s="116">
        <v>112.2</v>
      </c>
      <c r="G382">
        <v>321533</v>
      </c>
      <c r="H382" s="116"/>
      <c r="I382" s="116"/>
      <c r="L382" s="170">
        <v>43972</v>
      </c>
      <c r="M382" s="116">
        <v>112.15</v>
      </c>
      <c r="N382" s="116">
        <v>114.75</v>
      </c>
      <c r="O382" s="116">
        <v>105.55</v>
      </c>
      <c r="P382" s="116">
        <v>106.35</v>
      </c>
      <c r="Q382" s="116">
        <v>112.15</v>
      </c>
      <c r="R382">
        <v>4654666</v>
      </c>
    </row>
    <row r="383" spans="1:18" x14ac:dyDescent="0.25">
      <c r="A383" s="170">
        <v>43973</v>
      </c>
      <c r="B383" s="116">
        <v>118.4</v>
      </c>
      <c r="C383" s="116">
        <v>115.65</v>
      </c>
      <c r="D383" s="116">
        <v>111.6</v>
      </c>
      <c r="E383" s="116">
        <v>113.7</v>
      </c>
      <c r="F383" s="116">
        <v>115.65</v>
      </c>
      <c r="G383">
        <v>306614</v>
      </c>
      <c r="H383" s="116"/>
      <c r="I383" s="116"/>
      <c r="L383" s="170">
        <v>43973</v>
      </c>
      <c r="M383" s="116">
        <v>115.7</v>
      </c>
      <c r="N383" s="116">
        <v>118.65</v>
      </c>
      <c r="O383" s="116">
        <v>111.4</v>
      </c>
      <c r="P383" s="116">
        <v>112</v>
      </c>
      <c r="Q383" s="116">
        <v>115.7</v>
      </c>
      <c r="R383">
        <v>4406548</v>
      </c>
    </row>
    <row r="384" spans="1:18" x14ac:dyDescent="0.25">
      <c r="A384" s="170">
        <v>43977</v>
      </c>
      <c r="B384" s="116">
        <v>119.25</v>
      </c>
      <c r="C384" s="116">
        <v>114.6</v>
      </c>
      <c r="D384" s="116">
        <v>113.7</v>
      </c>
      <c r="E384" s="116">
        <v>117.85</v>
      </c>
      <c r="F384" s="116">
        <v>114.6</v>
      </c>
      <c r="G384">
        <v>188190</v>
      </c>
      <c r="H384" s="116"/>
      <c r="I384" s="116"/>
      <c r="L384" s="170">
        <v>43977</v>
      </c>
      <c r="M384" s="116">
        <v>114.65</v>
      </c>
      <c r="N384" s="116">
        <v>119.2</v>
      </c>
      <c r="O384" s="116">
        <v>113.6</v>
      </c>
      <c r="P384" s="116">
        <v>117.25</v>
      </c>
      <c r="Q384" s="116">
        <v>114.65</v>
      </c>
      <c r="R384">
        <v>2478450</v>
      </c>
    </row>
    <row r="385" spans="1:18" x14ac:dyDescent="0.25">
      <c r="A385" s="170">
        <v>43978</v>
      </c>
      <c r="B385" s="116">
        <v>116.5</v>
      </c>
      <c r="C385" s="116">
        <v>114.85</v>
      </c>
      <c r="D385" s="116">
        <v>113.1</v>
      </c>
      <c r="E385" s="116">
        <v>115.6</v>
      </c>
      <c r="F385" s="116">
        <v>114.85</v>
      </c>
      <c r="G385">
        <v>94410</v>
      </c>
      <c r="H385" s="116"/>
      <c r="I385" s="116"/>
      <c r="L385" s="170">
        <v>43978</v>
      </c>
      <c r="M385" s="116">
        <v>114.75</v>
      </c>
      <c r="N385" s="116">
        <v>116.65</v>
      </c>
      <c r="O385" s="116">
        <v>113</v>
      </c>
      <c r="P385" s="116">
        <v>115.25</v>
      </c>
      <c r="Q385" s="116">
        <v>114.75</v>
      </c>
      <c r="R385">
        <v>1288265</v>
      </c>
    </row>
    <row r="386" spans="1:18" x14ac:dyDescent="0.25">
      <c r="A386" s="170">
        <v>43979</v>
      </c>
      <c r="B386" s="116">
        <v>117.4</v>
      </c>
      <c r="C386" s="116">
        <v>114.7</v>
      </c>
      <c r="D386" s="116">
        <v>114.2</v>
      </c>
      <c r="E386" s="116">
        <v>116.4</v>
      </c>
      <c r="F386" s="116">
        <v>114.7</v>
      </c>
      <c r="G386">
        <v>110254</v>
      </c>
      <c r="H386" s="116"/>
      <c r="I386" s="116"/>
      <c r="L386" s="170">
        <v>43979</v>
      </c>
      <c r="M386" s="116">
        <v>114.85</v>
      </c>
      <c r="N386" s="116">
        <v>117.5</v>
      </c>
      <c r="O386" s="116">
        <v>114.15</v>
      </c>
      <c r="P386" s="116">
        <v>115.2</v>
      </c>
      <c r="Q386" s="116">
        <v>114.85</v>
      </c>
      <c r="R386">
        <v>1419160</v>
      </c>
    </row>
    <row r="387" spans="1:18" x14ac:dyDescent="0.25">
      <c r="A387" s="170">
        <v>43980</v>
      </c>
      <c r="B387" s="116">
        <v>121.2</v>
      </c>
      <c r="C387" s="116">
        <v>117.45</v>
      </c>
      <c r="D387" s="116">
        <v>114.55</v>
      </c>
      <c r="E387" s="116">
        <v>115</v>
      </c>
      <c r="F387" s="116">
        <v>117.45</v>
      </c>
      <c r="G387">
        <v>212318</v>
      </c>
      <c r="H387" s="116"/>
      <c r="I387" s="116"/>
      <c r="L387" s="170">
        <v>43980</v>
      </c>
      <c r="M387" s="116">
        <v>117.45</v>
      </c>
      <c r="N387" s="116">
        <v>121.4</v>
      </c>
      <c r="O387" s="116">
        <v>114</v>
      </c>
      <c r="P387" s="116">
        <v>114.75</v>
      </c>
      <c r="Q387" s="116">
        <v>117.45</v>
      </c>
      <c r="R387">
        <v>3013297</v>
      </c>
    </row>
    <row r="388" spans="1:18" x14ac:dyDescent="0.25">
      <c r="A388" s="170">
        <v>43983</v>
      </c>
      <c r="B388" s="116">
        <v>121</v>
      </c>
      <c r="C388" s="116">
        <v>117.2</v>
      </c>
      <c r="D388" s="116">
        <v>116.65</v>
      </c>
      <c r="E388" s="116">
        <v>120</v>
      </c>
      <c r="F388" s="116">
        <v>117.2</v>
      </c>
      <c r="G388">
        <v>176401</v>
      </c>
      <c r="H388" s="116"/>
      <c r="I388" s="116"/>
      <c r="L388" s="170">
        <v>43983</v>
      </c>
      <c r="M388" s="116">
        <v>117.3</v>
      </c>
      <c r="N388" s="116">
        <v>121</v>
      </c>
      <c r="O388" s="116">
        <v>116.7</v>
      </c>
      <c r="P388" s="116">
        <v>119.6</v>
      </c>
      <c r="Q388" s="116">
        <v>117.3</v>
      </c>
      <c r="R388">
        <v>2031521</v>
      </c>
    </row>
    <row r="389" spans="1:18" x14ac:dyDescent="0.25">
      <c r="A389" s="170">
        <v>43984</v>
      </c>
      <c r="B389" s="116">
        <v>126.85</v>
      </c>
      <c r="C389" s="116">
        <v>124.3</v>
      </c>
      <c r="D389" s="116">
        <v>118</v>
      </c>
      <c r="E389" s="116">
        <v>118.9</v>
      </c>
      <c r="F389" s="116">
        <v>124.3</v>
      </c>
      <c r="G389">
        <v>348529</v>
      </c>
      <c r="H389" s="116"/>
      <c r="I389" s="116"/>
      <c r="L389" s="170">
        <v>43984</v>
      </c>
      <c r="M389" s="116">
        <v>124.1</v>
      </c>
      <c r="N389" s="116">
        <v>126.9</v>
      </c>
      <c r="O389" s="116">
        <v>117.6</v>
      </c>
      <c r="P389" s="116">
        <v>118</v>
      </c>
      <c r="Q389" s="116">
        <v>124.1</v>
      </c>
      <c r="R389">
        <v>5299596</v>
      </c>
    </row>
    <row r="390" spans="1:18" x14ac:dyDescent="0.25">
      <c r="A390" s="170">
        <v>43985</v>
      </c>
      <c r="B390" s="116">
        <v>143.80000000000001</v>
      </c>
      <c r="C390" s="116">
        <v>136.1</v>
      </c>
      <c r="D390" s="116">
        <v>128.9</v>
      </c>
      <c r="E390" s="116">
        <v>128.9</v>
      </c>
      <c r="F390" s="116">
        <v>136.1</v>
      </c>
      <c r="G390">
        <v>1379841</v>
      </c>
      <c r="H390" s="116"/>
      <c r="I390" s="116"/>
      <c r="L390" s="170">
        <v>43985</v>
      </c>
      <c r="M390" s="116">
        <v>135.94999999999999</v>
      </c>
      <c r="N390" s="116">
        <v>143.9</v>
      </c>
      <c r="O390" s="116">
        <v>128.5</v>
      </c>
      <c r="P390" s="116">
        <v>128.80000000000001</v>
      </c>
      <c r="Q390" s="116">
        <v>135.94999999999999</v>
      </c>
      <c r="R390">
        <v>17977178</v>
      </c>
    </row>
    <row r="391" spans="1:18" x14ac:dyDescent="0.25">
      <c r="A391" s="170">
        <v>43986</v>
      </c>
      <c r="B391" s="116">
        <v>140.44999999999999</v>
      </c>
      <c r="C391" s="116">
        <v>134.15</v>
      </c>
      <c r="D391" s="116">
        <v>132.30000000000001</v>
      </c>
      <c r="E391" s="116">
        <v>137.94999999999999</v>
      </c>
      <c r="F391" s="116">
        <v>134.15</v>
      </c>
      <c r="G391">
        <v>311532</v>
      </c>
      <c r="H391" s="116"/>
      <c r="I391" s="116"/>
      <c r="L391" s="170">
        <v>43986</v>
      </c>
      <c r="M391" s="116">
        <v>134.1</v>
      </c>
      <c r="N391" s="116">
        <v>140.5</v>
      </c>
      <c r="O391" s="116">
        <v>132.19999999999999</v>
      </c>
      <c r="P391" s="116">
        <v>137.1</v>
      </c>
      <c r="Q391" s="116">
        <v>134.1</v>
      </c>
      <c r="R391">
        <v>3566138</v>
      </c>
    </row>
    <row r="392" spans="1:18" x14ac:dyDescent="0.25">
      <c r="A392" s="170">
        <v>43987</v>
      </c>
      <c r="B392" s="116">
        <v>136.75</v>
      </c>
      <c r="C392" s="116">
        <v>135.05000000000001</v>
      </c>
      <c r="D392" s="116">
        <v>133.25</v>
      </c>
      <c r="E392" s="116">
        <v>135.19999999999999</v>
      </c>
      <c r="F392" s="116">
        <v>135.05000000000001</v>
      </c>
      <c r="G392">
        <v>160152</v>
      </c>
      <c r="H392" s="116"/>
      <c r="I392" s="116"/>
      <c r="L392" s="170">
        <v>43987</v>
      </c>
      <c r="M392" s="116">
        <v>135.05000000000001</v>
      </c>
      <c r="N392" s="116">
        <v>136.80000000000001</v>
      </c>
      <c r="O392" s="116">
        <v>133</v>
      </c>
      <c r="P392" s="116">
        <v>135.4</v>
      </c>
      <c r="Q392" s="116">
        <v>135.05000000000001</v>
      </c>
      <c r="R392">
        <v>1955665</v>
      </c>
    </row>
    <row r="393" spans="1:18" x14ac:dyDescent="0.25">
      <c r="A393" s="170">
        <v>43990</v>
      </c>
      <c r="B393" s="116">
        <v>141.35</v>
      </c>
      <c r="C393" s="116">
        <v>134.15</v>
      </c>
      <c r="D393" s="116">
        <v>133.15</v>
      </c>
      <c r="E393" s="116">
        <v>137.94999999999999</v>
      </c>
      <c r="F393" s="116">
        <v>134.15</v>
      </c>
      <c r="G393">
        <v>243025</v>
      </c>
      <c r="H393" s="116"/>
      <c r="I393" s="116"/>
      <c r="L393" s="170">
        <v>43990</v>
      </c>
      <c r="M393" s="116">
        <v>134.15</v>
      </c>
      <c r="N393" s="116">
        <v>141.75</v>
      </c>
      <c r="O393" s="116">
        <v>133.1</v>
      </c>
      <c r="P393" s="116">
        <v>137</v>
      </c>
      <c r="Q393" s="116">
        <v>134.15</v>
      </c>
      <c r="R393">
        <v>2762132</v>
      </c>
    </row>
    <row r="394" spans="1:18" x14ac:dyDescent="0.25">
      <c r="A394" s="170">
        <v>43991</v>
      </c>
      <c r="B394" s="116">
        <v>136.25</v>
      </c>
      <c r="C394" s="116">
        <v>132.94999999999999</v>
      </c>
      <c r="D394" s="116">
        <v>132.4</v>
      </c>
      <c r="E394" s="116">
        <v>135.9</v>
      </c>
      <c r="F394" s="116">
        <v>132.94999999999999</v>
      </c>
      <c r="G394">
        <v>127262</v>
      </c>
      <c r="H394" s="116"/>
      <c r="I394" s="116"/>
      <c r="L394" s="170">
        <v>43991</v>
      </c>
      <c r="M394" s="116">
        <v>133</v>
      </c>
      <c r="N394" s="116">
        <v>136.19999999999999</v>
      </c>
      <c r="O394" s="116">
        <v>132.35</v>
      </c>
      <c r="P394" s="116">
        <v>134.35</v>
      </c>
      <c r="Q394" s="116">
        <v>133</v>
      </c>
      <c r="R394">
        <v>1709937</v>
      </c>
    </row>
    <row r="395" spans="1:18" x14ac:dyDescent="0.25">
      <c r="A395" s="170">
        <v>43992</v>
      </c>
      <c r="B395" s="116">
        <v>136.05000000000001</v>
      </c>
      <c r="C395" s="116">
        <v>134.55000000000001</v>
      </c>
      <c r="D395" s="116">
        <v>133.4</v>
      </c>
      <c r="E395" s="116">
        <v>134.4</v>
      </c>
      <c r="F395" s="116">
        <v>134.55000000000001</v>
      </c>
      <c r="G395">
        <v>93421</v>
      </c>
      <c r="H395" s="116"/>
      <c r="I395" s="116"/>
      <c r="L395" s="170">
        <v>43992</v>
      </c>
      <c r="M395" s="116">
        <v>134.55000000000001</v>
      </c>
      <c r="N395" s="116">
        <v>136.25</v>
      </c>
      <c r="O395" s="116">
        <v>133.25</v>
      </c>
      <c r="P395" s="116">
        <v>133.69999999999999</v>
      </c>
      <c r="Q395" s="116">
        <v>134.55000000000001</v>
      </c>
      <c r="R395">
        <v>1212856</v>
      </c>
    </row>
    <row r="396" spans="1:18" x14ac:dyDescent="0.25">
      <c r="A396" s="170">
        <v>43993</v>
      </c>
      <c r="B396" s="116">
        <v>139.55000000000001</v>
      </c>
      <c r="C396" s="116">
        <v>133.94999999999999</v>
      </c>
      <c r="D396" s="116">
        <v>133.35</v>
      </c>
      <c r="E396" s="116">
        <v>134.55000000000001</v>
      </c>
      <c r="F396" s="116">
        <v>133.94999999999999</v>
      </c>
      <c r="G396">
        <v>230651</v>
      </c>
      <c r="H396" s="116"/>
      <c r="I396" s="116"/>
      <c r="L396" s="170">
        <v>43993</v>
      </c>
      <c r="M396" s="116">
        <v>134</v>
      </c>
      <c r="N396" s="116">
        <v>139.44999999999999</v>
      </c>
      <c r="O396" s="116">
        <v>133.15</v>
      </c>
      <c r="P396" s="116">
        <v>134.6</v>
      </c>
      <c r="Q396" s="116">
        <v>134</v>
      </c>
      <c r="R396">
        <v>2528253</v>
      </c>
    </row>
    <row r="397" spans="1:18" x14ac:dyDescent="0.25">
      <c r="A397" s="170">
        <v>43994</v>
      </c>
      <c r="B397" s="116">
        <v>133.1</v>
      </c>
      <c r="C397" s="116">
        <v>132.5</v>
      </c>
      <c r="D397" s="116">
        <v>125</v>
      </c>
      <c r="E397" s="116">
        <v>125</v>
      </c>
      <c r="F397" s="116">
        <v>132.5</v>
      </c>
      <c r="G397">
        <v>181967</v>
      </c>
      <c r="H397" s="116"/>
      <c r="I397" s="116"/>
      <c r="L397" s="170">
        <v>43994</v>
      </c>
      <c r="M397" s="116">
        <v>132.44999999999999</v>
      </c>
      <c r="N397" s="116">
        <v>133.19999999999999</v>
      </c>
      <c r="O397" s="116">
        <v>126.4</v>
      </c>
      <c r="P397" s="116">
        <v>127.3</v>
      </c>
      <c r="Q397" s="116">
        <v>132.44999999999999</v>
      </c>
      <c r="R397">
        <v>2050767</v>
      </c>
    </row>
    <row r="398" spans="1:18" x14ac:dyDescent="0.25">
      <c r="A398" s="170">
        <v>43997</v>
      </c>
      <c r="B398" s="116">
        <v>139.6</v>
      </c>
      <c r="C398" s="116">
        <v>136.94999999999999</v>
      </c>
      <c r="D398" s="116">
        <v>132.9</v>
      </c>
      <c r="E398" s="116">
        <v>133.94999999999999</v>
      </c>
      <c r="F398" s="116">
        <v>136.94999999999999</v>
      </c>
      <c r="G398">
        <v>229120</v>
      </c>
      <c r="H398" s="116"/>
      <c r="I398" s="116"/>
      <c r="L398" s="170">
        <v>43997</v>
      </c>
      <c r="M398" s="116">
        <v>136.94999999999999</v>
      </c>
      <c r="N398" s="116">
        <v>139.9</v>
      </c>
      <c r="O398" s="116">
        <v>132.69999999999999</v>
      </c>
      <c r="P398" s="116">
        <v>133.35</v>
      </c>
      <c r="Q398" s="116">
        <v>136.94999999999999</v>
      </c>
      <c r="R398">
        <v>2814244</v>
      </c>
    </row>
    <row r="399" spans="1:18" x14ac:dyDescent="0.25">
      <c r="A399" s="170">
        <v>43998</v>
      </c>
      <c r="B399" s="116">
        <v>142</v>
      </c>
      <c r="C399" s="116">
        <v>136.55000000000001</v>
      </c>
      <c r="D399" s="116">
        <v>132.4</v>
      </c>
      <c r="E399" s="116">
        <v>137.80000000000001</v>
      </c>
      <c r="F399" s="116">
        <v>136.55000000000001</v>
      </c>
      <c r="G399">
        <v>543575</v>
      </c>
      <c r="H399" s="116"/>
      <c r="I399" s="116"/>
      <c r="L399" s="170">
        <v>43998</v>
      </c>
      <c r="M399" s="116">
        <v>136.6</v>
      </c>
      <c r="N399" s="116">
        <v>142.19999999999999</v>
      </c>
      <c r="O399" s="116">
        <v>132.5</v>
      </c>
      <c r="P399" s="116">
        <v>139</v>
      </c>
      <c r="Q399" s="116">
        <v>136.6</v>
      </c>
      <c r="R399">
        <v>4372970</v>
      </c>
    </row>
    <row r="400" spans="1:18" x14ac:dyDescent="0.25">
      <c r="A400" s="170">
        <v>43999</v>
      </c>
      <c r="B400" s="116">
        <v>138.30000000000001</v>
      </c>
      <c r="C400" s="116">
        <v>135.4</v>
      </c>
      <c r="D400" s="116">
        <v>134.5</v>
      </c>
      <c r="E400" s="116">
        <v>136.9</v>
      </c>
      <c r="F400" s="116">
        <v>135.4</v>
      </c>
      <c r="G400">
        <v>109446</v>
      </c>
      <c r="H400" s="116"/>
      <c r="I400" s="116"/>
      <c r="L400" s="170">
        <v>43999</v>
      </c>
      <c r="M400" s="116">
        <v>135.44999999999999</v>
      </c>
      <c r="N400" s="116">
        <v>138.44999999999999</v>
      </c>
      <c r="O400" s="116">
        <v>134.25</v>
      </c>
      <c r="P400" s="116">
        <v>135.19999999999999</v>
      </c>
      <c r="Q400" s="116">
        <v>135.44999999999999</v>
      </c>
      <c r="R400">
        <v>1575585</v>
      </c>
    </row>
    <row r="401" spans="1:18" x14ac:dyDescent="0.25">
      <c r="A401" s="170">
        <v>44000</v>
      </c>
      <c r="B401" s="116">
        <v>137.75</v>
      </c>
      <c r="C401" s="116">
        <v>135.94999999999999</v>
      </c>
      <c r="D401" s="116">
        <v>135.5</v>
      </c>
      <c r="E401" s="116">
        <v>135.9</v>
      </c>
      <c r="F401" s="116">
        <v>135.94999999999999</v>
      </c>
      <c r="G401">
        <v>102497</v>
      </c>
      <c r="H401" s="116"/>
      <c r="I401" s="116"/>
      <c r="L401" s="170">
        <v>44000</v>
      </c>
      <c r="M401" s="116">
        <v>135.9</v>
      </c>
      <c r="N401" s="116">
        <v>137.80000000000001</v>
      </c>
      <c r="O401" s="116">
        <v>135.1</v>
      </c>
      <c r="P401" s="116">
        <v>136</v>
      </c>
      <c r="Q401" s="116">
        <v>135.9</v>
      </c>
      <c r="R401">
        <v>1297469</v>
      </c>
    </row>
    <row r="402" spans="1:18" x14ac:dyDescent="0.25">
      <c r="A402" s="170">
        <v>44001</v>
      </c>
      <c r="B402" s="116">
        <v>143.5</v>
      </c>
      <c r="C402" s="116">
        <v>142.30000000000001</v>
      </c>
      <c r="D402" s="116">
        <v>135.35</v>
      </c>
      <c r="E402" s="116">
        <v>135.35</v>
      </c>
      <c r="F402" s="116">
        <v>142.30000000000001</v>
      </c>
      <c r="G402">
        <v>441312</v>
      </c>
      <c r="H402" s="116"/>
      <c r="I402" s="116"/>
      <c r="L402" s="170">
        <v>44001</v>
      </c>
      <c r="M402" s="116">
        <v>142.35</v>
      </c>
      <c r="N402" s="116">
        <v>143.65</v>
      </c>
      <c r="O402" s="116">
        <v>136</v>
      </c>
      <c r="P402" s="116">
        <v>136.69999999999999</v>
      </c>
      <c r="Q402" s="116">
        <v>142.35</v>
      </c>
      <c r="R402">
        <v>4665280</v>
      </c>
    </row>
    <row r="403" spans="1:18" x14ac:dyDescent="0.25">
      <c r="A403" s="170">
        <v>44004</v>
      </c>
      <c r="B403" s="116">
        <v>151.44999999999999</v>
      </c>
      <c r="C403" s="116">
        <v>148.5</v>
      </c>
      <c r="D403" s="116">
        <v>143.9</v>
      </c>
      <c r="E403" s="116">
        <v>144.25</v>
      </c>
      <c r="F403" s="116">
        <v>148.5</v>
      </c>
      <c r="G403">
        <v>311234</v>
      </c>
      <c r="H403" s="116"/>
      <c r="I403" s="116"/>
      <c r="L403" s="170">
        <v>44004</v>
      </c>
      <c r="M403" s="116">
        <v>148.44999999999999</v>
      </c>
      <c r="N403" s="116">
        <v>151.69999999999999</v>
      </c>
      <c r="O403" s="116">
        <v>143.55000000000001</v>
      </c>
      <c r="P403" s="116">
        <v>143.9</v>
      </c>
      <c r="Q403" s="116">
        <v>148.44999999999999</v>
      </c>
      <c r="R403">
        <v>4901103</v>
      </c>
    </row>
    <row r="404" spans="1:18" x14ac:dyDescent="0.25">
      <c r="A404" s="170">
        <v>44005</v>
      </c>
      <c r="B404" s="116">
        <v>153.69999999999999</v>
      </c>
      <c r="C404" s="116">
        <v>150.69999999999999</v>
      </c>
      <c r="D404" s="116">
        <v>149.44999999999999</v>
      </c>
      <c r="E404" s="116">
        <v>150.69999999999999</v>
      </c>
      <c r="F404" s="116">
        <v>150.69999999999999</v>
      </c>
      <c r="G404">
        <v>289779</v>
      </c>
      <c r="H404" s="116"/>
      <c r="I404" s="116"/>
      <c r="L404" s="170">
        <v>44005</v>
      </c>
      <c r="M404" s="116">
        <v>150.94999999999999</v>
      </c>
      <c r="N404" s="116">
        <v>153.85</v>
      </c>
      <c r="O404" s="116">
        <v>149.5</v>
      </c>
      <c r="P404" s="116">
        <v>150.69999999999999</v>
      </c>
      <c r="Q404" s="116">
        <v>150.94999999999999</v>
      </c>
      <c r="R404">
        <v>3116168</v>
      </c>
    </row>
    <row r="405" spans="1:18" x14ac:dyDescent="0.25">
      <c r="A405" s="170">
        <v>44006</v>
      </c>
      <c r="B405" s="116">
        <v>163.95</v>
      </c>
      <c r="C405" s="116">
        <v>160.19999999999999</v>
      </c>
      <c r="D405" s="116">
        <v>146.1</v>
      </c>
      <c r="E405" s="116">
        <v>153.4</v>
      </c>
      <c r="F405" s="116">
        <v>160.19999999999999</v>
      </c>
      <c r="G405">
        <v>987379</v>
      </c>
      <c r="H405" s="116"/>
      <c r="I405" s="116"/>
      <c r="L405" s="170">
        <v>44006</v>
      </c>
      <c r="M405" s="116">
        <v>161.1</v>
      </c>
      <c r="N405" s="116">
        <v>164</v>
      </c>
      <c r="O405" s="116">
        <v>146</v>
      </c>
      <c r="P405" s="116">
        <v>152.55000000000001</v>
      </c>
      <c r="Q405" s="116">
        <v>161.1</v>
      </c>
      <c r="R405">
        <v>7669866</v>
      </c>
    </row>
    <row r="406" spans="1:18" x14ac:dyDescent="0.25">
      <c r="A406" s="170">
        <v>44007</v>
      </c>
      <c r="B406" s="116">
        <v>176.25</v>
      </c>
      <c r="C406" s="116">
        <v>170.75</v>
      </c>
      <c r="D406" s="116">
        <v>156.9</v>
      </c>
      <c r="E406" s="116">
        <v>161.15</v>
      </c>
      <c r="F406" s="116">
        <v>170.75</v>
      </c>
      <c r="G406">
        <v>794559</v>
      </c>
      <c r="H406" s="116"/>
      <c r="I406" s="116"/>
      <c r="L406" s="170">
        <v>44007</v>
      </c>
      <c r="M406" s="116">
        <v>170.9</v>
      </c>
      <c r="N406" s="116">
        <v>176.3</v>
      </c>
      <c r="O406" s="116">
        <v>156.6</v>
      </c>
      <c r="P406" s="116">
        <v>163</v>
      </c>
      <c r="Q406" s="116">
        <v>170.9</v>
      </c>
      <c r="R406">
        <v>11348724</v>
      </c>
    </row>
    <row r="407" spans="1:18" x14ac:dyDescent="0.25">
      <c r="A407" s="170">
        <v>44008</v>
      </c>
      <c r="B407" s="116">
        <v>176.6</v>
      </c>
      <c r="C407" s="116">
        <v>165.5</v>
      </c>
      <c r="D407" s="116">
        <v>163.1</v>
      </c>
      <c r="E407" s="116">
        <v>173.95</v>
      </c>
      <c r="F407" s="116">
        <v>165.5</v>
      </c>
      <c r="G407">
        <v>431143</v>
      </c>
      <c r="H407" s="116"/>
      <c r="I407" s="116"/>
      <c r="L407" s="170">
        <v>44008</v>
      </c>
      <c r="M407" s="116">
        <v>165.85</v>
      </c>
      <c r="N407" s="116">
        <v>176.65</v>
      </c>
      <c r="O407" s="116">
        <v>163</v>
      </c>
      <c r="P407" s="116">
        <v>173</v>
      </c>
      <c r="Q407" s="116">
        <v>165.85</v>
      </c>
      <c r="R407">
        <v>4882823</v>
      </c>
    </row>
    <row r="408" spans="1:18" x14ac:dyDescent="0.25">
      <c r="A408" s="170">
        <v>44011</v>
      </c>
      <c r="B408" s="116">
        <v>166.8</v>
      </c>
      <c r="C408" s="116">
        <v>157.25</v>
      </c>
      <c r="D408" s="116">
        <v>155.80000000000001</v>
      </c>
      <c r="E408" s="116">
        <v>166.8</v>
      </c>
      <c r="F408" s="116">
        <v>157.25</v>
      </c>
      <c r="G408">
        <v>201132</v>
      </c>
      <c r="H408" s="116"/>
      <c r="I408" s="116"/>
      <c r="L408" s="170">
        <v>44011</v>
      </c>
      <c r="M408" s="116">
        <v>157.35</v>
      </c>
      <c r="N408" s="116">
        <v>164.85</v>
      </c>
      <c r="O408" s="116">
        <v>155.5</v>
      </c>
      <c r="P408" s="116">
        <v>164.65</v>
      </c>
      <c r="Q408" s="116">
        <v>157.35</v>
      </c>
      <c r="R408">
        <v>2611285</v>
      </c>
    </row>
    <row r="409" spans="1:18" x14ac:dyDescent="0.25">
      <c r="A409" s="170">
        <v>44012</v>
      </c>
      <c r="B409" s="116">
        <v>161.75</v>
      </c>
      <c r="C409" s="116">
        <v>152.69999999999999</v>
      </c>
      <c r="D409" s="116">
        <v>151.55000000000001</v>
      </c>
      <c r="E409" s="116">
        <v>158.1</v>
      </c>
      <c r="F409" s="116">
        <v>152.69999999999999</v>
      </c>
      <c r="G409">
        <v>143192</v>
      </c>
      <c r="H409" s="116"/>
      <c r="I409" s="116"/>
      <c r="L409" s="170">
        <v>44012</v>
      </c>
      <c r="M409" s="116">
        <v>152.6</v>
      </c>
      <c r="N409" s="116">
        <v>161.80000000000001</v>
      </c>
      <c r="O409" s="116">
        <v>151.4</v>
      </c>
      <c r="P409" s="116">
        <v>157.80000000000001</v>
      </c>
      <c r="Q409" s="116">
        <v>152.6</v>
      </c>
      <c r="R409">
        <v>2030317</v>
      </c>
    </row>
    <row r="410" spans="1:18" x14ac:dyDescent="0.25">
      <c r="A410" s="170">
        <v>44013</v>
      </c>
      <c r="B410" s="116">
        <v>160.80000000000001</v>
      </c>
      <c r="C410" s="116">
        <v>159.35</v>
      </c>
      <c r="D410" s="116">
        <v>152</v>
      </c>
      <c r="E410" s="116">
        <v>152.55000000000001</v>
      </c>
      <c r="F410" s="116">
        <v>159.35</v>
      </c>
      <c r="G410">
        <v>252194</v>
      </c>
      <c r="H410" s="116"/>
      <c r="I410" s="116"/>
      <c r="L410" s="170">
        <v>44013</v>
      </c>
      <c r="M410" s="116">
        <v>159.15</v>
      </c>
      <c r="N410" s="116">
        <v>160.5</v>
      </c>
      <c r="O410" s="116">
        <v>151.25</v>
      </c>
      <c r="P410" s="116">
        <v>151.25</v>
      </c>
      <c r="Q410" s="116">
        <v>159.15</v>
      </c>
      <c r="R410">
        <v>2398246</v>
      </c>
    </row>
    <row r="411" spans="1:18" x14ac:dyDescent="0.25">
      <c r="A411" s="170">
        <v>44014</v>
      </c>
      <c r="B411" s="116">
        <v>166.95</v>
      </c>
      <c r="C411" s="116">
        <v>163.80000000000001</v>
      </c>
      <c r="D411" s="116">
        <v>159.75</v>
      </c>
      <c r="E411" s="116">
        <v>161</v>
      </c>
      <c r="F411" s="116">
        <v>163.80000000000001</v>
      </c>
      <c r="G411">
        <v>304515</v>
      </c>
      <c r="H411" s="116"/>
      <c r="I411" s="116"/>
      <c r="L411" s="170">
        <v>44014</v>
      </c>
      <c r="M411" s="116">
        <v>163.85</v>
      </c>
      <c r="N411" s="116">
        <v>167.1</v>
      </c>
      <c r="O411" s="116">
        <v>160</v>
      </c>
      <c r="P411" s="116">
        <v>160.80000000000001</v>
      </c>
      <c r="Q411" s="116">
        <v>163.85</v>
      </c>
      <c r="R411">
        <v>2937411</v>
      </c>
    </row>
    <row r="412" spans="1:18" x14ac:dyDescent="0.25">
      <c r="A412" s="170">
        <v>44015</v>
      </c>
      <c r="B412" s="116">
        <v>166.6</v>
      </c>
      <c r="C412" s="116">
        <v>161.19999999999999</v>
      </c>
      <c r="D412" s="116">
        <v>160.19999999999999</v>
      </c>
      <c r="E412" s="116">
        <v>166</v>
      </c>
      <c r="F412" s="116">
        <v>161.19999999999999</v>
      </c>
      <c r="G412">
        <v>126488</v>
      </c>
      <c r="H412" s="116"/>
      <c r="I412" s="116"/>
      <c r="L412" s="170">
        <v>44015</v>
      </c>
      <c r="M412" s="116">
        <v>161.35</v>
      </c>
      <c r="N412" s="116">
        <v>166.55</v>
      </c>
      <c r="O412" s="116">
        <v>160.15</v>
      </c>
      <c r="P412" s="116">
        <v>164.35</v>
      </c>
      <c r="Q412" s="116">
        <v>161.35</v>
      </c>
      <c r="R412">
        <v>1675589</v>
      </c>
    </row>
    <row r="413" spans="1:18" x14ac:dyDescent="0.25">
      <c r="A413" s="170">
        <v>44018</v>
      </c>
      <c r="B413" s="116">
        <v>164.5</v>
      </c>
      <c r="C413" s="116">
        <v>160.9</v>
      </c>
      <c r="D413" s="116">
        <v>160.19999999999999</v>
      </c>
      <c r="E413" s="116">
        <v>162.5</v>
      </c>
      <c r="F413" s="116">
        <v>160.9</v>
      </c>
      <c r="G413">
        <v>115100</v>
      </c>
      <c r="H413" s="116"/>
      <c r="I413" s="116"/>
      <c r="L413" s="170">
        <v>44018</v>
      </c>
      <c r="M413" s="116">
        <v>160.94999999999999</v>
      </c>
      <c r="N413" s="116">
        <v>164.65</v>
      </c>
      <c r="O413" s="116">
        <v>160.15</v>
      </c>
      <c r="P413" s="116">
        <v>162.65</v>
      </c>
      <c r="Q413" s="116">
        <v>160.94999999999999</v>
      </c>
      <c r="R413">
        <v>1428485</v>
      </c>
    </row>
    <row r="414" spans="1:18" x14ac:dyDescent="0.25">
      <c r="A414" s="170">
        <v>44019</v>
      </c>
      <c r="B414" s="116">
        <v>161.55000000000001</v>
      </c>
      <c r="C414" s="116">
        <v>157.65</v>
      </c>
      <c r="D414" s="116">
        <v>157.1</v>
      </c>
      <c r="E414" s="116">
        <v>161.19999999999999</v>
      </c>
      <c r="F414" s="116">
        <v>157.65</v>
      </c>
      <c r="G414">
        <v>100749</v>
      </c>
      <c r="H414" s="116"/>
      <c r="I414" s="116"/>
      <c r="L414" s="170">
        <v>44019</v>
      </c>
      <c r="M414" s="116">
        <v>157.65</v>
      </c>
      <c r="N414" s="116">
        <v>161.55000000000001</v>
      </c>
      <c r="O414" s="116">
        <v>157</v>
      </c>
      <c r="P414" s="116">
        <v>161</v>
      </c>
      <c r="Q414" s="116">
        <v>157.65</v>
      </c>
      <c r="R414">
        <v>1294529</v>
      </c>
    </row>
    <row r="415" spans="1:18" x14ac:dyDescent="0.25">
      <c r="A415" s="170">
        <v>44020</v>
      </c>
      <c r="B415" s="116">
        <v>160.55000000000001</v>
      </c>
      <c r="C415" s="116">
        <v>154.44999999999999</v>
      </c>
      <c r="D415" s="116">
        <v>154</v>
      </c>
      <c r="E415" s="116">
        <v>157.65</v>
      </c>
      <c r="F415" s="116">
        <v>154.44999999999999</v>
      </c>
      <c r="G415">
        <v>99334</v>
      </c>
      <c r="H415" s="116"/>
      <c r="I415" s="116"/>
      <c r="L415" s="170">
        <v>44020</v>
      </c>
      <c r="M415" s="116">
        <v>154.35</v>
      </c>
      <c r="N415" s="116">
        <v>160.5</v>
      </c>
      <c r="O415" s="116">
        <v>154</v>
      </c>
      <c r="P415" s="116">
        <v>157.69999999999999</v>
      </c>
      <c r="Q415" s="116">
        <v>154.35</v>
      </c>
      <c r="R415">
        <v>1061996</v>
      </c>
    </row>
    <row r="416" spans="1:18" x14ac:dyDescent="0.25">
      <c r="A416" s="170">
        <v>44021</v>
      </c>
      <c r="B416" s="116">
        <v>157.55000000000001</v>
      </c>
      <c r="C416" s="116">
        <v>154.55000000000001</v>
      </c>
      <c r="D416" s="116">
        <v>154.05000000000001</v>
      </c>
      <c r="E416" s="116">
        <v>155.94999999999999</v>
      </c>
      <c r="F416" s="116">
        <v>154.55000000000001</v>
      </c>
      <c r="G416">
        <v>129117</v>
      </c>
      <c r="H416" s="116"/>
      <c r="I416" s="116"/>
      <c r="L416" s="170">
        <v>44021</v>
      </c>
      <c r="M416" s="116">
        <v>154.55000000000001</v>
      </c>
      <c r="N416" s="116">
        <v>157.65</v>
      </c>
      <c r="O416" s="116">
        <v>154.15</v>
      </c>
      <c r="P416" s="116">
        <v>155</v>
      </c>
      <c r="Q416" s="116">
        <v>154.55000000000001</v>
      </c>
      <c r="R416">
        <v>847550</v>
      </c>
    </row>
    <row r="417" spans="1:18" x14ac:dyDescent="0.25">
      <c r="A417" s="170">
        <v>44022</v>
      </c>
      <c r="B417" s="116">
        <v>155.5</v>
      </c>
      <c r="C417" s="116">
        <v>151.9</v>
      </c>
      <c r="D417" s="116">
        <v>150.05000000000001</v>
      </c>
      <c r="E417" s="116">
        <v>155.5</v>
      </c>
      <c r="F417" s="116">
        <v>151.9</v>
      </c>
      <c r="G417">
        <v>97250</v>
      </c>
      <c r="H417" s="116"/>
      <c r="I417" s="116"/>
      <c r="L417" s="170">
        <v>44022</v>
      </c>
      <c r="M417" s="116">
        <v>151.9</v>
      </c>
      <c r="N417" s="116">
        <v>155.5</v>
      </c>
      <c r="O417" s="116">
        <v>150.05000000000001</v>
      </c>
      <c r="P417" s="116">
        <v>154.85</v>
      </c>
      <c r="Q417" s="116">
        <v>151.9</v>
      </c>
      <c r="R417">
        <v>1201122</v>
      </c>
    </row>
    <row r="418" spans="1:18" x14ac:dyDescent="0.25">
      <c r="A418" s="170">
        <v>44025</v>
      </c>
      <c r="B418" s="116">
        <v>157.5</v>
      </c>
      <c r="C418" s="116">
        <v>153.85</v>
      </c>
      <c r="D418" s="116">
        <v>152</v>
      </c>
      <c r="E418" s="116">
        <v>152.80000000000001</v>
      </c>
      <c r="F418" s="116">
        <v>153.85</v>
      </c>
      <c r="G418">
        <v>108720</v>
      </c>
      <c r="H418" s="116"/>
      <c r="I418" s="116"/>
      <c r="L418" s="170">
        <v>44025</v>
      </c>
      <c r="M418" s="116">
        <v>153.85</v>
      </c>
      <c r="N418" s="116">
        <v>157.5</v>
      </c>
      <c r="O418" s="116">
        <v>152</v>
      </c>
      <c r="P418" s="116">
        <v>152.65</v>
      </c>
      <c r="Q418" s="116">
        <v>153.85</v>
      </c>
      <c r="R418">
        <v>1366841</v>
      </c>
    </row>
    <row r="419" spans="1:18" x14ac:dyDescent="0.25">
      <c r="A419" s="170">
        <v>44026</v>
      </c>
      <c r="B419" s="116">
        <v>153.44999999999999</v>
      </c>
      <c r="C419" s="116">
        <v>148.85</v>
      </c>
      <c r="D419" s="116">
        <v>148</v>
      </c>
      <c r="E419" s="116">
        <v>151.4</v>
      </c>
      <c r="F419" s="116">
        <v>148.85</v>
      </c>
      <c r="G419">
        <v>113058</v>
      </c>
      <c r="H419" s="116"/>
      <c r="I419" s="116"/>
      <c r="L419" s="170">
        <v>44026</v>
      </c>
      <c r="M419" s="116">
        <v>148.94999999999999</v>
      </c>
      <c r="N419" s="116">
        <v>153.85</v>
      </c>
      <c r="O419" s="116">
        <v>148</v>
      </c>
      <c r="P419" s="116">
        <v>153.85</v>
      </c>
      <c r="Q419" s="116">
        <v>148.94999999999999</v>
      </c>
      <c r="R419">
        <v>1207950</v>
      </c>
    </row>
    <row r="420" spans="1:18" x14ac:dyDescent="0.25">
      <c r="A420" s="170">
        <v>44027</v>
      </c>
      <c r="B420" s="116">
        <v>153.9</v>
      </c>
      <c r="C420" s="116">
        <v>148.69999999999999</v>
      </c>
      <c r="D420" s="116">
        <v>148.05000000000001</v>
      </c>
      <c r="E420" s="116">
        <v>150</v>
      </c>
      <c r="F420" s="116">
        <v>148.69999999999999</v>
      </c>
      <c r="G420">
        <v>82770</v>
      </c>
      <c r="H420" s="116"/>
      <c r="I420" s="116"/>
      <c r="L420" s="170">
        <v>44027</v>
      </c>
      <c r="M420" s="116">
        <v>148.9</v>
      </c>
      <c r="N420" s="116">
        <v>153.75</v>
      </c>
      <c r="O420" s="116">
        <v>148.05000000000001</v>
      </c>
      <c r="P420" s="116">
        <v>150.44999999999999</v>
      </c>
      <c r="Q420" s="116">
        <v>148.9</v>
      </c>
      <c r="R420">
        <v>1038057</v>
      </c>
    </row>
    <row r="421" spans="1:18" x14ac:dyDescent="0.25">
      <c r="A421" s="170">
        <v>44028</v>
      </c>
      <c r="B421" s="116">
        <v>151.69999999999999</v>
      </c>
      <c r="C421" s="116">
        <v>145.65</v>
      </c>
      <c r="D421" s="116">
        <v>142.94999999999999</v>
      </c>
      <c r="E421" s="116">
        <v>151.69999999999999</v>
      </c>
      <c r="F421" s="116">
        <v>145.65</v>
      </c>
      <c r="G421">
        <v>85742</v>
      </c>
      <c r="H421" s="116"/>
      <c r="I421" s="116"/>
      <c r="L421" s="170">
        <v>44028</v>
      </c>
      <c r="M421" s="116">
        <v>145.69999999999999</v>
      </c>
      <c r="N421" s="116">
        <v>149.9</v>
      </c>
      <c r="O421" s="116">
        <v>143.30000000000001</v>
      </c>
      <c r="P421" s="116">
        <v>149.5</v>
      </c>
      <c r="Q421" s="116">
        <v>145.69999999999999</v>
      </c>
      <c r="R421">
        <v>846431</v>
      </c>
    </row>
    <row r="422" spans="1:18" x14ac:dyDescent="0.25">
      <c r="A422" s="170">
        <v>44029</v>
      </c>
      <c r="B422" s="116">
        <v>149.35</v>
      </c>
      <c r="C422" s="116">
        <v>148.4</v>
      </c>
      <c r="D422" s="116">
        <v>146.30000000000001</v>
      </c>
      <c r="E422" s="116">
        <v>147.19999999999999</v>
      </c>
      <c r="F422" s="116">
        <v>148.4</v>
      </c>
      <c r="G422">
        <v>70289</v>
      </c>
      <c r="H422" s="116"/>
      <c r="I422" s="116"/>
      <c r="L422" s="170">
        <v>44029</v>
      </c>
      <c r="M422" s="116">
        <v>148.44999999999999</v>
      </c>
      <c r="N422" s="116">
        <v>149.5</v>
      </c>
      <c r="O422" s="116">
        <v>145.35</v>
      </c>
      <c r="P422" s="116">
        <v>147.19999999999999</v>
      </c>
      <c r="Q422" s="116">
        <v>148.44999999999999</v>
      </c>
      <c r="R422">
        <v>822875</v>
      </c>
    </row>
    <row r="423" spans="1:18" x14ac:dyDescent="0.25">
      <c r="A423" s="170">
        <v>44032</v>
      </c>
      <c r="B423" s="116">
        <v>154.69999999999999</v>
      </c>
      <c r="C423" s="116">
        <v>153.65</v>
      </c>
      <c r="D423" s="116">
        <v>148</v>
      </c>
      <c r="E423" s="116">
        <v>149.44999999999999</v>
      </c>
      <c r="F423" s="116">
        <v>153.65</v>
      </c>
      <c r="G423">
        <v>109475</v>
      </c>
      <c r="H423" s="116"/>
      <c r="I423" s="116"/>
      <c r="L423" s="170">
        <v>44032</v>
      </c>
      <c r="M423" s="116">
        <v>153.80000000000001</v>
      </c>
      <c r="N423" s="116">
        <v>154.85</v>
      </c>
      <c r="O423" s="116">
        <v>147.75</v>
      </c>
      <c r="P423" s="116">
        <v>148.44999999999999</v>
      </c>
      <c r="Q423" s="116">
        <v>153.80000000000001</v>
      </c>
      <c r="R423">
        <v>1446579</v>
      </c>
    </row>
    <row r="424" spans="1:18" x14ac:dyDescent="0.25">
      <c r="A424" s="170">
        <v>44033</v>
      </c>
      <c r="B424" s="116">
        <v>156.5</v>
      </c>
      <c r="C424" s="116">
        <v>151.4</v>
      </c>
      <c r="D424" s="116">
        <v>150.5</v>
      </c>
      <c r="E424" s="116">
        <v>155</v>
      </c>
      <c r="F424" s="116">
        <v>151.4</v>
      </c>
      <c r="G424">
        <v>98515</v>
      </c>
      <c r="H424" s="116"/>
      <c r="I424" s="116"/>
      <c r="L424" s="170">
        <v>44033</v>
      </c>
      <c r="M424" s="116">
        <v>151.35</v>
      </c>
      <c r="N424" s="116">
        <v>156.30000000000001</v>
      </c>
      <c r="O424" s="116">
        <v>150.35</v>
      </c>
      <c r="P424" s="116">
        <v>154.94999999999999</v>
      </c>
      <c r="Q424" s="116">
        <v>151.35</v>
      </c>
      <c r="R424">
        <v>986351</v>
      </c>
    </row>
    <row r="425" spans="1:18" x14ac:dyDescent="0.25">
      <c r="A425" s="170">
        <v>44034</v>
      </c>
      <c r="B425" s="116">
        <v>154.9</v>
      </c>
      <c r="C425" s="116">
        <v>150.75</v>
      </c>
      <c r="D425" s="116">
        <v>148.9</v>
      </c>
      <c r="E425" s="116">
        <v>151.55000000000001</v>
      </c>
      <c r="F425" s="116">
        <v>150.75</v>
      </c>
      <c r="G425">
        <v>186232</v>
      </c>
      <c r="H425" s="116"/>
      <c r="I425" s="116"/>
      <c r="L425" s="170">
        <v>44034</v>
      </c>
      <c r="M425" s="116">
        <v>150.5</v>
      </c>
      <c r="N425" s="116">
        <v>155</v>
      </c>
      <c r="O425" s="116">
        <v>148.5</v>
      </c>
      <c r="P425" s="116">
        <v>152.5</v>
      </c>
      <c r="Q425" s="116">
        <v>150.5</v>
      </c>
      <c r="R425">
        <v>1442819</v>
      </c>
    </row>
    <row r="426" spans="1:18" x14ac:dyDescent="0.25">
      <c r="A426" s="170">
        <v>44035</v>
      </c>
      <c r="B426" s="116">
        <v>153.30000000000001</v>
      </c>
      <c r="C426" s="116">
        <v>150.80000000000001</v>
      </c>
      <c r="D426" s="116">
        <v>150.1</v>
      </c>
      <c r="E426" s="116">
        <v>150.19999999999999</v>
      </c>
      <c r="F426" s="116">
        <v>150.80000000000001</v>
      </c>
      <c r="G426">
        <v>92442</v>
      </c>
      <c r="H426" s="116"/>
      <c r="I426" s="116"/>
      <c r="L426" s="170">
        <v>44035</v>
      </c>
      <c r="M426" s="116">
        <v>150.85</v>
      </c>
      <c r="N426" s="116">
        <v>153.44999999999999</v>
      </c>
      <c r="O426" s="116">
        <v>150.44999999999999</v>
      </c>
      <c r="P426" s="116">
        <v>151.35</v>
      </c>
      <c r="Q426" s="116">
        <v>150.85</v>
      </c>
      <c r="R426">
        <v>888571</v>
      </c>
    </row>
    <row r="427" spans="1:18" x14ac:dyDescent="0.25">
      <c r="A427" s="170">
        <v>44036</v>
      </c>
      <c r="B427" s="116">
        <v>150.35</v>
      </c>
      <c r="C427" s="116">
        <v>147.6</v>
      </c>
      <c r="D427" s="116">
        <v>145.85</v>
      </c>
      <c r="E427" s="116">
        <v>150</v>
      </c>
      <c r="F427" s="116">
        <v>147.6</v>
      </c>
      <c r="G427">
        <v>90531</v>
      </c>
      <c r="H427" s="116"/>
      <c r="I427" s="116"/>
      <c r="L427" s="170">
        <v>44036</v>
      </c>
      <c r="M427" s="116">
        <v>147.69999999999999</v>
      </c>
      <c r="N427" s="116">
        <v>150.44999999999999</v>
      </c>
      <c r="O427" s="116">
        <v>145.69999999999999</v>
      </c>
      <c r="P427" s="116">
        <v>150.44999999999999</v>
      </c>
      <c r="Q427" s="116">
        <v>147.69999999999999</v>
      </c>
      <c r="R427">
        <v>809644</v>
      </c>
    </row>
    <row r="428" spans="1:18" x14ac:dyDescent="0.25">
      <c r="A428" s="170">
        <v>44039</v>
      </c>
      <c r="B428" s="116">
        <v>150</v>
      </c>
      <c r="C428" s="116">
        <v>144.75</v>
      </c>
      <c r="D428" s="116">
        <v>144.05000000000001</v>
      </c>
      <c r="E428" s="116">
        <v>149.94999999999999</v>
      </c>
      <c r="F428" s="116">
        <v>144.75</v>
      </c>
      <c r="G428">
        <v>65239</v>
      </c>
      <c r="H428" s="116"/>
      <c r="I428" s="116"/>
      <c r="L428" s="170">
        <v>44039</v>
      </c>
      <c r="M428" s="116">
        <v>144.69999999999999</v>
      </c>
      <c r="N428" s="116">
        <v>149.9</v>
      </c>
      <c r="O428" s="116">
        <v>144</v>
      </c>
      <c r="P428" s="116">
        <v>149.5</v>
      </c>
      <c r="Q428" s="116">
        <v>144.69999999999999</v>
      </c>
      <c r="R428">
        <v>805757</v>
      </c>
    </row>
    <row r="429" spans="1:18" x14ac:dyDescent="0.25">
      <c r="A429" s="170">
        <v>44040</v>
      </c>
      <c r="B429" s="116">
        <v>147.80000000000001</v>
      </c>
      <c r="C429" s="116">
        <v>146.15</v>
      </c>
      <c r="D429" s="116">
        <v>143.19999999999999</v>
      </c>
      <c r="E429" s="116">
        <v>144.5</v>
      </c>
      <c r="F429" s="116">
        <v>146.15</v>
      </c>
      <c r="G429">
        <v>80113</v>
      </c>
      <c r="H429" s="116"/>
      <c r="I429" s="116"/>
      <c r="L429" s="170">
        <v>44040</v>
      </c>
      <c r="M429" s="116">
        <v>146.1</v>
      </c>
      <c r="N429" s="116">
        <v>147.80000000000001</v>
      </c>
      <c r="O429" s="116">
        <v>143.1</v>
      </c>
      <c r="P429" s="116">
        <v>145.6</v>
      </c>
      <c r="Q429" s="116">
        <v>146.1</v>
      </c>
      <c r="R429">
        <v>698713</v>
      </c>
    </row>
    <row r="430" spans="1:18" x14ac:dyDescent="0.25">
      <c r="A430" s="170">
        <v>44041</v>
      </c>
      <c r="B430" s="116">
        <v>160.5</v>
      </c>
      <c r="C430" s="116">
        <v>156.1</v>
      </c>
      <c r="D430" s="116">
        <v>145</v>
      </c>
      <c r="E430" s="116">
        <v>146.15</v>
      </c>
      <c r="F430" s="116">
        <v>156.1</v>
      </c>
      <c r="G430">
        <v>485077</v>
      </c>
      <c r="H430" s="116"/>
      <c r="I430" s="116"/>
      <c r="L430" s="170">
        <v>44041</v>
      </c>
      <c r="M430" s="116">
        <v>156.05000000000001</v>
      </c>
      <c r="N430" s="116">
        <v>160.9</v>
      </c>
      <c r="O430" s="116">
        <v>145</v>
      </c>
      <c r="P430" s="116">
        <v>146</v>
      </c>
      <c r="Q430" s="116">
        <v>156.05000000000001</v>
      </c>
      <c r="R430">
        <v>5255350</v>
      </c>
    </row>
    <row r="431" spans="1:18" x14ac:dyDescent="0.25">
      <c r="A431" s="170">
        <v>44042</v>
      </c>
      <c r="B431" s="116">
        <v>159.6</v>
      </c>
      <c r="C431" s="116">
        <v>151.9</v>
      </c>
      <c r="D431" s="116">
        <v>149.80000000000001</v>
      </c>
      <c r="E431" s="116">
        <v>157.30000000000001</v>
      </c>
      <c r="F431" s="116">
        <v>151.9</v>
      </c>
      <c r="G431">
        <v>262357</v>
      </c>
      <c r="H431" s="116"/>
      <c r="I431" s="116"/>
      <c r="L431" s="170">
        <v>44042</v>
      </c>
      <c r="M431" s="116">
        <v>152.15</v>
      </c>
      <c r="N431" s="116">
        <v>159.5</v>
      </c>
      <c r="O431" s="116">
        <v>149.69999999999999</v>
      </c>
      <c r="P431" s="116">
        <v>158.30000000000001</v>
      </c>
      <c r="Q431" s="116">
        <v>152.15</v>
      </c>
      <c r="R431">
        <v>1959672</v>
      </c>
    </row>
    <row r="432" spans="1:18" x14ac:dyDescent="0.25">
      <c r="A432" s="170">
        <v>44043</v>
      </c>
      <c r="B432" s="116">
        <v>155.6</v>
      </c>
      <c r="C432" s="116">
        <v>153.6</v>
      </c>
      <c r="D432" s="116">
        <v>151</v>
      </c>
      <c r="E432" s="116">
        <v>152.1</v>
      </c>
      <c r="F432" s="116">
        <v>153.6</v>
      </c>
      <c r="G432">
        <v>78977</v>
      </c>
      <c r="H432" s="116"/>
      <c r="I432" s="116"/>
      <c r="L432" s="170">
        <v>44043</v>
      </c>
      <c r="M432" s="116">
        <v>153.75</v>
      </c>
      <c r="N432" s="116">
        <v>155.6</v>
      </c>
      <c r="O432" s="116">
        <v>150.80000000000001</v>
      </c>
      <c r="P432" s="116">
        <v>152.5</v>
      </c>
      <c r="Q432" s="116">
        <v>153.75</v>
      </c>
      <c r="R432">
        <v>1041568</v>
      </c>
    </row>
    <row r="433" spans="1:18" x14ac:dyDescent="0.25">
      <c r="A433" s="170">
        <v>44046</v>
      </c>
      <c r="B433" s="116">
        <v>159.9</v>
      </c>
      <c r="C433" s="116">
        <v>156.4</v>
      </c>
      <c r="D433" s="116">
        <v>152.35</v>
      </c>
      <c r="E433" s="116">
        <v>153.6</v>
      </c>
      <c r="F433" s="116">
        <v>156.4</v>
      </c>
      <c r="G433">
        <v>120756</v>
      </c>
      <c r="H433" s="116"/>
      <c r="I433" s="116"/>
      <c r="L433" s="170">
        <v>44046</v>
      </c>
      <c r="M433" s="116">
        <v>156.5</v>
      </c>
      <c r="N433" s="116">
        <v>159.94999999999999</v>
      </c>
      <c r="O433" s="116">
        <v>151.5</v>
      </c>
      <c r="P433" s="116">
        <v>153.1</v>
      </c>
      <c r="Q433" s="116">
        <v>156.5</v>
      </c>
      <c r="R433">
        <v>2130449</v>
      </c>
    </row>
    <row r="434" spans="1:18" x14ac:dyDescent="0.25">
      <c r="A434" s="170">
        <v>44047</v>
      </c>
      <c r="B434" s="116">
        <v>162.25</v>
      </c>
      <c r="C434" s="116">
        <v>159.4</v>
      </c>
      <c r="D434" s="116">
        <v>154.19999999999999</v>
      </c>
      <c r="E434" s="116">
        <v>158.30000000000001</v>
      </c>
      <c r="F434" s="116">
        <v>159.4</v>
      </c>
      <c r="G434">
        <v>153225</v>
      </c>
      <c r="H434" s="116"/>
      <c r="I434" s="116"/>
      <c r="L434" s="170">
        <v>44047</v>
      </c>
      <c r="M434" s="116">
        <v>159.19999999999999</v>
      </c>
      <c r="N434" s="116">
        <v>162.4</v>
      </c>
      <c r="O434" s="116">
        <v>154.35</v>
      </c>
      <c r="P434" s="116">
        <v>157.44999999999999</v>
      </c>
      <c r="Q434" s="116">
        <v>159.19999999999999</v>
      </c>
      <c r="R434">
        <v>2577253</v>
      </c>
    </row>
    <row r="435" spans="1:18" x14ac:dyDescent="0.25">
      <c r="A435" s="170">
        <v>44048</v>
      </c>
      <c r="B435" s="116">
        <v>162.1</v>
      </c>
      <c r="C435" s="116">
        <v>158.55000000000001</v>
      </c>
      <c r="D435" s="116">
        <v>156.35</v>
      </c>
      <c r="E435" s="116">
        <v>161.4</v>
      </c>
      <c r="F435" s="116">
        <v>158.55000000000001</v>
      </c>
      <c r="G435">
        <v>219600</v>
      </c>
      <c r="H435" s="116"/>
      <c r="I435" s="116"/>
      <c r="L435" s="170">
        <v>44048</v>
      </c>
      <c r="M435" s="116">
        <v>158.5</v>
      </c>
      <c r="N435" s="116">
        <v>162.30000000000001</v>
      </c>
      <c r="O435" s="116">
        <v>156.25</v>
      </c>
      <c r="P435" s="116">
        <v>160.35</v>
      </c>
      <c r="Q435" s="116">
        <v>158.5</v>
      </c>
      <c r="R435">
        <v>1582516</v>
      </c>
    </row>
    <row r="436" spans="1:18" x14ac:dyDescent="0.25">
      <c r="A436" s="170">
        <v>44049</v>
      </c>
      <c r="B436" s="116">
        <v>156.69999999999999</v>
      </c>
      <c r="C436" s="116">
        <v>153.5</v>
      </c>
      <c r="D436" s="116">
        <v>152.5</v>
      </c>
      <c r="E436" s="116">
        <v>155.5</v>
      </c>
      <c r="F436" s="116">
        <v>153.5</v>
      </c>
      <c r="G436">
        <v>215653</v>
      </c>
      <c r="H436" s="116"/>
      <c r="I436" s="116"/>
      <c r="L436" s="170">
        <v>44049</v>
      </c>
      <c r="M436" s="116">
        <v>153.4</v>
      </c>
      <c r="N436" s="116">
        <v>156.69999999999999</v>
      </c>
      <c r="O436" s="116">
        <v>152.55000000000001</v>
      </c>
      <c r="P436" s="116">
        <v>154.4</v>
      </c>
      <c r="Q436" s="116">
        <v>153.4</v>
      </c>
      <c r="R436">
        <v>1499642</v>
      </c>
    </row>
    <row r="437" spans="1:18" x14ac:dyDescent="0.25">
      <c r="A437" s="170">
        <v>44050</v>
      </c>
      <c r="B437" s="116">
        <v>163.4</v>
      </c>
      <c r="C437" s="116">
        <v>162.1</v>
      </c>
      <c r="D437" s="116">
        <v>153</v>
      </c>
      <c r="E437" s="116">
        <v>153</v>
      </c>
      <c r="F437" s="116">
        <v>162.1</v>
      </c>
      <c r="G437">
        <v>511635</v>
      </c>
      <c r="H437" s="116"/>
      <c r="I437" s="116"/>
      <c r="L437" s="170">
        <v>44050</v>
      </c>
      <c r="M437" s="116">
        <v>162.05000000000001</v>
      </c>
      <c r="N437" s="116">
        <v>163.5</v>
      </c>
      <c r="O437" s="116">
        <v>153</v>
      </c>
      <c r="P437" s="116">
        <v>153.5</v>
      </c>
      <c r="Q437" s="116">
        <v>162.05000000000001</v>
      </c>
      <c r="R437">
        <v>2933243</v>
      </c>
    </row>
    <row r="438" spans="1:18" x14ac:dyDescent="0.25">
      <c r="A438" s="170">
        <v>44053</v>
      </c>
      <c r="B438" s="116">
        <v>167.9</v>
      </c>
      <c r="C438" s="116">
        <v>163.19999999999999</v>
      </c>
      <c r="D438" s="116">
        <v>162</v>
      </c>
      <c r="E438" s="116">
        <v>163.80000000000001</v>
      </c>
      <c r="F438" s="116">
        <v>163.19999999999999</v>
      </c>
      <c r="G438">
        <v>271049</v>
      </c>
      <c r="H438" s="116"/>
      <c r="I438" s="116"/>
      <c r="L438" s="170">
        <v>44053</v>
      </c>
      <c r="M438" s="116">
        <v>163.19999999999999</v>
      </c>
      <c r="N438" s="116">
        <v>168</v>
      </c>
      <c r="O438" s="116">
        <v>162</v>
      </c>
      <c r="P438" s="116">
        <v>163</v>
      </c>
      <c r="Q438" s="116">
        <v>163.19999999999999</v>
      </c>
      <c r="R438">
        <v>2622248</v>
      </c>
    </row>
    <row r="439" spans="1:18" x14ac:dyDescent="0.25">
      <c r="A439" s="170">
        <v>44054</v>
      </c>
      <c r="B439" s="116">
        <v>165.25</v>
      </c>
      <c r="C439" s="116">
        <v>158.85</v>
      </c>
      <c r="D439" s="116">
        <v>158.30000000000001</v>
      </c>
      <c r="E439" s="116">
        <v>165</v>
      </c>
      <c r="F439" s="116">
        <v>158.85</v>
      </c>
      <c r="G439">
        <v>86788</v>
      </c>
      <c r="H439" s="116"/>
      <c r="I439" s="116"/>
      <c r="L439" s="170">
        <v>44054</v>
      </c>
      <c r="M439" s="116">
        <v>158.85</v>
      </c>
      <c r="N439" s="116">
        <v>165.5</v>
      </c>
      <c r="O439" s="116">
        <v>158.19999999999999</v>
      </c>
      <c r="P439" s="116">
        <v>164.7</v>
      </c>
      <c r="Q439" s="116">
        <v>158.85</v>
      </c>
      <c r="R439">
        <v>998797</v>
      </c>
    </row>
    <row r="440" spans="1:18" x14ac:dyDescent="0.25">
      <c r="A440" s="170">
        <v>44055</v>
      </c>
      <c r="B440" s="116">
        <v>163.35</v>
      </c>
      <c r="C440" s="116">
        <v>159.65</v>
      </c>
      <c r="D440" s="116">
        <v>157.65</v>
      </c>
      <c r="E440" s="116">
        <v>158</v>
      </c>
      <c r="F440" s="116">
        <v>159.65</v>
      </c>
      <c r="G440">
        <v>76946</v>
      </c>
      <c r="H440" s="116"/>
      <c r="I440" s="116"/>
      <c r="L440" s="170">
        <v>44055</v>
      </c>
      <c r="M440" s="116">
        <v>159.65</v>
      </c>
      <c r="N440" s="116">
        <v>163.5</v>
      </c>
      <c r="O440" s="116">
        <v>157.44999999999999</v>
      </c>
      <c r="P440" s="116">
        <v>158.44999999999999</v>
      </c>
      <c r="Q440" s="116">
        <v>159.65</v>
      </c>
      <c r="R440">
        <v>1057328</v>
      </c>
    </row>
    <row r="441" spans="1:18" x14ac:dyDescent="0.25">
      <c r="A441" s="170">
        <v>44056</v>
      </c>
      <c r="B441" s="116">
        <v>162.35</v>
      </c>
      <c r="C441" s="116">
        <v>159.44999999999999</v>
      </c>
      <c r="D441" s="116">
        <v>158.30000000000001</v>
      </c>
      <c r="E441" s="116">
        <v>161.25</v>
      </c>
      <c r="F441" s="116">
        <v>159.44999999999999</v>
      </c>
      <c r="G441">
        <v>76974</v>
      </c>
      <c r="H441" s="116"/>
      <c r="I441" s="116"/>
      <c r="L441" s="170">
        <v>44056</v>
      </c>
      <c r="M441" s="116">
        <v>159.55000000000001</v>
      </c>
      <c r="N441" s="116">
        <v>162.44999999999999</v>
      </c>
      <c r="O441" s="116">
        <v>158.4</v>
      </c>
      <c r="P441" s="116">
        <v>160.69999999999999</v>
      </c>
      <c r="Q441" s="116">
        <v>159.55000000000001</v>
      </c>
      <c r="R441">
        <v>972123</v>
      </c>
    </row>
    <row r="442" spans="1:18" x14ac:dyDescent="0.25">
      <c r="A442" s="170">
        <v>44057</v>
      </c>
      <c r="B442" s="116">
        <v>160.69999999999999</v>
      </c>
      <c r="C442" s="116">
        <v>158.19999999999999</v>
      </c>
      <c r="D442" s="116">
        <v>155.6</v>
      </c>
      <c r="E442" s="116">
        <v>160</v>
      </c>
      <c r="F442" s="116">
        <v>158.19999999999999</v>
      </c>
      <c r="G442">
        <v>98279</v>
      </c>
      <c r="H442" s="116"/>
      <c r="I442" s="116"/>
      <c r="L442" s="170">
        <v>44057</v>
      </c>
      <c r="M442" s="116">
        <v>158.15</v>
      </c>
      <c r="N442" s="116">
        <v>160.65</v>
      </c>
      <c r="O442" s="116">
        <v>155.30000000000001</v>
      </c>
      <c r="P442" s="116">
        <v>159.9</v>
      </c>
      <c r="Q442" s="116">
        <v>158.15</v>
      </c>
      <c r="R442">
        <v>1238855</v>
      </c>
    </row>
    <row r="443" spans="1:18" x14ac:dyDescent="0.25">
      <c r="A443" s="170">
        <v>44060</v>
      </c>
      <c r="B443" s="116">
        <v>164.7</v>
      </c>
      <c r="C443" s="116">
        <v>160.9</v>
      </c>
      <c r="D443" s="116">
        <v>158.15</v>
      </c>
      <c r="E443" s="116">
        <v>159.85</v>
      </c>
      <c r="F443" s="116">
        <v>160.9</v>
      </c>
      <c r="G443">
        <v>228859</v>
      </c>
      <c r="H443" s="116"/>
      <c r="I443" s="116"/>
      <c r="L443" s="170">
        <v>44060</v>
      </c>
      <c r="M443" s="116">
        <v>160.94999999999999</v>
      </c>
      <c r="N443" s="116">
        <v>164.9</v>
      </c>
      <c r="O443" s="116">
        <v>158.65</v>
      </c>
      <c r="P443" s="116">
        <v>158.9</v>
      </c>
      <c r="Q443" s="116">
        <v>160.94999999999999</v>
      </c>
      <c r="R443">
        <v>2394303</v>
      </c>
    </row>
    <row r="444" spans="1:18" x14ac:dyDescent="0.25">
      <c r="A444" s="170">
        <v>44061</v>
      </c>
      <c r="B444" s="116">
        <v>164.55</v>
      </c>
      <c r="C444" s="116">
        <v>161.69999999999999</v>
      </c>
      <c r="D444" s="116">
        <v>160.85</v>
      </c>
      <c r="E444" s="116">
        <v>162.25</v>
      </c>
      <c r="F444" s="116">
        <v>161.69999999999999</v>
      </c>
      <c r="G444">
        <v>182737</v>
      </c>
      <c r="H444" s="116"/>
      <c r="I444" s="116"/>
      <c r="L444" s="170">
        <v>44061</v>
      </c>
      <c r="M444" s="116">
        <v>161.75</v>
      </c>
      <c r="N444" s="116">
        <v>164.75</v>
      </c>
      <c r="O444" s="116">
        <v>161</v>
      </c>
      <c r="P444" s="116">
        <v>161.80000000000001</v>
      </c>
      <c r="Q444" s="116">
        <v>161.75</v>
      </c>
      <c r="R444">
        <v>1403606</v>
      </c>
    </row>
    <row r="445" spans="1:18" x14ac:dyDescent="0.25">
      <c r="A445" s="170">
        <v>44062</v>
      </c>
      <c r="B445" s="116">
        <v>165.5</v>
      </c>
      <c r="C445" s="116">
        <v>162.65</v>
      </c>
      <c r="D445" s="116">
        <v>162.19999999999999</v>
      </c>
      <c r="E445" s="116">
        <v>163.5</v>
      </c>
      <c r="F445" s="116">
        <v>162.65</v>
      </c>
      <c r="G445">
        <v>73508</v>
      </c>
      <c r="H445" s="116"/>
      <c r="I445" s="116"/>
      <c r="L445" s="170">
        <v>44062</v>
      </c>
      <c r="M445" s="116">
        <v>162.69999999999999</v>
      </c>
      <c r="N445" s="116">
        <v>165.6</v>
      </c>
      <c r="O445" s="116">
        <v>162</v>
      </c>
      <c r="P445" s="116">
        <v>162</v>
      </c>
      <c r="Q445" s="116">
        <v>162.69999999999999</v>
      </c>
      <c r="R445">
        <v>1204339</v>
      </c>
    </row>
    <row r="446" spans="1:18" x14ac:dyDescent="0.25">
      <c r="A446" s="170">
        <v>44063</v>
      </c>
      <c r="B446" s="116">
        <v>170.9</v>
      </c>
      <c r="C446" s="116">
        <v>167.65</v>
      </c>
      <c r="D446" s="116">
        <v>161.69999999999999</v>
      </c>
      <c r="E446" s="116">
        <v>163</v>
      </c>
      <c r="F446" s="116">
        <v>167.65</v>
      </c>
      <c r="G446">
        <v>218643</v>
      </c>
      <c r="H446" s="116"/>
      <c r="I446" s="116"/>
      <c r="L446" s="170">
        <v>44063</v>
      </c>
      <c r="M446" s="116">
        <v>167.75</v>
      </c>
      <c r="N446" s="116">
        <v>171</v>
      </c>
      <c r="O446" s="116">
        <v>161.35</v>
      </c>
      <c r="P446" s="116">
        <v>162.94999999999999</v>
      </c>
      <c r="Q446" s="116">
        <v>167.75</v>
      </c>
      <c r="R446">
        <v>4043273</v>
      </c>
    </row>
    <row r="447" spans="1:18" x14ac:dyDescent="0.25">
      <c r="A447" s="170">
        <v>44064</v>
      </c>
      <c r="B447" s="116">
        <v>170.95</v>
      </c>
      <c r="C447" s="116">
        <v>165.55</v>
      </c>
      <c r="D447" s="116">
        <v>164.65</v>
      </c>
      <c r="E447" s="116">
        <v>168.9</v>
      </c>
      <c r="F447" s="116">
        <v>165.55</v>
      </c>
      <c r="G447">
        <v>152490</v>
      </c>
      <c r="H447" s="116"/>
      <c r="I447" s="116"/>
      <c r="L447" s="170">
        <v>44064</v>
      </c>
      <c r="M447" s="116">
        <v>165.45</v>
      </c>
      <c r="N447" s="116">
        <v>171</v>
      </c>
      <c r="O447" s="116">
        <v>164.5</v>
      </c>
      <c r="P447" s="116">
        <v>168.55</v>
      </c>
      <c r="Q447" s="116">
        <v>165.45</v>
      </c>
      <c r="R447">
        <v>1965466</v>
      </c>
    </row>
    <row r="448" spans="1:18" x14ac:dyDescent="0.25">
      <c r="A448" s="170">
        <v>44067</v>
      </c>
      <c r="B448" s="116">
        <v>173.3</v>
      </c>
      <c r="C448" s="116">
        <v>171.45</v>
      </c>
      <c r="D448" s="116">
        <v>166.2</v>
      </c>
      <c r="E448" s="116">
        <v>168</v>
      </c>
      <c r="F448" s="116">
        <v>171.45</v>
      </c>
      <c r="G448">
        <v>303616</v>
      </c>
      <c r="H448" s="116"/>
      <c r="I448" s="116"/>
      <c r="L448" s="170">
        <v>44067</v>
      </c>
      <c r="M448" s="116">
        <v>171.15</v>
      </c>
      <c r="N448" s="116">
        <v>173.4</v>
      </c>
      <c r="O448" s="116">
        <v>166</v>
      </c>
      <c r="P448" s="116">
        <v>167</v>
      </c>
      <c r="Q448" s="116">
        <v>171.15</v>
      </c>
      <c r="R448">
        <v>2553690</v>
      </c>
    </row>
    <row r="449" spans="1:18" x14ac:dyDescent="0.25">
      <c r="A449" s="170">
        <v>44068</v>
      </c>
      <c r="B449" s="116">
        <v>188.8</v>
      </c>
      <c r="C449" s="116">
        <v>185.05</v>
      </c>
      <c r="D449" s="116">
        <v>169.2</v>
      </c>
      <c r="E449" s="116">
        <v>171.45</v>
      </c>
      <c r="F449" s="116">
        <v>185.05</v>
      </c>
      <c r="G449">
        <v>659831</v>
      </c>
      <c r="H449" s="116"/>
      <c r="I449" s="116"/>
      <c r="L449" s="170">
        <v>44068</v>
      </c>
      <c r="M449" s="116">
        <v>185.25</v>
      </c>
      <c r="N449" s="116">
        <v>188.7</v>
      </c>
      <c r="O449" s="116">
        <v>169</v>
      </c>
      <c r="P449" s="116">
        <v>174.1</v>
      </c>
      <c r="Q449" s="116">
        <v>185.25</v>
      </c>
      <c r="R449">
        <v>7988198</v>
      </c>
    </row>
    <row r="450" spans="1:18" x14ac:dyDescent="0.25">
      <c r="A450" s="170">
        <v>44069</v>
      </c>
      <c r="B450" s="116">
        <v>196.5</v>
      </c>
      <c r="C450" s="116">
        <v>186.1</v>
      </c>
      <c r="D450" s="116">
        <v>180.1</v>
      </c>
      <c r="E450" s="116">
        <v>180.1</v>
      </c>
      <c r="F450" s="116">
        <v>186.1</v>
      </c>
      <c r="G450">
        <v>574857</v>
      </c>
      <c r="H450" s="116"/>
      <c r="I450" s="116"/>
      <c r="L450" s="170">
        <v>44069</v>
      </c>
      <c r="M450" s="116">
        <v>186.15</v>
      </c>
      <c r="N450" s="116">
        <v>196.5</v>
      </c>
      <c r="O450" s="116">
        <v>182.25</v>
      </c>
      <c r="P450" s="116">
        <v>184.8</v>
      </c>
      <c r="Q450" s="116">
        <v>186.15</v>
      </c>
      <c r="R450">
        <v>6565411</v>
      </c>
    </row>
    <row r="451" spans="1:18" x14ac:dyDescent="0.25">
      <c r="A451" s="170">
        <v>44070</v>
      </c>
      <c r="B451" s="116">
        <v>190.5</v>
      </c>
      <c r="C451" s="116">
        <v>184.75</v>
      </c>
      <c r="D451" s="116">
        <v>183.3</v>
      </c>
      <c r="E451" s="116">
        <v>187.9</v>
      </c>
      <c r="F451" s="116">
        <v>184.75</v>
      </c>
      <c r="G451">
        <v>147155</v>
      </c>
      <c r="H451" s="116"/>
      <c r="I451" s="116"/>
      <c r="L451" s="170">
        <v>44070</v>
      </c>
      <c r="M451" s="116">
        <v>184.85</v>
      </c>
      <c r="N451" s="116">
        <v>190.55</v>
      </c>
      <c r="O451" s="116">
        <v>183.1</v>
      </c>
      <c r="P451" s="116">
        <v>187.9</v>
      </c>
      <c r="Q451" s="116">
        <v>184.85</v>
      </c>
      <c r="R451">
        <v>1911435</v>
      </c>
    </row>
    <row r="452" spans="1:18" x14ac:dyDescent="0.25">
      <c r="A452" s="170">
        <v>44071</v>
      </c>
      <c r="B452" s="116">
        <v>190.45</v>
      </c>
      <c r="C452" s="116">
        <v>186.65</v>
      </c>
      <c r="D452" s="116">
        <v>183.5</v>
      </c>
      <c r="E452" s="116">
        <v>186.75</v>
      </c>
      <c r="F452" s="116">
        <v>186.65</v>
      </c>
      <c r="G452">
        <v>171838</v>
      </c>
      <c r="H452" s="116"/>
      <c r="I452" s="116"/>
      <c r="L452" s="170">
        <v>44071</v>
      </c>
      <c r="M452" s="116">
        <v>186.55</v>
      </c>
      <c r="N452" s="116">
        <v>190.6</v>
      </c>
      <c r="O452" s="116">
        <v>183.5</v>
      </c>
      <c r="P452" s="116">
        <v>186.55</v>
      </c>
      <c r="Q452" s="116">
        <v>186.55</v>
      </c>
      <c r="R452">
        <v>2344010</v>
      </c>
    </row>
    <row r="453" spans="1:18" x14ac:dyDescent="0.25">
      <c r="A453" s="170">
        <v>44074</v>
      </c>
      <c r="B453" s="116">
        <v>188.6</v>
      </c>
      <c r="C453" s="116">
        <v>169.9</v>
      </c>
      <c r="D453" s="116">
        <v>168</v>
      </c>
      <c r="E453" s="116">
        <v>188.45</v>
      </c>
      <c r="F453" s="116">
        <v>169.9</v>
      </c>
      <c r="G453">
        <v>370877</v>
      </c>
      <c r="H453" s="116"/>
      <c r="I453" s="116"/>
      <c r="L453" s="170">
        <v>44074</v>
      </c>
      <c r="M453" s="116">
        <v>169.75</v>
      </c>
      <c r="N453" s="116">
        <v>188.8</v>
      </c>
      <c r="O453" s="116">
        <v>168.1</v>
      </c>
      <c r="P453" s="116">
        <v>187</v>
      </c>
      <c r="Q453" s="116">
        <v>169.75</v>
      </c>
      <c r="R453">
        <v>3268681</v>
      </c>
    </row>
    <row r="454" spans="1:18" x14ac:dyDescent="0.25">
      <c r="A454" s="170">
        <v>44075</v>
      </c>
      <c r="B454" s="116">
        <v>178.55</v>
      </c>
      <c r="C454" s="116">
        <v>177.3</v>
      </c>
      <c r="D454" s="116">
        <v>168.55</v>
      </c>
      <c r="E454" s="116">
        <v>170</v>
      </c>
      <c r="F454" s="116">
        <v>177.3</v>
      </c>
      <c r="G454">
        <v>99319</v>
      </c>
      <c r="H454" s="116"/>
      <c r="I454" s="116"/>
      <c r="L454" s="170">
        <v>44075</v>
      </c>
      <c r="M454" s="116">
        <v>177.2</v>
      </c>
      <c r="N454" s="116">
        <v>178.5</v>
      </c>
      <c r="O454" s="116">
        <v>168.25</v>
      </c>
      <c r="P454" s="116">
        <v>171.7</v>
      </c>
      <c r="Q454" s="116">
        <v>177.2</v>
      </c>
      <c r="R454">
        <v>1588828</v>
      </c>
    </row>
    <row r="455" spans="1:18" x14ac:dyDescent="0.25">
      <c r="A455" s="170">
        <v>44076</v>
      </c>
      <c r="B455" s="116">
        <v>194.35</v>
      </c>
      <c r="C455" s="116">
        <v>190</v>
      </c>
      <c r="D455" s="116">
        <v>178</v>
      </c>
      <c r="E455" s="116">
        <v>179.6</v>
      </c>
      <c r="F455" s="116">
        <v>190</v>
      </c>
      <c r="G455">
        <v>445512</v>
      </c>
      <c r="H455" s="116"/>
      <c r="I455" s="116"/>
      <c r="L455" s="170">
        <v>44076</v>
      </c>
      <c r="M455" s="116">
        <v>189.95</v>
      </c>
      <c r="N455" s="116">
        <v>194.4</v>
      </c>
      <c r="O455" s="116">
        <v>177.8</v>
      </c>
      <c r="P455" s="116">
        <v>178.9</v>
      </c>
      <c r="Q455" s="116">
        <v>189.95</v>
      </c>
      <c r="R455">
        <v>5335439</v>
      </c>
    </row>
    <row r="456" spans="1:18" x14ac:dyDescent="0.25">
      <c r="A456" s="170">
        <v>44077</v>
      </c>
      <c r="B456" s="116">
        <v>198</v>
      </c>
      <c r="C456" s="116">
        <v>189.9</v>
      </c>
      <c r="D456" s="116">
        <v>185.85</v>
      </c>
      <c r="E456" s="116">
        <v>190.65</v>
      </c>
      <c r="F456" s="116">
        <v>189.9</v>
      </c>
      <c r="G456">
        <v>251557</v>
      </c>
      <c r="H456" s="116"/>
      <c r="I456" s="116"/>
      <c r="L456" s="170">
        <v>44077</v>
      </c>
      <c r="M456" s="116">
        <v>189.85</v>
      </c>
      <c r="N456" s="116">
        <v>197.95</v>
      </c>
      <c r="O456" s="116">
        <v>185.5</v>
      </c>
      <c r="P456" s="116">
        <v>191.3</v>
      </c>
      <c r="Q456" s="116">
        <v>189.85</v>
      </c>
      <c r="R456">
        <v>4014260</v>
      </c>
    </row>
    <row r="457" spans="1:18" x14ac:dyDescent="0.25">
      <c r="A457" s="170">
        <v>44078</v>
      </c>
      <c r="B457" s="116">
        <v>200.9</v>
      </c>
      <c r="C457" s="116">
        <v>187.75</v>
      </c>
      <c r="D457" s="116">
        <v>182.95</v>
      </c>
      <c r="E457" s="116">
        <v>187</v>
      </c>
      <c r="F457" s="116">
        <v>187.75</v>
      </c>
      <c r="G457">
        <v>603158</v>
      </c>
      <c r="H457" s="116"/>
      <c r="I457" s="116"/>
      <c r="L457" s="170">
        <v>44078</v>
      </c>
      <c r="M457" s="116">
        <v>187.9</v>
      </c>
      <c r="N457" s="116">
        <v>200.85</v>
      </c>
      <c r="O457" s="116">
        <v>182.5</v>
      </c>
      <c r="P457" s="116">
        <v>185.85</v>
      </c>
      <c r="Q457" s="116">
        <v>187.9</v>
      </c>
      <c r="R457">
        <v>7651638</v>
      </c>
    </row>
    <row r="458" spans="1:18" x14ac:dyDescent="0.25">
      <c r="A458" s="170">
        <v>44081</v>
      </c>
      <c r="B458" s="116">
        <v>196.4</v>
      </c>
      <c r="C458" s="116">
        <v>194.95</v>
      </c>
      <c r="D458" s="116">
        <v>188.3</v>
      </c>
      <c r="E458" s="116">
        <v>189.9</v>
      </c>
      <c r="F458" s="116">
        <v>194.95</v>
      </c>
      <c r="G458">
        <v>160341</v>
      </c>
      <c r="H458" s="116"/>
      <c r="I458" s="116"/>
      <c r="L458" s="170">
        <v>44081</v>
      </c>
      <c r="M458" s="116">
        <v>194.85</v>
      </c>
      <c r="N458" s="116">
        <v>196.5</v>
      </c>
      <c r="O458" s="116">
        <v>188.25</v>
      </c>
      <c r="P458" s="116">
        <v>189.95</v>
      </c>
      <c r="Q458" s="116">
        <v>194.85</v>
      </c>
      <c r="R458">
        <v>2765491</v>
      </c>
    </row>
    <row r="459" spans="1:18" x14ac:dyDescent="0.25">
      <c r="A459" s="170">
        <v>44082</v>
      </c>
      <c r="B459" s="116">
        <v>197.2</v>
      </c>
      <c r="C459" s="116">
        <v>190.95</v>
      </c>
      <c r="D459" s="116">
        <v>190.2</v>
      </c>
      <c r="E459" s="116">
        <v>196.8</v>
      </c>
      <c r="F459" s="116">
        <v>190.95</v>
      </c>
      <c r="G459">
        <v>184095</v>
      </c>
      <c r="H459" s="116"/>
      <c r="I459" s="116"/>
      <c r="L459" s="170">
        <v>44082</v>
      </c>
      <c r="M459" s="116">
        <v>191.05</v>
      </c>
      <c r="N459" s="116">
        <v>197.35</v>
      </c>
      <c r="O459" s="116">
        <v>190.1</v>
      </c>
      <c r="P459" s="116">
        <v>196.15</v>
      </c>
      <c r="Q459" s="116">
        <v>191.05</v>
      </c>
      <c r="R459">
        <v>1957059</v>
      </c>
    </row>
    <row r="460" spans="1:18" x14ac:dyDescent="0.25">
      <c r="A460" s="170">
        <v>44083</v>
      </c>
      <c r="B460" s="116">
        <v>199.9</v>
      </c>
      <c r="C460" s="116">
        <v>198.25</v>
      </c>
      <c r="D460" s="116">
        <v>186.6</v>
      </c>
      <c r="E460" s="116">
        <v>189.95</v>
      </c>
      <c r="F460" s="116">
        <v>198.25</v>
      </c>
      <c r="G460">
        <v>265327</v>
      </c>
      <c r="H460" s="116"/>
      <c r="I460" s="116"/>
      <c r="L460" s="170">
        <v>44083</v>
      </c>
      <c r="M460" s="116">
        <v>198.2</v>
      </c>
      <c r="N460" s="116">
        <v>200</v>
      </c>
      <c r="O460" s="116">
        <v>186.35</v>
      </c>
      <c r="P460" s="116">
        <v>190</v>
      </c>
      <c r="Q460" s="116">
        <v>198.2</v>
      </c>
      <c r="R460">
        <v>5317277</v>
      </c>
    </row>
    <row r="461" spans="1:18" x14ac:dyDescent="0.25">
      <c r="A461" s="170">
        <v>44084</v>
      </c>
      <c r="B461" s="116">
        <v>210.9</v>
      </c>
      <c r="C461" s="116">
        <v>207.85</v>
      </c>
      <c r="D461" s="116">
        <v>200</v>
      </c>
      <c r="E461" s="116">
        <v>200</v>
      </c>
      <c r="F461" s="116">
        <v>207.85</v>
      </c>
      <c r="G461">
        <v>661798</v>
      </c>
      <c r="H461" s="116"/>
      <c r="I461" s="116"/>
      <c r="L461" s="170">
        <v>44084</v>
      </c>
      <c r="M461" s="116">
        <v>208.3</v>
      </c>
      <c r="N461" s="116">
        <v>210.9</v>
      </c>
      <c r="O461" s="116">
        <v>200.2</v>
      </c>
      <c r="P461" s="116">
        <v>200.85</v>
      </c>
      <c r="Q461" s="116">
        <v>208.3</v>
      </c>
      <c r="R461">
        <v>8104588</v>
      </c>
    </row>
    <row r="462" spans="1:18" x14ac:dyDescent="0.25">
      <c r="A462" s="170">
        <v>44085</v>
      </c>
      <c r="B462" s="116">
        <v>210.4</v>
      </c>
      <c r="C462" s="116">
        <v>207.25</v>
      </c>
      <c r="D462" s="116">
        <v>202.4</v>
      </c>
      <c r="E462" s="116">
        <v>208.8</v>
      </c>
      <c r="F462" s="116">
        <v>207.25</v>
      </c>
      <c r="G462">
        <v>227621</v>
      </c>
      <c r="H462" s="116"/>
      <c r="I462" s="116"/>
      <c r="L462" s="170">
        <v>44085</v>
      </c>
      <c r="M462" s="116">
        <v>207.35</v>
      </c>
      <c r="N462" s="116">
        <v>210.4</v>
      </c>
      <c r="O462" s="116">
        <v>202.1</v>
      </c>
      <c r="P462" s="116">
        <v>207.8</v>
      </c>
      <c r="Q462" s="116">
        <v>207.35</v>
      </c>
      <c r="R462">
        <v>3561459</v>
      </c>
    </row>
    <row r="463" spans="1:18" x14ac:dyDescent="0.25">
      <c r="A463" s="170">
        <v>44088</v>
      </c>
      <c r="B463" s="116">
        <v>214.85</v>
      </c>
      <c r="C463" s="116">
        <v>204.35</v>
      </c>
      <c r="D463" s="116">
        <v>202.25</v>
      </c>
      <c r="E463" s="116">
        <v>210</v>
      </c>
      <c r="F463" s="116">
        <v>204.35</v>
      </c>
      <c r="G463">
        <v>260478</v>
      </c>
      <c r="H463" s="116"/>
      <c r="I463" s="116"/>
      <c r="L463" s="170">
        <v>44088</v>
      </c>
      <c r="M463" s="116">
        <v>204.25</v>
      </c>
      <c r="N463" s="116">
        <v>215</v>
      </c>
      <c r="O463" s="116">
        <v>202.1</v>
      </c>
      <c r="P463" s="116">
        <v>209.75</v>
      </c>
      <c r="Q463" s="116">
        <v>204.25</v>
      </c>
      <c r="R463">
        <v>4584508</v>
      </c>
    </row>
    <row r="464" spans="1:18" x14ac:dyDescent="0.25">
      <c r="A464" s="170">
        <v>44089</v>
      </c>
      <c r="B464" s="116">
        <v>209.45</v>
      </c>
      <c r="C464" s="116">
        <v>207.15</v>
      </c>
      <c r="D464" s="116">
        <v>205.05</v>
      </c>
      <c r="E464" s="116">
        <v>206.5</v>
      </c>
      <c r="F464" s="116">
        <v>207.15</v>
      </c>
      <c r="G464">
        <v>167425</v>
      </c>
      <c r="H464" s="116"/>
      <c r="I464" s="116"/>
      <c r="L464" s="170">
        <v>44089</v>
      </c>
      <c r="M464" s="116">
        <v>207.15</v>
      </c>
      <c r="N464" s="116">
        <v>209.4</v>
      </c>
      <c r="O464" s="116">
        <v>205</v>
      </c>
      <c r="P464" s="116">
        <v>205.75</v>
      </c>
      <c r="Q464" s="116">
        <v>207.15</v>
      </c>
      <c r="R464">
        <v>2027612</v>
      </c>
    </row>
    <row r="465" spans="1:18" x14ac:dyDescent="0.25">
      <c r="A465" s="170">
        <v>44090</v>
      </c>
      <c r="B465" s="116">
        <v>210.35</v>
      </c>
      <c r="C465" s="116">
        <v>204.65</v>
      </c>
      <c r="D465" s="116">
        <v>203.3</v>
      </c>
      <c r="E465" s="116">
        <v>207.2</v>
      </c>
      <c r="F465" s="116">
        <v>204.65</v>
      </c>
      <c r="G465">
        <v>95725</v>
      </c>
      <c r="H465" s="116"/>
      <c r="I465" s="116"/>
      <c r="L465" s="170">
        <v>44090</v>
      </c>
      <c r="M465" s="116">
        <v>204.75</v>
      </c>
      <c r="N465" s="116">
        <v>210.4</v>
      </c>
      <c r="O465" s="116">
        <v>203.1</v>
      </c>
      <c r="P465" s="116">
        <v>208.4</v>
      </c>
      <c r="Q465" s="116">
        <v>204.75</v>
      </c>
      <c r="R465">
        <v>2326263</v>
      </c>
    </row>
    <row r="466" spans="1:18" x14ac:dyDescent="0.25">
      <c r="A466" s="170">
        <v>44091</v>
      </c>
      <c r="B466" s="116">
        <v>204.85</v>
      </c>
      <c r="C466" s="116">
        <v>200.3</v>
      </c>
      <c r="D466" s="116">
        <v>199.8</v>
      </c>
      <c r="E466" s="116">
        <v>203</v>
      </c>
      <c r="F466" s="116">
        <v>200.3</v>
      </c>
      <c r="G466">
        <v>105536</v>
      </c>
      <c r="H466" s="116"/>
      <c r="I466" s="116"/>
      <c r="L466" s="170">
        <v>44091</v>
      </c>
      <c r="M466" s="116">
        <v>200.4</v>
      </c>
      <c r="N466" s="116">
        <v>204.75</v>
      </c>
      <c r="O466" s="116">
        <v>199.9</v>
      </c>
      <c r="P466" s="116">
        <v>202.55</v>
      </c>
      <c r="Q466" s="116">
        <v>200.4</v>
      </c>
      <c r="R466">
        <v>1299089</v>
      </c>
    </row>
    <row r="467" spans="1:18" x14ac:dyDescent="0.25">
      <c r="A467" s="170">
        <v>44092</v>
      </c>
      <c r="B467" s="116">
        <v>204.5</v>
      </c>
      <c r="C467" s="116">
        <v>193.45</v>
      </c>
      <c r="D467" s="116">
        <v>192.05</v>
      </c>
      <c r="E467" s="116">
        <v>203.9</v>
      </c>
      <c r="F467" s="116">
        <v>193.45</v>
      </c>
      <c r="G467">
        <v>132651</v>
      </c>
      <c r="H467" s="116"/>
      <c r="I467" s="116"/>
      <c r="L467" s="170">
        <v>44092</v>
      </c>
      <c r="M467" s="116">
        <v>193.3</v>
      </c>
      <c r="N467" s="116">
        <v>204.7</v>
      </c>
      <c r="O467" s="116">
        <v>192</v>
      </c>
      <c r="P467" s="116">
        <v>202.25</v>
      </c>
      <c r="Q467" s="116">
        <v>193.3</v>
      </c>
      <c r="R467">
        <v>4279285</v>
      </c>
    </row>
    <row r="468" spans="1:18" x14ac:dyDescent="0.25">
      <c r="A468" s="170">
        <v>44095</v>
      </c>
      <c r="B468" s="116">
        <v>196.5</v>
      </c>
      <c r="C468" s="116">
        <v>186.1</v>
      </c>
      <c r="D468" s="116">
        <v>182.6</v>
      </c>
      <c r="E468" s="116">
        <v>194.65</v>
      </c>
      <c r="F468" s="116">
        <v>186.1</v>
      </c>
      <c r="G468">
        <v>230658</v>
      </c>
      <c r="H468" s="116"/>
      <c r="I468" s="116"/>
      <c r="L468" s="170">
        <v>44095</v>
      </c>
      <c r="M468" s="116">
        <v>186.3</v>
      </c>
      <c r="N468" s="116">
        <v>196.7</v>
      </c>
      <c r="O468" s="116">
        <v>182.3</v>
      </c>
      <c r="P468" s="116">
        <v>194.6</v>
      </c>
      <c r="Q468" s="116">
        <v>186.3</v>
      </c>
      <c r="R468">
        <v>2206135</v>
      </c>
    </row>
    <row r="469" spans="1:18" x14ac:dyDescent="0.25">
      <c r="A469" s="170">
        <v>44096</v>
      </c>
      <c r="B469" s="116">
        <v>190</v>
      </c>
      <c r="C469" s="116">
        <v>188.55</v>
      </c>
      <c r="D469" s="116">
        <v>177</v>
      </c>
      <c r="E469" s="116">
        <v>186.2</v>
      </c>
      <c r="F469" s="116">
        <v>188.55</v>
      </c>
      <c r="G469">
        <v>128199</v>
      </c>
      <c r="H469" s="116"/>
      <c r="I469" s="116"/>
      <c r="L469" s="170">
        <v>44096</v>
      </c>
      <c r="M469" s="116">
        <v>188.45</v>
      </c>
      <c r="N469" s="116">
        <v>190</v>
      </c>
      <c r="O469" s="116">
        <v>176.95</v>
      </c>
      <c r="P469" s="116">
        <v>187.7</v>
      </c>
      <c r="Q469" s="116">
        <v>188.45</v>
      </c>
      <c r="R469">
        <v>2465479</v>
      </c>
    </row>
    <row r="470" spans="1:18" x14ac:dyDescent="0.25">
      <c r="A470" s="170">
        <v>44097</v>
      </c>
      <c r="B470" s="116">
        <v>194.4</v>
      </c>
      <c r="C470" s="116">
        <v>186.25</v>
      </c>
      <c r="D470" s="116">
        <v>181.7</v>
      </c>
      <c r="E470" s="116">
        <v>192</v>
      </c>
      <c r="F470" s="116">
        <v>186.25</v>
      </c>
      <c r="G470">
        <v>102945</v>
      </c>
      <c r="H470" s="116"/>
      <c r="I470" s="116"/>
      <c r="L470" s="170">
        <v>44097</v>
      </c>
      <c r="M470" s="116">
        <v>186.4</v>
      </c>
      <c r="N470" s="116">
        <v>194.5</v>
      </c>
      <c r="O470" s="116">
        <v>181.5</v>
      </c>
      <c r="P470" s="116">
        <v>191</v>
      </c>
      <c r="Q470" s="116">
        <v>186.4</v>
      </c>
      <c r="R470">
        <v>1776905</v>
      </c>
    </row>
    <row r="471" spans="1:18" x14ac:dyDescent="0.25">
      <c r="A471" s="170">
        <v>44098</v>
      </c>
      <c r="B471" s="116">
        <v>183.55</v>
      </c>
      <c r="C471" s="116">
        <v>175.2</v>
      </c>
      <c r="D471" s="116">
        <v>174.5</v>
      </c>
      <c r="E471" s="116">
        <v>182</v>
      </c>
      <c r="F471" s="116">
        <v>175.2</v>
      </c>
      <c r="G471">
        <v>106116</v>
      </c>
      <c r="H471" s="116"/>
      <c r="I471" s="116"/>
      <c r="L471" s="170">
        <v>44098</v>
      </c>
      <c r="M471" s="116">
        <v>175.25</v>
      </c>
      <c r="N471" s="116">
        <v>183.8</v>
      </c>
      <c r="O471" s="116">
        <v>174.25</v>
      </c>
      <c r="P471" s="116">
        <v>183.5</v>
      </c>
      <c r="Q471" s="116">
        <v>175.25</v>
      </c>
      <c r="R471">
        <v>1525731</v>
      </c>
    </row>
    <row r="472" spans="1:18" x14ac:dyDescent="0.25">
      <c r="A472" s="170">
        <v>44099</v>
      </c>
      <c r="B472" s="116">
        <v>184.9</v>
      </c>
      <c r="C472" s="116">
        <v>183.8</v>
      </c>
      <c r="D472" s="116">
        <v>177.5</v>
      </c>
      <c r="E472" s="116">
        <v>180.5</v>
      </c>
      <c r="F472" s="116">
        <v>183.8</v>
      </c>
      <c r="G472">
        <v>55498</v>
      </c>
      <c r="H472" s="116"/>
      <c r="I472" s="116"/>
      <c r="L472" s="170">
        <v>44099</v>
      </c>
      <c r="M472" s="116">
        <v>183.75</v>
      </c>
      <c r="N472" s="116">
        <v>184.85</v>
      </c>
      <c r="O472" s="116">
        <v>176.25</v>
      </c>
      <c r="P472" s="116">
        <v>176.25</v>
      </c>
      <c r="Q472" s="116">
        <v>183.75</v>
      </c>
      <c r="R472">
        <v>1484675</v>
      </c>
    </row>
    <row r="473" spans="1:18" x14ac:dyDescent="0.25">
      <c r="A473" s="170">
        <v>44102</v>
      </c>
      <c r="B473" s="116">
        <v>192.3</v>
      </c>
      <c r="C473" s="116">
        <v>190.55</v>
      </c>
      <c r="D473" s="116">
        <v>184.45</v>
      </c>
      <c r="E473" s="116">
        <v>185</v>
      </c>
      <c r="F473" s="116">
        <v>190.55</v>
      </c>
      <c r="G473">
        <v>96496</v>
      </c>
      <c r="H473" s="116"/>
      <c r="I473" s="116"/>
      <c r="L473" s="170">
        <v>44102</v>
      </c>
      <c r="M473" s="116">
        <v>190.2</v>
      </c>
      <c r="N473" s="116">
        <v>192.6</v>
      </c>
      <c r="O473" s="116">
        <v>184.4</v>
      </c>
      <c r="P473" s="116">
        <v>186</v>
      </c>
      <c r="Q473" s="116">
        <v>190.2</v>
      </c>
      <c r="R473">
        <v>1248634</v>
      </c>
    </row>
    <row r="474" spans="1:18" x14ac:dyDescent="0.25">
      <c r="A474" s="170">
        <v>44103</v>
      </c>
      <c r="B474" s="116">
        <v>194.65</v>
      </c>
      <c r="C474" s="116">
        <v>191.45</v>
      </c>
      <c r="D474" s="116">
        <v>189.65</v>
      </c>
      <c r="E474" s="116">
        <v>191</v>
      </c>
      <c r="F474" s="116">
        <v>191.45</v>
      </c>
      <c r="G474">
        <v>140572</v>
      </c>
      <c r="H474" s="116"/>
      <c r="I474" s="116"/>
      <c r="L474" s="170">
        <v>44103</v>
      </c>
      <c r="M474" s="116">
        <v>191.35</v>
      </c>
      <c r="N474" s="116">
        <v>194.65</v>
      </c>
      <c r="O474" s="116">
        <v>189.6</v>
      </c>
      <c r="P474" s="116">
        <v>192.35</v>
      </c>
      <c r="Q474" s="116">
        <v>191.35</v>
      </c>
      <c r="R474">
        <v>1390359</v>
      </c>
    </row>
    <row r="475" spans="1:18" x14ac:dyDescent="0.25">
      <c r="A475" s="170">
        <v>44104</v>
      </c>
      <c r="B475" s="116">
        <v>193.1</v>
      </c>
      <c r="C475" s="116">
        <v>189.2</v>
      </c>
      <c r="D475" s="116">
        <v>188.2</v>
      </c>
      <c r="E475" s="116">
        <v>192.05</v>
      </c>
      <c r="F475" s="116">
        <v>189.2</v>
      </c>
      <c r="G475">
        <v>66113</v>
      </c>
      <c r="H475" s="116"/>
      <c r="I475" s="116"/>
      <c r="L475" s="170">
        <v>44104</v>
      </c>
      <c r="M475" s="116">
        <v>189.2</v>
      </c>
      <c r="N475" s="116">
        <v>193.45</v>
      </c>
      <c r="O475" s="116">
        <v>187.85</v>
      </c>
      <c r="P475" s="116">
        <v>193.4</v>
      </c>
      <c r="Q475" s="116">
        <v>189.2</v>
      </c>
      <c r="R475">
        <v>796465</v>
      </c>
    </row>
    <row r="476" spans="1:18" x14ac:dyDescent="0.25">
      <c r="A476" s="170">
        <v>44105</v>
      </c>
      <c r="B476" s="116">
        <v>194.25</v>
      </c>
      <c r="C476" s="116">
        <v>193.35</v>
      </c>
      <c r="D476" s="116">
        <v>191.2</v>
      </c>
      <c r="E476" s="116">
        <v>191.6</v>
      </c>
      <c r="F476" s="116">
        <v>193.35</v>
      </c>
      <c r="G476">
        <v>115436</v>
      </c>
      <c r="H476" s="116"/>
      <c r="I476" s="116"/>
      <c r="L476" s="170">
        <v>44105</v>
      </c>
      <c r="M476" s="116">
        <v>193.35</v>
      </c>
      <c r="N476" s="116">
        <v>194.55</v>
      </c>
      <c r="O476" s="116">
        <v>191.1</v>
      </c>
      <c r="P476" s="116">
        <v>192.95</v>
      </c>
      <c r="Q476" s="116">
        <v>193.35</v>
      </c>
      <c r="R476">
        <v>936940</v>
      </c>
    </row>
    <row r="477" spans="1:18" x14ac:dyDescent="0.25">
      <c r="A477" s="170">
        <v>44109</v>
      </c>
      <c r="B477" s="116">
        <v>200.9</v>
      </c>
      <c r="C477" s="116">
        <v>199.35</v>
      </c>
      <c r="D477" s="116">
        <v>191.05</v>
      </c>
      <c r="E477" s="116">
        <v>194.5</v>
      </c>
      <c r="F477" s="116">
        <v>199.35</v>
      </c>
      <c r="G477">
        <v>190526</v>
      </c>
      <c r="H477" s="116"/>
      <c r="I477" s="116"/>
      <c r="L477" s="170">
        <v>44109</v>
      </c>
      <c r="M477" s="116">
        <v>199.45</v>
      </c>
      <c r="N477" s="116">
        <v>201</v>
      </c>
      <c r="O477" s="116">
        <v>191.1</v>
      </c>
      <c r="P477" s="116">
        <v>195</v>
      </c>
      <c r="Q477" s="116">
        <v>199.45</v>
      </c>
      <c r="R477">
        <v>2205399</v>
      </c>
    </row>
    <row r="478" spans="1:18" x14ac:dyDescent="0.25">
      <c r="A478" s="170">
        <v>44110</v>
      </c>
      <c r="B478" s="116">
        <v>203.4</v>
      </c>
      <c r="C478" s="116">
        <v>200.65</v>
      </c>
      <c r="D478" s="116">
        <v>198.1</v>
      </c>
      <c r="E478" s="116">
        <v>201.15</v>
      </c>
      <c r="F478" s="116">
        <v>200.65</v>
      </c>
      <c r="G478">
        <v>98003</v>
      </c>
      <c r="H478" s="116"/>
      <c r="I478" s="116"/>
      <c r="L478" s="170">
        <v>44110</v>
      </c>
      <c r="M478" s="116">
        <v>200.8</v>
      </c>
      <c r="N478" s="116">
        <v>203.3</v>
      </c>
      <c r="O478" s="116">
        <v>198.1</v>
      </c>
      <c r="P478" s="116">
        <v>201</v>
      </c>
      <c r="Q478" s="116">
        <v>200.8</v>
      </c>
      <c r="R478">
        <v>1937059</v>
      </c>
    </row>
    <row r="479" spans="1:18" x14ac:dyDescent="0.25">
      <c r="A479" s="170">
        <v>44111</v>
      </c>
      <c r="B479" s="116">
        <v>201.6</v>
      </c>
      <c r="C479" s="116">
        <v>196</v>
      </c>
      <c r="D479" s="116">
        <v>194</v>
      </c>
      <c r="E479" s="116">
        <v>201.6</v>
      </c>
      <c r="F479" s="116">
        <v>196</v>
      </c>
      <c r="G479">
        <v>70266</v>
      </c>
      <c r="H479" s="116"/>
      <c r="I479" s="116"/>
      <c r="L479" s="170">
        <v>44111</v>
      </c>
      <c r="M479" s="116">
        <v>196</v>
      </c>
      <c r="N479" s="116">
        <v>200</v>
      </c>
      <c r="O479" s="116">
        <v>193.8</v>
      </c>
      <c r="P479" s="116">
        <v>199.75</v>
      </c>
      <c r="Q479" s="116">
        <v>196</v>
      </c>
      <c r="R479">
        <v>1286006</v>
      </c>
    </row>
    <row r="480" spans="1:18" x14ac:dyDescent="0.25">
      <c r="A480" s="170">
        <v>44112</v>
      </c>
      <c r="B480" s="116">
        <v>196.65</v>
      </c>
      <c r="C480" s="116">
        <v>190.45</v>
      </c>
      <c r="D480" s="116">
        <v>190</v>
      </c>
      <c r="E480" s="116">
        <v>195.1</v>
      </c>
      <c r="F480" s="116">
        <v>190.45</v>
      </c>
      <c r="G480">
        <v>109080</v>
      </c>
      <c r="H480" s="116"/>
      <c r="I480" s="116"/>
      <c r="L480" s="170">
        <v>44112</v>
      </c>
      <c r="M480" s="116">
        <v>190.4</v>
      </c>
      <c r="N480" s="116">
        <v>196.8</v>
      </c>
      <c r="O480" s="116">
        <v>190</v>
      </c>
      <c r="P480" s="116">
        <v>196.5</v>
      </c>
      <c r="Q480" s="116">
        <v>190.4</v>
      </c>
      <c r="R480">
        <v>1140954</v>
      </c>
    </row>
    <row r="481" spans="1:18" x14ac:dyDescent="0.25">
      <c r="A481" s="170">
        <v>44113</v>
      </c>
      <c r="B481" s="116">
        <v>191.95</v>
      </c>
      <c r="C481" s="116">
        <v>188.6</v>
      </c>
      <c r="D481" s="116">
        <v>188</v>
      </c>
      <c r="E481" s="116">
        <v>190.3</v>
      </c>
      <c r="F481" s="116">
        <v>188.6</v>
      </c>
      <c r="G481">
        <v>90013</v>
      </c>
      <c r="H481" s="116"/>
      <c r="I481" s="116"/>
      <c r="L481" s="170">
        <v>44113</v>
      </c>
      <c r="M481" s="116">
        <v>188.6</v>
      </c>
      <c r="N481" s="116">
        <v>191.95</v>
      </c>
      <c r="O481" s="116">
        <v>188</v>
      </c>
      <c r="P481" s="116">
        <v>191.4</v>
      </c>
      <c r="Q481" s="116">
        <v>188.6</v>
      </c>
      <c r="R481">
        <v>772106</v>
      </c>
    </row>
    <row r="482" spans="1:18" x14ac:dyDescent="0.25">
      <c r="A482" s="170">
        <v>44116</v>
      </c>
      <c r="B482" s="116">
        <v>195.15</v>
      </c>
      <c r="C482" s="116">
        <v>193.25</v>
      </c>
      <c r="D482" s="116">
        <v>189</v>
      </c>
      <c r="E482" s="116">
        <v>189</v>
      </c>
      <c r="F482" s="116">
        <v>193.25</v>
      </c>
      <c r="G482">
        <v>98583</v>
      </c>
      <c r="H482" s="116"/>
      <c r="I482" s="116"/>
      <c r="L482" s="170">
        <v>44116</v>
      </c>
      <c r="M482" s="116">
        <v>193.65</v>
      </c>
      <c r="N482" s="116">
        <v>195.5</v>
      </c>
      <c r="O482" s="116">
        <v>188.65</v>
      </c>
      <c r="P482" s="116">
        <v>189.5</v>
      </c>
      <c r="Q482" s="116">
        <v>193.65</v>
      </c>
      <c r="R482">
        <v>1323793</v>
      </c>
    </row>
    <row r="483" spans="1:18" x14ac:dyDescent="0.25">
      <c r="A483" s="170">
        <v>44117</v>
      </c>
      <c r="B483" s="116">
        <v>196</v>
      </c>
      <c r="C483" s="116">
        <v>190.85</v>
      </c>
      <c r="D483" s="116">
        <v>189.2</v>
      </c>
      <c r="E483" s="116">
        <v>196</v>
      </c>
      <c r="F483" s="116">
        <v>190.85</v>
      </c>
      <c r="G483">
        <v>42530</v>
      </c>
      <c r="H483" s="116"/>
      <c r="I483" s="116"/>
      <c r="L483" s="170">
        <v>44117</v>
      </c>
      <c r="M483" s="116">
        <v>190.75</v>
      </c>
      <c r="N483" s="116">
        <v>195.3</v>
      </c>
      <c r="O483" s="116">
        <v>189.25</v>
      </c>
      <c r="P483" s="116">
        <v>194.5</v>
      </c>
      <c r="Q483" s="116">
        <v>190.75</v>
      </c>
      <c r="R483">
        <v>858737</v>
      </c>
    </row>
    <row r="484" spans="1:18" x14ac:dyDescent="0.25">
      <c r="A484" s="170">
        <v>44118</v>
      </c>
      <c r="B484" s="116">
        <v>190.6</v>
      </c>
      <c r="C484" s="116">
        <v>185.75</v>
      </c>
      <c r="D484" s="116">
        <v>183</v>
      </c>
      <c r="E484" s="116">
        <v>189.1</v>
      </c>
      <c r="F484" s="116">
        <v>185.75</v>
      </c>
      <c r="G484">
        <v>85267</v>
      </c>
      <c r="H484" s="116"/>
      <c r="I484" s="116"/>
      <c r="L484" s="170">
        <v>44118</v>
      </c>
      <c r="M484" s="116">
        <v>185.75</v>
      </c>
      <c r="N484" s="116">
        <v>191.15</v>
      </c>
      <c r="O484" s="116">
        <v>182.7</v>
      </c>
      <c r="P484" s="116">
        <v>190</v>
      </c>
      <c r="Q484" s="116">
        <v>185.75</v>
      </c>
      <c r="R484">
        <v>1322900</v>
      </c>
    </row>
    <row r="485" spans="1:18" x14ac:dyDescent="0.25">
      <c r="A485" s="170">
        <v>44119</v>
      </c>
      <c r="B485" s="116">
        <v>189.95</v>
      </c>
      <c r="C485" s="116">
        <v>181.3</v>
      </c>
      <c r="D485" s="116">
        <v>180.2</v>
      </c>
      <c r="E485" s="116">
        <v>184.2</v>
      </c>
      <c r="F485" s="116">
        <v>181.3</v>
      </c>
      <c r="G485">
        <v>122772</v>
      </c>
      <c r="H485" s="116"/>
      <c r="I485" s="116"/>
      <c r="L485" s="170">
        <v>44119</v>
      </c>
      <c r="M485" s="116">
        <v>181.45</v>
      </c>
      <c r="N485" s="116">
        <v>190</v>
      </c>
      <c r="O485" s="116">
        <v>180.25</v>
      </c>
      <c r="P485" s="116">
        <v>185.85</v>
      </c>
      <c r="Q485" s="116">
        <v>181.45</v>
      </c>
      <c r="R485">
        <v>1450765</v>
      </c>
    </row>
    <row r="486" spans="1:18" x14ac:dyDescent="0.25">
      <c r="A486" s="170">
        <v>44120</v>
      </c>
      <c r="B486" s="116">
        <v>185.95</v>
      </c>
      <c r="C486" s="116">
        <v>184.3</v>
      </c>
      <c r="D486" s="116">
        <v>181.3</v>
      </c>
      <c r="E486" s="116">
        <v>182.05</v>
      </c>
      <c r="F486" s="116">
        <v>184.3</v>
      </c>
      <c r="G486">
        <v>51743</v>
      </c>
      <c r="H486" s="116"/>
      <c r="I486" s="116"/>
      <c r="L486" s="170">
        <v>44120</v>
      </c>
      <c r="M486" s="116">
        <v>184.65</v>
      </c>
      <c r="N486" s="116">
        <v>185.95</v>
      </c>
      <c r="O486" s="116">
        <v>181.1</v>
      </c>
      <c r="P486" s="116">
        <v>182.55</v>
      </c>
      <c r="Q486" s="116">
        <v>184.65</v>
      </c>
      <c r="R486">
        <v>618610</v>
      </c>
    </row>
    <row r="487" spans="1:18" x14ac:dyDescent="0.25">
      <c r="A487" s="170">
        <v>44123</v>
      </c>
      <c r="B487" s="116">
        <v>188.7</v>
      </c>
      <c r="C487" s="116">
        <v>185.95</v>
      </c>
      <c r="D487" s="116">
        <v>182.55</v>
      </c>
      <c r="E487" s="116">
        <v>185.25</v>
      </c>
      <c r="F487" s="116">
        <v>185.95</v>
      </c>
      <c r="G487">
        <v>46653</v>
      </c>
      <c r="H487" s="116"/>
      <c r="I487" s="116"/>
      <c r="L487" s="170">
        <v>44123</v>
      </c>
      <c r="M487" s="116">
        <v>185.9</v>
      </c>
      <c r="N487" s="116">
        <v>188.95</v>
      </c>
      <c r="O487" s="116">
        <v>182.35</v>
      </c>
      <c r="P487" s="116">
        <v>186.5</v>
      </c>
      <c r="Q487" s="116">
        <v>185.9</v>
      </c>
      <c r="R487">
        <v>1208325</v>
      </c>
    </row>
    <row r="488" spans="1:18" x14ac:dyDescent="0.25">
      <c r="A488" s="170">
        <v>44124</v>
      </c>
      <c r="B488" s="116">
        <v>191.95</v>
      </c>
      <c r="C488" s="116">
        <v>191.2</v>
      </c>
      <c r="D488" s="116">
        <v>185</v>
      </c>
      <c r="E488" s="116">
        <v>187</v>
      </c>
      <c r="F488" s="116">
        <v>191.2</v>
      </c>
      <c r="G488">
        <v>94849</v>
      </c>
      <c r="H488" s="116"/>
      <c r="I488" s="116"/>
      <c r="L488" s="170">
        <v>44124</v>
      </c>
      <c r="M488" s="116">
        <v>191.2</v>
      </c>
      <c r="N488" s="116">
        <v>192</v>
      </c>
      <c r="O488" s="116">
        <v>184.65</v>
      </c>
      <c r="P488" s="116">
        <v>186.25</v>
      </c>
      <c r="Q488" s="116">
        <v>191.2</v>
      </c>
      <c r="R488">
        <v>1421782</v>
      </c>
    </row>
    <row r="489" spans="1:18" x14ac:dyDescent="0.25">
      <c r="A489" s="170">
        <v>44125</v>
      </c>
      <c r="B489" s="116">
        <v>195.45</v>
      </c>
      <c r="C489" s="116">
        <v>192.9</v>
      </c>
      <c r="D489" s="116">
        <v>189.1</v>
      </c>
      <c r="E489" s="116">
        <v>192</v>
      </c>
      <c r="F489" s="116">
        <v>192.9</v>
      </c>
      <c r="G489">
        <v>127529</v>
      </c>
      <c r="H489" s="116"/>
      <c r="I489" s="116"/>
      <c r="L489" s="170">
        <v>44125</v>
      </c>
      <c r="M489" s="116">
        <v>192.9</v>
      </c>
      <c r="N489" s="116">
        <v>195.65</v>
      </c>
      <c r="O489" s="116">
        <v>189.3</v>
      </c>
      <c r="P489" s="116">
        <v>192.2</v>
      </c>
      <c r="Q489" s="116">
        <v>192.9</v>
      </c>
      <c r="R489">
        <v>1201959</v>
      </c>
    </row>
    <row r="490" spans="1:18" x14ac:dyDescent="0.25">
      <c r="A490" s="170">
        <v>44126</v>
      </c>
      <c r="B490" s="116">
        <v>195.4</v>
      </c>
      <c r="C490" s="116">
        <v>194.8</v>
      </c>
      <c r="D490" s="116">
        <v>191.9</v>
      </c>
      <c r="E490" s="116">
        <v>194</v>
      </c>
      <c r="F490" s="116">
        <v>194.8</v>
      </c>
      <c r="G490">
        <v>66508</v>
      </c>
      <c r="H490" s="116"/>
      <c r="I490" s="116"/>
      <c r="L490" s="170">
        <v>44126</v>
      </c>
      <c r="M490" s="116">
        <v>194.85</v>
      </c>
      <c r="N490" s="116">
        <v>195.35</v>
      </c>
      <c r="O490" s="116">
        <v>192</v>
      </c>
      <c r="P490" s="116">
        <v>192.9</v>
      </c>
      <c r="Q490" s="116">
        <v>194.85</v>
      </c>
      <c r="R490">
        <v>754805</v>
      </c>
    </row>
    <row r="491" spans="1:18" x14ac:dyDescent="0.25">
      <c r="A491" s="170">
        <v>44127</v>
      </c>
      <c r="B491" s="116">
        <v>198.2</v>
      </c>
      <c r="C491" s="116">
        <v>196.2</v>
      </c>
      <c r="D491" s="116">
        <v>193</v>
      </c>
      <c r="E491" s="116">
        <v>195</v>
      </c>
      <c r="F491" s="116">
        <v>196.2</v>
      </c>
      <c r="G491">
        <v>78926</v>
      </c>
      <c r="H491" s="116"/>
      <c r="I491" s="116"/>
      <c r="L491" s="170">
        <v>44127</v>
      </c>
      <c r="M491" s="116">
        <v>196.35</v>
      </c>
      <c r="N491" s="116">
        <v>198.2</v>
      </c>
      <c r="O491" s="116">
        <v>192.8</v>
      </c>
      <c r="P491" s="116">
        <v>195.9</v>
      </c>
      <c r="Q491" s="116">
        <v>196.35</v>
      </c>
      <c r="R491">
        <v>1504693</v>
      </c>
    </row>
    <row r="492" spans="1:18" x14ac:dyDescent="0.25">
      <c r="A492" s="170">
        <v>44130</v>
      </c>
      <c r="B492" s="116">
        <v>197.7</v>
      </c>
      <c r="C492" s="116">
        <v>193.7</v>
      </c>
      <c r="D492" s="116">
        <v>191</v>
      </c>
      <c r="E492" s="116">
        <v>196.35</v>
      </c>
      <c r="F492" s="116">
        <v>193.7</v>
      </c>
      <c r="G492">
        <v>47514</v>
      </c>
      <c r="H492" s="116"/>
      <c r="I492" s="116"/>
      <c r="L492" s="170">
        <v>44130</v>
      </c>
      <c r="M492" s="116">
        <v>193.65</v>
      </c>
      <c r="N492" s="116">
        <v>197.85</v>
      </c>
      <c r="O492" s="116">
        <v>191</v>
      </c>
      <c r="P492" s="116">
        <v>197.45</v>
      </c>
      <c r="Q492" s="116">
        <v>193.65</v>
      </c>
      <c r="R492">
        <v>909794</v>
      </c>
    </row>
    <row r="493" spans="1:18" x14ac:dyDescent="0.25">
      <c r="A493" s="170">
        <v>44131</v>
      </c>
      <c r="B493" s="116">
        <v>198.4</v>
      </c>
      <c r="C493" s="116">
        <v>197.5</v>
      </c>
      <c r="D493" s="116">
        <v>192</v>
      </c>
      <c r="E493" s="116">
        <v>192</v>
      </c>
      <c r="F493" s="116">
        <v>197.5</v>
      </c>
      <c r="G493">
        <v>99256</v>
      </c>
      <c r="H493" s="116"/>
      <c r="I493" s="116"/>
      <c r="L493" s="170">
        <v>44131</v>
      </c>
      <c r="M493" s="116">
        <v>197.35</v>
      </c>
      <c r="N493" s="116">
        <v>198.4</v>
      </c>
      <c r="O493" s="116">
        <v>192.5</v>
      </c>
      <c r="P493" s="116">
        <v>192.5</v>
      </c>
      <c r="Q493" s="116">
        <v>197.35</v>
      </c>
      <c r="R493">
        <v>1208489</v>
      </c>
    </row>
    <row r="494" spans="1:18" x14ac:dyDescent="0.25">
      <c r="A494" s="170">
        <v>44132</v>
      </c>
      <c r="B494" s="116">
        <v>204.5</v>
      </c>
      <c r="C494" s="116">
        <v>200.9</v>
      </c>
      <c r="D494" s="116">
        <v>196.65</v>
      </c>
      <c r="E494" s="116">
        <v>196.65</v>
      </c>
      <c r="F494" s="116">
        <v>200.9</v>
      </c>
      <c r="G494">
        <v>203968</v>
      </c>
      <c r="H494" s="116"/>
      <c r="I494" s="116"/>
      <c r="L494" s="170">
        <v>44132</v>
      </c>
      <c r="M494" s="116">
        <v>201.05</v>
      </c>
      <c r="N494" s="116">
        <v>204.5</v>
      </c>
      <c r="O494" s="116">
        <v>198.1</v>
      </c>
      <c r="P494" s="116">
        <v>199</v>
      </c>
      <c r="Q494" s="116">
        <v>201.05</v>
      </c>
      <c r="R494">
        <v>2119106</v>
      </c>
    </row>
    <row r="495" spans="1:18" x14ac:dyDescent="0.25">
      <c r="A495" s="170">
        <v>44133</v>
      </c>
      <c r="B495" s="116">
        <v>206</v>
      </c>
      <c r="C495" s="116">
        <v>204.35</v>
      </c>
      <c r="D495" s="116">
        <v>194.85</v>
      </c>
      <c r="E495" s="116">
        <v>200.75</v>
      </c>
      <c r="F495" s="116">
        <v>204.35</v>
      </c>
      <c r="G495">
        <v>140147</v>
      </c>
      <c r="H495" s="116"/>
      <c r="I495" s="116"/>
      <c r="L495" s="170">
        <v>44133</v>
      </c>
      <c r="M495" s="116">
        <v>204.35</v>
      </c>
      <c r="N495" s="116">
        <v>206.35</v>
      </c>
      <c r="O495" s="116">
        <v>190.1</v>
      </c>
      <c r="P495" s="116">
        <v>199.3</v>
      </c>
      <c r="Q495" s="116">
        <v>204.35</v>
      </c>
      <c r="R495">
        <v>2287190</v>
      </c>
    </row>
    <row r="496" spans="1:18" x14ac:dyDescent="0.25">
      <c r="A496" s="170">
        <v>44134</v>
      </c>
      <c r="B496" s="116">
        <v>224</v>
      </c>
      <c r="C496" s="116">
        <v>220.45</v>
      </c>
      <c r="D496" s="116">
        <v>202.05</v>
      </c>
      <c r="E496" s="116">
        <v>206.8</v>
      </c>
      <c r="F496" s="116">
        <v>220.45</v>
      </c>
      <c r="G496">
        <v>470635</v>
      </c>
      <c r="H496" s="116"/>
      <c r="I496" s="116"/>
      <c r="L496" s="170">
        <v>44134</v>
      </c>
      <c r="M496" s="116">
        <v>220.5</v>
      </c>
      <c r="N496" s="116">
        <v>224</v>
      </c>
      <c r="O496" s="116">
        <v>202.1</v>
      </c>
      <c r="P496" s="116">
        <v>204.95</v>
      </c>
      <c r="Q496" s="116">
        <v>220.5</v>
      </c>
      <c r="R496">
        <v>6679548</v>
      </c>
    </row>
    <row r="497" spans="1:18" x14ac:dyDescent="0.25">
      <c r="A497" s="170">
        <v>44137</v>
      </c>
      <c r="B497" s="116">
        <v>226.6</v>
      </c>
      <c r="C497" s="116">
        <v>219.45</v>
      </c>
      <c r="D497" s="116">
        <v>216.1</v>
      </c>
      <c r="E497" s="116">
        <v>223.4</v>
      </c>
      <c r="F497" s="116">
        <v>219.45</v>
      </c>
      <c r="G497">
        <v>172073</v>
      </c>
      <c r="H497" s="116"/>
      <c r="I497" s="116"/>
      <c r="L497" s="170">
        <v>44137</v>
      </c>
      <c r="M497" s="116">
        <v>219.35</v>
      </c>
      <c r="N497" s="116">
        <v>226.6</v>
      </c>
      <c r="O497" s="116">
        <v>216.1</v>
      </c>
      <c r="P497" s="116">
        <v>221.4</v>
      </c>
      <c r="Q497" s="116">
        <v>219.35</v>
      </c>
      <c r="R497">
        <v>4461172</v>
      </c>
    </row>
    <row r="498" spans="1:18" x14ac:dyDescent="0.25">
      <c r="A498" s="170">
        <v>44138</v>
      </c>
      <c r="B498" s="116">
        <v>228.3</v>
      </c>
      <c r="C498" s="116">
        <v>222.85</v>
      </c>
      <c r="D498" s="116">
        <v>219.35</v>
      </c>
      <c r="E498" s="116">
        <v>219.35</v>
      </c>
      <c r="F498" s="116">
        <v>222.85</v>
      </c>
      <c r="G498">
        <v>265311</v>
      </c>
      <c r="H498" s="116"/>
      <c r="I498" s="116"/>
      <c r="L498" s="170">
        <v>44138</v>
      </c>
      <c r="M498" s="116">
        <v>222.95</v>
      </c>
      <c r="N498" s="116">
        <v>228.45</v>
      </c>
      <c r="O498" s="116">
        <v>220.05</v>
      </c>
      <c r="P498" s="116">
        <v>221</v>
      </c>
      <c r="Q498" s="116">
        <v>222.95</v>
      </c>
      <c r="R498">
        <v>3414339</v>
      </c>
    </row>
    <row r="499" spans="1:18" x14ac:dyDescent="0.25">
      <c r="A499" s="170">
        <v>44139</v>
      </c>
      <c r="B499" s="116">
        <v>232.85</v>
      </c>
      <c r="C499" s="116">
        <v>230.6</v>
      </c>
      <c r="D499" s="116">
        <v>212.1</v>
      </c>
      <c r="E499" s="116">
        <v>226.25</v>
      </c>
      <c r="F499" s="116">
        <v>230.6</v>
      </c>
      <c r="G499">
        <v>509932</v>
      </c>
      <c r="H499" s="116"/>
      <c r="I499" s="116"/>
      <c r="L499" s="170">
        <v>44139</v>
      </c>
      <c r="M499" s="116">
        <v>231.35</v>
      </c>
      <c r="N499" s="116">
        <v>233</v>
      </c>
      <c r="O499" s="116">
        <v>212</v>
      </c>
      <c r="P499" s="116">
        <v>226.95</v>
      </c>
      <c r="Q499" s="116">
        <v>231.35</v>
      </c>
      <c r="R499">
        <v>7919096</v>
      </c>
    </row>
    <row r="500" spans="1:18" x14ac:dyDescent="0.25">
      <c r="A500" s="170">
        <v>44140</v>
      </c>
      <c r="B500" s="116">
        <v>236.4</v>
      </c>
      <c r="C500" s="116">
        <v>235.35</v>
      </c>
      <c r="D500" s="116">
        <v>227.6</v>
      </c>
      <c r="E500" s="116">
        <v>233.15</v>
      </c>
      <c r="F500" s="116">
        <v>235.35</v>
      </c>
      <c r="G500">
        <v>134772</v>
      </c>
      <c r="H500" s="116"/>
      <c r="I500" s="116"/>
      <c r="L500" s="170">
        <v>44140</v>
      </c>
      <c r="M500" s="116">
        <v>235.45</v>
      </c>
      <c r="N500" s="116">
        <v>236.65</v>
      </c>
      <c r="O500" s="116">
        <v>227.6</v>
      </c>
      <c r="P500" s="116">
        <v>234</v>
      </c>
      <c r="Q500" s="116">
        <v>235.45</v>
      </c>
      <c r="R500">
        <v>2425581</v>
      </c>
    </row>
    <row r="501" spans="1:18" x14ac:dyDescent="0.25">
      <c r="A501" s="170">
        <v>44141</v>
      </c>
      <c r="B501" s="116">
        <v>242.55</v>
      </c>
      <c r="C501" s="116">
        <v>239.8</v>
      </c>
      <c r="D501" s="116">
        <v>233.3</v>
      </c>
      <c r="E501" s="116">
        <v>236.5</v>
      </c>
      <c r="F501" s="116">
        <v>239.8</v>
      </c>
      <c r="G501">
        <v>135730</v>
      </c>
      <c r="H501" s="116"/>
      <c r="I501" s="116"/>
      <c r="L501" s="170">
        <v>44141</v>
      </c>
      <c r="M501" s="116">
        <v>239.85</v>
      </c>
      <c r="N501" s="116">
        <v>242.7</v>
      </c>
      <c r="O501" s="116">
        <v>233.05</v>
      </c>
      <c r="P501" s="116">
        <v>235.1</v>
      </c>
      <c r="Q501" s="116">
        <v>239.85</v>
      </c>
      <c r="R501">
        <v>2417397</v>
      </c>
    </row>
    <row r="502" spans="1:18" x14ac:dyDescent="0.25">
      <c r="A502" s="170">
        <v>44144</v>
      </c>
      <c r="B502" s="116">
        <v>247.4</v>
      </c>
      <c r="C502" s="116">
        <v>238.6</v>
      </c>
      <c r="D502" s="116">
        <v>237</v>
      </c>
      <c r="E502" s="116">
        <v>244.65</v>
      </c>
      <c r="F502" s="116">
        <v>238.6</v>
      </c>
      <c r="G502">
        <v>130491</v>
      </c>
      <c r="H502" s="116"/>
      <c r="I502" s="116"/>
      <c r="L502" s="170">
        <v>44144</v>
      </c>
      <c r="M502" s="116">
        <v>238.8</v>
      </c>
      <c r="N502" s="116">
        <v>247.3</v>
      </c>
      <c r="O502" s="116">
        <v>237</v>
      </c>
      <c r="P502" s="116">
        <v>243</v>
      </c>
      <c r="Q502" s="116">
        <v>238.8</v>
      </c>
      <c r="R502">
        <v>2145913</v>
      </c>
    </row>
    <row r="503" spans="1:18" x14ac:dyDescent="0.25">
      <c r="A503" s="170">
        <v>44145</v>
      </c>
      <c r="B503" s="116">
        <v>240.1</v>
      </c>
      <c r="C503" s="116">
        <v>236.55</v>
      </c>
      <c r="D503" s="116">
        <v>231.35</v>
      </c>
      <c r="E503" s="116">
        <v>240</v>
      </c>
      <c r="F503" s="116">
        <v>236.55</v>
      </c>
      <c r="G503">
        <v>121496</v>
      </c>
      <c r="H503" s="116"/>
      <c r="I503" s="116"/>
      <c r="L503" s="170">
        <v>44145</v>
      </c>
      <c r="M503" s="116">
        <v>236.7</v>
      </c>
      <c r="N503" s="116">
        <v>240.4</v>
      </c>
      <c r="O503" s="116">
        <v>231.25</v>
      </c>
      <c r="P503" s="116">
        <v>240</v>
      </c>
      <c r="Q503" s="116">
        <v>236.7</v>
      </c>
      <c r="R503">
        <v>2520564</v>
      </c>
    </row>
    <row r="504" spans="1:18" x14ac:dyDescent="0.25">
      <c r="A504" s="170">
        <v>44146</v>
      </c>
      <c r="B504" s="116">
        <v>238.9</v>
      </c>
      <c r="C504" s="116">
        <v>234.05</v>
      </c>
      <c r="D504" s="116">
        <v>231.95</v>
      </c>
      <c r="E504" s="116">
        <v>237.3</v>
      </c>
      <c r="F504" s="116">
        <v>234.05</v>
      </c>
      <c r="G504">
        <v>78320</v>
      </c>
      <c r="H504" s="116"/>
      <c r="I504" s="116"/>
      <c r="L504" s="170">
        <v>44146</v>
      </c>
      <c r="M504" s="116">
        <v>234.15</v>
      </c>
      <c r="N504" s="116">
        <v>238.7</v>
      </c>
      <c r="O504" s="116">
        <v>231.4</v>
      </c>
      <c r="P504" s="116">
        <v>234.1</v>
      </c>
      <c r="Q504" s="116">
        <v>234.15</v>
      </c>
      <c r="R504">
        <v>1172270</v>
      </c>
    </row>
    <row r="505" spans="1:18" x14ac:dyDescent="0.25">
      <c r="A505" s="170">
        <v>44147</v>
      </c>
      <c r="B505" s="116">
        <v>242.45</v>
      </c>
      <c r="C505" s="116">
        <v>240.3</v>
      </c>
      <c r="D505" s="116">
        <v>234</v>
      </c>
      <c r="E505" s="116">
        <v>234.15</v>
      </c>
      <c r="F505" s="116">
        <v>240.3</v>
      </c>
      <c r="G505">
        <v>77503</v>
      </c>
      <c r="H505" s="116"/>
      <c r="I505" s="116"/>
      <c r="L505" s="170">
        <v>44147</v>
      </c>
      <c r="M505" s="116">
        <v>240.55</v>
      </c>
      <c r="N505" s="116">
        <v>242.65</v>
      </c>
      <c r="O505" s="116">
        <v>233.25</v>
      </c>
      <c r="P505" s="116">
        <v>235</v>
      </c>
      <c r="Q505" s="116">
        <v>240.55</v>
      </c>
      <c r="R505">
        <v>2035182</v>
      </c>
    </row>
    <row r="506" spans="1:18" x14ac:dyDescent="0.25">
      <c r="A506" s="170">
        <v>44148</v>
      </c>
      <c r="B506" s="116">
        <v>244.9</v>
      </c>
      <c r="C506" s="116">
        <v>242.9</v>
      </c>
      <c r="D506" s="116">
        <v>238.2</v>
      </c>
      <c r="E506" s="116">
        <v>240.55</v>
      </c>
      <c r="F506" s="116">
        <v>242.9</v>
      </c>
      <c r="G506">
        <v>52787</v>
      </c>
      <c r="H506" s="116"/>
      <c r="I506" s="116"/>
      <c r="L506" s="170">
        <v>44148</v>
      </c>
      <c r="M506" s="116">
        <v>243.1</v>
      </c>
      <c r="N506" s="116">
        <v>245</v>
      </c>
      <c r="O506" s="116">
        <v>238.05</v>
      </c>
      <c r="P506" s="116">
        <v>241.45</v>
      </c>
      <c r="Q506" s="116">
        <v>243.1</v>
      </c>
      <c r="R506">
        <v>1379152</v>
      </c>
    </row>
    <row r="507" spans="1:18" x14ac:dyDescent="0.25">
      <c r="A507" s="170">
        <v>44149</v>
      </c>
      <c r="B507" s="116">
        <v>247</v>
      </c>
      <c r="C507" s="116">
        <v>244.85</v>
      </c>
      <c r="D507" s="116">
        <v>243.95</v>
      </c>
      <c r="E507" s="116">
        <v>247</v>
      </c>
      <c r="F507" s="116">
        <v>244.85</v>
      </c>
      <c r="G507">
        <v>26655</v>
      </c>
      <c r="H507" s="116"/>
      <c r="I507" s="116"/>
      <c r="L507" s="170">
        <v>44149</v>
      </c>
      <c r="M507" s="116">
        <v>244.7</v>
      </c>
      <c r="N507" s="116">
        <v>247</v>
      </c>
      <c r="O507" s="116">
        <v>243.6</v>
      </c>
      <c r="P507" s="116">
        <v>245.7</v>
      </c>
      <c r="Q507" s="116">
        <v>244.7</v>
      </c>
      <c r="R507">
        <v>349600</v>
      </c>
    </row>
    <row r="508" spans="1:18" x14ac:dyDescent="0.25">
      <c r="A508" s="170">
        <v>44152</v>
      </c>
      <c r="B508" s="116">
        <v>293.8</v>
      </c>
      <c r="C508" s="116">
        <v>292.89999999999998</v>
      </c>
      <c r="D508" s="116">
        <v>242.45</v>
      </c>
      <c r="E508" s="116">
        <v>246.8</v>
      </c>
      <c r="F508" s="116">
        <v>292.89999999999998</v>
      </c>
      <c r="G508">
        <v>1283879</v>
      </c>
      <c r="H508" s="116"/>
      <c r="I508" s="116"/>
      <c r="L508" s="170">
        <v>44152</v>
      </c>
      <c r="M508" s="116">
        <v>292.3</v>
      </c>
      <c r="N508" s="116">
        <v>293.60000000000002</v>
      </c>
      <c r="O508" s="116">
        <v>242.55</v>
      </c>
      <c r="P508" s="116">
        <v>246.25</v>
      </c>
      <c r="Q508" s="116">
        <v>292.3</v>
      </c>
      <c r="R508">
        <v>15144641</v>
      </c>
    </row>
    <row r="509" spans="1:18" x14ac:dyDescent="0.25">
      <c r="A509" s="170">
        <v>44153</v>
      </c>
      <c r="B509" s="116">
        <v>351</v>
      </c>
      <c r="C509" s="116">
        <v>343.75</v>
      </c>
      <c r="D509" s="116">
        <v>301</v>
      </c>
      <c r="E509" s="116">
        <v>301.89999999999998</v>
      </c>
      <c r="F509" s="116">
        <v>343.75</v>
      </c>
      <c r="G509">
        <v>1849697</v>
      </c>
      <c r="H509" s="116"/>
      <c r="I509" s="116"/>
      <c r="L509" s="170">
        <v>44153</v>
      </c>
      <c r="M509" s="116">
        <v>345.1</v>
      </c>
      <c r="N509" s="116">
        <v>350.75</v>
      </c>
      <c r="O509" s="116">
        <v>301</v>
      </c>
      <c r="P509" s="116">
        <v>302.45</v>
      </c>
      <c r="Q509" s="116">
        <v>345.1</v>
      </c>
      <c r="R509">
        <v>26647168</v>
      </c>
    </row>
    <row r="510" spans="1:18" x14ac:dyDescent="0.25">
      <c r="A510" s="170">
        <v>44154</v>
      </c>
      <c r="B510" s="116">
        <v>346.8</v>
      </c>
      <c r="C510" s="116">
        <v>331.8</v>
      </c>
      <c r="D510" s="116">
        <v>312.5</v>
      </c>
      <c r="E510" s="116">
        <v>343.7</v>
      </c>
      <c r="F510" s="116">
        <v>331.8</v>
      </c>
      <c r="G510">
        <v>524510</v>
      </c>
      <c r="H510" s="116"/>
      <c r="I510" s="116"/>
      <c r="L510" s="170">
        <v>44154</v>
      </c>
      <c r="M510" s="116">
        <v>331.7</v>
      </c>
      <c r="N510" s="116">
        <v>346.8</v>
      </c>
      <c r="O510" s="116">
        <v>312.14999999999998</v>
      </c>
      <c r="P510" s="116">
        <v>340.35</v>
      </c>
      <c r="Q510" s="116">
        <v>331.7</v>
      </c>
      <c r="R510">
        <v>9487325</v>
      </c>
    </row>
    <row r="511" spans="1:18" x14ac:dyDescent="0.25">
      <c r="A511" s="170">
        <v>44155</v>
      </c>
      <c r="B511" s="116">
        <v>361.5</v>
      </c>
      <c r="C511" s="116">
        <v>345.3</v>
      </c>
      <c r="D511" s="116">
        <v>330.1</v>
      </c>
      <c r="E511" s="116">
        <v>330.1</v>
      </c>
      <c r="F511" s="116">
        <v>345.3</v>
      </c>
      <c r="G511">
        <v>922481</v>
      </c>
      <c r="H511" s="116"/>
      <c r="I511" s="116"/>
      <c r="L511" s="170">
        <v>44155</v>
      </c>
      <c r="M511" s="116">
        <v>345.25</v>
      </c>
      <c r="N511" s="116">
        <v>361.5</v>
      </c>
      <c r="O511" s="116">
        <v>325.2</v>
      </c>
      <c r="P511" s="116">
        <v>333.9</v>
      </c>
      <c r="Q511" s="116">
        <v>345.25</v>
      </c>
      <c r="R511">
        <v>11803783</v>
      </c>
    </row>
    <row r="512" spans="1:18" x14ac:dyDescent="0.25">
      <c r="A512" s="170">
        <v>44158</v>
      </c>
      <c r="B512" s="116">
        <v>366.15</v>
      </c>
      <c r="C512" s="116">
        <v>344.75</v>
      </c>
      <c r="D512" s="116">
        <v>340.85</v>
      </c>
      <c r="E512" s="116">
        <v>354.15</v>
      </c>
      <c r="F512" s="116">
        <v>344.75</v>
      </c>
      <c r="G512">
        <v>494242</v>
      </c>
      <c r="H512" s="116"/>
      <c r="I512" s="116"/>
      <c r="L512" s="170">
        <v>44158</v>
      </c>
      <c r="M512" s="116">
        <v>344.65</v>
      </c>
      <c r="N512" s="116">
        <v>365.75</v>
      </c>
      <c r="O512" s="116">
        <v>340.95</v>
      </c>
      <c r="P512" s="116">
        <v>358</v>
      </c>
      <c r="Q512" s="116">
        <v>344.65</v>
      </c>
      <c r="R512">
        <v>4884218</v>
      </c>
    </row>
    <row r="513" spans="1:18" x14ac:dyDescent="0.25">
      <c r="A513" s="170">
        <v>44159</v>
      </c>
      <c r="B513" s="116">
        <v>350.85</v>
      </c>
      <c r="C513" s="116">
        <v>338.75</v>
      </c>
      <c r="D513" s="116">
        <v>337.5</v>
      </c>
      <c r="E513" s="116">
        <v>345.25</v>
      </c>
      <c r="F513" s="116">
        <v>338.75</v>
      </c>
      <c r="G513">
        <v>330478</v>
      </c>
      <c r="H513" s="116"/>
      <c r="I513" s="116"/>
      <c r="L513" s="170">
        <v>44159</v>
      </c>
      <c r="M513" s="116">
        <v>338.75</v>
      </c>
      <c r="N513" s="116">
        <v>350.95</v>
      </c>
      <c r="O513" s="116">
        <v>337.5</v>
      </c>
      <c r="P513" s="116">
        <v>348.8</v>
      </c>
      <c r="Q513" s="116">
        <v>338.75</v>
      </c>
      <c r="R513">
        <v>2207876</v>
      </c>
    </row>
    <row r="514" spans="1:18" x14ac:dyDescent="0.25">
      <c r="A514" s="170">
        <v>44160</v>
      </c>
      <c r="B514" s="116">
        <v>341</v>
      </c>
      <c r="C514" s="116">
        <v>324.75</v>
      </c>
      <c r="D514" s="116">
        <v>319.7</v>
      </c>
      <c r="E514" s="116">
        <v>338.2</v>
      </c>
      <c r="F514" s="116">
        <v>324.75</v>
      </c>
      <c r="G514">
        <v>395494</v>
      </c>
      <c r="H514" s="116"/>
      <c r="I514" s="116"/>
      <c r="L514" s="170">
        <v>44160</v>
      </c>
      <c r="M514" s="116">
        <v>324.89999999999998</v>
      </c>
      <c r="N514" s="116">
        <v>341.6</v>
      </c>
      <c r="O514" s="116">
        <v>320</v>
      </c>
      <c r="P514" s="116">
        <v>341.6</v>
      </c>
      <c r="Q514" s="116">
        <v>324.89999999999998</v>
      </c>
      <c r="R514">
        <v>3548873</v>
      </c>
    </row>
    <row r="515" spans="1:18" x14ac:dyDescent="0.25">
      <c r="A515" s="170">
        <v>44161</v>
      </c>
      <c r="B515" s="116">
        <v>324.8</v>
      </c>
      <c r="C515" s="116">
        <v>316.45</v>
      </c>
      <c r="D515" s="116">
        <v>310.10000000000002</v>
      </c>
      <c r="E515" s="116">
        <v>324.8</v>
      </c>
      <c r="F515" s="116">
        <v>316.45</v>
      </c>
      <c r="G515">
        <v>151084</v>
      </c>
      <c r="H515" s="116"/>
      <c r="I515" s="116"/>
      <c r="L515" s="170">
        <v>44161</v>
      </c>
      <c r="M515" s="116">
        <v>316.35000000000002</v>
      </c>
      <c r="N515" s="116">
        <v>324.25</v>
      </c>
      <c r="O515" s="116">
        <v>311.95</v>
      </c>
      <c r="P515" s="116">
        <v>323.5</v>
      </c>
      <c r="Q515" s="116">
        <v>316.35000000000002</v>
      </c>
      <c r="R515">
        <v>2636543</v>
      </c>
    </row>
    <row r="516" spans="1:18" x14ac:dyDescent="0.25">
      <c r="A516" s="170">
        <v>44162</v>
      </c>
      <c r="B516" s="116">
        <v>348.05</v>
      </c>
      <c r="C516" s="116">
        <v>348</v>
      </c>
      <c r="D516" s="116">
        <v>317.8</v>
      </c>
      <c r="E516" s="116">
        <v>318.85000000000002</v>
      </c>
      <c r="F516" s="116">
        <v>348</v>
      </c>
      <c r="G516">
        <v>1074004</v>
      </c>
      <c r="H516" s="116"/>
      <c r="I516" s="116"/>
      <c r="L516" s="170">
        <v>44162</v>
      </c>
      <c r="M516" s="116">
        <v>347.9</v>
      </c>
      <c r="N516" s="116">
        <v>347.95</v>
      </c>
      <c r="O516" s="116">
        <v>317.95</v>
      </c>
      <c r="P516" s="116">
        <v>318.7</v>
      </c>
      <c r="Q516" s="116">
        <v>347.9</v>
      </c>
      <c r="R516">
        <v>14902282</v>
      </c>
    </row>
    <row r="517" spans="1:18" x14ac:dyDescent="0.25">
      <c r="A517" s="170">
        <v>44166</v>
      </c>
      <c r="B517" s="116">
        <v>371.7</v>
      </c>
      <c r="C517" s="116">
        <v>360.75</v>
      </c>
      <c r="D517" s="116">
        <v>352.4</v>
      </c>
      <c r="E517" s="116">
        <v>358.2</v>
      </c>
      <c r="F517" s="116">
        <v>360.75</v>
      </c>
      <c r="G517">
        <v>658745</v>
      </c>
      <c r="H517" s="116"/>
      <c r="I517" s="116"/>
      <c r="L517" s="170">
        <v>44166</v>
      </c>
      <c r="M517" s="116">
        <v>360.95</v>
      </c>
      <c r="N517" s="116">
        <v>371.8</v>
      </c>
      <c r="O517" s="116">
        <v>350</v>
      </c>
      <c r="P517" s="116">
        <v>358.9</v>
      </c>
      <c r="Q517" s="116">
        <v>360.95</v>
      </c>
      <c r="R517">
        <v>8799937</v>
      </c>
    </row>
    <row r="518" spans="1:18" x14ac:dyDescent="0.25">
      <c r="A518" s="170">
        <v>44167</v>
      </c>
      <c r="B518" s="116">
        <v>377.75</v>
      </c>
      <c r="C518" s="116">
        <v>373.6</v>
      </c>
      <c r="D518" s="116">
        <v>354.05</v>
      </c>
      <c r="E518" s="116">
        <v>362.65</v>
      </c>
      <c r="F518" s="116">
        <v>373.6</v>
      </c>
      <c r="G518">
        <v>391779</v>
      </c>
      <c r="H518" s="116"/>
      <c r="I518" s="116"/>
      <c r="L518" s="170">
        <v>44167</v>
      </c>
      <c r="M518" s="116">
        <v>374.05</v>
      </c>
      <c r="N518" s="116">
        <v>377.95</v>
      </c>
      <c r="O518" s="116">
        <v>354</v>
      </c>
      <c r="P518" s="116">
        <v>361</v>
      </c>
      <c r="Q518" s="116">
        <v>374.05</v>
      </c>
      <c r="R518">
        <v>8405469</v>
      </c>
    </row>
    <row r="519" spans="1:18" x14ac:dyDescent="0.25">
      <c r="A519" s="170">
        <v>44168</v>
      </c>
      <c r="B519" s="116">
        <v>382.5</v>
      </c>
      <c r="C519" s="116">
        <v>363.95</v>
      </c>
      <c r="D519" s="116">
        <v>362</v>
      </c>
      <c r="E519" s="116">
        <v>374.4</v>
      </c>
      <c r="F519" s="116">
        <v>363.95</v>
      </c>
      <c r="G519">
        <v>272340</v>
      </c>
      <c r="H519" s="116"/>
      <c r="I519" s="116"/>
      <c r="L519" s="170">
        <v>44168</v>
      </c>
      <c r="M519" s="116">
        <v>364.05</v>
      </c>
      <c r="N519" s="116">
        <v>382.65</v>
      </c>
      <c r="O519" s="116">
        <v>361.5</v>
      </c>
      <c r="P519" s="116">
        <v>376</v>
      </c>
      <c r="Q519" s="116">
        <v>364.05</v>
      </c>
      <c r="R519">
        <v>7066691</v>
      </c>
    </row>
    <row r="520" spans="1:18" x14ac:dyDescent="0.25">
      <c r="A520" s="170">
        <v>44169</v>
      </c>
      <c r="B520" s="116">
        <v>367.5</v>
      </c>
      <c r="C520" s="116">
        <v>358.6</v>
      </c>
      <c r="D520" s="116">
        <v>355.55</v>
      </c>
      <c r="E520" s="116">
        <v>366</v>
      </c>
      <c r="F520" s="116">
        <v>358.6</v>
      </c>
      <c r="G520">
        <v>170013</v>
      </c>
      <c r="H520" s="116"/>
      <c r="I520" s="116"/>
      <c r="L520" s="170">
        <v>44169</v>
      </c>
      <c r="M520" s="116">
        <v>358.55</v>
      </c>
      <c r="N520" s="116">
        <v>367.5</v>
      </c>
      <c r="O520" s="116">
        <v>355.5</v>
      </c>
      <c r="P520" s="116">
        <v>364</v>
      </c>
      <c r="Q520" s="116">
        <v>358.55</v>
      </c>
      <c r="R520">
        <v>3219970</v>
      </c>
    </row>
    <row r="521" spans="1:18" x14ac:dyDescent="0.25">
      <c r="A521" s="170">
        <v>44172</v>
      </c>
      <c r="B521" s="116">
        <v>374</v>
      </c>
      <c r="C521" s="116">
        <v>360.45</v>
      </c>
      <c r="D521" s="116">
        <v>358.5</v>
      </c>
      <c r="E521" s="116">
        <v>360.05</v>
      </c>
      <c r="F521" s="116">
        <v>360.45</v>
      </c>
      <c r="G521">
        <v>243621</v>
      </c>
      <c r="H521" s="116"/>
      <c r="I521" s="116"/>
      <c r="L521" s="170">
        <v>44172</v>
      </c>
      <c r="M521" s="116">
        <v>360.6</v>
      </c>
      <c r="N521" s="116">
        <v>374.3</v>
      </c>
      <c r="O521" s="116">
        <v>358.05</v>
      </c>
      <c r="P521" s="116">
        <v>362.1</v>
      </c>
      <c r="Q521" s="116">
        <v>360.6</v>
      </c>
      <c r="R521">
        <v>3199944</v>
      </c>
    </row>
    <row r="522" spans="1:18" x14ac:dyDescent="0.25">
      <c r="A522" s="170">
        <v>44173</v>
      </c>
      <c r="B522" s="116">
        <v>369.5</v>
      </c>
      <c r="C522" s="116">
        <v>355.15</v>
      </c>
      <c r="D522" s="116">
        <v>353</v>
      </c>
      <c r="E522" s="116">
        <v>369.5</v>
      </c>
      <c r="F522" s="116">
        <v>355.15</v>
      </c>
      <c r="G522">
        <v>125645</v>
      </c>
      <c r="H522" s="116"/>
      <c r="I522" s="116"/>
      <c r="L522" s="170">
        <v>44173</v>
      </c>
      <c r="M522" s="116">
        <v>355.2</v>
      </c>
      <c r="N522" s="116">
        <v>364.35</v>
      </c>
      <c r="O522" s="116">
        <v>353</v>
      </c>
      <c r="P522" s="116">
        <v>362.65</v>
      </c>
      <c r="Q522" s="116">
        <v>355.2</v>
      </c>
      <c r="R522">
        <v>2373827</v>
      </c>
    </row>
    <row r="523" spans="1:18" x14ac:dyDescent="0.25">
      <c r="A523" s="170">
        <v>44174</v>
      </c>
      <c r="B523" s="116">
        <v>368.8</v>
      </c>
      <c r="C523" s="116">
        <v>362.6</v>
      </c>
      <c r="D523" s="116">
        <v>350.15</v>
      </c>
      <c r="E523" s="116">
        <v>361.8</v>
      </c>
      <c r="F523" s="116">
        <v>362.6</v>
      </c>
      <c r="G523">
        <v>84701</v>
      </c>
      <c r="H523" s="116"/>
      <c r="I523" s="116"/>
      <c r="L523" s="170">
        <v>44174</v>
      </c>
      <c r="M523" s="116">
        <v>362.85</v>
      </c>
      <c r="N523" s="116">
        <v>368.95</v>
      </c>
      <c r="O523" s="116">
        <v>350.1</v>
      </c>
      <c r="P523" s="116">
        <v>355.95</v>
      </c>
      <c r="Q523" s="116">
        <v>362.85</v>
      </c>
      <c r="R523">
        <v>2324761</v>
      </c>
    </row>
    <row r="524" spans="1:18" x14ac:dyDescent="0.25">
      <c r="A524" s="170">
        <v>44175</v>
      </c>
      <c r="B524" s="116">
        <v>366.25</v>
      </c>
      <c r="C524" s="116">
        <v>354.95</v>
      </c>
      <c r="D524" s="116">
        <v>349.95</v>
      </c>
      <c r="E524" s="116">
        <v>366.25</v>
      </c>
      <c r="F524" s="116">
        <v>354.95</v>
      </c>
      <c r="G524">
        <v>71760</v>
      </c>
      <c r="H524" s="116"/>
      <c r="I524" s="116"/>
      <c r="L524" s="170">
        <v>44175</v>
      </c>
      <c r="M524" s="116">
        <v>355.2</v>
      </c>
      <c r="N524" s="116">
        <v>364.7</v>
      </c>
      <c r="O524" s="116">
        <v>352</v>
      </c>
      <c r="P524" s="116">
        <v>364.7</v>
      </c>
      <c r="Q524" s="116">
        <v>355.2</v>
      </c>
      <c r="R524">
        <v>1892985</v>
      </c>
    </row>
    <row r="525" spans="1:18" x14ac:dyDescent="0.25">
      <c r="A525" s="170">
        <v>44176</v>
      </c>
      <c r="B525" s="116">
        <v>363</v>
      </c>
      <c r="C525" s="116">
        <v>358.45</v>
      </c>
      <c r="D525" s="116">
        <v>351.15</v>
      </c>
      <c r="E525" s="116">
        <v>358.7</v>
      </c>
      <c r="F525" s="116">
        <v>358.45</v>
      </c>
      <c r="G525">
        <v>89777</v>
      </c>
      <c r="H525" s="116"/>
      <c r="I525" s="116"/>
      <c r="L525" s="170">
        <v>44176</v>
      </c>
      <c r="M525" s="116">
        <v>358.7</v>
      </c>
      <c r="N525" s="116">
        <v>363.4</v>
      </c>
      <c r="O525" s="116">
        <v>351.25</v>
      </c>
      <c r="P525" s="116">
        <v>355.2</v>
      </c>
      <c r="Q525" s="116">
        <v>358.7</v>
      </c>
      <c r="R525">
        <v>2054647</v>
      </c>
    </row>
    <row r="526" spans="1:18" x14ac:dyDescent="0.25">
      <c r="A526" s="170">
        <v>44179</v>
      </c>
      <c r="B526" s="116">
        <v>362.5</v>
      </c>
      <c r="C526" s="116">
        <v>358.7</v>
      </c>
      <c r="D526" s="116">
        <v>354.55</v>
      </c>
      <c r="E526" s="116">
        <v>362.5</v>
      </c>
      <c r="F526" s="116">
        <v>358.7</v>
      </c>
      <c r="G526">
        <v>45646</v>
      </c>
      <c r="H526" s="116"/>
      <c r="I526" s="116"/>
      <c r="L526" s="170">
        <v>44179</v>
      </c>
      <c r="M526" s="116">
        <v>358.95</v>
      </c>
      <c r="N526" s="116">
        <v>362.3</v>
      </c>
      <c r="O526" s="116">
        <v>354.5</v>
      </c>
      <c r="P526" s="116">
        <v>360</v>
      </c>
      <c r="Q526" s="116">
        <v>358.95</v>
      </c>
      <c r="R526">
        <v>1274108</v>
      </c>
    </row>
    <row r="527" spans="1:18" x14ac:dyDescent="0.25">
      <c r="A527" s="170">
        <v>44180</v>
      </c>
      <c r="B527" s="116">
        <v>363.7</v>
      </c>
      <c r="C527" s="116">
        <v>358.25</v>
      </c>
      <c r="D527" s="116">
        <v>352.1</v>
      </c>
      <c r="E527" s="116">
        <v>359.05</v>
      </c>
      <c r="F527" s="116">
        <v>358.25</v>
      </c>
      <c r="G527">
        <v>66549</v>
      </c>
      <c r="H527" s="116"/>
      <c r="I527" s="116"/>
      <c r="L527" s="170">
        <v>44180</v>
      </c>
      <c r="M527" s="116">
        <v>358.7</v>
      </c>
      <c r="N527" s="116">
        <v>363.9</v>
      </c>
      <c r="O527" s="116">
        <v>352</v>
      </c>
      <c r="P527" s="116">
        <v>359</v>
      </c>
      <c r="Q527" s="116">
        <v>358.7</v>
      </c>
      <c r="R527">
        <v>1570530</v>
      </c>
    </row>
    <row r="528" spans="1:18" x14ac:dyDescent="0.25">
      <c r="A528" s="170">
        <v>44181</v>
      </c>
      <c r="B528" s="116">
        <v>361.1</v>
      </c>
      <c r="C528" s="116">
        <v>358.95</v>
      </c>
      <c r="D528" s="116">
        <v>355.2</v>
      </c>
      <c r="E528" s="116">
        <v>356.65</v>
      </c>
      <c r="F528" s="116">
        <v>358.95</v>
      </c>
      <c r="G528">
        <v>140799</v>
      </c>
      <c r="H528" s="116"/>
      <c r="I528" s="116"/>
      <c r="L528" s="170">
        <v>44181</v>
      </c>
      <c r="M528" s="116">
        <v>358.85</v>
      </c>
      <c r="N528" s="116">
        <v>361.25</v>
      </c>
      <c r="O528" s="116">
        <v>355.15</v>
      </c>
      <c r="P528" s="116">
        <v>356.5</v>
      </c>
      <c r="Q528" s="116">
        <v>358.85</v>
      </c>
      <c r="R528">
        <v>1303648</v>
      </c>
    </row>
    <row r="529" spans="1:18" x14ac:dyDescent="0.25">
      <c r="A529" s="170">
        <v>44182</v>
      </c>
      <c r="B529" s="116">
        <v>373</v>
      </c>
      <c r="C529" s="116">
        <v>362.1</v>
      </c>
      <c r="D529" s="116">
        <v>359.05</v>
      </c>
      <c r="E529" s="116">
        <v>359.85</v>
      </c>
      <c r="F529" s="116">
        <v>362.1</v>
      </c>
      <c r="G529">
        <v>405835</v>
      </c>
      <c r="H529" s="116"/>
      <c r="I529" s="116"/>
      <c r="L529" s="170">
        <v>44182</v>
      </c>
      <c r="M529" s="116">
        <v>362.2</v>
      </c>
      <c r="N529" s="116">
        <v>373.2</v>
      </c>
      <c r="O529" s="116">
        <v>360.05</v>
      </c>
      <c r="P529" s="116">
        <v>360.65</v>
      </c>
      <c r="Q529" s="116">
        <v>362.2</v>
      </c>
      <c r="R529">
        <v>3656611</v>
      </c>
    </row>
    <row r="530" spans="1:18" x14ac:dyDescent="0.25">
      <c r="A530" s="170">
        <v>44183</v>
      </c>
      <c r="B530" s="116">
        <v>364.8</v>
      </c>
      <c r="C530" s="116">
        <v>361.8</v>
      </c>
      <c r="D530" s="116">
        <v>353.4</v>
      </c>
      <c r="E530" s="116">
        <v>364.8</v>
      </c>
      <c r="F530" s="116">
        <v>361.8</v>
      </c>
      <c r="G530">
        <v>70001</v>
      </c>
      <c r="H530" s="116"/>
      <c r="I530" s="116"/>
      <c r="L530" s="170">
        <v>44183</v>
      </c>
      <c r="M530" s="116">
        <v>361.85</v>
      </c>
      <c r="N530" s="116">
        <v>364.05</v>
      </c>
      <c r="O530" s="116">
        <v>353</v>
      </c>
      <c r="P530" s="116">
        <v>363.7</v>
      </c>
      <c r="Q530" s="116">
        <v>361.85</v>
      </c>
      <c r="R530">
        <v>1170853</v>
      </c>
    </row>
    <row r="531" spans="1:18" x14ac:dyDescent="0.25">
      <c r="A531" s="170">
        <v>44186</v>
      </c>
      <c r="B531" s="116">
        <v>365.6</v>
      </c>
      <c r="C531" s="116">
        <v>335.7</v>
      </c>
      <c r="D531" s="116">
        <v>322.05</v>
      </c>
      <c r="E531" s="116">
        <v>361.1</v>
      </c>
      <c r="F531" s="116">
        <v>335.7</v>
      </c>
      <c r="G531">
        <v>154358</v>
      </c>
      <c r="H531" s="116"/>
      <c r="I531" s="116"/>
      <c r="L531" s="170">
        <v>44186</v>
      </c>
      <c r="M531" s="116">
        <v>336.15</v>
      </c>
      <c r="N531" s="116">
        <v>365.75</v>
      </c>
      <c r="O531" s="116">
        <v>322.3</v>
      </c>
      <c r="P531" s="116">
        <v>359.75</v>
      </c>
      <c r="Q531" s="116">
        <v>336.15</v>
      </c>
      <c r="R531">
        <v>2324951</v>
      </c>
    </row>
    <row r="532" spans="1:18" x14ac:dyDescent="0.25">
      <c r="A532" s="170">
        <v>44187</v>
      </c>
      <c r="B532" s="116">
        <v>361.75</v>
      </c>
      <c r="C532" s="116">
        <v>358.65</v>
      </c>
      <c r="D532" s="116">
        <v>315</v>
      </c>
      <c r="E532" s="116">
        <v>334</v>
      </c>
      <c r="F532" s="116">
        <v>358.65</v>
      </c>
      <c r="G532">
        <v>195476</v>
      </c>
      <c r="H532" s="116"/>
      <c r="I532" s="116"/>
      <c r="L532" s="170">
        <v>44187</v>
      </c>
      <c r="M532" s="116">
        <v>358.55</v>
      </c>
      <c r="N532" s="116">
        <v>361.8</v>
      </c>
      <c r="O532" s="116">
        <v>315</v>
      </c>
      <c r="P532" s="116">
        <v>327</v>
      </c>
      <c r="Q532" s="116">
        <v>358.55</v>
      </c>
      <c r="R532">
        <v>2554746</v>
      </c>
    </row>
    <row r="533" spans="1:18" x14ac:dyDescent="0.25">
      <c r="A533" s="170">
        <v>44188</v>
      </c>
      <c r="B533" s="116">
        <v>372</v>
      </c>
      <c r="C533" s="116">
        <v>369.9</v>
      </c>
      <c r="D533" s="116">
        <v>358.05</v>
      </c>
      <c r="E533" s="116">
        <v>363</v>
      </c>
      <c r="F533" s="116">
        <v>369.9</v>
      </c>
      <c r="G533">
        <v>278929</v>
      </c>
      <c r="H533" s="116"/>
      <c r="I533" s="116"/>
      <c r="L533" s="170">
        <v>44188</v>
      </c>
      <c r="M533" s="116">
        <v>369.85</v>
      </c>
      <c r="N533" s="116">
        <v>371.95</v>
      </c>
      <c r="O533" s="116">
        <v>359</v>
      </c>
      <c r="P533" s="116">
        <v>361.7</v>
      </c>
      <c r="Q533" s="116">
        <v>369.85</v>
      </c>
      <c r="R533">
        <v>2550675</v>
      </c>
    </row>
    <row r="534" spans="1:18" x14ac:dyDescent="0.25">
      <c r="A534" s="170">
        <v>44189</v>
      </c>
      <c r="B534" s="116">
        <v>375</v>
      </c>
      <c r="C534" s="116">
        <v>368.35</v>
      </c>
      <c r="D534" s="116">
        <v>364</v>
      </c>
      <c r="E534" s="116">
        <v>370</v>
      </c>
      <c r="F534" s="116">
        <v>368.35</v>
      </c>
      <c r="G534">
        <v>161039</v>
      </c>
      <c r="H534" s="116"/>
      <c r="I534" s="116"/>
      <c r="L534" s="170">
        <v>44189</v>
      </c>
      <c r="M534" s="116">
        <v>368.55</v>
      </c>
      <c r="N534" s="116">
        <v>373</v>
      </c>
      <c r="O534" s="116">
        <v>364</v>
      </c>
      <c r="P534" s="116">
        <v>371.25</v>
      </c>
      <c r="Q534" s="116">
        <v>368.55</v>
      </c>
      <c r="R534">
        <v>2634135</v>
      </c>
    </row>
    <row r="535" spans="1:18" x14ac:dyDescent="0.25">
      <c r="A535" s="170">
        <v>44193</v>
      </c>
      <c r="B535" s="116">
        <v>377.65</v>
      </c>
      <c r="C535" s="116">
        <v>368.9</v>
      </c>
      <c r="D535" s="116">
        <v>365.1</v>
      </c>
      <c r="E535" s="116">
        <v>369.9</v>
      </c>
      <c r="F535" s="116">
        <v>368.9</v>
      </c>
      <c r="G535">
        <v>121453</v>
      </c>
      <c r="H535" s="116"/>
      <c r="I535" s="116"/>
      <c r="L535" s="170">
        <v>44193</v>
      </c>
      <c r="M535" s="116">
        <v>368.9</v>
      </c>
      <c r="N535" s="116">
        <v>377.65</v>
      </c>
      <c r="O535" s="116">
        <v>365</v>
      </c>
      <c r="P535" s="116">
        <v>370.1</v>
      </c>
      <c r="Q535" s="116">
        <v>368.9</v>
      </c>
      <c r="R535">
        <v>2615574</v>
      </c>
    </row>
    <row r="536" spans="1:18" x14ac:dyDescent="0.25">
      <c r="A536" s="170">
        <v>44194</v>
      </c>
      <c r="B536" s="116">
        <v>378</v>
      </c>
      <c r="C536" s="116">
        <v>374.45</v>
      </c>
      <c r="D536" s="116">
        <v>364</v>
      </c>
      <c r="E536" s="116">
        <v>371.9</v>
      </c>
      <c r="F536" s="116">
        <v>374.45</v>
      </c>
      <c r="G536">
        <v>216519</v>
      </c>
      <c r="H536" s="116"/>
      <c r="I536" s="116"/>
      <c r="L536" s="170">
        <v>44194</v>
      </c>
      <c r="M536" s="116">
        <v>374.6</v>
      </c>
      <c r="N536" s="116">
        <v>378.3</v>
      </c>
      <c r="O536" s="116">
        <v>364.15</v>
      </c>
      <c r="P536" s="116">
        <v>371.8</v>
      </c>
      <c r="Q536" s="116">
        <v>374.6</v>
      </c>
      <c r="R536">
        <v>1669951</v>
      </c>
    </row>
    <row r="537" spans="1:18" x14ac:dyDescent="0.25">
      <c r="A537" s="170">
        <v>44195</v>
      </c>
      <c r="B537" s="116">
        <v>390</v>
      </c>
      <c r="C537" s="116">
        <v>380.05</v>
      </c>
      <c r="D537" s="116">
        <v>370</v>
      </c>
      <c r="E537" s="116">
        <v>375.05</v>
      </c>
      <c r="F537" s="116">
        <v>380.05</v>
      </c>
      <c r="G537">
        <v>190968</v>
      </c>
      <c r="H537" s="116"/>
      <c r="I537" s="116"/>
      <c r="L537" s="170">
        <v>44195</v>
      </c>
      <c r="M537" s="116">
        <v>380.4</v>
      </c>
      <c r="N537" s="116">
        <v>389.65</v>
      </c>
      <c r="O537" s="116">
        <v>369.5</v>
      </c>
      <c r="P537" s="116">
        <v>377</v>
      </c>
      <c r="Q537" s="116">
        <v>380.4</v>
      </c>
      <c r="R537">
        <v>3641617</v>
      </c>
    </row>
    <row r="538" spans="1:18" x14ac:dyDescent="0.25">
      <c r="A538" s="170">
        <v>44196</v>
      </c>
      <c r="B538" s="116">
        <v>384.4</v>
      </c>
      <c r="C538" s="116">
        <v>374.9</v>
      </c>
      <c r="D538" s="116">
        <v>372.05</v>
      </c>
      <c r="E538" s="116">
        <v>383.95</v>
      </c>
      <c r="F538" s="116">
        <v>374.9</v>
      </c>
      <c r="G538">
        <v>51263</v>
      </c>
      <c r="H538" s="116"/>
      <c r="I538" s="116"/>
      <c r="L538" s="170">
        <v>44196</v>
      </c>
      <c r="M538" s="116">
        <v>375.6</v>
      </c>
      <c r="N538" s="116">
        <v>384.4</v>
      </c>
      <c r="O538" s="116">
        <v>373.55</v>
      </c>
      <c r="P538" s="116">
        <v>380.1</v>
      </c>
      <c r="Q538" s="116">
        <v>375.6</v>
      </c>
      <c r="R538">
        <v>1078667</v>
      </c>
    </row>
    <row r="539" spans="1:18" x14ac:dyDescent="0.25">
      <c r="A539" s="170">
        <v>44197</v>
      </c>
      <c r="B539" s="116">
        <v>380</v>
      </c>
      <c r="C539" s="116">
        <v>376.6</v>
      </c>
      <c r="D539" s="116">
        <v>373.35</v>
      </c>
      <c r="E539" s="116">
        <v>375</v>
      </c>
      <c r="F539" s="116">
        <v>376.6</v>
      </c>
      <c r="G539">
        <v>52045</v>
      </c>
      <c r="H539" s="116"/>
      <c r="I539" s="116"/>
      <c r="L539" s="170">
        <v>44197</v>
      </c>
      <c r="M539" s="116">
        <v>376.8</v>
      </c>
      <c r="N539" s="116">
        <v>379.8</v>
      </c>
      <c r="O539" s="116">
        <v>374.1</v>
      </c>
      <c r="P539" s="116">
        <v>377.4</v>
      </c>
      <c r="Q539" s="116">
        <v>376.8</v>
      </c>
      <c r="R539">
        <v>785857</v>
      </c>
    </row>
    <row r="540" spans="1:18" x14ac:dyDescent="0.25">
      <c r="A540" s="170">
        <v>44200</v>
      </c>
      <c r="B540" s="116">
        <v>381.5</v>
      </c>
      <c r="C540" s="116">
        <v>375.4</v>
      </c>
      <c r="D540" s="116">
        <v>370.8</v>
      </c>
      <c r="E540" s="116">
        <v>379.9</v>
      </c>
      <c r="F540" s="116">
        <v>375.4</v>
      </c>
      <c r="G540">
        <v>36144</v>
      </c>
      <c r="H540" s="116"/>
      <c r="I540" s="116"/>
      <c r="L540" s="170">
        <v>44200</v>
      </c>
      <c r="M540" s="116">
        <v>375.6</v>
      </c>
      <c r="N540" s="116">
        <v>381.8</v>
      </c>
      <c r="O540" s="116">
        <v>371</v>
      </c>
      <c r="P540" s="116">
        <v>380.05</v>
      </c>
      <c r="Q540" s="116">
        <v>375.6</v>
      </c>
      <c r="R540">
        <v>1278975</v>
      </c>
    </row>
    <row r="541" spans="1:18" x14ac:dyDescent="0.25">
      <c r="A541" s="170">
        <v>44201</v>
      </c>
      <c r="B541" s="116">
        <v>376.35</v>
      </c>
      <c r="C541" s="116">
        <v>373.45</v>
      </c>
      <c r="D541" s="116">
        <v>371</v>
      </c>
      <c r="E541" s="116">
        <v>375.4</v>
      </c>
      <c r="F541" s="116">
        <v>373.45</v>
      </c>
      <c r="G541">
        <v>61977</v>
      </c>
      <c r="H541" s="116"/>
      <c r="I541" s="116"/>
      <c r="L541" s="170">
        <v>44201</v>
      </c>
      <c r="M541" s="116">
        <v>373.65</v>
      </c>
      <c r="N541" s="116">
        <v>376.8</v>
      </c>
      <c r="O541" s="116">
        <v>371</v>
      </c>
      <c r="P541" s="116">
        <v>375.4</v>
      </c>
      <c r="Q541" s="116">
        <v>373.65</v>
      </c>
      <c r="R541">
        <v>1271457</v>
      </c>
    </row>
    <row r="542" spans="1:18" x14ac:dyDescent="0.25">
      <c r="A542" s="170">
        <v>44202</v>
      </c>
      <c r="B542" s="116">
        <v>378.4</v>
      </c>
      <c r="C542" s="116">
        <v>369.35</v>
      </c>
      <c r="D542" s="116">
        <v>365.65</v>
      </c>
      <c r="E542" s="116">
        <v>373.65</v>
      </c>
      <c r="F542" s="116">
        <v>369.35</v>
      </c>
      <c r="G542">
        <v>63340</v>
      </c>
      <c r="H542" s="116"/>
      <c r="I542" s="116"/>
      <c r="L542" s="170">
        <v>44202</v>
      </c>
      <c r="M542" s="116">
        <v>369.4</v>
      </c>
      <c r="N542" s="116">
        <v>377</v>
      </c>
      <c r="O542" s="116">
        <v>365.6</v>
      </c>
      <c r="P542" s="116">
        <v>375.4</v>
      </c>
      <c r="Q542" s="116">
        <v>369.4</v>
      </c>
      <c r="R542">
        <v>1210896</v>
      </c>
    </row>
    <row r="543" spans="1:18" x14ac:dyDescent="0.25">
      <c r="A543" s="170">
        <v>44203</v>
      </c>
      <c r="B543" s="116">
        <v>375</v>
      </c>
      <c r="C543" s="116">
        <v>369.8</v>
      </c>
      <c r="D543" s="116">
        <v>366</v>
      </c>
      <c r="E543" s="116">
        <v>374</v>
      </c>
      <c r="F543" s="116">
        <v>369.8</v>
      </c>
      <c r="G543">
        <v>165823</v>
      </c>
      <c r="H543" s="116"/>
      <c r="I543" s="116"/>
      <c r="L543" s="170">
        <v>44203</v>
      </c>
      <c r="M543" s="116">
        <v>368.2</v>
      </c>
      <c r="N543" s="116">
        <v>375</v>
      </c>
      <c r="O543" s="116">
        <v>366</v>
      </c>
      <c r="P543" s="116">
        <v>371.5</v>
      </c>
      <c r="Q543" s="116">
        <v>368.2</v>
      </c>
      <c r="R543">
        <v>1274628</v>
      </c>
    </row>
    <row r="544" spans="1:18" x14ac:dyDescent="0.25">
      <c r="A544" s="170">
        <v>44204</v>
      </c>
      <c r="B544" s="116">
        <v>374.4</v>
      </c>
      <c r="C544" s="116">
        <v>368.8</v>
      </c>
      <c r="D544" s="116">
        <v>367</v>
      </c>
      <c r="E544" s="116">
        <v>373</v>
      </c>
      <c r="F544" s="116">
        <v>368.8</v>
      </c>
      <c r="G544">
        <v>102025</v>
      </c>
      <c r="H544" s="116"/>
      <c r="I544" s="116"/>
      <c r="L544" s="170">
        <v>44204</v>
      </c>
      <c r="M544" s="116">
        <v>369.35</v>
      </c>
      <c r="N544" s="116">
        <v>374.5</v>
      </c>
      <c r="O544" s="116">
        <v>367</v>
      </c>
      <c r="P544" s="116">
        <v>371.45</v>
      </c>
      <c r="Q544" s="116">
        <v>369.35</v>
      </c>
      <c r="R544">
        <v>1133002</v>
      </c>
    </row>
    <row r="545" spans="1:18" x14ac:dyDescent="0.25">
      <c r="A545" s="170">
        <v>44207</v>
      </c>
      <c r="B545" s="116">
        <v>374</v>
      </c>
      <c r="C545" s="116">
        <v>365.45</v>
      </c>
      <c r="D545" s="116">
        <v>362</v>
      </c>
      <c r="E545" s="116">
        <v>374</v>
      </c>
      <c r="F545" s="116">
        <v>365.45</v>
      </c>
      <c r="G545">
        <v>33107</v>
      </c>
      <c r="H545" s="116"/>
      <c r="I545" s="116"/>
      <c r="L545" s="170">
        <v>44207</v>
      </c>
      <c r="M545" s="116">
        <v>365.25</v>
      </c>
      <c r="N545" s="116">
        <v>373.5</v>
      </c>
      <c r="O545" s="116">
        <v>361.5</v>
      </c>
      <c r="P545" s="116">
        <v>372</v>
      </c>
      <c r="Q545" s="116">
        <v>365.25</v>
      </c>
      <c r="R545">
        <v>1289499</v>
      </c>
    </row>
    <row r="546" spans="1:18" x14ac:dyDescent="0.25">
      <c r="A546" s="170">
        <v>44208</v>
      </c>
      <c r="B546" s="116">
        <v>370.2</v>
      </c>
      <c r="C546" s="116">
        <v>365.75</v>
      </c>
      <c r="D546" s="116">
        <v>363.9</v>
      </c>
      <c r="E546" s="116">
        <v>369</v>
      </c>
      <c r="F546" s="116">
        <v>365.75</v>
      </c>
      <c r="G546">
        <v>76724</v>
      </c>
      <c r="H546" s="116"/>
      <c r="I546" s="116"/>
      <c r="L546" s="170">
        <v>44208</v>
      </c>
      <c r="M546" s="116">
        <v>365.9</v>
      </c>
      <c r="N546" s="116">
        <v>370</v>
      </c>
      <c r="O546" s="116">
        <v>364</v>
      </c>
      <c r="P546" s="116">
        <v>365.3</v>
      </c>
      <c r="Q546" s="116">
        <v>365.9</v>
      </c>
      <c r="R546">
        <v>1166871</v>
      </c>
    </row>
    <row r="547" spans="1:18" x14ac:dyDescent="0.25">
      <c r="A547" s="170">
        <v>44209</v>
      </c>
      <c r="B547" s="116">
        <v>370.1</v>
      </c>
      <c r="C547" s="116">
        <v>363.45</v>
      </c>
      <c r="D547" s="116">
        <v>355</v>
      </c>
      <c r="E547" s="116">
        <v>366.95</v>
      </c>
      <c r="F547" s="116">
        <v>363.45</v>
      </c>
      <c r="G547">
        <v>49227</v>
      </c>
      <c r="H547" s="116"/>
      <c r="I547" s="116"/>
      <c r="L547" s="170">
        <v>44209</v>
      </c>
      <c r="M547" s="116">
        <v>363.8</v>
      </c>
      <c r="N547" s="116">
        <v>369.9</v>
      </c>
      <c r="O547" s="116">
        <v>355.1</v>
      </c>
      <c r="P547" s="116">
        <v>367.3</v>
      </c>
      <c r="Q547" s="116">
        <v>363.8</v>
      </c>
      <c r="R547">
        <v>1171644</v>
      </c>
    </row>
    <row r="548" spans="1:18" x14ac:dyDescent="0.25">
      <c r="A548" s="170">
        <v>44210</v>
      </c>
      <c r="B548" s="116">
        <v>368.8</v>
      </c>
      <c r="C548" s="116">
        <v>360.4</v>
      </c>
      <c r="D548" s="116">
        <v>355</v>
      </c>
      <c r="E548" s="116">
        <v>368.8</v>
      </c>
      <c r="F548" s="116">
        <v>360.4</v>
      </c>
      <c r="G548">
        <v>38612</v>
      </c>
      <c r="H548" s="116"/>
      <c r="I548" s="116"/>
      <c r="L548" s="170">
        <v>44210</v>
      </c>
      <c r="M548" s="116">
        <v>361.1</v>
      </c>
      <c r="N548" s="116">
        <v>364.6</v>
      </c>
      <c r="O548" s="116">
        <v>353</v>
      </c>
      <c r="P548" s="116">
        <v>364.6</v>
      </c>
      <c r="Q548" s="116">
        <v>361.1</v>
      </c>
      <c r="R548">
        <v>949106</v>
      </c>
    </row>
    <row r="549" spans="1:18" x14ac:dyDescent="0.25">
      <c r="A549" s="170">
        <v>44211</v>
      </c>
      <c r="B549" s="116">
        <v>367.5</v>
      </c>
      <c r="C549" s="116">
        <v>360</v>
      </c>
      <c r="D549" s="116">
        <v>358</v>
      </c>
      <c r="E549" s="116">
        <v>364.9</v>
      </c>
      <c r="F549" s="116">
        <v>360</v>
      </c>
      <c r="G549">
        <v>35027</v>
      </c>
      <c r="H549" s="116"/>
      <c r="I549" s="116"/>
      <c r="L549" s="170">
        <v>44211</v>
      </c>
      <c r="M549" s="116">
        <v>359.95</v>
      </c>
      <c r="N549" s="116">
        <v>368</v>
      </c>
      <c r="O549" s="116">
        <v>357.35</v>
      </c>
      <c r="P549" s="116">
        <v>360.5</v>
      </c>
      <c r="Q549" s="116">
        <v>359.95</v>
      </c>
      <c r="R549">
        <v>1026453</v>
      </c>
    </row>
    <row r="550" spans="1:18" x14ac:dyDescent="0.25">
      <c r="A550" s="170">
        <v>44214</v>
      </c>
      <c r="B550" s="116">
        <v>361.75</v>
      </c>
      <c r="C550" s="116">
        <v>350.05</v>
      </c>
      <c r="D550" s="116">
        <v>340.8</v>
      </c>
      <c r="E550" s="116">
        <v>360</v>
      </c>
      <c r="F550" s="116">
        <v>350.05</v>
      </c>
      <c r="G550">
        <v>96068</v>
      </c>
      <c r="H550" s="116"/>
      <c r="I550" s="116"/>
      <c r="L550" s="170">
        <v>44214</v>
      </c>
      <c r="M550" s="116">
        <v>352.25</v>
      </c>
      <c r="N550" s="116">
        <v>362.1</v>
      </c>
      <c r="O550" s="116">
        <v>341</v>
      </c>
      <c r="P550" s="116">
        <v>362</v>
      </c>
      <c r="Q550" s="116">
        <v>352.25</v>
      </c>
      <c r="R550">
        <v>956310</v>
      </c>
    </row>
    <row r="551" spans="1:18" x14ac:dyDescent="0.25">
      <c r="A551" s="170">
        <v>44215</v>
      </c>
      <c r="B551" s="116">
        <v>360.5</v>
      </c>
      <c r="C551" s="116">
        <v>358.05</v>
      </c>
      <c r="D551" s="116">
        <v>350.1</v>
      </c>
      <c r="E551" s="116">
        <v>354.5</v>
      </c>
      <c r="F551" s="116">
        <v>358.05</v>
      </c>
      <c r="G551">
        <v>36055</v>
      </c>
      <c r="H551" s="116"/>
      <c r="I551" s="116"/>
      <c r="L551" s="170">
        <v>44215</v>
      </c>
      <c r="M551" s="116">
        <v>358.7</v>
      </c>
      <c r="N551" s="116">
        <v>360.85</v>
      </c>
      <c r="O551" s="116">
        <v>349.3</v>
      </c>
      <c r="P551" s="116">
        <v>349.95</v>
      </c>
      <c r="Q551" s="116">
        <v>358.7</v>
      </c>
      <c r="R551">
        <v>903527</v>
      </c>
    </row>
    <row r="552" spans="1:18" x14ac:dyDescent="0.25">
      <c r="A552" s="170">
        <v>44216</v>
      </c>
      <c r="B552" s="116">
        <v>364.45</v>
      </c>
      <c r="C552" s="116">
        <v>362.3</v>
      </c>
      <c r="D552" s="116">
        <v>356.5</v>
      </c>
      <c r="E552" s="116">
        <v>362</v>
      </c>
      <c r="F552" s="116">
        <v>362.3</v>
      </c>
      <c r="G552">
        <v>32549</v>
      </c>
      <c r="H552" s="116"/>
      <c r="I552" s="116"/>
      <c r="L552" s="170">
        <v>44216</v>
      </c>
      <c r="M552" s="116">
        <v>362.4</v>
      </c>
      <c r="N552" s="116">
        <v>364.4</v>
      </c>
      <c r="O552" s="116">
        <v>356.45</v>
      </c>
      <c r="P552" s="116">
        <v>358.25</v>
      </c>
      <c r="Q552" s="116">
        <v>362.4</v>
      </c>
      <c r="R552">
        <v>791203</v>
      </c>
    </row>
    <row r="553" spans="1:18" x14ac:dyDescent="0.25">
      <c r="A553" s="170">
        <v>44217</v>
      </c>
      <c r="B553" s="116">
        <v>365.85</v>
      </c>
      <c r="C553" s="116">
        <v>357.1</v>
      </c>
      <c r="D553" s="116">
        <v>354.6</v>
      </c>
      <c r="E553" s="116">
        <v>362.05</v>
      </c>
      <c r="F553" s="116">
        <v>357.1</v>
      </c>
      <c r="G553">
        <v>33798</v>
      </c>
      <c r="H553" s="116"/>
      <c r="I553" s="116"/>
      <c r="L553" s="170">
        <v>44217</v>
      </c>
      <c r="M553" s="116">
        <v>356.75</v>
      </c>
      <c r="N553" s="116">
        <v>365.6</v>
      </c>
      <c r="O553" s="116">
        <v>354</v>
      </c>
      <c r="P553" s="116">
        <v>365</v>
      </c>
      <c r="Q553" s="116">
        <v>356.75</v>
      </c>
      <c r="R553">
        <v>1014163</v>
      </c>
    </row>
    <row r="554" spans="1:18" x14ac:dyDescent="0.25">
      <c r="A554" s="170">
        <v>44218</v>
      </c>
      <c r="B554" s="116">
        <v>364.95</v>
      </c>
      <c r="C554" s="116">
        <v>363.4</v>
      </c>
      <c r="D554" s="116">
        <v>348.3</v>
      </c>
      <c r="E554" s="116">
        <v>359.9</v>
      </c>
      <c r="F554" s="116">
        <v>363.4</v>
      </c>
      <c r="G554">
        <v>89114</v>
      </c>
      <c r="H554" s="116"/>
      <c r="I554" s="116"/>
      <c r="L554" s="170">
        <v>44218</v>
      </c>
      <c r="M554" s="116">
        <v>363.6</v>
      </c>
      <c r="N554" s="116">
        <v>365</v>
      </c>
      <c r="O554" s="116">
        <v>348.5</v>
      </c>
      <c r="P554" s="116">
        <v>356.75</v>
      </c>
      <c r="Q554" s="116">
        <v>363.6</v>
      </c>
      <c r="R554">
        <v>929784</v>
      </c>
    </row>
    <row r="555" spans="1:18" x14ac:dyDescent="0.25">
      <c r="A555" s="170">
        <v>44221</v>
      </c>
      <c r="B555" s="116">
        <v>388.55</v>
      </c>
      <c r="C555" s="116">
        <v>376.85</v>
      </c>
      <c r="D555" s="116">
        <v>367.15</v>
      </c>
      <c r="E555" s="116">
        <v>370</v>
      </c>
      <c r="F555" s="116">
        <v>376.85</v>
      </c>
      <c r="G555">
        <v>118436</v>
      </c>
      <c r="H555" s="116"/>
      <c r="I555" s="116"/>
      <c r="L555" s="170">
        <v>44221</v>
      </c>
      <c r="M555" s="116">
        <v>377.65</v>
      </c>
      <c r="N555" s="116">
        <v>389</v>
      </c>
      <c r="O555" s="116">
        <v>368</v>
      </c>
      <c r="P555" s="116">
        <v>369.45</v>
      </c>
      <c r="Q555" s="116">
        <v>377.65</v>
      </c>
      <c r="R555">
        <v>2678649</v>
      </c>
    </row>
    <row r="556" spans="1:18" x14ac:dyDescent="0.25">
      <c r="A556" s="170">
        <v>44223</v>
      </c>
      <c r="B556" s="116">
        <v>384.9</v>
      </c>
      <c r="C556" s="116">
        <v>380.4</v>
      </c>
      <c r="D556" s="116">
        <v>372.3</v>
      </c>
      <c r="E556" s="116">
        <v>376.4</v>
      </c>
      <c r="F556" s="116">
        <v>380.4</v>
      </c>
      <c r="G556">
        <v>41766</v>
      </c>
      <c r="H556" s="116"/>
      <c r="I556" s="116"/>
      <c r="L556" s="170">
        <v>44223</v>
      </c>
      <c r="M556" s="116">
        <v>380.1</v>
      </c>
      <c r="N556" s="116">
        <v>385</v>
      </c>
      <c r="O556" s="116">
        <v>371.75</v>
      </c>
      <c r="P556" s="116">
        <v>375</v>
      </c>
      <c r="Q556" s="116">
        <v>380.1</v>
      </c>
      <c r="R556">
        <v>1432418</v>
      </c>
    </row>
    <row r="557" spans="1:18" x14ac:dyDescent="0.25">
      <c r="A557" s="170">
        <v>44224</v>
      </c>
      <c r="B557" s="116">
        <v>382</v>
      </c>
      <c r="C557" s="116">
        <v>379.1</v>
      </c>
      <c r="D557" s="116">
        <v>362.4</v>
      </c>
      <c r="E557" s="116">
        <v>375</v>
      </c>
      <c r="F557" s="116">
        <v>379.1</v>
      </c>
      <c r="G557">
        <v>81786</v>
      </c>
      <c r="H557" s="116"/>
      <c r="I557" s="116"/>
      <c r="L557" s="170">
        <v>44224</v>
      </c>
      <c r="M557" s="116">
        <v>379.3</v>
      </c>
      <c r="N557" s="116">
        <v>382.2</v>
      </c>
      <c r="O557" s="116">
        <v>363.4</v>
      </c>
      <c r="P557" s="116">
        <v>377.95</v>
      </c>
      <c r="Q557" s="116">
        <v>379.3</v>
      </c>
      <c r="R557">
        <v>1133260</v>
      </c>
    </row>
    <row r="558" spans="1:18" x14ac:dyDescent="0.25">
      <c r="A558" s="170">
        <v>44225</v>
      </c>
      <c r="B558" s="116">
        <v>389.4</v>
      </c>
      <c r="C558" s="116">
        <v>381.05</v>
      </c>
      <c r="D558" s="116">
        <v>378</v>
      </c>
      <c r="E558" s="116">
        <v>381.5</v>
      </c>
      <c r="F558" s="116">
        <v>381.05</v>
      </c>
      <c r="G558">
        <v>75291</v>
      </c>
      <c r="H558" s="116"/>
      <c r="I558" s="116"/>
      <c r="L558" s="170">
        <v>44225</v>
      </c>
      <c r="M558" s="116">
        <v>381.05</v>
      </c>
      <c r="N558" s="116">
        <v>389.4</v>
      </c>
      <c r="O558" s="116">
        <v>377.75</v>
      </c>
      <c r="P558" s="116">
        <v>382.3</v>
      </c>
      <c r="Q558" s="116">
        <v>381.05</v>
      </c>
      <c r="R558">
        <v>1112580</v>
      </c>
    </row>
    <row r="559" spans="1:18" x14ac:dyDescent="0.25">
      <c r="A559" s="170">
        <v>44228</v>
      </c>
      <c r="B559" s="116">
        <v>390.9</v>
      </c>
      <c r="C559" s="116">
        <v>387.75</v>
      </c>
      <c r="D559" s="116">
        <v>382</v>
      </c>
      <c r="E559" s="116">
        <v>382</v>
      </c>
      <c r="F559" s="116">
        <v>387.75</v>
      </c>
      <c r="G559">
        <v>52988</v>
      </c>
      <c r="H559" s="116"/>
      <c r="I559" s="116"/>
      <c r="L559" s="170">
        <v>44228</v>
      </c>
      <c r="M559" s="116">
        <v>389.1</v>
      </c>
      <c r="N559" s="116">
        <v>391.2</v>
      </c>
      <c r="O559" s="116">
        <v>381.05</v>
      </c>
      <c r="P559" s="116">
        <v>385.25</v>
      </c>
      <c r="Q559" s="116">
        <v>389.1</v>
      </c>
      <c r="R559">
        <v>2008106</v>
      </c>
    </row>
    <row r="560" spans="1:18" x14ac:dyDescent="0.25">
      <c r="A560" s="170">
        <v>44229</v>
      </c>
      <c r="B560" s="116">
        <v>406.5</v>
      </c>
      <c r="C560" s="116">
        <v>401</v>
      </c>
      <c r="D560" s="116">
        <v>387.1</v>
      </c>
      <c r="E560" s="116">
        <v>394.8</v>
      </c>
      <c r="F560" s="116">
        <v>401</v>
      </c>
      <c r="G560">
        <v>92950</v>
      </c>
      <c r="H560" s="116"/>
      <c r="I560" s="116"/>
      <c r="L560" s="170">
        <v>44229</v>
      </c>
      <c r="M560" s="116">
        <v>401.1</v>
      </c>
      <c r="N560" s="116">
        <v>406.95</v>
      </c>
      <c r="O560" s="116">
        <v>387.2</v>
      </c>
      <c r="P560" s="116">
        <v>392</v>
      </c>
      <c r="Q560" s="116">
        <v>401.1</v>
      </c>
      <c r="R560">
        <v>1676396</v>
      </c>
    </row>
    <row r="561" spans="1:18" x14ac:dyDescent="0.25">
      <c r="A561" s="170">
        <v>44230</v>
      </c>
      <c r="B561" s="116">
        <v>412.35</v>
      </c>
      <c r="C561" s="116">
        <v>388.15</v>
      </c>
      <c r="D561" s="116">
        <v>382.4</v>
      </c>
      <c r="E561" s="116">
        <v>405</v>
      </c>
      <c r="F561" s="116">
        <v>388.15</v>
      </c>
      <c r="G561">
        <v>90641</v>
      </c>
      <c r="H561" s="116"/>
      <c r="I561" s="116"/>
      <c r="L561" s="170">
        <v>44230</v>
      </c>
      <c r="M561" s="116">
        <v>389.65</v>
      </c>
      <c r="N561" s="116">
        <v>413.15</v>
      </c>
      <c r="O561" s="116">
        <v>382.15</v>
      </c>
      <c r="P561" s="116">
        <v>405.8</v>
      </c>
      <c r="Q561" s="116">
        <v>389.65</v>
      </c>
      <c r="R561">
        <v>1325312</v>
      </c>
    </row>
    <row r="562" spans="1:18" x14ac:dyDescent="0.25">
      <c r="A562" s="170">
        <v>44231</v>
      </c>
      <c r="B562" s="116">
        <v>399.95</v>
      </c>
      <c r="C562" s="116">
        <v>388.35</v>
      </c>
      <c r="D562" s="116">
        <v>386.1</v>
      </c>
      <c r="E562" s="116">
        <v>399</v>
      </c>
      <c r="F562" s="116">
        <v>388.35</v>
      </c>
      <c r="G562">
        <v>49415</v>
      </c>
      <c r="H562" s="116"/>
      <c r="I562" s="116"/>
      <c r="L562" s="170">
        <v>44231</v>
      </c>
      <c r="M562" s="116">
        <v>388.05</v>
      </c>
      <c r="N562" s="116">
        <v>400</v>
      </c>
      <c r="O562" s="116">
        <v>386</v>
      </c>
      <c r="P562" s="116">
        <v>395.8</v>
      </c>
      <c r="Q562" s="116">
        <v>388.05</v>
      </c>
      <c r="R562">
        <v>652627</v>
      </c>
    </row>
    <row r="563" spans="1:18" x14ac:dyDescent="0.25">
      <c r="A563" s="170">
        <v>44232</v>
      </c>
      <c r="B563" s="116">
        <v>395.35</v>
      </c>
      <c r="C563" s="116">
        <v>382.3</v>
      </c>
      <c r="D563" s="116">
        <v>378.9</v>
      </c>
      <c r="E563" s="116">
        <v>390.85</v>
      </c>
      <c r="F563" s="116">
        <v>382.3</v>
      </c>
      <c r="G563">
        <v>64907</v>
      </c>
      <c r="H563" s="116"/>
      <c r="I563" s="116"/>
      <c r="L563" s="170">
        <v>44232</v>
      </c>
      <c r="M563" s="116">
        <v>382.05</v>
      </c>
      <c r="N563" s="116">
        <v>395.35</v>
      </c>
      <c r="O563" s="116">
        <v>379</v>
      </c>
      <c r="P563" s="116">
        <v>391</v>
      </c>
      <c r="Q563" s="116">
        <v>382.05</v>
      </c>
      <c r="R563">
        <v>441742</v>
      </c>
    </row>
    <row r="564" spans="1:18" x14ac:dyDescent="0.25">
      <c r="A564" s="170">
        <v>44235</v>
      </c>
      <c r="B564" s="116">
        <v>388.5</v>
      </c>
      <c r="C564" s="116">
        <v>382.65</v>
      </c>
      <c r="D564" s="116">
        <v>380.2</v>
      </c>
      <c r="E564" s="116">
        <v>383</v>
      </c>
      <c r="F564" s="116">
        <v>382.65</v>
      </c>
      <c r="G564">
        <v>61509</v>
      </c>
      <c r="H564" s="116"/>
      <c r="I564" s="116"/>
      <c r="L564" s="170">
        <v>44235</v>
      </c>
      <c r="M564" s="116">
        <v>382.7</v>
      </c>
      <c r="N564" s="116">
        <v>388.65</v>
      </c>
      <c r="O564" s="116">
        <v>380.55</v>
      </c>
      <c r="P564" s="116">
        <v>385.75</v>
      </c>
      <c r="Q564" s="116">
        <v>382.7</v>
      </c>
      <c r="R564">
        <v>968925</v>
      </c>
    </row>
    <row r="565" spans="1:18" x14ac:dyDescent="0.25">
      <c r="A565" s="170">
        <v>44236</v>
      </c>
      <c r="B565" s="116">
        <v>386</v>
      </c>
      <c r="C565" s="116">
        <v>382.95</v>
      </c>
      <c r="D565" s="116">
        <v>380.65</v>
      </c>
      <c r="E565" s="116">
        <v>386</v>
      </c>
      <c r="F565" s="116">
        <v>382.95</v>
      </c>
      <c r="G565">
        <v>76898</v>
      </c>
      <c r="H565" s="116"/>
      <c r="I565" s="116"/>
      <c r="L565" s="170">
        <v>44236</v>
      </c>
      <c r="M565" s="116">
        <v>382.85</v>
      </c>
      <c r="N565" s="116">
        <v>385.45</v>
      </c>
      <c r="O565" s="116">
        <v>380.15</v>
      </c>
      <c r="P565" s="116">
        <v>384</v>
      </c>
      <c r="Q565" s="116">
        <v>382.85</v>
      </c>
      <c r="R565">
        <v>825573</v>
      </c>
    </row>
    <row r="566" spans="1:18" x14ac:dyDescent="0.25">
      <c r="A566" s="170">
        <v>44237</v>
      </c>
      <c r="B566" s="116">
        <v>385</v>
      </c>
      <c r="C566" s="116">
        <v>383.05</v>
      </c>
      <c r="D566" s="116">
        <v>375.75</v>
      </c>
      <c r="E566" s="116">
        <v>383</v>
      </c>
      <c r="F566" s="116">
        <v>383.05</v>
      </c>
      <c r="G566">
        <v>169330</v>
      </c>
      <c r="H566" s="116"/>
      <c r="I566" s="116"/>
      <c r="L566" s="170">
        <v>44237</v>
      </c>
      <c r="M566" s="116">
        <v>382.3</v>
      </c>
      <c r="N566" s="116">
        <v>384.9</v>
      </c>
      <c r="O566" s="116">
        <v>376.2</v>
      </c>
      <c r="P566" s="116">
        <v>384.9</v>
      </c>
      <c r="Q566" s="116">
        <v>382.3</v>
      </c>
      <c r="R566">
        <v>786555</v>
      </c>
    </row>
    <row r="567" spans="1:18" x14ac:dyDescent="0.25">
      <c r="A567" s="170">
        <v>44238</v>
      </c>
      <c r="B567" s="116">
        <v>390</v>
      </c>
      <c r="C567" s="116">
        <v>379.2</v>
      </c>
      <c r="D567" s="116">
        <v>377</v>
      </c>
      <c r="E567" s="116">
        <v>385.9</v>
      </c>
      <c r="F567" s="116">
        <v>379.2</v>
      </c>
      <c r="G567">
        <v>45791</v>
      </c>
      <c r="H567" s="116"/>
      <c r="I567" s="116"/>
      <c r="L567" s="170">
        <v>44238</v>
      </c>
      <c r="M567" s="116">
        <v>379.2</v>
      </c>
      <c r="N567" s="116">
        <v>390</v>
      </c>
      <c r="O567" s="116">
        <v>377.15</v>
      </c>
      <c r="P567" s="116">
        <v>384.25</v>
      </c>
      <c r="Q567" s="116">
        <v>379.2</v>
      </c>
      <c r="R567">
        <v>909606</v>
      </c>
    </row>
    <row r="568" spans="1:18" x14ac:dyDescent="0.25">
      <c r="A568" s="170">
        <v>44239</v>
      </c>
      <c r="B568" s="116">
        <v>383.6</v>
      </c>
      <c r="C568" s="116">
        <v>382.6</v>
      </c>
      <c r="D568" s="116">
        <v>374.5</v>
      </c>
      <c r="E568" s="116">
        <v>374.5</v>
      </c>
      <c r="F568" s="116">
        <v>382.6</v>
      </c>
      <c r="G568">
        <v>45808</v>
      </c>
      <c r="H568" s="116"/>
      <c r="I568" s="116"/>
      <c r="L568" s="170">
        <v>44239</v>
      </c>
      <c r="M568" s="116">
        <v>382.55</v>
      </c>
      <c r="N568" s="116">
        <v>383.4</v>
      </c>
      <c r="O568" s="116">
        <v>378.25</v>
      </c>
      <c r="P568" s="116">
        <v>381.5</v>
      </c>
      <c r="Q568" s="116">
        <v>382.55</v>
      </c>
      <c r="R568">
        <v>1219553</v>
      </c>
    </row>
    <row r="569" spans="1:18" x14ac:dyDescent="0.25">
      <c r="A569" s="170">
        <v>44242</v>
      </c>
      <c r="B569" s="116">
        <v>435</v>
      </c>
      <c r="C569" s="116">
        <v>427.15</v>
      </c>
      <c r="D569" s="116">
        <v>378</v>
      </c>
      <c r="E569" s="116">
        <v>388.95</v>
      </c>
      <c r="F569" s="116">
        <v>427.15</v>
      </c>
      <c r="G569">
        <v>389668</v>
      </c>
      <c r="H569" s="116"/>
      <c r="I569" s="116"/>
      <c r="L569" s="170">
        <v>44242</v>
      </c>
      <c r="M569" s="116">
        <v>426.95</v>
      </c>
      <c r="N569" s="116">
        <v>435</v>
      </c>
      <c r="O569" s="116">
        <v>386.1</v>
      </c>
      <c r="P569" s="116">
        <v>387</v>
      </c>
      <c r="Q569" s="116">
        <v>426.95</v>
      </c>
      <c r="R569">
        <v>4704910</v>
      </c>
    </row>
    <row r="570" spans="1:18" x14ac:dyDescent="0.25">
      <c r="A570" s="170">
        <v>44243</v>
      </c>
      <c r="B570" s="116">
        <v>508.9</v>
      </c>
      <c r="C570" s="116">
        <v>499.1</v>
      </c>
      <c r="D570" s="116">
        <v>433.9</v>
      </c>
      <c r="E570" s="116">
        <v>440.3</v>
      </c>
      <c r="F570" s="116">
        <v>499.1</v>
      </c>
      <c r="G570">
        <v>586799</v>
      </c>
      <c r="H570" s="116"/>
      <c r="I570" s="116"/>
      <c r="L570" s="170">
        <v>44243</v>
      </c>
      <c r="M570" s="116">
        <v>497</v>
      </c>
      <c r="N570" s="116">
        <v>508.9</v>
      </c>
      <c r="O570" s="116">
        <v>437</v>
      </c>
      <c r="P570" s="116">
        <v>441</v>
      </c>
      <c r="Q570" s="116">
        <v>497</v>
      </c>
      <c r="R570">
        <v>9004169</v>
      </c>
    </row>
    <row r="571" spans="1:18" x14ac:dyDescent="0.25">
      <c r="A571" s="170">
        <v>44244</v>
      </c>
      <c r="B571" s="116">
        <v>543.15</v>
      </c>
      <c r="C571" s="116">
        <v>506.9</v>
      </c>
      <c r="D571" s="116">
        <v>487.1</v>
      </c>
      <c r="E571" s="116">
        <v>520</v>
      </c>
      <c r="F571" s="116">
        <v>506.9</v>
      </c>
      <c r="G571">
        <v>552206</v>
      </c>
      <c r="H571" s="116"/>
      <c r="I571" s="116"/>
      <c r="L571" s="170">
        <v>44244</v>
      </c>
      <c r="M571" s="116">
        <v>509.95</v>
      </c>
      <c r="N571" s="116">
        <v>542.79999999999995</v>
      </c>
      <c r="O571" s="116">
        <v>497.2</v>
      </c>
      <c r="P571" s="116">
        <v>521</v>
      </c>
      <c r="Q571" s="116">
        <v>509.95</v>
      </c>
      <c r="R571">
        <v>5856367</v>
      </c>
    </row>
    <row r="572" spans="1:18" x14ac:dyDescent="0.25">
      <c r="A572" s="170">
        <v>44245</v>
      </c>
      <c r="B572" s="116">
        <v>537</v>
      </c>
      <c r="C572" s="116">
        <v>509.65</v>
      </c>
      <c r="D572" s="116">
        <v>506.95</v>
      </c>
      <c r="E572" s="116">
        <v>515</v>
      </c>
      <c r="F572" s="116">
        <v>509.65</v>
      </c>
      <c r="G572">
        <v>218203</v>
      </c>
      <c r="H572" s="116"/>
      <c r="I572" s="116"/>
      <c r="L572" s="170">
        <v>44245</v>
      </c>
      <c r="M572" s="116">
        <v>509.6</v>
      </c>
      <c r="N572" s="116">
        <v>538</v>
      </c>
      <c r="O572" s="116">
        <v>506.6</v>
      </c>
      <c r="P572" s="116">
        <v>515</v>
      </c>
      <c r="Q572" s="116">
        <v>509.6</v>
      </c>
      <c r="R572">
        <v>3727434</v>
      </c>
    </row>
    <row r="573" spans="1:18" x14ac:dyDescent="0.25">
      <c r="A573" s="170">
        <v>44246</v>
      </c>
      <c r="B573" s="116">
        <v>520</v>
      </c>
      <c r="C573" s="116">
        <v>499.05</v>
      </c>
      <c r="D573" s="116">
        <v>458.7</v>
      </c>
      <c r="E573" s="116">
        <v>513</v>
      </c>
      <c r="F573" s="116">
        <v>499.05</v>
      </c>
      <c r="G573">
        <v>331556</v>
      </c>
      <c r="H573" s="116"/>
      <c r="I573" s="116"/>
      <c r="L573" s="170">
        <v>44246</v>
      </c>
      <c r="M573" s="116">
        <v>497.65</v>
      </c>
      <c r="N573" s="116">
        <v>519.9</v>
      </c>
      <c r="O573" s="116">
        <v>458.65</v>
      </c>
      <c r="P573" s="116">
        <v>513</v>
      </c>
      <c r="Q573" s="116">
        <v>497.65</v>
      </c>
      <c r="R573">
        <v>2497892</v>
      </c>
    </row>
    <row r="574" spans="1:18" x14ac:dyDescent="0.25">
      <c r="A574" s="170">
        <v>44249</v>
      </c>
      <c r="B574" s="116">
        <v>510</v>
      </c>
      <c r="C574" s="116">
        <v>496.6</v>
      </c>
      <c r="D574" s="116">
        <v>485.1</v>
      </c>
      <c r="E574" s="116">
        <v>499.05</v>
      </c>
      <c r="F574" s="116">
        <v>496.6</v>
      </c>
      <c r="G574">
        <v>161713</v>
      </c>
      <c r="H574" s="116"/>
      <c r="I574" s="116"/>
      <c r="L574" s="170">
        <v>44249</v>
      </c>
      <c r="M574" s="116">
        <v>497.95</v>
      </c>
      <c r="N574" s="116">
        <v>510.2</v>
      </c>
      <c r="O574" s="116">
        <v>490</v>
      </c>
      <c r="P574" s="116">
        <v>502.5</v>
      </c>
      <c r="Q574" s="116">
        <v>497.95</v>
      </c>
      <c r="R574">
        <v>1714429</v>
      </c>
    </row>
    <row r="575" spans="1:18" x14ac:dyDescent="0.25">
      <c r="A575" s="170">
        <v>44250</v>
      </c>
      <c r="B575" s="116">
        <v>509.5</v>
      </c>
      <c r="C575" s="116">
        <v>489.4</v>
      </c>
      <c r="D575" s="116">
        <v>480</v>
      </c>
      <c r="E575" s="116">
        <v>504.9</v>
      </c>
      <c r="F575" s="116">
        <v>489.4</v>
      </c>
      <c r="G575">
        <v>75454</v>
      </c>
      <c r="H575" s="116"/>
      <c r="I575" s="116"/>
      <c r="L575" s="170">
        <v>44250</v>
      </c>
      <c r="M575" s="116">
        <v>486</v>
      </c>
      <c r="N575" s="116">
        <v>508.45</v>
      </c>
      <c r="O575" s="116">
        <v>478</v>
      </c>
      <c r="P575" s="116">
        <v>507</v>
      </c>
      <c r="Q575" s="116">
        <v>486</v>
      </c>
      <c r="R575">
        <v>899932</v>
      </c>
    </row>
    <row r="576" spans="1:18" x14ac:dyDescent="0.25">
      <c r="A576" s="170">
        <v>44251</v>
      </c>
      <c r="B576" s="116">
        <v>510</v>
      </c>
      <c r="C576" s="116">
        <v>499.85</v>
      </c>
      <c r="D576" s="116">
        <v>463.2</v>
      </c>
      <c r="E576" s="116">
        <v>494</v>
      </c>
      <c r="F576" s="116">
        <v>499.85</v>
      </c>
      <c r="G576">
        <v>259361</v>
      </c>
      <c r="H576" s="116"/>
      <c r="I576" s="116"/>
      <c r="L576" s="170">
        <v>44251</v>
      </c>
      <c r="M576" s="116">
        <v>500.15</v>
      </c>
      <c r="N576" s="116">
        <v>509.05</v>
      </c>
      <c r="O576" s="116">
        <v>474.1</v>
      </c>
      <c r="P576" s="116">
        <v>490</v>
      </c>
      <c r="Q576" s="116">
        <v>500.15</v>
      </c>
      <c r="R576">
        <v>847307</v>
      </c>
    </row>
    <row r="577" spans="1:18" x14ac:dyDescent="0.25">
      <c r="A577" s="170">
        <v>44252</v>
      </c>
      <c r="B577" s="116">
        <v>508.95</v>
      </c>
      <c r="C577" s="116">
        <v>500.35</v>
      </c>
      <c r="D577" s="116">
        <v>495.55</v>
      </c>
      <c r="E577" s="116">
        <v>507.5</v>
      </c>
      <c r="F577" s="116">
        <v>500.35</v>
      </c>
      <c r="G577">
        <v>57809</v>
      </c>
      <c r="H577" s="116"/>
      <c r="I577" s="116"/>
      <c r="L577" s="170">
        <v>44252</v>
      </c>
      <c r="M577" s="116">
        <v>500.4</v>
      </c>
      <c r="N577" s="116">
        <v>508.25</v>
      </c>
      <c r="O577" s="116">
        <v>495.1</v>
      </c>
      <c r="P577" s="116">
        <v>504</v>
      </c>
      <c r="Q577" s="116">
        <v>500.4</v>
      </c>
      <c r="R577">
        <v>1189419</v>
      </c>
    </row>
    <row r="578" spans="1:18" x14ac:dyDescent="0.25">
      <c r="A578" s="170">
        <v>44253</v>
      </c>
      <c r="B578" s="116">
        <v>519.29999999999995</v>
      </c>
      <c r="C578" s="116">
        <v>512.04999999999995</v>
      </c>
      <c r="D578" s="116">
        <v>484</v>
      </c>
      <c r="E578" s="116">
        <v>494.35</v>
      </c>
      <c r="F578" s="116">
        <v>512.04999999999995</v>
      </c>
      <c r="G578">
        <v>120494</v>
      </c>
      <c r="H578" s="116"/>
      <c r="I578" s="116"/>
      <c r="L578" s="170">
        <v>44253</v>
      </c>
      <c r="M578" s="116">
        <v>512.20000000000005</v>
      </c>
      <c r="N578" s="116">
        <v>518.95000000000005</v>
      </c>
      <c r="O578" s="116">
        <v>488.05</v>
      </c>
      <c r="P578" s="116">
        <v>490.1</v>
      </c>
      <c r="Q578" s="116">
        <v>512.20000000000005</v>
      </c>
      <c r="R578">
        <v>1551014</v>
      </c>
    </row>
    <row r="579" spans="1:18" x14ac:dyDescent="0.25">
      <c r="A579" s="170">
        <v>44256</v>
      </c>
      <c r="B579" s="116">
        <v>529</v>
      </c>
      <c r="C579" s="116">
        <v>525.25</v>
      </c>
      <c r="D579" s="116">
        <v>517</v>
      </c>
      <c r="E579" s="116">
        <v>522</v>
      </c>
      <c r="F579" s="116">
        <v>525.25</v>
      </c>
      <c r="G579">
        <v>84244</v>
      </c>
      <c r="H579" s="116"/>
      <c r="I579" s="116"/>
      <c r="L579" s="170">
        <v>44256</v>
      </c>
      <c r="M579" s="116">
        <v>525.45000000000005</v>
      </c>
      <c r="N579" s="116">
        <v>529.45000000000005</v>
      </c>
      <c r="O579" s="116">
        <v>516.5</v>
      </c>
      <c r="P579" s="116">
        <v>523.29999999999995</v>
      </c>
      <c r="Q579" s="116">
        <v>525.45000000000005</v>
      </c>
      <c r="R579">
        <v>1103126</v>
      </c>
    </row>
    <row r="580" spans="1:18" x14ac:dyDescent="0.25">
      <c r="A580" s="170">
        <v>44257</v>
      </c>
      <c r="B580" s="116">
        <v>584.85</v>
      </c>
      <c r="C580" s="116">
        <v>574.20000000000005</v>
      </c>
      <c r="D580" s="116">
        <v>529</v>
      </c>
      <c r="E580" s="116">
        <v>530</v>
      </c>
      <c r="F580" s="116">
        <v>574.20000000000005</v>
      </c>
      <c r="G580">
        <v>254306</v>
      </c>
      <c r="H580" s="116"/>
      <c r="I580" s="116"/>
      <c r="L580" s="170">
        <v>44257</v>
      </c>
      <c r="M580" s="116">
        <v>574.29999999999995</v>
      </c>
      <c r="N580" s="116">
        <v>584.45000000000005</v>
      </c>
      <c r="O580" s="116">
        <v>528.04999999999995</v>
      </c>
      <c r="P580" s="116">
        <v>530</v>
      </c>
      <c r="Q580" s="116">
        <v>574.29999999999995</v>
      </c>
      <c r="R580">
        <v>3268799</v>
      </c>
    </row>
    <row r="581" spans="1:18" x14ac:dyDescent="0.25">
      <c r="A581" s="170">
        <v>44258</v>
      </c>
      <c r="B581" s="116">
        <v>689</v>
      </c>
      <c r="C581" s="116">
        <v>663.95</v>
      </c>
      <c r="D581" s="116">
        <v>583</v>
      </c>
      <c r="E581" s="116">
        <v>583</v>
      </c>
      <c r="F581" s="116">
        <v>663.95</v>
      </c>
      <c r="G581">
        <v>754884</v>
      </c>
      <c r="H581" s="116"/>
      <c r="I581" s="116"/>
      <c r="L581" s="170">
        <v>44258</v>
      </c>
      <c r="M581" s="116">
        <v>662.75</v>
      </c>
      <c r="N581" s="116">
        <v>689.15</v>
      </c>
      <c r="O581" s="116">
        <v>584</v>
      </c>
      <c r="P581" s="116">
        <v>588</v>
      </c>
      <c r="Q581" s="116">
        <v>662.75</v>
      </c>
      <c r="R581">
        <v>7899553</v>
      </c>
    </row>
    <row r="582" spans="1:18" x14ac:dyDescent="0.25">
      <c r="A582" s="170">
        <v>44259</v>
      </c>
      <c r="B582" s="116">
        <v>702</v>
      </c>
      <c r="C582" s="116">
        <v>688.55</v>
      </c>
      <c r="D582" s="116">
        <v>630</v>
      </c>
      <c r="E582" s="116">
        <v>636.20000000000005</v>
      </c>
      <c r="F582" s="116">
        <v>688.55</v>
      </c>
      <c r="G582">
        <v>500278</v>
      </c>
      <c r="H582" s="116"/>
      <c r="I582" s="116"/>
      <c r="L582" s="170">
        <v>44259</v>
      </c>
      <c r="M582" s="116">
        <v>688.75</v>
      </c>
      <c r="N582" s="116">
        <v>701.7</v>
      </c>
      <c r="O582" s="116">
        <v>630</v>
      </c>
      <c r="P582" s="116">
        <v>645</v>
      </c>
      <c r="Q582" s="116">
        <v>688.75</v>
      </c>
      <c r="R582">
        <v>4035492</v>
      </c>
    </row>
    <row r="583" spans="1:18" x14ac:dyDescent="0.25">
      <c r="A583" s="170">
        <v>44260</v>
      </c>
      <c r="B583" s="116">
        <v>725</v>
      </c>
      <c r="C583" s="116">
        <v>700.2</v>
      </c>
      <c r="D583" s="116">
        <v>668</v>
      </c>
      <c r="E583" s="116">
        <v>699.45</v>
      </c>
      <c r="F583" s="116">
        <v>700.2</v>
      </c>
      <c r="G583">
        <v>271753</v>
      </c>
      <c r="H583" s="116"/>
      <c r="I583" s="116"/>
      <c r="L583" s="170">
        <v>44260</v>
      </c>
      <c r="M583" s="116">
        <v>700.35</v>
      </c>
      <c r="N583" s="116">
        <v>724.7</v>
      </c>
      <c r="O583" s="116">
        <v>677.05</v>
      </c>
      <c r="P583" s="116">
        <v>698</v>
      </c>
      <c r="Q583" s="116">
        <v>700.35</v>
      </c>
      <c r="R583">
        <v>2833940</v>
      </c>
    </row>
    <row r="584" spans="1:18" x14ac:dyDescent="0.25">
      <c r="A584" s="170">
        <v>44263</v>
      </c>
      <c r="B584" s="116">
        <v>748.9</v>
      </c>
      <c r="C584" s="116">
        <v>715.8</v>
      </c>
      <c r="D584" s="116">
        <v>706.1</v>
      </c>
      <c r="E584" s="116">
        <v>716.3</v>
      </c>
      <c r="F584" s="116">
        <v>715.8</v>
      </c>
      <c r="G584">
        <v>192103</v>
      </c>
      <c r="H584" s="116"/>
      <c r="I584" s="116"/>
      <c r="L584" s="170">
        <v>44263</v>
      </c>
      <c r="M584" s="116">
        <v>716.2</v>
      </c>
      <c r="N584" s="116">
        <v>749.45</v>
      </c>
      <c r="O584" s="116">
        <v>706</v>
      </c>
      <c r="P584" s="116">
        <v>717.9</v>
      </c>
      <c r="Q584" s="116">
        <v>716.2</v>
      </c>
      <c r="R584">
        <v>1884720</v>
      </c>
    </row>
    <row r="585" spans="1:18" x14ac:dyDescent="0.25">
      <c r="A585" s="170">
        <v>44264</v>
      </c>
      <c r="B585" s="116">
        <v>728.9</v>
      </c>
      <c r="C585" s="116">
        <v>703.9</v>
      </c>
      <c r="D585" s="116">
        <v>680.4</v>
      </c>
      <c r="E585" s="116">
        <v>725.1</v>
      </c>
      <c r="F585" s="116">
        <v>703.9</v>
      </c>
      <c r="G585">
        <v>115755</v>
      </c>
      <c r="H585" s="116"/>
      <c r="I585" s="116"/>
      <c r="L585" s="170">
        <v>44264</v>
      </c>
      <c r="M585" s="116">
        <v>704.5</v>
      </c>
      <c r="N585" s="116">
        <v>729.4</v>
      </c>
      <c r="O585" s="116">
        <v>680.85</v>
      </c>
      <c r="P585" s="116">
        <v>729</v>
      </c>
      <c r="Q585" s="116">
        <v>704.5</v>
      </c>
      <c r="R585">
        <v>1667389</v>
      </c>
    </row>
    <row r="586" spans="1:18" x14ac:dyDescent="0.25">
      <c r="A586" s="170">
        <v>44265</v>
      </c>
      <c r="B586" s="116">
        <v>725</v>
      </c>
      <c r="C586" s="116">
        <v>717.15</v>
      </c>
      <c r="D586" s="116">
        <v>685</v>
      </c>
      <c r="E586" s="116">
        <v>712.5</v>
      </c>
      <c r="F586" s="116">
        <v>717.15</v>
      </c>
      <c r="G586">
        <v>130971</v>
      </c>
      <c r="H586" s="116"/>
      <c r="I586" s="116"/>
      <c r="L586" s="170">
        <v>44265</v>
      </c>
      <c r="M586" s="116">
        <v>717.75</v>
      </c>
      <c r="N586" s="116">
        <v>725</v>
      </c>
      <c r="O586" s="116">
        <v>685.1</v>
      </c>
      <c r="P586" s="116">
        <v>710</v>
      </c>
      <c r="Q586" s="116">
        <v>717.75</v>
      </c>
      <c r="R586">
        <v>1729560</v>
      </c>
    </row>
    <row r="587" spans="1:18" x14ac:dyDescent="0.25">
      <c r="A587" s="170">
        <v>44267</v>
      </c>
      <c r="B587" s="116">
        <v>745</v>
      </c>
      <c r="C587" s="116">
        <v>738.35</v>
      </c>
      <c r="D587" s="116">
        <v>725.2</v>
      </c>
      <c r="E587" s="116">
        <v>725.2</v>
      </c>
      <c r="F587" s="116">
        <v>738.35</v>
      </c>
      <c r="G587">
        <v>128861</v>
      </c>
      <c r="H587" s="116"/>
      <c r="I587" s="116"/>
      <c r="L587" s="170">
        <v>44267</v>
      </c>
      <c r="M587" s="116">
        <v>738</v>
      </c>
      <c r="N587" s="116">
        <v>745</v>
      </c>
      <c r="O587" s="116">
        <v>728</v>
      </c>
      <c r="P587" s="116">
        <v>728</v>
      </c>
      <c r="Q587" s="116">
        <v>738</v>
      </c>
      <c r="R587">
        <v>2474722</v>
      </c>
    </row>
    <row r="588" spans="1:18" x14ac:dyDescent="0.25">
      <c r="A588" s="170">
        <v>44270</v>
      </c>
      <c r="B588" s="116">
        <v>759</v>
      </c>
      <c r="C588" s="116">
        <v>749.2</v>
      </c>
      <c r="D588" s="116">
        <v>740.9</v>
      </c>
      <c r="E588" s="116">
        <v>745</v>
      </c>
      <c r="F588" s="116">
        <v>749.2</v>
      </c>
      <c r="G588">
        <v>129829</v>
      </c>
      <c r="H588" s="116"/>
      <c r="I588" s="116"/>
      <c r="L588" s="170">
        <v>44270</v>
      </c>
      <c r="M588" s="116">
        <v>749.1</v>
      </c>
      <c r="N588" s="116">
        <v>758.7</v>
      </c>
      <c r="O588" s="116">
        <v>742</v>
      </c>
      <c r="P588" s="116">
        <v>754</v>
      </c>
      <c r="Q588" s="116">
        <v>749.1</v>
      </c>
      <c r="R588">
        <v>1916677</v>
      </c>
    </row>
    <row r="589" spans="1:18" x14ac:dyDescent="0.25">
      <c r="A589" s="170">
        <v>44271</v>
      </c>
      <c r="B589" s="116">
        <v>758.35</v>
      </c>
      <c r="C589" s="116">
        <v>747.4</v>
      </c>
      <c r="D589" s="116">
        <v>741.9</v>
      </c>
      <c r="E589" s="116">
        <v>752.35</v>
      </c>
      <c r="F589" s="116">
        <v>747.4</v>
      </c>
      <c r="G589">
        <v>84901</v>
      </c>
      <c r="H589" s="116"/>
      <c r="I589" s="116"/>
      <c r="L589" s="170">
        <v>44271</v>
      </c>
      <c r="M589" s="116">
        <v>747.6</v>
      </c>
      <c r="N589" s="116">
        <v>755.85</v>
      </c>
      <c r="O589" s="116">
        <v>742</v>
      </c>
      <c r="P589" s="116">
        <v>755.85</v>
      </c>
      <c r="Q589" s="116">
        <v>747.6</v>
      </c>
      <c r="R589">
        <v>1378624</v>
      </c>
    </row>
    <row r="590" spans="1:18" x14ac:dyDescent="0.25">
      <c r="A590" s="170">
        <v>44272</v>
      </c>
      <c r="B590" s="116">
        <v>780</v>
      </c>
      <c r="C590" s="116">
        <v>743.95</v>
      </c>
      <c r="D590" s="116">
        <v>740.1</v>
      </c>
      <c r="E590" s="116">
        <v>749</v>
      </c>
      <c r="F590" s="116">
        <v>743.95</v>
      </c>
      <c r="G590">
        <v>203530</v>
      </c>
      <c r="H590" s="116"/>
      <c r="I590" s="116"/>
      <c r="L590" s="170">
        <v>44272</v>
      </c>
      <c r="M590" s="116">
        <v>744</v>
      </c>
      <c r="N590" s="116">
        <v>778.95</v>
      </c>
      <c r="O590" s="116">
        <v>740</v>
      </c>
      <c r="P590" s="116">
        <v>747</v>
      </c>
      <c r="Q590" s="116">
        <v>744</v>
      </c>
      <c r="R590">
        <v>1872965</v>
      </c>
    </row>
    <row r="591" spans="1:18" x14ac:dyDescent="0.25">
      <c r="A591" s="170">
        <v>44273</v>
      </c>
      <c r="B591" s="116">
        <v>767.35</v>
      </c>
      <c r="C591" s="116">
        <v>744.25</v>
      </c>
      <c r="D591" s="116">
        <v>715.35</v>
      </c>
      <c r="E591" s="116">
        <v>757.9</v>
      </c>
      <c r="F591" s="116">
        <v>744.25</v>
      </c>
      <c r="G591">
        <v>186651</v>
      </c>
      <c r="H591" s="116"/>
      <c r="I591" s="116"/>
      <c r="L591" s="170">
        <v>44273</v>
      </c>
      <c r="M591" s="116">
        <v>744.8</v>
      </c>
      <c r="N591" s="116">
        <v>766</v>
      </c>
      <c r="O591" s="116">
        <v>715</v>
      </c>
      <c r="P591" s="116">
        <v>755</v>
      </c>
      <c r="Q591" s="116">
        <v>744.8</v>
      </c>
      <c r="R591">
        <v>1585218</v>
      </c>
    </row>
    <row r="592" spans="1:18" x14ac:dyDescent="0.25">
      <c r="A592" s="170">
        <v>44274</v>
      </c>
      <c r="B592" s="116">
        <v>746.8</v>
      </c>
      <c r="C592" s="116">
        <v>737.3</v>
      </c>
      <c r="D592" s="116">
        <v>671.15</v>
      </c>
      <c r="E592" s="116">
        <v>745</v>
      </c>
      <c r="F592" s="116">
        <v>737.3</v>
      </c>
      <c r="G592">
        <v>220882</v>
      </c>
      <c r="H592" s="116"/>
      <c r="I592" s="116"/>
      <c r="L592" s="170">
        <v>44274</v>
      </c>
      <c r="M592" s="116">
        <v>739.2</v>
      </c>
      <c r="N592" s="116">
        <v>745</v>
      </c>
      <c r="O592" s="116">
        <v>671</v>
      </c>
      <c r="P592" s="116">
        <v>742</v>
      </c>
      <c r="Q592" s="116">
        <v>739.2</v>
      </c>
      <c r="R592">
        <v>5714724</v>
      </c>
    </row>
    <row r="593" spans="1:18" x14ac:dyDescent="0.25">
      <c r="A593" s="170">
        <v>44277</v>
      </c>
      <c r="B593" s="116">
        <v>851.25</v>
      </c>
      <c r="C593" s="116">
        <v>821.3</v>
      </c>
      <c r="D593" s="116">
        <v>745.1</v>
      </c>
      <c r="E593" s="116">
        <v>746.9</v>
      </c>
      <c r="F593" s="116">
        <v>821.3</v>
      </c>
      <c r="G593">
        <v>367079</v>
      </c>
      <c r="H593" s="116"/>
      <c r="I593" s="116"/>
      <c r="L593" s="170">
        <v>44277</v>
      </c>
      <c r="M593" s="116">
        <v>819.1</v>
      </c>
      <c r="N593" s="116">
        <v>852</v>
      </c>
      <c r="O593" s="116">
        <v>745.45</v>
      </c>
      <c r="P593" s="116">
        <v>745.45</v>
      </c>
      <c r="Q593" s="116">
        <v>819.1</v>
      </c>
      <c r="R593">
        <v>4323983</v>
      </c>
    </row>
    <row r="594" spans="1:18" x14ac:dyDescent="0.25">
      <c r="A594" s="170">
        <v>44278</v>
      </c>
      <c r="B594" s="116">
        <v>915</v>
      </c>
      <c r="C594" s="116">
        <v>897</v>
      </c>
      <c r="D594" s="116">
        <v>832.9</v>
      </c>
      <c r="E594" s="116">
        <v>834</v>
      </c>
      <c r="F594" s="116">
        <v>897</v>
      </c>
      <c r="G594">
        <v>379312</v>
      </c>
      <c r="H594" s="116"/>
      <c r="I594" s="116"/>
      <c r="L594" s="170">
        <v>44278</v>
      </c>
      <c r="M594" s="116">
        <v>895.15</v>
      </c>
      <c r="N594" s="116">
        <v>914.7</v>
      </c>
      <c r="O594" s="116">
        <v>832.6</v>
      </c>
      <c r="P594" s="116">
        <v>833</v>
      </c>
      <c r="Q594" s="116">
        <v>895.15</v>
      </c>
      <c r="R594">
        <v>3992130</v>
      </c>
    </row>
    <row r="595" spans="1:18" x14ac:dyDescent="0.25">
      <c r="A595" s="170">
        <v>44279</v>
      </c>
      <c r="B595" s="116">
        <v>970</v>
      </c>
      <c r="C595" s="116">
        <v>916.1</v>
      </c>
      <c r="D595" s="116">
        <v>896.05</v>
      </c>
      <c r="E595" s="116">
        <v>929</v>
      </c>
      <c r="F595" s="116">
        <v>916.1</v>
      </c>
      <c r="G595">
        <v>319713</v>
      </c>
      <c r="H595" s="116"/>
      <c r="I595" s="116"/>
      <c r="L595" s="170">
        <v>44279</v>
      </c>
      <c r="M595" s="116">
        <v>916.25</v>
      </c>
      <c r="N595" s="116">
        <v>965</v>
      </c>
      <c r="O595" s="116">
        <v>896.45</v>
      </c>
      <c r="P595" s="116">
        <v>925</v>
      </c>
      <c r="Q595" s="116">
        <v>916.25</v>
      </c>
      <c r="R595">
        <v>3170982</v>
      </c>
    </row>
    <row r="596" spans="1:18" x14ac:dyDescent="0.25">
      <c r="A596" s="170">
        <v>44280</v>
      </c>
      <c r="B596" s="116">
        <v>956.1</v>
      </c>
      <c r="C596" s="116">
        <v>882.1</v>
      </c>
      <c r="D596" s="116">
        <v>864.55</v>
      </c>
      <c r="E596" s="116">
        <v>942.2</v>
      </c>
      <c r="F596" s="116">
        <v>882.1</v>
      </c>
      <c r="G596">
        <v>177337</v>
      </c>
      <c r="H596" s="116"/>
      <c r="I596" s="116"/>
      <c r="L596" s="170">
        <v>44280</v>
      </c>
      <c r="M596" s="116">
        <v>881.75</v>
      </c>
      <c r="N596" s="116">
        <v>954.25</v>
      </c>
      <c r="O596" s="116">
        <v>864</v>
      </c>
      <c r="P596" s="116">
        <v>943.4</v>
      </c>
      <c r="Q596" s="116">
        <v>881.75</v>
      </c>
      <c r="R596">
        <v>2375912</v>
      </c>
    </row>
    <row r="597" spans="1:18" x14ac:dyDescent="0.25">
      <c r="A597" s="170">
        <v>44281</v>
      </c>
      <c r="B597" s="116">
        <v>928.9</v>
      </c>
      <c r="C597" s="116">
        <v>906.05</v>
      </c>
      <c r="D597" s="116">
        <v>890</v>
      </c>
      <c r="E597" s="116">
        <v>910</v>
      </c>
      <c r="F597" s="116">
        <v>906.05</v>
      </c>
      <c r="G597">
        <v>189956</v>
      </c>
      <c r="H597" s="116"/>
      <c r="I597" s="116"/>
      <c r="L597" s="170">
        <v>44281</v>
      </c>
      <c r="M597" s="116">
        <v>905.45</v>
      </c>
      <c r="N597" s="116">
        <v>930</v>
      </c>
      <c r="O597" s="116">
        <v>890.1</v>
      </c>
      <c r="P597" s="116">
        <v>914</v>
      </c>
      <c r="Q597" s="116">
        <v>905.45</v>
      </c>
      <c r="R597">
        <v>1786033</v>
      </c>
    </row>
    <row r="598" spans="1:18" x14ac:dyDescent="0.25">
      <c r="A598" s="170">
        <v>44285</v>
      </c>
      <c r="B598" s="116">
        <v>925.3</v>
      </c>
      <c r="C598" s="116">
        <v>910.2</v>
      </c>
      <c r="D598" s="116">
        <v>881.1</v>
      </c>
      <c r="E598" s="116">
        <v>923</v>
      </c>
      <c r="F598" s="116">
        <v>910.2</v>
      </c>
      <c r="G598">
        <v>166490</v>
      </c>
      <c r="H598" s="116"/>
      <c r="I598" s="116"/>
      <c r="L598" s="170">
        <v>44285</v>
      </c>
      <c r="M598" s="116">
        <v>910.9</v>
      </c>
      <c r="N598" s="116">
        <v>925</v>
      </c>
      <c r="O598" s="116">
        <v>885</v>
      </c>
      <c r="P598" s="116">
        <v>924.4</v>
      </c>
      <c r="Q598" s="116">
        <v>910.9</v>
      </c>
      <c r="R598">
        <v>1417318</v>
      </c>
    </row>
    <row r="599" spans="1:18" x14ac:dyDescent="0.25">
      <c r="A599" s="170">
        <v>44286</v>
      </c>
      <c r="B599" s="116">
        <v>970.9</v>
      </c>
      <c r="C599" s="116">
        <v>961.25</v>
      </c>
      <c r="D599" s="116">
        <v>896.15</v>
      </c>
      <c r="E599" s="116">
        <v>912</v>
      </c>
      <c r="F599" s="116">
        <v>961.25</v>
      </c>
      <c r="G599">
        <v>184171</v>
      </c>
      <c r="H599" s="116"/>
      <c r="I599" s="116"/>
      <c r="L599" s="170">
        <v>44286</v>
      </c>
      <c r="M599" s="116">
        <v>961.25</v>
      </c>
      <c r="N599" s="116">
        <v>971.35</v>
      </c>
      <c r="O599" s="116">
        <v>896.7</v>
      </c>
      <c r="P599" s="116">
        <v>911</v>
      </c>
      <c r="Q599" s="116">
        <v>961.25</v>
      </c>
      <c r="R599">
        <v>2409498</v>
      </c>
    </row>
    <row r="600" spans="1:18" x14ac:dyDescent="0.25">
      <c r="A600" s="170">
        <v>44287</v>
      </c>
      <c r="B600" s="116">
        <v>1087.4000000000001</v>
      </c>
      <c r="C600" s="116">
        <v>1058.25</v>
      </c>
      <c r="D600" s="116">
        <v>964.75</v>
      </c>
      <c r="E600" s="116">
        <v>977.1</v>
      </c>
      <c r="F600" s="116">
        <v>1058.25</v>
      </c>
      <c r="G600">
        <v>324427</v>
      </c>
      <c r="H600" s="116"/>
      <c r="I600" s="116"/>
      <c r="L600" s="170">
        <v>44287</v>
      </c>
      <c r="M600" s="116">
        <v>1060.6500000000001</v>
      </c>
      <c r="N600" s="116">
        <v>1087.8</v>
      </c>
      <c r="O600" s="116">
        <v>964.5</v>
      </c>
      <c r="P600" s="116">
        <v>985</v>
      </c>
      <c r="Q600" s="116">
        <v>1060.6500000000001</v>
      </c>
      <c r="R600">
        <v>3577352</v>
      </c>
    </row>
    <row r="601" spans="1:18" x14ac:dyDescent="0.25">
      <c r="A601" s="170">
        <v>44291</v>
      </c>
      <c r="B601" s="116">
        <v>1196</v>
      </c>
      <c r="C601" s="116">
        <v>1164.3499999999999</v>
      </c>
      <c r="D601" s="116">
        <v>1020</v>
      </c>
      <c r="E601" s="116">
        <v>1060.5</v>
      </c>
      <c r="F601" s="116">
        <v>1164.3499999999999</v>
      </c>
      <c r="G601">
        <v>559096</v>
      </c>
      <c r="H601" s="116"/>
      <c r="I601" s="116"/>
      <c r="L601" s="170">
        <v>44291</v>
      </c>
      <c r="M601" s="116">
        <v>1164</v>
      </c>
      <c r="N601" s="116">
        <v>1197</v>
      </c>
      <c r="O601" s="116">
        <v>1021</v>
      </c>
      <c r="P601" s="116">
        <v>1064</v>
      </c>
      <c r="Q601" s="116">
        <v>1164</v>
      </c>
      <c r="R601">
        <v>5752170</v>
      </c>
    </row>
    <row r="602" spans="1:18" x14ac:dyDescent="0.25">
      <c r="A602" s="170">
        <v>44292</v>
      </c>
      <c r="B602" s="116">
        <v>1248</v>
      </c>
      <c r="C602" s="116">
        <v>1204.3499999999999</v>
      </c>
      <c r="D602" s="116">
        <v>1180.9000000000001</v>
      </c>
      <c r="E602" s="116">
        <v>1190.2</v>
      </c>
      <c r="F602" s="116">
        <v>1204.3499999999999</v>
      </c>
      <c r="G602">
        <v>452201</v>
      </c>
      <c r="H602" s="116"/>
      <c r="I602" s="116"/>
      <c r="L602" s="170">
        <v>44292</v>
      </c>
      <c r="M602" s="116">
        <v>1206.1500000000001</v>
      </c>
      <c r="N602" s="116">
        <v>1249.95</v>
      </c>
      <c r="O602" s="116">
        <v>1180.5</v>
      </c>
      <c r="P602" s="116">
        <v>1192.9000000000001</v>
      </c>
      <c r="Q602" s="116">
        <v>1206.1500000000001</v>
      </c>
      <c r="R602">
        <v>3458076</v>
      </c>
    </row>
    <row r="603" spans="1:18" x14ac:dyDescent="0.25">
      <c r="A603" s="170">
        <v>44293</v>
      </c>
      <c r="B603" s="116">
        <v>1212.0999999999999</v>
      </c>
      <c r="C603" s="116">
        <v>1102.75</v>
      </c>
      <c r="D603" s="116">
        <v>1083.95</v>
      </c>
      <c r="E603" s="116">
        <v>1204</v>
      </c>
      <c r="F603" s="116">
        <v>1102.75</v>
      </c>
      <c r="G603">
        <v>383434</v>
      </c>
      <c r="H603" s="116"/>
      <c r="I603" s="116"/>
      <c r="L603" s="170">
        <v>44293</v>
      </c>
      <c r="M603" s="116">
        <v>1103.5999999999999</v>
      </c>
      <c r="N603" s="116">
        <v>1208.9000000000001</v>
      </c>
      <c r="O603" s="116">
        <v>1085.55</v>
      </c>
      <c r="P603" s="116">
        <v>1206.5</v>
      </c>
      <c r="Q603" s="116">
        <v>1103.5999999999999</v>
      </c>
      <c r="R603">
        <v>4168016</v>
      </c>
    </row>
    <row r="604" spans="1:18" x14ac:dyDescent="0.25">
      <c r="A604" s="170">
        <v>44294</v>
      </c>
      <c r="B604" s="116">
        <v>1102.75</v>
      </c>
      <c r="C604" s="116">
        <v>992.5</v>
      </c>
      <c r="D604" s="116">
        <v>992.5</v>
      </c>
      <c r="E604" s="116">
        <v>1102.75</v>
      </c>
      <c r="F604" s="116">
        <v>992.5</v>
      </c>
      <c r="G604">
        <v>283199</v>
      </c>
      <c r="H604" s="116"/>
      <c r="I604" s="116"/>
      <c r="L604" s="170">
        <v>44294</v>
      </c>
      <c r="M604" s="116">
        <v>993.25</v>
      </c>
      <c r="N604" s="116">
        <v>1100</v>
      </c>
      <c r="O604" s="116">
        <v>993.25</v>
      </c>
      <c r="P604" s="116">
        <v>1096</v>
      </c>
      <c r="Q604" s="116">
        <v>993.25</v>
      </c>
      <c r="R604">
        <v>3363435</v>
      </c>
    </row>
    <row r="605" spans="1:18" x14ac:dyDescent="0.25">
      <c r="A605" s="170">
        <v>44295</v>
      </c>
      <c r="B605" s="116">
        <v>1091.75</v>
      </c>
      <c r="C605" s="116">
        <v>1091.75</v>
      </c>
      <c r="D605" s="116">
        <v>971</v>
      </c>
      <c r="E605" s="116">
        <v>988</v>
      </c>
      <c r="F605" s="116">
        <v>1091.75</v>
      </c>
      <c r="G605">
        <v>379725</v>
      </c>
      <c r="H605" s="116"/>
      <c r="I605" s="116"/>
      <c r="L605" s="170">
        <v>44295</v>
      </c>
      <c r="M605" s="116">
        <v>1092.55</v>
      </c>
      <c r="N605" s="116">
        <v>1092.55</v>
      </c>
      <c r="O605" s="116">
        <v>990</v>
      </c>
      <c r="P605" s="116">
        <v>991</v>
      </c>
      <c r="Q605" s="116">
        <v>1092.55</v>
      </c>
      <c r="R605">
        <v>3599031</v>
      </c>
    </row>
    <row r="606" spans="1:18" x14ac:dyDescent="0.25">
      <c r="A606" s="170">
        <v>44298</v>
      </c>
      <c r="B606" s="116">
        <v>1077</v>
      </c>
      <c r="C606" s="116">
        <v>989.7</v>
      </c>
      <c r="D606" s="116">
        <v>982.7</v>
      </c>
      <c r="E606" s="116">
        <v>1077</v>
      </c>
      <c r="F606" s="116">
        <v>989.7</v>
      </c>
      <c r="G606">
        <v>247892</v>
      </c>
      <c r="H606" s="116"/>
      <c r="I606" s="116"/>
      <c r="L606" s="170">
        <v>44298</v>
      </c>
      <c r="M606" s="116">
        <v>990.25</v>
      </c>
      <c r="N606" s="116">
        <v>1070</v>
      </c>
      <c r="O606" s="116">
        <v>984.1</v>
      </c>
      <c r="P606" s="116">
        <v>1070</v>
      </c>
      <c r="Q606" s="116">
        <v>990.25</v>
      </c>
      <c r="R606">
        <v>3008046</v>
      </c>
    </row>
    <row r="607" spans="1:18" x14ac:dyDescent="0.25">
      <c r="A607" s="170">
        <v>44299</v>
      </c>
      <c r="B607" s="116">
        <v>1068.8499999999999</v>
      </c>
      <c r="C607" s="116">
        <v>1039.3499999999999</v>
      </c>
      <c r="D607" s="116">
        <v>950.4</v>
      </c>
      <c r="E607" s="116">
        <v>990.25</v>
      </c>
      <c r="F607" s="116">
        <v>1039.3499999999999</v>
      </c>
      <c r="G607">
        <v>219137</v>
      </c>
      <c r="H607" s="116"/>
      <c r="I607" s="116"/>
      <c r="L607" s="170">
        <v>44299</v>
      </c>
      <c r="M607" s="116">
        <v>1038.9000000000001</v>
      </c>
      <c r="N607" s="116">
        <v>1060</v>
      </c>
      <c r="O607" s="116">
        <v>950</v>
      </c>
      <c r="P607" s="116">
        <v>996</v>
      </c>
      <c r="Q607" s="116">
        <v>1038.9000000000001</v>
      </c>
      <c r="R607">
        <v>2479395</v>
      </c>
    </row>
    <row r="608" spans="1:18" x14ac:dyDescent="0.25">
      <c r="A608" s="170">
        <v>44301</v>
      </c>
      <c r="B608" s="116">
        <v>1129.95</v>
      </c>
      <c r="C608" s="116">
        <v>1113.9000000000001</v>
      </c>
      <c r="D608" s="116">
        <v>980</v>
      </c>
      <c r="E608" s="116">
        <v>1012.1</v>
      </c>
      <c r="F608" s="116">
        <v>1113.9000000000001</v>
      </c>
      <c r="G608">
        <v>443745</v>
      </c>
      <c r="H608" s="116"/>
      <c r="I608" s="116"/>
      <c r="L608" s="170">
        <v>44301</v>
      </c>
      <c r="M608" s="116">
        <v>1113.55</v>
      </c>
      <c r="N608" s="116">
        <v>1129.7</v>
      </c>
      <c r="O608" s="116">
        <v>993</v>
      </c>
      <c r="P608" s="116">
        <v>1019</v>
      </c>
      <c r="Q608" s="116">
        <v>1113.55</v>
      </c>
      <c r="R608">
        <v>2900383</v>
      </c>
    </row>
    <row r="609" spans="1:18" x14ac:dyDescent="0.25">
      <c r="A609" s="170">
        <v>44302</v>
      </c>
      <c r="B609" s="116">
        <v>1166.9000000000001</v>
      </c>
      <c r="C609" s="116">
        <v>1134.3499999999999</v>
      </c>
      <c r="D609" s="116">
        <v>1120</v>
      </c>
      <c r="E609" s="116">
        <v>1143</v>
      </c>
      <c r="F609" s="116">
        <v>1134.3499999999999</v>
      </c>
      <c r="G609">
        <v>300333</v>
      </c>
      <c r="H609" s="116"/>
      <c r="I609" s="116"/>
      <c r="L609" s="170">
        <v>44302</v>
      </c>
      <c r="M609" s="116">
        <v>1134.7</v>
      </c>
      <c r="N609" s="116">
        <v>1167</v>
      </c>
      <c r="O609" s="116">
        <v>1120</v>
      </c>
      <c r="P609" s="116">
        <v>1145.8</v>
      </c>
      <c r="Q609" s="116">
        <v>1134.7</v>
      </c>
      <c r="R609">
        <v>2545154</v>
      </c>
    </row>
    <row r="610" spans="1:18" x14ac:dyDescent="0.25">
      <c r="A610" s="170">
        <v>44305</v>
      </c>
      <c r="B610" s="116">
        <v>1179.0999999999999</v>
      </c>
      <c r="C610" s="116">
        <v>1142.3499999999999</v>
      </c>
      <c r="D610" s="116">
        <v>1030</v>
      </c>
      <c r="E610" s="116">
        <v>1053.55</v>
      </c>
      <c r="F610" s="116">
        <v>1142.3499999999999</v>
      </c>
      <c r="G610">
        <v>411831</v>
      </c>
      <c r="H610" s="116"/>
      <c r="I610" s="116"/>
      <c r="L610" s="170">
        <v>44305</v>
      </c>
      <c r="M610" s="116">
        <v>1143.8</v>
      </c>
      <c r="N610" s="116">
        <v>1171.4000000000001</v>
      </c>
      <c r="O610" s="116">
        <v>1025.0999999999999</v>
      </c>
      <c r="P610" s="116">
        <v>1056</v>
      </c>
      <c r="Q610" s="116">
        <v>1143.8</v>
      </c>
      <c r="R610">
        <v>3479821</v>
      </c>
    </row>
    <row r="611" spans="1:18" x14ac:dyDescent="0.25">
      <c r="A611" s="170">
        <v>44306</v>
      </c>
      <c r="B611" s="116">
        <v>1216.8</v>
      </c>
      <c r="C611" s="116">
        <v>1154.3</v>
      </c>
      <c r="D611" s="116">
        <v>1133.1500000000001</v>
      </c>
      <c r="E611" s="116">
        <v>1165</v>
      </c>
      <c r="F611" s="116">
        <v>1154.3</v>
      </c>
      <c r="G611">
        <v>255360</v>
      </c>
      <c r="H611" s="116"/>
      <c r="I611" s="116"/>
      <c r="L611" s="170">
        <v>44306</v>
      </c>
      <c r="M611" s="116">
        <v>1154</v>
      </c>
      <c r="N611" s="116">
        <v>1214</v>
      </c>
      <c r="O611" s="116">
        <v>1133.2</v>
      </c>
      <c r="P611" s="116">
        <v>1175</v>
      </c>
      <c r="Q611" s="116">
        <v>1154</v>
      </c>
      <c r="R611">
        <v>2150909</v>
      </c>
    </row>
    <row r="612" spans="1:18" x14ac:dyDescent="0.25">
      <c r="A612" s="170">
        <v>44308</v>
      </c>
      <c r="B612" s="116">
        <v>1184.8499999999999</v>
      </c>
      <c r="C612" s="116">
        <v>1161.5999999999999</v>
      </c>
      <c r="D612" s="116">
        <v>1102</v>
      </c>
      <c r="E612" s="116">
        <v>1135.05</v>
      </c>
      <c r="F612" s="116">
        <v>1161.5999999999999</v>
      </c>
      <c r="G612">
        <v>206847</v>
      </c>
      <c r="H612" s="116"/>
      <c r="I612" s="116"/>
      <c r="L612" s="170">
        <v>44308</v>
      </c>
      <c r="M612" s="116">
        <v>1163.4000000000001</v>
      </c>
      <c r="N612" s="116">
        <v>1185</v>
      </c>
      <c r="O612" s="116">
        <v>1114</v>
      </c>
      <c r="P612" s="116">
        <v>1140</v>
      </c>
      <c r="Q612" s="116">
        <v>1163.4000000000001</v>
      </c>
      <c r="R612">
        <v>1832979</v>
      </c>
    </row>
    <row r="613" spans="1:18" x14ac:dyDescent="0.25">
      <c r="A613" s="170">
        <v>44309</v>
      </c>
      <c r="B613" s="116">
        <v>1195.7</v>
      </c>
      <c r="C613" s="116">
        <v>1154.25</v>
      </c>
      <c r="D613" s="116">
        <v>1147.5</v>
      </c>
      <c r="E613" s="116">
        <v>1167.55</v>
      </c>
      <c r="F613" s="116">
        <v>1154.25</v>
      </c>
      <c r="G613">
        <v>68360</v>
      </c>
      <c r="H613" s="116"/>
      <c r="I613" s="116"/>
      <c r="L613" s="170">
        <v>44309</v>
      </c>
      <c r="M613" s="116">
        <v>1154.5</v>
      </c>
      <c r="N613" s="116">
        <v>1190</v>
      </c>
      <c r="O613" s="116">
        <v>1147</v>
      </c>
      <c r="P613" s="116">
        <v>1170</v>
      </c>
      <c r="Q613" s="116">
        <v>1154.5</v>
      </c>
      <c r="R613">
        <v>1609947</v>
      </c>
    </row>
    <row r="614" spans="1:18" x14ac:dyDescent="0.25">
      <c r="A614" s="170">
        <v>44312</v>
      </c>
      <c r="B614" s="116">
        <v>1179</v>
      </c>
      <c r="C614" s="116">
        <v>1153.7</v>
      </c>
      <c r="D614" s="116">
        <v>1146</v>
      </c>
      <c r="E614" s="116">
        <v>1165</v>
      </c>
      <c r="F614" s="116">
        <v>1153.7</v>
      </c>
      <c r="G614">
        <v>65717</v>
      </c>
      <c r="H614" s="116"/>
      <c r="I614" s="116"/>
      <c r="L614" s="170">
        <v>44312</v>
      </c>
      <c r="M614" s="116">
        <v>1153.8</v>
      </c>
      <c r="N614" s="116">
        <v>1180</v>
      </c>
      <c r="O614" s="116">
        <v>1140</v>
      </c>
      <c r="P614" s="116">
        <v>1151.0999999999999</v>
      </c>
      <c r="Q614" s="116">
        <v>1153.8</v>
      </c>
      <c r="R614">
        <v>1322185</v>
      </c>
    </row>
    <row r="615" spans="1:18" x14ac:dyDescent="0.25">
      <c r="A615" s="170">
        <v>44313</v>
      </c>
      <c r="B615" s="116">
        <v>1170</v>
      </c>
      <c r="C615" s="116">
        <v>1151.3</v>
      </c>
      <c r="D615" s="116">
        <v>1142.1500000000001</v>
      </c>
      <c r="E615" s="116">
        <v>1159.9000000000001</v>
      </c>
      <c r="F615" s="116">
        <v>1151.3</v>
      </c>
      <c r="G615">
        <v>59236</v>
      </c>
      <c r="H615" s="116"/>
      <c r="I615" s="116"/>
      <c r="L615" s="170">
        <v>44313</v>
      </c>
      <c r="M615" s="116">
        <v>1152</v>
      </c>
      <c r="N615" s="116">
        <v>1170</v>
      </c>
      <c r="O615" s="116">
        <v>1142</v>
      </c>
      <c r="P615" s="116">
        <v>1160</v>
      </c>
      <c r="Q615" s="116">
        <v>1152</v>
      </c>
      <c r="R615">
        <v>1442775</v>
      </c>
    </row>
    <row r="616" spans="1:18" x14ac:dyDescent="0.25">
      <c r="A616" s="170">
        <v>44314</v>
      </c>
      <c r="B616" s="116">
        <v>1180</v>
      </c>
      <c r="C616" s="116">
        <v>1156.8</v>
      </c>
      <c r="D616" s="116">
        <v>1152</v>
      </c>
      <c r="E616" s="116">
        <v>1157</v>
      </c>
      <c r="F616" s="116">
        <v>1156.8</v>
      </c>
      <c r="G616">
        <v>58936</v>
      </c>
      <c r="H616" s="116"/>
      <c r="I616" s="116"/>
      <c r="L616" s="170">
        <v>44314</v>
      </c>
      <c r="M616" s="116">
        <v>1154.95</v>
      </c>
      <c r="N616" s="116">
        <v>1180</v>
      </c>
      <c r="O616" s="116">
        <v>1151.8</v>
      </c>
      <c r="P616" s="116">
        <v>1169.6500000000001</v>
      </c>
      <c r="Q616" s="116">
        <v>1154.95</v>
      </c>
      <c r="R616">
        <v>1428960</v>
      </c>
    </row>
    <row r="617" spans="1:18" x14ac:dyDescent="0.25">
      <c r="A617" s="170">
        <v>44315</v>
      </c>
      <c r="B617" s="116">
        <v>1168.95</v>
      </c>
      <c r="C617" s="116">
        <v>1147.5999999999999</v>
      </c>
      <c r="D617" s="116">
        <v>1134.45</v>
      </c>
      <c r="E617" s="116">
        <v>1162.45</v>
      </c>
      <c r="F617" s="116">
        <v>1147.5999999999999</v>
      </c>
      <c r="G617">
        <v>187955</v>
      </c>
      <c r="H617" s="116"/>
      <c r="I617" s="116"/>
      <c r="L617" s="170">
        <v>44315</v>
      </c>
      <c r="M617" s="116">
        <v>1147.7</v>
      </c>
      <c r="N617" s="116">
        <v>1169.9000000000001</v>
      </c>
      <c r="O617" s="116">
        <v>1135.1500000000001</v>
      </c>
      <c r="P617" s="116">
        <v>1169.9000000000001</v>
      </c>
      <c r="Q617" s="116">
        <v>1147.7</v>
      </c>
      <c r="R617">
        <v>1002228</v>
      </c>
    </row>
    <row r="618" spans="1:18" x14ac:dyDescent="0.25">
      <c r="A618" s="170">
        <v>44316</v>
      </c>
      <c r="B618" s="116">
        <v>1158.5</v>
      </c>
      <c r="C618" s="116">
        <v>1150.1500000000001</v>
      </c>
      <c r="D618" s="116">
        <v>1129.6500000000001</v>
      </c>
      <c r="E618" s="116">
        <v>1136.2</v>
      </c>
      <c r="F618" s="116">
        <v>1150.1500000000001</v>
      </c>
      <c r="G618">
        <v>38298</v>
      </c>
      <c r="H618" s="116"/>
      <c r="I618" s="116"/>
      <c r="L618" s="170">
        <v>44316</v>
      </c>
      <c r="M618" s="116">
        <v>1150.75</v>
      </c>
      <c r="N618" s="116">
        <v>1159.5999999999999</v>
      </c>
      <c r="O618" s="116">
        <v>1129</v>
      </c>
      <c r="P618" s="116">
        <v>1139.95</v>
      </c>
      <c r="Q618" s="116">
        <v>1150.75</v>
      </c>
      <c r="R618">
        <v>1275816</v>
      </c>
    </row>
    <row r="619" spans="1:18" x14ac:dyDescent="0.25">
      <c r="A619" s="170">
        <v>44319</v>
      </c>
      <c r="B619" s="116">
        <v>1252</v>
      </c>
      <c r="C619" s="116">
        <v>1238.3</v>
      </c>
      <c r="D619" s="116">
        <v>1080</v>
      </c>
      <c r="E619" s="116">
        <v>1080</v>
      </c>
      <c r="F619" s="116">
        <v>1238.3</v>
      </c>
      <c r="G619">
        <v>169635</v>
      </c>
      <c r="H619" s="116"/>
      <c r="I619" s="116"/>
      <c r="L619" s="170">
        <v>44319</v>
      </c>
      <c r="M619" s="116">
        <v>1237.2</v>
      </c>
      <c r="N619" s="116">
        <v>1253</v>
      </c>
      <c r="O619" s="116">
        <v>1120.2</v>
      </c>
      <c r="P619" s="116">
        <v>1135</v>
      </c>
      <c r="Q619" s="116">
        <v>1237.2</v>
      </c>
      <c r="R619">
        <v>1994587</v>
      </c>
    </row>
    <row r="620" spans="1:18" x14ac:dyDescent="0.25">
      <c r="A620" s="170">
        <v>44320</v>
      </c>
      <c r="B620" s="116">
        <v>1319.3</v>
      </c>
      <c r="C620" s="116">
        <v>1252.5</v>
      </c>
      <c r="D620" s="116">
        <v>1231.7</v>
      </c>
      <c r="E620" s="116">
        <v>1265</v>
      </c>
      <c r="F620" s="116">
        <v>1252.5</v>
      </c>
      <c r="G620">
        <v>243425</v>
      </c>
      <c r="H620" s="116"/>
      <c r="I620" s="116"/>
      <c r="L620" s="170">
        <v>44320</v>
      </c>
      <c r="M620" s="116">
        <v>1252.8499999999999</v>
      </c>
      <c r="N620" s="116">
        <v>1320</v>
      </c>
      <c r="O620" s="116">
        <v>1232</v>
      </c>
      <c r="P620" s="116">
        <v>1268</v>
      </c>
      <c r="Q620" s="116">
        <v>1252.8499999999999</v>
      </c>
      <c r="R620">
        <v>1691709</v>
      </c>
    </row>
    <row r="621" spans="1:18" x14ac:dyDescent="0.25">
      <c r="A621" s="170">
        <v>44321</v>
      </c>
      <c r="B621" s="116">
        <v>1299</v>
      </c>
      <c r="C621" s="116">
        <v>1265.05</v>
      </c>
      <c r="D621" s="116">
        <v>1236</v>
      </c>
      <c r="E621" s="116">
        <v>1289</v>
      </c>
      <c r="F621" s="116">
        <v>1265.05</v>
      </c>
      <c r="G621">
        <v>90014</v>
      </c>
      <c r="H621" s="116"/>
      <c r="I621" s="116"/>
      <c r="L621" s="170">
        <v>44321</v>
      </c>
      <c r="M621" s="116">
        <v>1264.75</v>
      </c>
      <c r="N621" s="116">
        <v>1298.9000000000001</v>
      </c>
      <c r="O621" s="116">
        <v>1235</v>
      </c>
      <c r="P621" s="116">
        <v>1291.25</v>
      </c>
      <c r="Q621" s="116">
        <v>1264.75</v>
      </c>
      <c r="R621">
        <v>1157568</v>
      </c>
    </row>
    <row r="622" spans="1:18" x14ac:dyDescent="0.25">
      <c r="A622" s="170">
        <v>44322</v>
      </c>
      <c r="B622" s="116">
        <v>1310.8</v>
      </c>
      <c r="C622" s="116">
        <v>1299.2</v>
      </c>
      <c r="D622" s="116">
        <v>1266.2</v>
      </c>
      <c r="E622" s="116">
        <v>1267.1500000000001</v>
      </c>
      <c r="F622" s="116">
        <v>1299.2</v>
      </c>
      <c r="G622">
        <v>154873</v>
      </c>
      <c r="H622" s="116"/>
      <c r="I622" s="116"/>
      <c r="L622" s="170">
        <v>44322</v>
      </c>
      <c r="M622" s="116">
        <v>1299.05</v>
      </c>
      <c r="N622" s="116">
        <v>1311</v>
      </c>
      <c r="O622" s="116">
        <v>1265.4000000000001</v>
      </c>
      <c r="P622" s="116">
        <v>1269.7</v>
      </c>
      <c r="Q622" s="116">
        <v>1299.05</v>
      </c>
      <c r="R622">
        <v>1150996</v>
      </c>
    </row>
    <row r="623" spans="1:18" x14ac:dyDescent="0.25">
      <c r="A623" s="170">
        <v>44323</v>
      </c>
      <c r="B623" s="116">
        <v>1350</v>
      </c>
      <c r="C623" s="116">
        <v>1309.2</v>
      </c>
      <c r="D623" s="116">
        <v>1300</v>
      </c>
      <c r="E623" s="116">
        <v>1315</v>
      </c>
      <c r="F623" s="116">
        <v>1309.2</v>
      </c>
      <c r="G623">
        <v>108503</v>
      </c>
      <c r="H623" s="116"/>
      <c r="I623" s="116"/>
      <c r="L623" s="170">
        <v>44323</v>
      </c>
      <c r="M623" s="116">
        <v>1310.3</v>
      </c>
      <c r="N623" s="116">
        <v>1337.9</v>
      </c>
      <c r="O623" s="116">
        <v>1300</v>
      </c>
      <c r="P623" s="116">
        <v>1314</v>
      </c>
      <c r="Q623" s="116">
        <v>1310.3</v>
      </c>
      <c r="R623">
        <v>1032592</v>
      </c>
    </row>
    <row r="624" spans="1:18" x14ac:dyDescent="0.25">
      <c r="A624" s="170">
        <v>44326</v>
      </c>
      <c r="B624" s="116">
        <v>1330</v>
      </c>
      <c r="C624" s="116">
        <v>1314.9</v>
      </c>
      <c r="D624" s="116">
        <v>1300</v>
      </c>
      <c r="E624" s="116">
        <v>1309</v>
      </c>
      <c r="F624" s="116">
        <v>1314.9</v>
      </c>
      <c r="G624">
        <v>50718</v>
      </c>
      <c r="H624" s="116"/>
      <c r="I624" s="116"/>
      <c r="L624" s="170">
        <v>44326</v>
      </c>
      <c r="M624" s="116">
        <v>1315.2</v>
      </c>
      <c r="N624" s="116">
        <v>1329.7</v>
      </c>
      <c r="O624" s="116">
        <v>1301.25</v>
      </c>
      <c r="P624" s="116">
        <v>1301.25</v>
      </c>
      <c r="Q624" s="116">
        <v>1315.2</v>
      </c>
      <c r="R624">
        <v>1193565</v>
      </c>
    </row>
    <row r="625" spans="1:18" x14ac:dyDescent="0.25">
      <c r="A625" s="170">
        <v>44327</v>
      </c>
      <c r="B625" s="116">
        <v>1388.45</v>
      </c>
      <c r="C625" s="116">
        <v>1335</v>
      </c>
      <c r="D625" s="116">
        <v>1304</v>
      </c>
      <c r="E625" s="116">
        <v>1311</v>
      </c>
      <c r="F625" s="116">
        <v>1335</v>
      </c>
      <c r="G625">
        <v>115706</v>
      </c>
      <c r="H625" s="116"/>
      <c r="I625" s="116"/>
      <c r="L625" s="170">
        <v>44327</v>
      </c>
      <c r="M625" s="116">
        <v>1334.55</v>
      </c>
      <c r="N625" s="116">
        <v>1390</v>
      </c>
      <c r="O625" s="116">
        <v>1303.05</v>
      </c>
      <c r="P625" s="116">
        <v>1305</v>
      </c>
      <c r="Q625" s="116">
        <v>1334.55</v>
      </c>
      <c r="R625">
        <v>1450582</v>
      </c>
    </row>
    <row r="626" spans="1:18" x14ac:dyDescent="0.25">
      <c r="A626" s="170">
        <v>44328</v>
      </c>
      <c r="B626" s="116">
        <v>1350.5</v>
      </c>
      <c r="C626" s="116">
        <v>1312.7</v>
      </c>
      <c r="D626" s="116">
        <v>1307</v>
      </c>
      <c r="E626" s="116">
        <v>1343</v>
      </c>
      <c r="F626" s="116">
        <v>1312.7</v>
      </c>
      <c r="G626">
        <v>105484</v>
      </c>
      <c r="H626" s="116"/>
      <c r="I626" s="116"/>
      <c r="L626" s="170">
        <v>44328</v>
      </c>
      <c r="M626" s="116">
        <v>1313.45</v>
      </c>
      <c r="N626" s="116">
        <v>1350</v>
      </c>
      <c r="O626" s="116">
        <v>1306.05</v>
      </c>
      <c r="P626" s="116">
        <v>1344</v>
      </c>
      <c r="Q626" s="116">
        <v>1313.45</v>
      </c>
      <c r="R626">
        <v>1483134</v>
      </c>
    </row>
    <row r="627" spans="1:18" x14ac:dyDescent="0.25">
      <c r="A627" s="170">
        <v>44330</v>
      </c>
      <c r="B627" s="116">
        <v>1330.45</v>
      </c>
      <c r="C627" s="116">
        <v>1193.2</v>
      </c>
      <c r="D627" s="116">
        <v>1181.45</v>
      </c>
      <c r="E627" s="116">
        <v>1325</v>
      </c>
      <c r="F627" s="116">
        <v>1193.2</v>
      </c>
      <c r="G627">
        <v>199882</v>
      </c>
      <c r="H627" s="116"/>
      <c r="I627" s="116"/>
      <c r="L627" s="170">
        <v>44330</v>
      </c>
      <c r="M627" s="116">
        <v>1193.0999999999999</v>
      </c>
      <c r="N627" s="116">
        <v>1330</v>
      </c>
      <c r="O627" s="116">
        <v>1182.1500000000001</v>
      </c>
      <c r="P627" s="116">
        <v>1325</v>
      </c>
      <c r="Q627" s="116">
        <v>1193.0999999999999</v>
      </c>
      <c r="R627">
        <v>3401851</v>
      </c>
    </row>
    <row r="628" spans="1:18" x14ac:dyDescent="0.25">
      <c r="A628" s="170">
        <v>44333</v>
      </c>
      <c r="B628" s="116">
        <v>1300</v>
      </c>
      <c r="C628" s="116">
        <v>1291.25</v>
      </c>
      <c r="D628" s="116">
        <v>1206.5</v>
      </c>
      <c r="E628" s="116">
        <v>1206.5</v>
      </c>
      <c r="F628" s="116">
        <v>1291.25</v>
      </c>
      <c r="G628">
        <v>217910</v>
      </c>
      <c r="H628" s="116"/>
      <c r="I628" s="116"/>
      <c r="L628" s="170">
        <v>44333</v>
      </c>
      <c r="M628" s="116">
        <v>1290.5</v>
      </c>
      <c r="N628" s="116">
        <v>1300.5</v>
      </c>
      <c r="O628" s="116">
        <v>1206</v>
      </c>
      <c r="P628" s="116">
        <v>1214</v>
      </c>
      <c r="Q628" s="116">
        <v>1290.5</v>
      </c>
      <c r="R628">
        <v>2293110</v>
      </c>
    </row>
    <row r="629" spans="1:18" x14ac:dyDescent="0.25">
      <c r="A629" s="170">
        <v>44334</v>
      </c>
      <c r="B629" s="116">
        <v>1350.9</v>
      </c>
      <c r="C629" s="116">
        <v>1341.65</v>
      </c>
      <c r="D629" s="116">
        <v>1306.55</v>
      </c>
      <c r="E629" s="116">
        <v>1310</v>
      </c>
      <c r="F629" s="116">
        <v>1341.65</v>
      </c>
      <c r="G629">
        <v>217249</v>
      </c>
      <c r="H629" s="116"/>
      <c r="I629" s="116"/>
      <c r="L629" s="170">
        <v>44334</v>
      </c>
      <c r="M629" s="116">
        <v>1339.7</v>
      </c>
      <c r="N629" s="116">
        <v>1351.5</v>
      </c>
      <c r="O629" s="116">
        <v>1305.05</v>
      </c>
      <c r="P629" s="116">
        <v>1314</v>
      </c>
      <c r="Q629" s="116">
        <v>1339.7</v>
      </c>
      <c r="R629">
        <v>3914732</v>
      </c>
    </row>
    <row r="630" spans="1:18" x14ac:dyDescent="0.25">
      <c r="A630" s="170">
        <v>44335</v>
      </c>
      <c r="B630" s="116">
        <v>1354.9</v>
      </c>
      <c r="C630" s="116">
        <v>1324.85</v>
      </c>
      <c r="D630" s="116">
        <v>1307.05</v>
      </c>
      <c r="E630" s="116">
        <v>1341.65</v>
      </c>
      <c r="F630" s="116">
        <v>1324.85</v>
      </c>
      <c r="G630">
        <v>138270</v>
      </c>
      <c r="H630" s="116"/>
      <c r="I630" s="116"/>
      <c r="L630" s="170">
        <v>44335</v>
      </c>
      <c r="M630" s="116">
        <v>1326.15</v>
      </c>
      <c r="N630" s="116">
        <v>1355</v>
      </c>
      <c r="O630" s="116">
        <v>1307.4000000000001</v>
      </c>
      <c r="P630" s="116">
        <v>1326.9</v>
      </c>
      <c r="Q630" s="116">
        <v>1326.15</v>
      </c>
      <c r="R630">
        <v>2900348</v>
      </c>
    </row>
    <row r="631" spans="1:18" x14ac:dyDescent="0.25">
      <c r="A631" s="170">
        <v>44336</v>
      </c>
      <c r="B631" s="116">
        <v>1348.2</v>
      </c>
      <c r="C631" s="116">
        <v>1334.8</v>
      </c>
      <c r="D631" s="116">
        <v>1310</v>
      </c>
      <c r="E631" s="116">
        <v>1340</v>
      </c>
      <c r="F631" s="116">
        <v>1334.8</v>
      </c>
      <c r="G631">
        <v>113246</v>
      </c>
      <c r="H631" s="116"/>
      <c r="I631" s="116"/>
      <c r="L631" s="170">
        <v>44336</v>
      </c>
      <c r="M631" s="116">
        <v>1335.8</v>
      </c>
      <c r="N631" s="116">
        <v>1348.35</v>
      </c>
      <c r="O631" s="116">
        <v>1309</v>
      </c>
      <c r="P631" s="116">
        <v>1338.6</v>
      </c>
      <c r="Q631" s="116">
        <v>1335.8</v>
      </c>
      <c r="R631">
        <v>3580360</v>
      </c>
    </row>
    <row r="632" spans="1:18" x14ac:dyDescent="0.25">
      <c r="A632" s="170">
        <v>44337</v>
      </c>
      <c r="B632" s="116">
        <v>1399.5</v>
      </c>
      <c r="C632" s="116">
        <v>1339.25</v>
      </c>
      <c r="D632" s="116">
        <v>1311.15</v>
      </c>
      <c r="E632" s="116">
        <v>1352</v>
      </c>
      <c r="F632" s="116">
        <v>1339.25</v>
      </c>
      <c r="G632">
        <v>327560</v>
      </c>
      <c r="H632" s="116"/>
      <c r="I632" s="116"/>
      <c r="L632" s="170">
        <v>44337</v>
      </c>
      <c r="M632" s="116">
        <v>1338.7</v>
      </c>
      <c r="N632" s="116">
        <v>1400</v>
      </c>
      <c r="O632" s="116">
        <v>1310.2</v>
      </c>
      <c r="P632" s="116">
        <v>1359.9</v>
      </c>
      <c r="Q632" s="116">
        <v>1338.7</v>
      </c>
      <c r="R632">
        <v>6674625</v>
      </c>
    </row>
    <row r="633" spans="1:18" x14ac:dyDescent="0.25">
      <c r="A633" s="170">
        <v>44340</v>
      </c>
      <c r="B633" s="116">
        <v>1367.7</v>
      </c>
      <c r="C633" s="116">
        <v>1322.45</v>
      </c>
      <c r="D633" s="116">
        <v>1313.15</v>
      </c>
      <c r="E633" s="116">
        <v>1345.65</v>
      </c>
      <c r="F633" s="116">
        <v>1322.45</v>
      </c>
      <c r="G633">
        <v>138597</v>
      </c>
      <c r="H633" s="116"/>
      <c r="I633" s="116"/>
      <c r="L633" s="170">
        <v>44340</v>
      </c>
      <c r="M633" s="116">
        <v>1324.2</v>
      </c>
      <c r="N633" s="116">
        <v>1367</v>
      </c>
      <c r="O633" s="116">
        <v>1314</v>
      </c>
      <c r="P633" s="116">
        <v>1350.75</v>
      </c>
      <c r="Q633" s="116">
        <v>1324.2</v>
      </c>
      <c r="R633">
        <v>4487176</v>
      </c>
    </row>
    <row r="634" spans="1:18" x14ac:dyDescent="0.25">
      <c r="A634" s="170">
        <v>44341</v>
      </c>
      <c r="B634" s="116">
        <v>1347</v>
      </c>
      <c r="C634" s="116">
        <v>1293.75</v>
      </c>
      <c r="D634" s="116">
        <v>1227.3499999999999</v>
      </c>
      <c r="E634" s="116">
        <v>1347</v>
      </c>
      <c r="F634" s="116">
        <v>1293.75</v>
      </c>
      <c r="G634">
        <v>116326</v>
      </c>
      <c r="H634" s="116"/>
      <c r="I634" s="116"/>
      <c r="L634" s="170">
        <v>44341</v>
      </c>
      <c r="M634" s="116">
        <v>1294.4000000000001</v>
      </c>
      <c r="N634" s="116">
        <v>1340</v>
      </c>
      <c r="O634" s="116">
        <v>1227.3499999999999</v>
      </c>
      <c r="P634" s="116">
        <v>1340</v>
      </c>
      <c r="Q634" s="116">
        <v>1294.4000000000001</v>
      </c>
      <c r="R634">
        <v>2703660</v>
      </c>
    </row>
    <row r="635" spans="1:18" x14ac:dyDescent="0.25">
      <c r="A635" s="170">
        <v>44342</v>
      </c>
      <c r="B635" s="116">
        <v>1335</v>
      </c>
      <c r="C635" s="116">
        <v>1327</v>
      </c>
      <c r="D635" s="116">
        <v>1265.05</v>
      </c>
      <c r="E635" s="116">
        <v>1310</v>
      </c>
      <c r="F635" s="116">
        <v>1327</v>
      </c>
      <c r="G635">
        <v>67966</v>
      </c>
      <c r="H635" s="116"/>
      <c r="I635" s="116"/>
      <c r="L635" s="170">
        <v>44342</v>
      </c>
      <c r="M635" s="116">
        <v>1327.6</v>
      </c>
      <c r="N635" s="116">
        <v>1335</v>
      </c>
      <c r="O635" s="116">
        <v>1265</v>
      </c>
      <c r="P635" s="116">
        <v>1309</v>
      </c>
      <c r="Q635" s="116">
        <v>1327.6</v>
      </c>
      <c r="R635">
        <v>1092501</v>
      </c>
    </row>
    <row r="636" spans="1:18" x14ac:dyDescent="0.25">
      <c r="A636" s="170">
        <v>44343</v>
      </c>
      <c r="B636" s="116">
        <v>1393.75</v>
      </c>
      <c r="C636" s="116">
        <v>1340.4</v>
      </c>
      <c r="D636" s="116">
        <v>1304.7</v>
      </c>
      <c r="E636" s="116">
        <v>1330</v>
      </c>
      <c r="F636" s="116">
        <v>1340.4</v>
      </c>
      <c r="G636">
        <v>537351</v>
      </c>
      <c r="H636" s="116"/>
      <c r="I636" s="116"/>
      <c r="L636" s="170">
        <v>44343</v>
      </c>
      <c r="M636" s="116">
        <v>1354.2</v>
      </c>
      <c r="N636" s="116">
        <v>1394.95</v>
      </c>
      <c r="O636" s="116">
        <v>1305.55</v>
      </c>
      <c r="P636" s="116">
        <v>1340</v>
      </c>
      <c r="Q636" s="116">
        <v>1354.2</v>
      </c>
      <c r="R636">
        <v>31734209</v>
      </c>
    </row>
    <row r="637" spans="1:18" x14ac:dyDescent="0.25">
      <c r="A637" s="170">
        <v>44344</v>
      </c>
      <c r="B637" s="116">
        <v>1350</v>
      </c>
      <c r="C637" s="116">
        <v>1340.65</v>
      </c>
      <c r="D637" s="116">
        <v>1317.55</v>
      </c>
      <c r="E637" s="116">
        <v>1334.75</v>
      </c>
      <c r="F637" s="116">
        <v>1340.65</v>
      </c>
      <c r="G637">
        <v>55947</v>
      </c>
      <c r="H637" s="116"/>
      <c r="I637" s="116"/>
      <c r="L637" s="170">
        <v>44344</v>
      </c>
      <c r="M637" s="116">
        <v>1341.7</v>
      </c>
      <c r="N637" s="116">
        <v>1349.05</v>
      </c>
      <c r="O637" s="116">
        <v>1315.7</v>
      </c>
      <c r="P637" s="116">
        <v>1325</v>
      </c>
      <c r="Q637" s="116">
        <v>1341.7</v>
      </c>
      <c r="R637">
        <v>812705</v>
      </c>
    </row>
    <row r="638" spans="1:18" x14ac:dyDescent="0.25">
      <c r="A638" s="170">
        <v>44347</v>
      </c>
      <c r="B638" s="116">
        <v>1362.05</v>
      </c>
      <c r="C638" s="116">
        <v>1349</v>
      </c>
      <c r="D638" s="116">
        <v>1320.05</v>
      </c>
      <c r="E638" s="116">
        <v>1341.15</v>
      </c>
      <c r="F638" s="116">
        <v>1349</v>
      </c>
      <c r="G638">
        <v>42755</v>
      </c>
      <c r="H638" s="116"/>
      <c r="I638" s="116"/>
      <c r="L638" s="170">
        <v>44347</v>
      </c>
      <c r="M638" s="116">
        <v>1348.85</v>
      </c>
      <c r="N638" s="116">
        <v>1362</v>
      </c>
      <c r="O638" s="116">
        <v>1318.65</v>
      </c>
      <c r="P638" s="116">
        <v>1339.9</v>
      </c>
      <c r="Q638" s="116">
        <v>1348.85</v>
      </c>
      <c r="R638">
        <v>856715</v>
      </c>
    </row>
    <row r="639" spans="1:18" x14ac:dyDescent="0.25">
      <c r="A639" s="170">
        <v>44348</v>
      </c>
      <c r="B639" s="116">
        <v>1451.05</v>
      </c>
      <c r="C639" s="116">
        <v>1440.55</v>
      </c>
      <c r="D639" s="116">
        <v>1357.7</v>
      </c>
      <c r="E639" s="116">
        <v>1360</v>
      </c>
      <c r="F639" s="116">
        <v>1440.55</v>
      </c>
      <c r="G639">
        <v>315370</v>
      </c>
      <c r="H639" s="116"/>
      <c r="I639" s="116"/>
      <c r="L639" s="170">
        <v>44348</v>
      </c>
      <c r="M639" s="116">
        <v>1440.6</v>
      </c>
      <c r="N639" s="116">
        <v>1452</v>
      </c>
      <c r="O639" s="116">
        <v>1356.05</v>
      </c>
      <c r="P639" s="116">
        <v>1360</v>
      </c>
      <c r="Q639" s="116">
        <v>1440.6</v>
      </c>
      <c r="R639">
        <v>2207381</v>
      </c>
    </row>
    <row r="640" spans="1:18" x14ac:dyDescent="0.25">
      <c r="A640" s="170">
        <v>44349</v>
      </c>
      <c r="B640" s="116">
        <v>1584.6</v>
      </c>
      <c r="C640" s="116">
        <v>1577.85</v>
      </c>
      <c r="D640" s="116">
        <v>1451</v>
      </c>
      <c r="E640" s="116">
        <v>1456.8</v>
      </c>
      <c r="F640" s="116">
        <v>1577.85</v>
      </c>
      <c r="G640">
        <v>222803</v>
      </c>
      <c r="H640" s="116"/>
      <c r="I640" s="116"/>
      <c r="L640" s="170">
        <v>44349</v>
      </c>
      <c r="M640" s="116">
        <v>1579.85</v>
      </c>
      <c r="N640" s="116">
        <v>1584.65</v>
      </c>
      <c r="O640" s="116">
        <v>1449.85</v>
      </c>
      <c r="P640" s="116">
        <v>1453</v>
      </c>
      <c r="Q640" s="116">
        <v>1579.85</v>
      </c>
      <c r="R640">
        <v>2772388</v>
      </c>
    </row>
    <row r="641" spans="1:18" x14ac:dyDescent="0.25">
      <c r="A641" s="170">
        <v>44350</v>
      </c>
      <c r="B641" s="116">
        <v>1679.95</v>
      </c>
      <c r="C641" s="116">
        <v>1622.7</v>
      </c>
      <c r="D641" s="116">
        <v>1532.15</v>
      </c>
      <c r="E641" s="116">
        <v>1610</v>
      </c>
      <c r="F641" s="116">
        <v>1622.7</v>
      </c>
      <c r="G641">
        <v>197650</v>
      </c>
      <c r="H641" s="116"/>
      <c r="I641" s="116"/>
      <c r="L641" s="170">
        <v>44350</v>
      </c>
      <c r="M641" s="116">
        <v>1620.4</v>
      </c>
      <c r="N641" s="116">
        <v>1679</v>
      </c>
      <c r="O641" s="116">
        <v>1531.1</v>
      </c>
      <c r="P641" s="116">
        <v>1611.45</v>
      </c>
      <c r="Q641" s="116">
        <v>1620.4</v>
      </c>
      <c r="R641">
        <v>2839192</v>
      </c>
    </row>
    <row r="642" spans="1:18" x14ac:dyDescent="0.25">
      <c r="A642" s="170">
        <v>44351</v>
      </c>
      <c r="B642" s="116">
        <v>1680</v>
      </c>
      <c r="C642" s="116">
        <v>1636.9</v>
      </c>
      <c r="D642" s="116">
        <v>1603.95</v>
      </c>
      <c r="E642" s="116">
        <v>1646</v>
      </c>
      <c r="F642" s="116">
        <v>1636.9</v>
      </c>
      <c r="G642">
        <v>162511</v>
      </c>
      <c r="H642" s="116"/>
      <c r="I642" s="116"/>
      <c r="L642" s="170">
        <v>44351</v>
      </c>
      <c r="M642" s="116">
        <v>1637.5</v>
      </c>
      <c r="N642" s="116">
        <v>1678</v>
      </c>
      <c r="O642" s="116">
        <v>1606.1</v>
      </c>
      <c r="P642" s="116">
        <v>1650</v>
      </c>
      <c r="Q642" s="116">
        <v>1637.5</v>
      </c>
      <c r="R642">
        <v>1740082</v>
      </c>
    </row>
    <row r="643" spans="1:18" x14ac:dyDescent="0.25">
      <c r="A643" s="170">
        <v>44354</v>
      </c>
      <c r="B643" s="116">
        <v>1675.85</v>
      </c>
      <c r="C643" s="116">
        <v>1626.65</v>
      </c>
      <c r="D643" s="116">
        <v>1561.1</v>
      </c>
      <c r="E643" s="116">
        <v>1636</v>
      </c>
      <c r="F643" s="116">
        <v>1626.65</v>
      </c>
      <c r="G643">
        <v>79258</v>
      </c>
      <c r="H643" s="116"/>
      <c r="I643" s="116"/>
      <c r="L643" s="170">
        <v>44354</v>
      </c>
      <c r="M643" s="116">
        <v>1626.95</v>
      </c>
      <c r="N643" s="116">
        <v>1677</v>
      </c>
      <c r="O643" s="116">
        <v>1555.5</v>
      </c>
      <c r="P643" s="116">
        <v>1634</v>
      </c>
      <c r="Q643" s="116">
        <v>1626.95</v>
      </c>
      <c r="R643">
        <v>1593104</v>
      </c>
    </row>
    <row r="644" spans="1:18" x14ac:dyDescent="0.25">
      <c r="A644" s="170">
        <v>44355</v>
      </c>
      <c r="B644" s="116">
        <v>1655</v>
      </c>
      <c r="C644" s="116">
        <v>1639.35</v>
      </c>
      <c r="D644" s="116">
        <v>1585.95</v>
      </c>
      <c r="E644" s="116">
        <v>1627</v>
      </c>
      <c r="F644" s="116">
        <v>1639.35</v>
      </c>
      <c r="G644">
        <v>63202</v>
      </c>
      <c r="H644" s="116"/>
      <c r="I644" s="116"/>
      <c r="L644" s="170">
        <v>44355</v>
      </c>
      <c r="M644" s="116">
        <v>1640.85</v>
      </c>
      <c r="N644" s="116">
        <v>1655</v>
      </c>
      <c r="O644" s="116">
        <v>1585</v>
      </c>
      <c r="P644" s="116">
        <v>1634</v>
      </c>
      <c r="Q644" s="116">
        <v>1640.85</v>
      </c>
      <c r="R644">
        <v>1432264</v>
      </c>
    </row>
    <row r="645" spans="1:18" x14ac:dyDescent="0.25">
      <c r="A645" s="170">
        <v>44356</v>
      </c>
      <c r="B645" s="116">
        <v>1650</v>
      </c>
      <c r="C645" s="116">
        <v>1596.75</v>
      </c>
      <c r="D645" s="116">
        <v>1575</v>
      </c>
      <c r="E645" s="116">
        <v>1649.9</v>
      </c>
      <c r="F645" s="116">
        <v>1596.75</v>
      </c>
      <c r="G645">
        <v>49656</v>
      </c>
      <c r="H645" s="116"/>
      <c r="I645" s="116"/>
      <c r="L645" s="170">
        <v>44356</v>
      </c>
      <c r="M645" s="116">
        <v>1588.2</v>
      </c>
      <c r="N645" s="116">
        <v>1650</v>
      </c>
      <c r="O645" s="116">
        <v>1581</v>
      </c>
      <c r="P645" s="116">
        <v>1650</v>
      </c>
      <c r="Q645" s="116">
        <v>1588.2</v>
      </c>
      <c r="R645">
        <v>848950</v>
      </c>
    </row>
    <row r="646" spans="1:18" x14ac:dyDescent="0.25">
      <c r="A646" s="170">
        <v>44357</v>
      </c>
      <c r="B646" s="116">
        <v>1640</v>
      </c>
      <c r="C646" s="116">
        <v>1594.85</v>
      </c>
      <c r="D646" s="116">
        <v>1526</v>
      </c>
      <c r="E646" s="116">
        <v>1526</v>
      </c>
      <c r="F646" s="116">
        <v>1594.85</v>
      </c>
      <c r="G646">
        <v>37173</v>
      </c>
      <c r="H646" s="116"/>
      <c r="I646" s="116"/>
      <c r="L646" s="170">
        <v>44357</v>
      </c>
      <c r="M646" s="116">
        <v>1594.05</v>
      </c>
      <c r="N646" s="116">
        <v>1622.4</v>
      </c>
      <c r="O646" s="116">
        <v>1580</v>
      </c>
      <c r="P646" s="116">
        <v>1620</v>
      </c>
      <c r="Q646" s="116">
        <v>1594.05</v>
      </c>
      <c r="R646">
        <v>921185</v>
      </c>
    </row>
    <row r="647" spans="1:18" x14ac:dyDescent="0.25">
      <c r="A647" s="170">
        <v>44358</v>
      </c>
      <c r="B647" s="116">
        <v>1631</v>
      </c>
      <c r="C647" s="116">
        <v>1625.8</v>
      </c>
      <c r="D647" s="116">
        <v>1560</v>
      </c>
      <c r="E647" s="116">
        <v>1611</v>
      </c>
      <c r="F647" s="116">
        <v>1625.8</v>
      </c>
      <c r="G647">
        <v>115320</v>
      </c>
      <c r="H647" s="116"/>
      <c r="I647" s="116"/>
      <c r="L647" s="170">
        <v>44358</v>
      </c>
      <c r="M647" s="116">
        <v>1626.2</v>
      </c>
      <c r="N647" s="116">
        <v>1632.5</v>
      </c>
      <c r="O647" s="116">
        <v>1591</v>
      </c>
      <c r="P647" s="116">
        <v>1605</v>
      </c>
      <c r="Q647" s="116">
        <v>1626.2</v>
      </c>
      <c r="R647">
        <v>871069</v>
      </c>
    </row>
    <row r="648" spans="1:18" x14ac:dyDescent="0.25">
      <c r="A648" s="170">
        <v>44361</v>
      </c>
      <c r="B648" s="116">
        <v>1544.55</v>
      </c>
      <c r="C648" s="116">
        <v>1544.55</v>
      </c>
      <c r="D648" s="116">
        <v>1544.55</v>
      </c>
      <c r="E648" s="116">
        <v>1544.55</v>
      </c>
      <c r="F648" s="116">
        <v>1544.55</v>
      </c>
      <c r="G648">
        <v>20379</v>
      </c>
      <c r="H648" s="116"/>
      <c r="I648" s="116"/>
      <c r="L648" s="170">
        <v>44361</v>
      </c>
      <c r="M648" s="116">
        <v>1544.9</v>
      </c>
      <c r="N648" s="116">
        <v>1544.9</v>
      </c>
      <c r="O648" s="116">
        <v>1544.9</v>
      </c>
      <c r="P648" s="116">
        <v>1544.9</v>
      </c>
      <c r="Q648" s="116">
        <v>1544.9</v>
      </c>
      <c r="R648">
        <v>99578</v>
      </c>
    </row>
    <row r="649" spans="1:18" x14ac:dyDescent="0.25">
      <c r="A649" s="170">
        <v>44362</v>
      </c>
      <c r="B649" s="116">
        <v>1496</v>
      </c>
      <c r="C649" s="116">
        <v>1467.35</v>
      </c>
      <c r="D649" s="116">
        <v>1467.35</v>
      </c>
      <c r="E649" s="116">
        <v>1467.35</v>
      </c>
      <c r="F649" s="116">
        <v>1467.35</v>
      </c>
      <c r="G649">
        <v>61027</v>
      </c>
      <c r="H649" s="116"/>
      <c r="I649" s="116"/>
      <c r="L649" s="170">
        <v>44362</v>
      </c>
      <c r="M649" s="116">
        <v>1467.7</v>
      </c>
      <c r="N649" s="116">
        <v>1480</v>
      </c>
      <c r="O649" s="116">
        <v>1467.7</v>
      </c>
      <c r="P649" s="116">
        <v>1467.7</v>
      </c>
      <c r="Q649" s="116">
        <v>1467.7</v>
      </c>
      <c r="R649">
        <v>1007110</v>
      </c>
    </row>
    <row r="650" spans="1:18" x14ac:dyDescent="0.25">
      <c r="A650" s="170">
        <v>44363</v>
      </c>
      <c r="B650" s="116">
        <v>1394</v>
      </c>
      <c r="C650" s="116">
        <v>1394</v>
      </c>
      <c r="D650" s="116">
        <v>1394</v>
      </c>
      <c r="E650" s="116">
        <v>1394</v>
      </c>
      <c r="F650" s="116">
        <v>1394</v>
      </c>
      <c r="G650">
        <v>7339</v>
      </c>
      <c r="H650" s="116"/>
      <c r="I650" s="116"/>
      <c r="L650" s="170">
        <v>44363</v>
      </c>
      <c r="M650" s="116">
        <v>1394.35</v>
      </c>
      <c r="N650" s="116">
        <v>1394.35</v>
      </c>
      <c r="O650" s="116">
        <v>1394.35</v>
      </c>
      <c r="P650" s="116">
        <v>1394.35</v>
      </c>
      <c r="Q650" s="116">
        <v>1394.35</v>
      </c>
      <c r="R650">
        <v>233890</v>
      </c>
    </row>
    <row r="651" spans="1:18" x14ac:dyDescent="0.25">
      <c r="A651" s="170">
        <v>44364</v>
      </c>
      <c r="B651" s="116">
        <v>1324.3</v>
      </c>
      <c r="C651" s="116">
        <v>1324.3</v>
      </c>
      <c r="D651" s="116">
        <v>1324.3</v>
      </c>
      <c r="E651" s="116">
        <v>1324.3</v>
      </c>
      <c r="F651" s="116">
        <v>1324.3</v>
      </c>
      <c r="G651">
        <v>5394</v>
      </c>
      <c r="H651" s="116"/>
      <c r="I651" s="116"/>
      <c r="L651" s="170">
        <v>44364</v>
      </c>
      <c r="M651" s="116">
        <v>1324.65</v>
      </c>
      <c r="N651" s="116">
        <v>1324.65</v>
      </c>
      <c r="O651" s="116">
        <v>1324.65</v>
      </c>
      <c r="P651" s="116">
        <v>1324.65</v>
      </c>
      <c r="Q651" s="116">
        <v>1324.65</v>
      </c>
      <c r="R651">
        <v>28770</v>
      </c>
    </row>
    <row r="652" spans="1:18" x14ac:dyDescent="0.25">
      <c r="A652" s="170">
        <v>44365</v>
      </c>
      <c r="B652" s="116">
        <v>1258.0999999999999</v>
      </c>
      <c r="C652" s="116">
        <v>1258.0999999999999</v>
      </c>
      <c r="D652" s="116">
        <v>1258.0999999999999</v>
      </c>
      <c r="E652" s="116">
        <v>1258.0999999999999</v>
      </c>
      <c r="F652" s="116">
        <v>1258.0999999999999</v>
      </c>
      <c r="G652">
        <v>13354</v>
      </c>
      <c r="H652" s="116"/>
      <c r="I652" s="116"/>
      <c r="L652" s="170">
        <v>44365</v>
      </c>
      <c r="M652" s="116">
        <v>1258.45</v>
      </c>
      <c r="N652" s="116">
        <v>1258.45</v>
      </c>
      <c r="O652" s="116">
        <v>1258.45</v>
      </c>
      <c r="P652" s="116">
        <v>1258.45</v>
      </c>
      <c r="Q652" s="116">
        <v>1258.45</v>
      </c>
      <c r="R652">
        <v>344217</v>
      </c>
    </row>
    <row r="653" spans="1:18" x14ac:dyDescent="0.25">
      <c r="A653" s="170">
        <v>44368</v>
      </c>
      <c r="B653" s="116">
        <v>1321</v>
      </c>
      <c r="C653" s="116">
        <v>1321</v>
      </c>
      <c r="D653" s="116">
        <v>1195.2</v>
      </c>
      <c r="E653" s="116">
        <v>1195.2</v>
      </c>
      <c r="F653" s="116">
        <v>1321</v>
      </c>
      <c r="G653">
        <v>152231</v>
      </c>
      <c r="H653" s="116"/>
      <c r="I653" s="116"/>
      <c r="L653" s="170">
        <v>44368</v>
      </c>
      <c r="M653" s="116">
        <v>1321.35</v>
      </c>
      <c r="N653" s="116">
        <v>1321.35</v>
      </c>
      <c r="O653" s="116">
        <v>1195.55</v>
      </c>
      <c r="P653" s="116">
        <v>1195.55</v>
      </c>
      <c r="Q653" s="116">
        <v>1321.35</v>
      </c>
      <c r="R653">
        <v>1402284</v>
      </c>
    </row>
    <row r="654" spans="1:18" x14ac:dyDescent="0.25">
      <c r="A654" s="170">
        <v>44369</v>
      </c>
      <c r="B654" s="116">
        <v>1387.05</v>
      </c>
      <c r="C654" s="116">
        <v>1387.05</v>
      </c>
      <c r="D654" s="116">
        <v>1340</v>
      </c>
      <c r="E654" s="116">
        <v>1387</v>
      </c>
      <c r="F654" s="116">
        <v>1387.05</v>
      </c>
      <c r="G654">
        <v>34310</v>
      </c>
      <c r="H654" s="116"/>
      <c r="I654" s="116"/>
      <c r="L654" s="170">
        <v>44369</v>
      </c>
      <c r="M654" s="116">
        <v>1387.4</v>
      </c>
      <c r="N654" s="116">
        <v>1387.4</v>
      </c>
      <c r="O654" s="116">
        <v>1348</v>
      </c>
      <c r="P654" s="116">
        <v>1379</v>
      </c>
      <c r="Q654" s="116">
        <v>1387.4</v>
      </c>
      <c r="R654">
        <v>845047</v>
      </c>
    </row>
    <row r="655" spans="1:18" x14ac:dyDescent="0.25">
      <c r="A655" s="170">
        <v>44370</v>
      </c>
      <c r="B655" s="116">
        <v>1430</v>
      </c>
      <c r="C655" s="116">
        <v>1317.7</v>
      </c>
      <c r="D655" s="116">
        <v>1317.7</v>
      </c>
      <c r="E655" s="116">
        <v>1401.1</v>
      </c>
      <c r="F655" s="116">
        <v>1317.7</v>
      </c>
      <c r="G655">
        <v>101682</v>
      </c>
      <c r="H655" s="116"/>
      <c r="I655" s="116"/>
      <c r="L655" s="170">
        <v>44370</v>
      </c>
      <c r="M655" s="116">
        <v>1318.05</v>
      </c>
      <c r="N655" s="116">
        <v>1416</v>
      </c>
      <c r="O655" s="116">
        <v>1318.05</v>
      </c>
      <c r="P655" s="116">
        <v>1399</v>
      </c>
      <c r="Q655" s="116">
        <v>1318.05</v>
      </c>
      <c r="R655">
        <v>579237</v>
      </c>
    </row>
    <row r="656" spans="1:18" x14ac:dyDescent="0.25">
      <c r="A656" s="170">
        <v>44371</v>
      </c>
      <c r="B656" s="116">
        <v>1253</v>
      </c>
      <c r="C656" s="116">
        <v>1251.8499999999999</v>
      </c>
      <c r="D656" s="116">
        <v>1251.8499999999999</v>
      </c>
      <c r="E656" s="116">
        <v>1253</v>
      </c>
      <c r="F656" s="116">
        <v>1251.8499999999999</v>
      </c>
      <c r="G656">
        <v>15285</v>
      </c>
      <c r="H656" s="116"/>
      <c r="I656" s="116"/>
      <c r="L656" s="170">
        <v>44371</v>
      </c>
      <c r="M656" s="116">
        <v>1251.95</v>
      </c>
      <c r="N656" s="116">
        <v>1259.9000000000001</v>
      </c>
      <c r="O656" s="116">
        <v>1251.95</v>
      </c>
      <c r="P656" s="116">
        <v>1252</v>
      </c>
      <c r="Q656" s="116">
        <v>1251.95</v>
      </c>
      <c r="R656">
        <v>121029</v>
      </c>
    </row>
    <row r="657" spans="1:18" x14ac:dyDescent="0.25">
      <c r="A657" s="170">
        <v>44372</v>
      </c>
      <c r="B657" s="116">
        <v>1189.3</v>
      </c>
      <c r="C657" s="116">
        <v>1189.3</v>
      </c>
      <c r="D657" s="116">
        <v>1189.3</v>
      </c>
      <c r="E657" s="116">
        <v>1189.3</v>
      </c>
      <c r="F657" s="116">
        <v>1189.3</v>
      </c>
      <c r="G657">
        <v>19835</v>
      </c>
      <c r="H657" s="116"/>
      <c r="I657" s="116"/>
      <c r="L657" s="170">
        <v>44372</v>
      </c>
      <c r="M657" s="116">
        <v>1189.4000000000001</v>
      </c>
      <c r="N657" s="116">
        <v>1189.4000000000001</v>
      </c>
      <c r="O657" s="116">
        <v>1189.4000000000001</v>
      </c>
      <c r="P657" s="116">
        <v>1189.4000000000001</v>
      </c>
      <c r="Q657" s="116">
        <v>1189.4000000000001</v>
      </c>
      <c r="R657">
        <v>99247</v>
      </c>
    </row>
    <row r="658" spans="1:18" x14ac:dyDescent="0.25">
      <c r="A658" s="170">
        <v>44375</v>
      </c>
      <c r="B658" s="116">
        <v>1129.8499999999999</v>
      </c>
      <c r="C658" s="116">
        <v>1129.8499999999999</v>
      </c>
      <c r="D658" s="116">
        <v>1129.8499999999999</v>
      </c>
      <c r="E658" s="116">
        <v>1129.8499999999999</v>
      </c>
      <c r="F658" s="116">
        <v>1129.8499999999999</v>
      </c>
      <c r="G658">
        <v>19223</v>
      </c>
      <c r="H658" s="116"/>
      <c r="I658" s="116"/>
      <c r="L658" s="170">
        <v>44375</v>
      </c>
      <c r="M658" s="116">
        <v>1129.95</v>
      </c>
      <c r="N658" s="116">
        <v>1129.95</v>
      </c>
      <c r="O658" s="116">
        <v>1129.95</v>
      </c>
      <c r="P658" s="116">
        <v>1129.95</v>
      </c>
      <c r="Q658" s="116">
        <v>1129.95</v>
      </c>
      <c r="R658">
        <v>109503</v>
      </c>
    </row>
    <row r="659" spans="1:18" x14ac:dyDescent="0.25">
      <c r="A659" s="170">
        <v>44376</v>
      </c>
      <c r="B659" s="116">
        <v>1073.4000000000001</v>
      </c>
      <c r="C659" s="116">
        <v>1073.4000000000001</v>
      </c>
      <c r="D659" s="116">
        <v>1073.4000000000001</v>
      </c>
      <c r="E659" s="116">
        <v>1073.4000000000001</v>
      </c>
      <c r="F659" s="116">
        <v>1073.4000000000001</v>
      </c>
      <c r="G659">
        <v>64575</v>
      </c>
      <c r="H659" s="116"/>
      <c r="I659" s="116"/>
      <c r="L659" s="170">
        <v>44376</v>
      </c>
      <c r="M659" s="116">
        <v>1073.5</v>
      </c>
      <c r="N659" s="116">
        <v>1073.5</v>
      </c>
      <c r="O659" s="116">
        <v>1073.5</v>
      </c>
      <c r="P659" s="116">
        <v>1073.5</v>
      </c>
      <c r="Q659" s="116">
        <v>1073.5</v>
      </c>
      <c r="R659">
        <v>149796</v>
      </c>
    </row>
    <row r="660" spans="1:18" x14ac:dyDescent="0.25">
      <c r="A660" s="170">
        <v>44377</v>
      </c>
      <c r="B660" s="116">
        <v>1019.75</v>
      </c>
      <c r="C660" s="116">
        <v>1019.75</v>
      </c>
      <c r="D660" s="116">
        <v>1019.75</v>
      </c>
      <c r="E660" s="116">
        <v>1019.75</v>
      </c>
      <c r="F660" s="116">
        <v>1019.75</v>
      </c>
      <c r="G660">
        <v>34266</v>
      </c>
      <c r="H660" s="116"/>
      <c r="I660" s="116"/>
      <c r="L660" s="170">
        <v>44377</v>
      </c>
      <c r="M660" s="116">
        <v>1019.85</v>
      </c>
      <c r="N660" s="116">
        <v>1019.85</v>
      </c>
      <c r="O660" s="116">
        <v>1019.85</v>
      </c>
      <c r="P660" s="116">
        <v>1019.85</v>
      </c>
      <c r="Q660" s="116">
        <v>1019.85</v>
      </c>
      <c r="R660">
        <v>111645</v>
      </c>
    </row>
    <row r="661" spans="1:18" x14ac:dyDescent="0.25">
      <c r="A661" s="170">
        <v>44378</v>
      </c>
      <c r="B661" s="116">
        <v>968.8</v>
      </c>
      <c r="C661" s="116">
        <v>968.8</v>
      </c>
      <c r="D661" s="116">
        <v>968.8</v>
      </c>
      <c r="E661" s="116">
        <v>968.8</v>
      </c>
      <c r="F661" s="116">
        <v>968.8</v>
      </c>
      <c r="G661">
        <v>85797</v>
      </c>
      <c r="H661" s="116"/>
      <c r="I661" s="116"/>
      <c r="L661" s="170">
        <v>44378</v>
      </c>
      <c r="M661" s="116">
        <v>968.9</v>
      </c>
      <c r="N661" s="116">
        <v>968.9</v>
      </c>
      <c r="O661" s="116">
        <v>968.9</v>
      </c>
      <c r="P661" s="116">
        <v>968.9</v>
      </c>
      <c r="Q661" s="116">
        <v>968.9</v>
      </c>
      <c r="R661">
        <v>53118</v>
      </c>
    </row>
    <row r="662" spans="1:18" x14ac:dyDescent="0.25">
      <c r="A662" s="170">
        <v>44379</v>
      </c>
      <c r="B662" s="116">
        <v>920.4</v>
      </c>
      <c r="C662" s="116">
        <v>920.4</v>
      </c>
      <c r="D662" s="116">
        <v>920.4</v>
      </c>
      <c r="E662" s="116">
        <v>920.4</v>
      </c>
      <c r="F662" s="116">
        <v>920.4</v>
      </c>
      <c r="G662">
        <v>13565</v>
      </c>
      <c r="H662" s="116"/>
      <c r="I662" s="116"/>
      <c r="L662" s="170">
        <v>44379</v>
      </c>
      <c r="M662" s="116">
        <v>920.5</v>
      </c>
      <c r="N662" s="116">
        <v>920.5</v>
      </c>
      <c r="O662" s="116">
        <v>920.5</v>
      </c>
      <c r="P662" s="116">
        <v>920.5</v>
      </c>
      <c r="Q662" s="116">
        <v>920.5</v>
      </c>
      <c r="R662">
        <v>70868</v>
      </c>
    </row>
    <row r="663" spans="1:18" x14ac:dyDescent="0.25">
      <c r="A663" s="170">
        <v>44382</v>
      </c>
      <c r="B663" s="116">
        <v>874.4</v>
      </c>
      <c r="C663" s="116">
        <v>874.4</v>
      </c>
      <c r="D663" s="116">
        <v>874.4</v>
      </c>
      <c r="E663" s="116">
        <v>874.4</v>
      </c>
      <c r="F663" s="116">
        <v>874.4</v>
      </c>
      <c r="G663">
        <v>14956</v>
      </c>
      <c r="H663" s="116"/>
      <c r="I663" s="116"/>
      <c r="L663" s="170">
        <v>44382</v>
      </c>
      <c r="M663" s="116">
        <v>874.5</v>
      </c>
      <c r="N663" s="116">
        <v>874.5</v>
      </c>
      <c r="O663" s="116">
        <v>874.5</v>
      </c>
      <c r="P663" s="116">
        <v>874.5</v>
      </c>
      <c r="Q663" s="116">
        <v>874.5</v>
      </c>
      <c r="R663">
        <v>64444</v>
      </c>
    </row>
    <row r="664" spans="1:18" x14ac:dyDescent="0.25">
      <c r="A664" s="170">
        <v>44383</v>
      </c>
      <c r="B664" s="116">
        <v>918.1</v>
      </c>
      <c r="C664" s="116">
        <v>918.1</v>
      </c>
      <c r="D664" s="116">
        <v>830.7</v>
      </c>
      <c r="E664" s="116">
        <v>830.7</v>
      </c>
      <c r="F664" s="116">
        <v>918.1</v>
      </c>
      <c r="G664">
        <v>101769</v>
      </c>
      <c r="H664" s="116"/>
      <c r="I664" s="116"/>
      <c r="L664" s="170">
        <v>44383</v>
      </c>
      <c r="M664" s="116">
        <v>918.2</v>
      </c>
      <c r="N664" s="116">
        <v>918.2</v>
      </c>
      <c r="O664" s="116">
        <v>830.8</v>
      </c>
      <c r="P664" s="116">
        <v>830.8</v>
      </c>
      <c r="Q664" s="116">
        <v>918.2</v>
      </c>
      <c r="R664">
        <v>1281636</v>
      </c>
    </row>
    <row r="665" spans="1:18" x14ac:dyDescent="0.25">
      <c r="A665" s="170">
        <v>44384</v>
      </c>
      <c r="B665" s="116">
        <v>964</v>
      </c>
      <c r="C665" s="116">
        <v>901.35</v>
      </c>
      <c r="D665" s="116">
        <v>872.2</v>
      </c>
      <c r="E665" s="116">
        <v>872.2</v>
      </c>
      <c r="F665" s="116">
        <v>901.35</v>
      </c>
      <c r="G665">
        <v>138733</v>
      </c>
      <c r="H665" s="116"/>
      <c r="I665" s="116"/>
      <c r="L665" s="170">
        <v>44384</v>
      </c>
      <c r="M665" s="116">
        <v>900.8</v>
      </c>
      <c r="N665" s="116">
        <v>910</v>
      </c>
      <c r="O665" s="116">
        <v>872.3</v>
      </c>
      <c r="P665" s="116">
        <v>872.3</v>
      </c>
      <c r="Q665" s="116">
        <v>900.8</v>
      </c>
      <c r="R665">
        <v>1074532</v>
      </c>
    </row>
    <row r="666" spans="1:18" x14ac:dyDescent="0.25">
      <c r="A666" s="170">
        <v>44385</v>
      </c>
      <c r="B666" s="116">
        <v>938.7</v>
      </c>
      <c r="C666" s="116">
        <v>923.65</v>
      </c>
      <c r="D666" s="116">
        <v>881</v>
      </c>
      <c r="E666" s="116">
        <v>881</v>
      </c>
      <c r="F666" s="116">
        <v>923.65</v>
      </c>
      <c r="G666">
        <v>69650</v>
      </c>
      <c r="H666" s="116"/>
      <c r="I666" s="116"/>
      <c r="L666" s="170">
        <v>44385</v>
      </c>
      <c r="M666" s="116">
        <v>921.95</v>
      </c>
      <c r="N666" s="116">
        <v>937</v>
      </c>
      <c r="O666" s="116">
        <v>880</v>
      </c>
      <c r="P666" s="116">
        <v>898</v>
      </c>
      <c r="Q666" s="116">
        <v>921.95</v>
      </c>
      <c r="R666">
        <v>345356</v>
      </c>
    </row>
    <row r="667" spans="1:18" x14ac:dyDescent="0.25">
      <c r="A667" s="170">
        <v>44386</v>
      </c>
      <c r="B667" s="116">
        <v>952</v>
      </c>
      <c r="C667" s="116">
        <v>916.4</v>
      </c>
      <c r="D667" s="116">
        <v>902.85</v>
      </c>
      <c r="E667" s="116">
        <v>930</v>
      </c>
      <c r="F667" s="116">
        <v>916.4</v>
      </c>
      <c r="G667">
        <v>57199</v>
      </c>
      <c r="H667" s="116"/>
      <c r="I667" s="116"/>
      <c r="L667" s="170">
        <v>44386</v>
      </c>
      <c r="M667" s="116">
        <v>917.15</v>
      </c>
      <c r="N667" s="116">
        <v>938.4</v>
      </c>
      <c r="O667" s="116">
        <v>900.2</v>
      </c>
      <c r="P667" s="116">
        <v>938</v>
      </c>
      <c r="Q667" s="116">
        <v>917.15</v>
      </c>
      <c r="R667">
        <v>213391</v>
      </c>
    </row>
    <row r="668" spans="1:18" x14ac:dyDescent="0.25">
      <c r="A668" s="170">
        <v>44389</v>
      </c>
      <c r="B668" s="116">
        <v>930</v>
      </c>
      <c r="C668" s="116">
        <v>905.35</v>
      </c>
      <c r="D668" s="116">
        <v>902</v>
      </c>
      <c r="E668" s="116">
        <v>920</v>
      </c>
      <c r="F668" s="116">
        <v>905.35</v>
      </c>
      <c r="G668">
        <v>128464</v>
      </c>
      <c r="H668" s="116"/>
      <c r="I668" s="116"/>
      <c r="L668" s="170">
        <v>44389</v>
      </c>
      <c r="M668" s="116">
        <v>909.3</v>
      </c>
      <c r="N668" s="116">
        <v>933</v>
      </c>
      <c r="O668" s="116">
        <v>901</v>
      </c>
      <c r="P668" s="116">
        <v>927</v>
      </c>
      <c r="Q668" s="116">
        <v>909.3</v>
      </c>
      <c r="R668">
        <v>257416</v>
      </c>
    </row>
    <row r="669" spans="1:18" x14ac:dyDescent="0.25">
      <c r="A669" s="170">
        <v>44390</v>
      </c>
      <c r="B669" s="116">
        <v>927.15</v>
      </c>
      <c r="C669" s="116">
        <v>921.1</v>
      </c>
      <c r="D669" s="116">
        <v>891</v>
      </c>
      <c r="E669" s="116">
        <v>909</v>
      </c>
      <c r="F669" s="116">
        <v>921.1</v>
      </c>
      <c r="G669">
        <v>34216</v>
      </c>
      <c r="H669" s="116"/>
      <c r="I669" s="116"/>
      <c r="L669" s="170">
        <v>44390</v>
      </c>
      <c r="M669" s="116">
        <v>923.7</v>
      </c>
      <c r="N669" s="116">
        <v>928</v>
      </c>
      <c r="O669" s="116">
        <v>890</v>
      </c>
      <c r="P669" s="116">
        <v>909.3</v>
      </c>
      <c r="Q669" s="116">
        <v>923.7</v>
      </c>
      <c r="R669">
        <v>255742</v>
      </c>
    </row>
    <row r="670" spans="1:18" x14ac:dyDescent="0.25">
      <c r="A670" s="170">
        <v>44391</v>
      </c>
      <c r="B670" s="116">
        <v>930</v>
      </c>
      <c r="C670" s="116">
        <v>881.75</v>
      </c>
      <c r="D670" s="116">
        <v>878</v>
      </c>
      <c r="E670" s="116">
        <v>924</v>
      </c>
      <c r="F670" s="116">
        <v>881.75</v>
      </c>
      <c r="G670">
        <v>93128</v>
      </c>
      <c r="H670" s="116"/>
      <c r="I670" s="116"/>
      <c r="L670" s="170">
        <v>44391</v>
      </c>
      <c r="M670" s="116">
        <v>881.25</v>
      </c>
      <c r="N670" s="116">
        <v>932</v>
      </c>
      <c r="O670" s="116">
        <v>877.55</v>
      </c>
      <c r="P670" s="116">
        <v>925</v>
      </c>
      <c r="Q670" s="116">
        <v>881.25</v>
      </c>
      <c r="R670">
        <v>446358</v>
      </c>
    </row>
    <row r="671" spans="1:18" x14ac:dyDescent="0.25">
      <c r="A671" s="170">
        <v>44392</v>
      </c>
      <c r="B671" s="116">
        <v>899.8</v>
      </c>
      <c r="C671" s="116">
        <v>891.55</v>
      </c>
      <c r="D671" s="116">
        <v>840</v>
      </c>
      <c r="E671" s="116">
        <v>881.75</v>
      </c>
      <c r="F671" s="116">
        <v>891.55</v>
      </c>
      <c r="G671">
        <v>61353</v>
      </c>
      <c r="H671" s="116"/>
      <c r="I671" s="116"/>
      <c r="L671" s="170">
        <v>44392</v>
      </c>
      <c r="M671" s="116">
        <v>892.9</v>
      </c>
      <c r="N671" s="116">
        <v>900</v>
      </c>
      <c r="O671" s="116">
        <v>839</v>
      </c>
      <c r="P671" s="116">
        <v>881.25</v>
      </c>
      <c r="Q671" s="116">
        <v>892.9</v>
      </c>
      <c r="R671">
        <v>382689</v>
      </c>
    </row>
    <row r="672" spans="1:18" x14ac:dyDescent="0.25">
      <c r="A672" s="170">
        <v>44393</v>
      </c>
      <c r="B672" s="116">
        <v>915</v>
      </c>
      <c r="C672" s="116">
        <v>899.25</v>
      </c>
      <c r="D672" s="116">
        <v>863</v>
      </c>
      <c r="E672" s="116">
        <v>863</v>
      </c>
      <c r="F672" s="116">
        <v>899.25</v>
      </c>
      <c r="G672">
        <v>30990</v>
      </c>
      <c r="H672" s="116"/>
      <c r="I672" s="116"/>
      <c r="L672" s="170">
        <v>44393</v>
      </c>
      <c r="M672" s="116">
        <v>896.55</v>
      </c>
      <c r="N672" s="116">
        <v>920</v>
      </c>
      <c r="O672" s="116">
        <v>864.95</v>
      </c>
      <c r="P672" s="116">
        <v>886</v>
      </c>
      <c r="Q672" s="116">
        <v>896.55</v>
      </c>
      <c r="R672">
        <v>231367</v>
      </c>
    </row>
    <row r="673" spans="1:18" x14ac:dyDescent="0.25">
      <c r="A673" s="170">
        <v>44396</v>
      </c>
      <c r="B673" s="116">
        <v>899.25</v>
      </c>
      <c r="C673" s="116">
        <v>856.4</v>
      </c>
      <c r="D673" s="116">
        <v>854.3</v>
      </c>
      <c r="E673" s="116">
        <v>899.25</v>
      </c>
      <c r="F673" s="116">
        <v>856.4</v>
      </c>
      <c r="G673">
        <v>161790</v>
      </c>
      <c r="H673" s="116"/>
      <c r="I673" s="116"/>
      <c r="L673" s="170">
        <v>44396</v>
      </c>
      <c r="M673" s="116">
        <v>855</v>
      </c>
      <c r="N673" s="116">
        <v>906</v>
      </c>
      <c r="O673" s="116">
        <v>851.75</v>
      </c>
      <c r="P673" s="116">
        <v>898.8</v>
      </c>
      <c r="Q673" s="116">
        <v>855</v>
      </c>
      <c r="R673">
        <v>337925</v>
      </c>
    </row>
    <row r="674" spans="1:18" x14ac:dyDescent="0.25">
      <c r="A674" s="170">
        <v>44397</v>
      </c>
      <c r="B674" s="116">
        <v>825</v>
      </c>
      <c r="C674" s="116">
        <v>813.6</v>
      </c>
      <c r="D674" s="116">
        <v>813.6</v>
      </c>
      <c r="E674" s="116">
        <v>813.6</v>
      </c>
      <c r="F674" s="116">
        <v>813.6</v>
      </c>
      <c r="G674">
        <v>91474</v>
      </c>
      <c r="H674" s="116"/>
      <c r="I674" s="116"/>
      <c r="L674" s="170">
        <v>44397</v>
      </c>
      <c r="M674" s="116">
        <v>815.7</v>
      </c>
      <c r="N674" s="116">
        <v>824.8</v>
      </c>
      <c r="O674" s="116">
        <v>812.25</v>
      </c>
      <c r="P674" s="116">
        <v>812.25</v>
      </c>
      <c r="Q674" s="116">
        <v>815.7</v>
      </c>
      <c r="R674">
        <v>633888</v>
      </c>
    </row>
    <row r="675" spans="1:18" x14ac:dyDescent="0.25">
      <c r="A675" s="170">
        <v>44399</v>
      </c>
      <c r="B675" s="116">
        <v>854.25</v>
      </c>
      <c r="C675" s="116">
        <v>853.15</v>
      </c>
      <c r="D675" s="116">
        <v>772.95</v>
      </c>
      <c r="E675" s="116">
        <v>772.95</v>
      </c>
      <c r="F675" s="116">
        <v>853.15</v>
      </c>
      <c r="G675">
        <v>79500</v>
      </c>
      <c r="H675" s="116"/>
      <c r="I675" s="116"/>
      <c r="L675" s="170">
        <v>44399</v>
      </c>
      <c r="M675" s="116">
        <v>856.1</v>
      </c>
      <c r="N675" s="116">
        <v>856.45</v>
      </c>
      <c r="O675" s="116">
        <v>774.95</v>
      </c>
      <c r="P675" s="116">
        <v>774.95</v>
      </c>
      <c r="Q675" s="116">
        <v>856.1</v>
      </c>
      <c r="R675">
        <v>811314</v>
      </c>
    </row>
    <row r="676" spans="1:18" x14ac:dyDescent="0.25">
      <c r="A676" s="170">
        <v>44400</v>
      </c>
      <c r="B676" s="116">
        <v>890</v>
      </c>
      <c r="C676" s="116">
        <v>877.05</v>
      </c>
      <c r="D676" s="116">
        <v>854.9</v>
      </c>
      <c r="E676" s="116">
        <v>890</v>
      </c>
      <c r="F676" s="116">
        <v>877.05</v>
      </c>
      <c r="G676">
        <v>20132</v>
      </c>
      <c r="H676" s="116"/>
      <c r="I676" s="116"/>
      <c r="L676" s="170">
        <v>44400</v>
      </c>
      <c r="M676" s="116">
        <v>880.6</v>
      </c>
      <c r="N676" s="116">
        <v>889</v>
      </c>
      <c r="O676" s="116">
        <v>849.9</v>
      </c>
      <c r="P676" s="116">
        <v>883</v>
      </c>
      <c r="Q676" s="116">
        <v>880.6</v>
      </c>
      <c r="R676">
        <v>189493</v>
      </c>
    </row>
    <row r="677" spans="1:18" x14ac:dyDescent="0.25">
      <c r="A677" s="170">
        <v>44403</v>
      </c>
      <c r="B677" s="116">
        <v>905</v>
      </c>
      <c r="C677" s="116">
        <v>901.1</v>
      </c>
      <c r="D677" s="116">
        <v>860</v>
      </c>
      <c r="E677" s="116">
        <v>880</v>
      </c>
      <c r="F677" s="116">
        <v>901.1</v>
      </c>
      <c r="G677">
        <v>26408</v>
      </c>
      <c r="H677" s="116"/>
      <c r="I677" s="116"/>
      <c r="L677" s="170">
        <v>44403</v>
      </c>
      <c r="M677" s="116">
        <v>907.45</v>
      </c>
      <c r="N677" s="116">
        <v>915</v>
      </c>
      <c r="O677" s="116">
        <v>855</v>
      </c>
      <c r="P677" s="116">
        <v>879</v>
      </c>
      <c r="Q677" s="116">
        <v>907.45</v>
      </c>
      <c r="R677">
        <v>194179</v>
      </c>
    </row>
    <row r="678" spans="1:18" x14ac:dyDescent="0.25">
      <c r="A678" s="170">
        <v>44404</v>
      </c>
      <c r="B678" s="116">
        <v>932.9</v>
      </c>
      <c r="C678" s="116">
        <v>923.9</v>
      </c>
      <c r="D678" s="116">
        <v>871.15</v>
      </c>
      <c r="E678" s="116">
        <v>911</v>
      </c>
      <c r="F678" s="116">
        <v>923.9</v>
      </c>
      <c r="G678">
        <v>25762</v>
      </c>
      <c r="H678" s="116"/>
      <c r="I678" s="116"/>
      <c r="L678" s="170">
        <v>44404</v>
      </c>
      <c r="M678" s="116">
        <v>931.05</v>
      </c>
      <c r="N678" s="116">
        <v>940.5</v>
      </c>
      <c r="O678" s="116">
        <v>880</v>
      </c>
      <c r="P678" s="116">
        <v>905</v>
      </c>
      <c r="Q678" s="116">
        <v>931.05</v>
      </c>
      <c r="R678">
        <v>292819</v>
      </c>
    </row>
    <row r="679" spans="1:18" x14ac:dyDescent="0.25">
      <c r="A679" s="170">
        <v>44405</v>
      </c>
      <c r="B679" s="116">
        <v>954.45</v>
      </c>
      <c r="C679" s="116">
        <v>930.95</v>
      </c>
      <c r="D679" s="116">
        <v>895</v>
      </c>
      <c r="E679" s="116">
        <v>954.45</v>
      </c>
      <c r="F679" s="116">
        <v>930.95</v>
      </c>
      <c r="G679">
        <v>24585</v>
      </c>
      <c r="H679" s="116"/>
      <c r="I679" s="116"/>
      <c r="L679" s="170">
        <v>44405</v>
      </c>
      <c r="M679" s="116">
        <v>933.4</v>
      </c>
      <c r="N679" s="116">
        <v>941</v>
      </c>
      <c r="O679" s="116">
        <v>891</v>
      </c>
      <c r="P679" s="116">
        <v>932</v>
      </c>
      <c r="Q679" s="116">
        <v>933.4</v>
      </c>
      <c r="R679">
        <v>159266</v>
      </c>
    </row>
    <row r="680" spans="1:18" x14ac:dyDescent="0.25">
      <c r="A680" s="170">
        <v>44406</v>
      </c>
      <c r="B680" s="116">
        <v>945.9</v>
      </c>
      <c r="C680" s="116">
        <v>915.5</v>
      </c>
      <c r="D680" s="116">
        <v>900</v>
      </c>
      <c r="E680" s="116">
        <v>935</v>
      </c>
      <c r="F680" s="116">
        <v>915.5</v>
      </c>
      <c r="G680">
        <v>12657</v>
      </c>
      <c r="H680" s="116"/>
      <c r="I680" s="116"/>
      <c r="L680" s="170">
        <v>44406</v>
      </c>
      <c r="M680" s="116">
        <v>922.2</v>
      </c>
      <c r="N680" s="116">
        <v>938</v>
      </c>
      <c r="O680" s="116">
        <v>904</v>
      </c>
      <c r="P680" s="116">
        <v>932</v>
      </c>
      <c r="Q680" s="116">
        <v>922.2</v>
      </c>
      <c r="R680">
        <v>163673</v>
      </c>
    </row>
    <row r="681" spans="1:18" x14ac:dyDescent="0.25">
      <c r="A681" s="170">
        <v>44407</v>
      </c>
      <c r="B681" s="116">
        <v>917.9</v>
      </c>
      <c r="C681" s="116">
        <v>891.55</v>
      </c>
      <c r="D681" s="116">
        <v>885</v>
      </c>
      <c r="E681" s="116">
        <v>915.5</v>
      </c>
      <c r="F681" s="116">
        <v>891.55</v>
      </c>
      <c r="G681">
        <v>11505</v>
      </c>
      <c r="H681" s="116"/>
      <c r="I681" s="116"/>
      <c r="L681" s="170">
        <v>44407</v>
      </c>
      <c r="M681" s="116">
        <v>892.55</v>
      </c>
      <c r="N681" s="116">
        <v>930</v>
      </c>
      <c r="O681" s="116">
        <v>880.05</v>
      </c>
      <c r="P681" s="116">
        <v>930</v>
      </c>
      <c r="Q681" s="116">
        <v>892.55</v>
      </c>
      <c r="R681">
        <v>287188</v>
      </c>
    </row>
    <row r="682" spans="1:18" x14ac:dyDescent="0.25">
      <c r="A682" s="170">
        <v>44410</v>
      </c>
      <c r="B682" s="116">
        <v>900</v>
      </c>
      <c r="C682" s="116">
        <v>881.5</v>
      </c>
      <c r="D682" s="116">
        <v>868</v>
      </c>
      <c r="E682" s="116">
        <v>895</v>
      </c>
      <c r="F682" s="116">
        <v>881.5</v>
      </c>
      <c r="G682">
        <v>13545</v>
      </c>
      <c r="H682" s="116"/>
      <c r="I682" s="116"/>
      <c r="L682" s="170">
        <v>44410</v>
      </c>
      <c r="M682" s="116">
        <v>888.35</v>
      </c>
      <c r="N682" s="116">
        <v>905.05</v>
      </c>
      <c r="O682" s="116">
        <v>859.55</v>
      </c>
      <c r="P682" s="116">
        <v>892.55</v>
      </c>
      <c r="Q682" s="116">
        <v>888.35</v>
      </c>
      <c r="R682">
        <v>115434</v>
      </c>
    </row>
    <row r="683" spans="1:18" x14ac:dyDescent="0.25">
      <c r="A683" s="170">
        <v>44411</v>
      </c>
      <c r="B683" s="116">
        <v>915</v>
      </c>
      <c r="C683" s="116">
        <v>900.65</v>
      </c>
      <c r="D683" s="116">
        <v>861</v>
      </c>
      <c r="E683" s="116">
        <v>861</v>
      </c>
      <c r="F683" s="116">
        <v>900.65</v>
      </c>
      <c r="G683">
        <v>19054</v>
      </c>
      <c r="H683" s="116"/>
      <c r="I683" s="116"/>
      <c r="L683" s="170">
        <v>44411</v>
      </c>
      <c r="M683" s="116">
        <v>902</v>
      </c>
      <c r="N683" s="116">
        <v>918</v>
      </c>
      <c r="O683" s="116">
        <v>871</v>
      </c>
      <c r="P683" s="116">
        <v>882.5</v>
      </c>
      <c r="Q683" s="116">
        <v>902</v>
      </c>
      <c r="R683">
        <v>208947</v>
      </c>
    </row>
    <row r="684" spans="1:18" x14ac:dyDescent="0.25">
      <c r="A684" s="170">
        <v>44412</v>
      </c>
      <c r="B684" s="116">
        <v>925</v>
      </c>
      <c r="C684" s="116">
        <v>902.45</v>
      </c>
      <c r="D684" s="116">
        <v>883</v>
      </c>
      <c r="E684" s="116">
        <v>908</v>
      </c>
      <c r="F684" s="116">
        <v>902.45</v>
      </c>
      <c r="G684">
        <v>11251</v>
      </c>
      <c r="H684" s="116"/>
      <c r="I684" s="116"/>
      <c r="L684" s="170">
        <v>44412</v>
      </c>
      <c r="M684" s="116">
        <v>902.95</v>
      </c>
      <c r="N684" s="116">
        <v>922</v>
      </c>
      <c r="O684" s="116">
        <v>883</v>
      </c>
      <c r="P684" s="116">
        <v>922</v>
      </c>
      <c r="Q684" s="116">
        <v>902.95</v>
      </c>
      <c r="R684">
        <v>121871</v>
      </c>
    </row>
    <row r="685" spans="1:18" x14ac:dyDescent="0.25">
      <c r="A685" s="170">
        <v>44413</v>
      </c>
      <c r="B685" s="116">
        <v>915</v>
      </c>
      <c r="C685" s="116">
        <v>900.15</v>
      </c>
      <c r="D685" s="116">
        <v>861</v>
      </c>
      <c r="E685" s="116">
        <v>901.8</v>
      </c>
      <c r="F685" s="116">
        <v>900.15</v>
      </c>
      <c r="G685">
        <v>12129</v>
      </c>
      <c r="H685" s="116"/>
      <c r="I685" s="116"/>
      <c r="L685" s="170">
        <v>44413</v>
      </c>
      <c r="M685" s="116">
        <v>906.65</v>
      </c>
      <c r="N685" s="116">
        <v>917</v>
      </c>
      <c r="O685" s="116">
        <v>880</v>
      </c>
      <c r="P685" s="116">
        <v>912</v>
      </c>
      <c r="Q685" s="116">
        <v>906.65</v>
      </c>
      <c r="R685">
        <v>113450</v>
      </c>
    </row>
    <row r="686" spans="1:18" x14ac:dyDescent="0.25">
      <c r="A686" s="170">
        <v>44414</v>
      </c>
      <c r="B686" s="116">
        <v>935</v>
      </c>
      <c r="C686" s="116">
        <v>924.95</v>
      </c>
      <c r="D686" s="116">
        <v>884</v>
      </c>
      <c r="E686" s="116">
        <v>907</v>
      </c>
      <c r="F686" s="116">
        <v>924.95</v>
      </c>
      <c r="G686">
        <v>33964</v>
      </c>
      <c r="H686" s="116"/>
      <c r="I686" s="116"/>
      <c r="L686" s="170">
        <v>44414</v>
      </c>
      <c r="M686" s="116">
        <v>924.95</v>
      </c>
      <c r="N686" s="116">
        <v>935</v>
      </c>
      <c r="O686" s="116">
        <v>886</v>
      </c>
      <c r="P686" s="116">
        <v>886</v>
      </c>
      <c r="Q686" s="116">
        <v>924.95</v>
      </c>
      <c r="R686">
        <v>186848</v>
      </c>
    </row>
    <row r="687" spans="1:18" x14ac:dyDescent="0.25">
      <c r="A687" s="170">
        <v>44417</v>
      </c>
      <c r="B687" s="116">
        <v>924.95</v>
      </c>
      <c r="C687" s="116">
        <v>907.25</v>
      </c>
      <c r="D687" s="116">
        <v>900</v>
      </c>
      <c r="E687" s="116">
        <v>924.95</v>
      </c>
      <c r="F687" s="116">
        <v>907.25</v>
      </c>
      <c r="G687">
        <v>18592</v>
      </c>
      <c r="H687" s="116"/>
      <c r="I687" s="116"/>
      <c r="L687" s="170">
        <v>44417</v>
      </c>
      <c r="M687" s="116">
        <v>916.95</v>
      </c>
      <c r="N687" s="116">
        <v>924.75</v>
      </c>
      <c r="O687" s="116">
        <v>901</v>
      </c>
      <c r="P687" s="116">
        <v>924</v>
      </c>
      <c r="Q687" s="116">
        <v>916.95</v>
      </c>
      <c r="R687">
        <v>85826</v>
      </c>
    </row>
    <row r="688" spans="1:18" x14ac:dyDescent="0.25">
      <c r="A688" s="170">
        <v>44418</v>
      </c>
      <c r="B688" s="116">
        <v>917</v>
      </c>
      <c r="C688" s="116">
        <v>886.35</v>
      </c>
      <c r="D688" s="116">
        <v>881</v>
      </c>
      <c r="E688" s="116">
        <v>917</v>
      </c>
      <c r="F688" s="116">
        <v>886.35</v>
      </c>
      <c r="G688">
        <v>7956</v>
      </c>
      <c r="H688" s="116"/>
      <c r="I688" s="116"/>
      <c r="L688" s="170">
        <v>44418</v>
      </c>
      <c r="M688" s="116">
        <v>886.4</v>
      </c>
      <c r="N688" s="116">
        <v>926</v>
      </c>
      <c r="O688" s="116">
        <v>880.05</v>
      </c>
      <c r="P688" s="116">
        <v>926</v>
      </c>
      <c r="Q688" s="116">
        <v>886.4</v>
      </c>
      <c r="R688">
        <v>155438</v>
      </c>
    </row>
    <row r="689" spans="1:18" x14ac:dyDescent="0.25">
      <c r="A689" s="170">
        <v>44419</v>
      </c>
      <c r="B689" s="116">
        <v>894.9</v>
      </c>
      <c r="C689" s="116">
        <v>891.55</v>
      </c>
      <c r="D689" s="116">
        <v>843.05</v>
      </c>
      <c r="E689" s="116">
        <v>894.9</v>
      </c>
      <c r="F689" s="116">
        <v>891.55</v>
      </c>
      <c r="G689">
        <v>14900</v>
      </c>
      <c r="H689" s="116"/>
      <c r="I689" s="116"/>
      <c r="L689" s="170">
        <v>44419</v>
      </c>
      <c r="M689" s="116">
        <v>900.1</v>
      </c>
      <c r="N689" s="116">
        <v>907</v>
      </c>
      <c r="O689" s="116">
        <v>843</v>
      </c>
      <c r="P689" s="116">
        <v>880</v>
      </c>
      <c r="Q689" s="116">
        <v>900.1</v>
      </c>
      <c r="R689">
        <v>229682</v>
      </c>
    </row>
    <row r="690" spans="1:18" x14ac:dyDescent="0.25">
      <c r="A690" s="170">
        <v>44420</v>
      </c>
      <c r="B690" s="116">
        <v>905</v>
      </c>
      <c r="C690" s="116">
        <v>903.35</v>
      </c>
      <c r="D690" s="116">
        <v>880</v>
      </c>
      <c r="E690" s="116">
        <v>890</v>
      </c>
      <c r="F690" s="116">
        <v>903.35</v>
      </c>
      <c r="G690">
        <v>9764</v>
      </c>
      <c r="H690" s="116"/>
      <c r="I690" s="116"/>
      <c r="L690" s="170">
        <v>44420</v>
      </c>
      <c r="M690" s="116">
        <v>908</v>
      </c>
      <c r="N690" s="116">
        <v>911.55</v>
      </c>
      <c r="O690" s="116">
        <v>885</v>
      </c>
      <c r="P690" s="116">
        <v>894.55</v>
      </c>
      <c r="Q690" s="116">
        <v>908</v>
      </c>
      <c r="R690">
        <v>97646</v>
      </c>
    </row>
    <row r="691" spans="1:18" x14ac:dyDescent="0.25">
      <c r="A691" s="170">
        <v>44421</v>
      </c>
      <c r="B691" s="116">
        <v>912.9</v>
      </c>
      <c r="C691" s="116">
        <v>909.45</v>
      </c>
      <c r="D691" s="116">
        <v>891</v>
      </c>
      <c r="E691" s="116">
        <v>904.5</v>
      </c>
      <c r="F691" s="116">
        <v>909.45</v>
      </c>
      <c r="G691">
        <v>11310</v>
      </c>
      <c r="H691" s="116"/>
      <c r="I691" s="116"/>
      <c r="L691" s="170">
        <v>44421</v>
      </c>
      <c r="M691" s="116">
        <v>917.2</v>
      </c>
      <c r="N691" s="116">
        <v>919</v>
      </c>
      <c r="O691" s="116">
        <v>880</v>
      </c>
      <c r="P691" s="116">
        <v>908</v>
      </c>
      <c r="Q691" s="116">
        <v>917.2</v>
      </c>
      <c r="R691">
        <v>122441</v>
      </c>
    </row>
    <row r="692" spans="1:18" x14ac:dyDescent="0.25">
      <c r="A692" s="170">
        <v>44424</v>
      </c>
      <c r="B692" s="116">
        <v>924</v>
      </c>
      <c r="C692" s="116">
        <v>920.7</v>
      </c>
      <c r="D692" s="116">
        <v>885</v>
      </c>
      <c r="E692" s="116">
        <v>909.45</v>
      </c>
      <c r="F692" s="116">
        <v>920.7</v>
      </c>
      <c r="G692">
        <v>13404</v>
      </c>
      <c r="H692" s="116"/>
      <c r="I692" s="116"/>
      <c r="L692" s="170">
        <v>44424</v>
      </c>
      <c r="M692" s="116">
        <v>928.05</v>
      </c>
      <c r="N692" s="116">
        <v>932</v>
      </c>
      <c r="O692" s="116">
        <v>896.25</v>
      </c>
      <c r="P692" s="116">
        <v>896.7</v>
      </c>
      <c r="Q692" s="116">
        <v>928.05</v>
      </c>
      <c r="R692">
        <v>156477</v>
      </c>
    </row>
    <row r="693" spans="1:18" x14ac:dyDescent="0.25">
      <c r="A693" s="170">
        <v>44425</v>
      </c>
      <c r="B693" s="116">
        <v>966.7</v>
      </c>
      <c r="C693" s="116">
        <v>966.1</v>
      </c>
      <c r="D693" s="116">
        <v>897</v>
      </c>
      <c r="E693" s="116">
        <v>934.9</v>
      </c>
      <c r="F693" s="116">
        <v>966.1</v>
      </c>
      <c r="G693">
        <v>28047</v>
      </c>
      <c r="H693" s="116"/>
      <c r="I693" s="116"/>
      <c r="L693" s="170">
        <v>44425</v>
      </c>
      <c r="M693" s="116">
        <v>973.15</v>
      </c>
      <c r="N693" s="116">
        <v>974.45</v>
      </c>
      <c r="O693" s="116">
        <v>910</v>
      </c>
      <c r="P693" s="116">
        <v>925</v>
      </c>
      <c r="Q693" s="116">
        <v>973.15</v>
      </c>
      <c r="R693">
        <v>293923</v>
      </c>
    </row>
    <row r="694" spans="1:18" x14ac:dyDescent="0.25">
      <c r="A694" s="170">
        <v>44426</v>
      </c>
      <c r="B694" s="116">
        <v>1014.4</v>
      </c>
      <c r="C694" s="116">
        <v>1014.4</v>
      </c>
      <c r="D694" s="116">
        <v>969.8</v>
      </c>
      <c r="E694" s="116">
        <v>970</v>
      </c>
      <c r="F694" s="116">
        <v>1014.4</v>
      </c>
      <c r="G694">
        <v>12002</v>
      </c>
      <c r="H694" s="116"/>
      <c r="I694" s="116"/>
      <c r="L694" s="170">
        <v>44426</v>
      </c>
      <c r="M694" s="116">
        <v>1021.8</v>
      </c>
      <c r="N694" s="116">
        <v>1021.8</v>
      </c>
      <c r="O694" s="116">
        <v>980.1</v>
      </c>
      <c r="P694" s="116">
        <v>988.5</v>
      </c>
      <c r="Q694" s="116">
        <v>1021.8</v>
      </c>
      <c r="R694">
        <v>206240</v>
      </c>
    </row>
    <row r="695" spans="1:18" x14ac:dyDescent="0.25">
      <c r="A695" s="170">
        <v>44428</v>
      </c>
      <c r="B695" s="116">
        <v>1065.0999999999999</v>
      </c>
      <c r="C695" s="116">
        <v>1065.0999999999999</v>
      </c>
      <c r="D695" s="116">
        <v>1045</v>
      </c>
      <c r="E695" s="116">
        <v>1065</v>
      </c>
      <c r="F695" s="116">
        <v>1065.0999999999999</v>
      </c>
      <c r="G695">
        <v>8563</v>
      </c>
      <c r="H695" s="116"/>
      <c r="I695" s="116"/>
      <c r="L695" s="170">
        <v>44428</v>
      </c>
      <c r="M695" s="116">
        <v>1072.8499999999999</v>
      </c>
      <c r="N695" s="116">
        <v>1072.8499999999999</v>
      </c>
      <c r="O695" s="116">
        <v>1042.25</v>
      </c>
      <c r="P695" s="116">
        <v>1072.8499999999999</v>
      </c>
      <c r="Q695" s="116">
        <v>1072.8499999999999</v>
      </c>
      <c r="R695">
        <v>151112</v>
      </c>
    </row>
    <row r="696" spans="1:18" x14ac:dyDescent="0.25">
      <c r="A696" s="170">
        <v>44431</v>
      </c>
      <c r="B696" s="116">
        <v>1118.3499999999999</v>
      </c>
      <c r="C696" s="116">
        <v>1118.3499999999999</v>
      </c>
      <c r="D696" s="116">
        <v>1075</v>
      </c>
      <c r="E696" s="116">
        <v>1118.3499999999999</v>
      </c>
      <c r="F696" s="116">
        <v>1118.3499999999999</v>
      </c>
      <c r="G696">
        <v>29094</v>
      </c>
      <c r="H696" s="116"/>
      <c r="I696" s="116"/>
      <c r="L696" s="170">
        <v>44431</v>
      </c>
      <c r="M696" s="116">
        <v>1126.45</v>
      </c>
      <c r="N696" s="116">
        <v>1126.45</v>
      </c>
      <c r="O696" s="116">
        <v>1084</v>
      </c>
      <c r="P696" s="116">
        <v>1126</v>
      </c>
      <c r="Q696" s="116">
        <v>1126.45</v>
      </c>
      <c r="R696">
        <v>208476</v>
      </c>
    </row>
    <row r="697" spans="1:18" x14ac:dyDescent="0.25">
      <c r="A697" s="170">
        <v>44432</v>
      </c>
      <c r="B697" s="116">
        <v>1174.25</v>
      </c>
      <c r="C697" s="116">
        <v>1174.25</v>
      </c>
      <c r="D697" s="116">
        <v>1168</v>
      </c>
      <c r="E697" s="116">
        <v>1174.25</v>
      </c>
      <c r="F697" s="116">
        <v>1174.25</v>
      </c>
      <c r="G697">
        <v>7276</v>
      </c>
      <c r="H697" s="116"/>
      <c r="I697" s="116"/>
      <c r="L697" s="170">
        <v>44432</v>
      </c>
      <c r="M697" s="116">
        <v>1182.75</v>
      </c>
      <c r="N697" s="116">
        <v>1182.75</v>
      </c>
      <c r="O697" s="116">
        <v>1170</v>
      </c>
      <c r="P697" s="116">
        <v>1182</v>
      </c>
      <c r="Q697" s="116">
        <v>1182.75</v>
      </c>
      <c r="R697">
        <v>121447</v>
      </c>
    </row>
    <row r="698" spans="1:18" x14ac:dyDescent="0.25">
      <c r="A698" s="170">
        <v>44433</v>
      </c>
      <c r="B698" s="116">
        <v>1232.95</v>
      </c>
      <c r="C698" s="116">
        <v>1232.95</v>
      </c>
      <c r="D698" s="116">
        <v>1232.95</v>
      </c>
      <c r="E698" s="116">
        <v>1232.95</v>
      </c>
      <c r="F698" s="116">
        <v>1232.95</v>
      </c>
      <c r="G698">
        <v>8363</v>
      </c>
      <c r="H698" s="116"/>
      <c r="I698" s="116"/>
      <c r="L698" s="170">
        <v>44433</v>
      </c>
      <c r="M698" s="116">
        <v>1241.8499999999999</v>
      </c>
      <c r="N698" s="116">
        <v>1241.8499999999999</v>
      </c>
      <c r="O698" s="116">
        <v>1241.8499999999999</v>
      </c>
      <c r="P698" s="116">
        <v>1241.8499999999999</v>
      </c>
      <c r="Q698" s="116">
        <v>1241.8499999999999</v>
      </c>
      <c r="R698">
        <v>118696</v>
      </c>
    </row>
    <row r="699" spans="1:18" x14ac:dyDescent="0.25">
      <c r="A699" s="170">
        <v>44434</v>
      </c>
      <c r="B699" s="116">
        <v>1294.55</v>
      </c>
      <c r="C699" s="116">
        <v>1294.55</v>
      </c>
      <c r="D699" s="116">
        <v>1294.55</v>
      </c>
      <c r="E699" s="116">
        <v>1294.55</v>
      </c>
      <c r="F699" s="116">
        <v>1294.55</v>
      </c>
      <c r="G699">
        <v>11740</v>
      </c>
      <c r="H699" s="116"/>
      <c r="I699" s="116"/>
      <c r="L699" s="170">
        <v>44434</v>
      </c>
      <c r="M699" s="116">
        <v>1303.9000000000001</v>
      </c>
      <c r="N699" s="116">
        <v>1303.9000000000001</v>
      </c>
      <c r="O699" s="116">
        <v>1266.7</v>
      </c>
      <c r="P699" s="116">
        <v>1303.9000000000001</v>
      </c>
      <c r="Q699" s="116">
        <v>1303.9000000000001</v>
      </c>
      <c r="R699">
        <v>627956</v>
      </c>
    </row>
    <row r="700" spans="1:18" x14ac:dyDescent="0.25">
      <c r="A700" s="170">
        <v>44435</v>
      </c>
      <c r="B700" s="116">
        <v>1359.25</v>
      </c>
      <c r="C700" s="116">
        <v>1318.7</v>
      </c>
      <c r="D700" s="116">
        <v>1229.8499999999999</v>
      </c>
      <c r="E700" s="116">
        <v>1359.25</v>
      </c>
      <c r="F700" s="116">
        <v>1318.7</v>
      </c>
      <c r="G700">
        <v>80753</v>
      </c>
      <c r="H700" s="116"/>
      <c r="I700" s="116"/>
      <c r="L700" s="170">
        <v>44435</v>
      </c>
      <c r="M700" s="116">
        <v>1320.7</v>
      </c>
      <c r="N700" s="116">
        <v>1369</v>
      </c>
      <c r="O700" s="116">
        <v>1238.75</v>
      </c>
      <c r="P700" s="116">
        <v>1369</v>
      </c>
      <c r="Q700" s="116">
        <v>1320.7</v>
      </c>
      <c r="R700">
        <v>679283</v>
      </c>
    </row>
    <row r="701" spans="1:18" x14ac:dyDescent="0.25">
      <c r="A701" s="170">
        <v>44438</v>
      </c>
      <c r="B701" s="116">
        <v>1384.6</v>
      </c>
      <c r="C701" s="116">
        <v>1378.15</v>
      </c>
      <c r="D701" s="116">
        <v>1270</v>
      </c>
      <c r="E701" s="116">
        <v>1318.7</v>
      </c>
      <c r="F701" s="116">
        <v>1378.15</v>
      </c>
      <c r="G701">
        <v>38880</v>
      </c>
      <c r="H701" s="116"/>
      <c r="I701" s="116"/>
      <c r="L701" s="170">
        <v>44438</v>
      </c>
      <c r="M701" s="116">
        <v>1383.4</v>
      </c>
      <c r="N701" s="116">
        <v>1386.7</v>
      </c>
      <c r="O701" s="116">
        <v>1257.55</v>
      </c>
      <c r="P701" s="116">
        <v>1319.4</v>
      </c>
      <c r="Q701" s="116">
        <v>1383.4</v>
      </c>
      <c r="R701">
        <v>363610</v>
      </c>
    </row>
    <row r="702" spans="1:18" x14ac:dyDescent="0.25">
      <c r="A702" s="170">
        <v>44439</v>
      </c>
      <c r="B702" s="116">
        <v>1447.05</v>
      </c>
      <c r="C702" s="116">
        <v>1447.05</v>
      </c>
      <c r="D702" s="116">
        <v>1350</v>
      </c>
      <c r="E702" s="116">
        <v>1385</v>
      </c>
      <c r="F702" s="116">
        <v>1447.05</v>
      </c>
      <c r="G702">
        <v>37756</v>
      </c>
      <c r="H702" s="116"/>
      <c r="I702" s="116"/>
      <c r="L702" s="170">
        <v>44439</v>
      </c>
      <c r="M702" s="116">
        <v>1452.5</v>
      </c>
      <c r="N702" s="116">
        <v>1452.55</v>
      </c>
      <c r="O702" s="116">
        <v>1353</v>
      </c>
      <c r="P702" s="116">
        <v>1394</v>
      </c>
      <c r="Q702" s="116">
        <v>1452.5</v>
      </c>
      <c r="R702">
        <v>1160761</v>
      </c>
    </row>
    <row r="703" spans="1:18" x14ac:dyDescent="0.25">
      <c r="A703" s="170">
        <v>44440</v>
      </c>
      <c r="B703" s="116">
        <v>1519.4</v>
      </c>
      <c r="C703" s="116">
        <v>1509.15</v>
      </c>
      <c r="D703" s="116">
        <v>1482.3</v>
      </c>
      <c r="E703" s="116">
        <v>1515</v>
      </c>
      <c r="F703" s="116">
        <v>1509.15</v>
      </c>
      <c r="G703">
        <v>39197</v>
      </c>
      <c r="H703" s="116"/>
      <c r="I703" s="116"/>
      <c r="L703" s="170">
        <v>44440</v>
      </c>
      <c r="M703" s="116">
        <v>1510.85</v>
      </c>
      <c r="N703" s="116">
        <v>1525.1</v>
      </c>
      <c r="O703" s="116">
        <v>1461</v>
      </c>
      <c r="P703" s="116">
        <v>1525.1</v>
      </c>
      <c r="Q703" s="116">
        <v>1510.85</v>
      </c>
      <c r="R703">
        <v>770284</v>
      </c>
    </row>
    <row r="704" spans="1:18" x14ac:dyDescent="0.25">
      <c r="A704" s="170">
        <v>44441</v>
      </c>
      <c r="B704" s="116">
        <v>1515</v>
      </c>
      <c r="C704" s="116">
        <v>1473.5</v>
      </c>
      <c r="D704" s="116">
        <v>1433.7</v>
      </c>
      <c r="E704" s="116">
        <v>1488</v>
      </c>
      <c r="F704" s="116">
        <v>1473.5</v>
      </c>
      <c r="G704">
        <v>32128</v>
      </c>
      <c r="H704" s="116"/>
      <c r="I704" s="116"/>
      <c r="L704" s="170">
        <v>44441</v>
      </c>
      <c r="M704" s="116">
        <v>1479.5</v>
      </c>
      <c r="N704" s="116">
        <v>1514</v>
      </c>
      <c r="O704" s="116">
        <v>1436.55</v>
      </c>
      <c r="P704" s="116">
        <v>1473</v>
      </c>
      <c r="Q704" s="116">
        <v>1479.5</v>
      </c>
      <c r="R704">
        <v>397726</v>
      </c>
    </row>
    <row r="705" spans="1:18" x14ac:dyDescent="0.25">
      <c r="A705" s="170">
        <v>44442</v>
      </c>
      <c r="B705" s="116">
        <v>1492.6</v>
      </c>
      <c r="C705" s="116">
        <v>1466.9</v>
      </c>
      <c r="D705" s="116">
        <v>1401.2</v>
      </c>
      <c r="E705" s="116">
        <v>1474.25</v>
      </c>
      <c r="F705" s="116">
        <v>1466.9</v>
      </c>
      <c r="G705">
        <v>29584</v>
      </c>
      <c r="H705" s="116"/>
      <c r="I705" s="116"/>
      <c r="L705" s="170">
        <v>44442</v>
      </c>
      <c r="M705" s="116">
        <v>1477.4</v>
      </c>
      <c r="N705" s="116">
        <v>1485</v>
      </c>
      <c r="O705" s="116">
        <v>1405.55</v>
      </c>
      <c r="P705" s="116">
        <v>1479.5</v>
      </c>
      <c r="Q705" s="116">
        <v>1477.4</v>
      </c>
      <c r="R705">
        <v>336192</v>
      </c>
    </row>
    <row r="706" spans="1:18" x14ac:dyDescent="0.25">
      <c r="A706" s="170">
        <v>44445</v>
      </c>
      <c r="B706" s="116">
        <v>1478</v>
      </c>
      <c r="C706" s="116">
        <v>1396.55</v>
      </c>
      <c r="D706" s="116">
        <v>1393.6</v>
      </c>
      <c r="E706" s="116">
        <v>1478</v>
      </c>
      <c r="F706" s="116">
        <v>1396.55</v>
      </c>
      <c r="G706">
        <v>30814</v>
      </c>
      <c r="H706" s="116"/>
      <c r="I706" s="116"/>
      <c r="L706" s="170">
        <v>44445</v>
      </c>
      <c r="M706" s="116">
        <v>1404.45</v>
      </c>
      <c r="N706" s="116">
        <v>1467.85</v>
      </c>
      <c r="O706" s="116">
        <v>1403.55</v>
      </c>
      <c r="P706" s="116">
        <v>1467.7</v>
      </c>
      <c r="Q706" s="116">
        <v>1404.45</v>
      </c>
      <c r="R706">
        <v>322769</v>
      </c>
    </row>
    <row r="707" spans="1:18" x14ac:dyDescent="0.25">
      <c r="A707" s="170">
        <v>44446</v>
      </c>
      <c r="B707" s="116">
        <v>1375</v>
      </c>
      <c r="C707" s="116">
        <v>1326.75</v>
      </c>
      <c r="D707" s="116">
        <v>1326.75</v>
      </c>
      <c r="E707" s="116">
        <v>1358.35</v>
      </c>
      <c r="F707" s="116">
        <v>1326.75</v>
      </c>
      <c r="G707">
        <v>21731</v>
      </c>
      <c r="H707" s="116"/>
      <c r="I707" s="116"/>
      <c r="L707" s="170">
        <v>44446</v>
      </c>
      <c r="M707" s="116">
        <v>1334.25</v>
      </c>
      <c r="N707" s="116">
        <v>1376.4</v>
      </c>
      <c r="O707" s="116">
        <v>1334.25</v>
      </c>
      <c r="P707" s="116">
        <v>1370</v>
      </c>
      <c r="Q707" s="116">
        <v>1334.25</v>
      </c>
      <c r="R707">
        <v>104159</v>
      </c>
    </row>
    <row r="708" spans="1:18" x14ac:dyDescent="0.25">
      <c r="A708" s="170">
        <v>44447</v>
      </c>
      <c r="B708" s="116">
        <v>1393.05</v>
      </c>
      <c r="C708" s="116">
        <v>1393.05</v>
      </c>
      <c r="D708" s="116">
        <v>1260.45</v>
      </c>
      <c r="E708" s="116">
        <v>1260.45</v>
      </c>
      <c r="F708" s="116">
        <v>1393.05</v>
      </c>
      <c r="G708">
        <v>20478</v>
      </c>
      <c r="H708" s="116"/>
      <c r="I708" s="116"/>
      <c r="L708" s="170">
        <v>44447</v>
      </c>
      <c r="M708" s="116">
        <v>1398.45</v>
      </c>
      <c r="N708" s="116">
        <v>1400.95</v>
      </c>
      <c r="O708" s="116">
        <v>1267.55</v>
      </c>
      <c r="P708" s="116">
        <v>1267.55</v>
      </c>
      <c r="Q708" s="116">
        <v>1398.45</v>
      </c>
      <c r="R708">
        <v>352724</v>
      </c>
    </row>
    <row r="709" spans="1:18" x14ac:dyDescent="0.25">
      <c r="A709" s="170">
        <v>44448</v>
      </c>
      <c r="B709" s="116">
        <v>1410</v>
      </c>
      <c r="C709" s="116">
        <v>1394.4</v>
      </c>
      <c r="D709" s="116">
        <v>1350</v>
      </c>
      <c r="E709" s="116">
        <v>1394</v>
      </c>
      <c r="F709" s="116">
        <v>1394.4</v>
      </c>
      <c r="G709">
        <v>15414</v>
      </c>
      <c r="H709" s="116"/>
      <c r="I709" s="116"/>
      <c r="L709" s="170">
        <v>44448</v>
      </c>
      <c r="M709" s="116">
        <v>1391.75</v>
      </c>
      <c r="N709" s="116">
        <v>1410</v>
      </c>
      <c r="O709" s="116">
        <v>1339</v>
      </c>
      <c r="P709" s="116">
        <v>1381</v>
      </c>
      <c r="Q709" s="116">
        <v>1391.75</v>
      </c>
      <c r="R709">
        <v>243238</v>
      </c>
    </row>
    <row r="710" spans="1:18" x14ac:dyDescent="0.25">
      <c r="A710" s="170">
        <v>44452</v>
      </c>
      <c r="B710" s="116">
        <v>1383.95</v>
      </c>
      <c r="C710" s="116">
        <v>1374.6</v>
      </c>
      <c r="D710" s="116">
        <v>1341</v>
      </c>
      <c r="E710" s="116">
        <v>1360</v>
      </c>
      <c r="F710" s="116">
        <v>1374.6</v>
      </c>
      <c r="G710">
        <v>34972</v>
      </c>
      <c r="H710" s="116"/>
      <c r="I710" s="116"/>
      <c r="L710" s="170">
        <v>44452</v>
      </c>
      <c r="M710" s="116">
        <v>1375.65</v>
      </c>
      <c r="N710" s="116">
        <v>1388</v>
      </c>
      <c r="O710" s="116">
        <v>1333.9</v>
      </c>
      <c r="P710" s="116">
        <v>1348</v>
      </c>
      <c r="Q710" s="116">
        <v>1375.65</v>
      </c>
      <c r="R710">
        <v>372295</v>
      </c>
    </row>
    <row r="711" spans="1:18" x14ac:dyDescent="0.25">
      <c r="A711" s="170">
        <v>44453</v>
      </c>
      <c r="B711" s="116">
        <v>1385</v>
      </c>
      <c r="C711" s="116">
        <v>1373.65</v>
      </c>
      <c r="D711" s="116">
        <v>1343.85</v>
      </c>
      <c r="E711" s="116">
        <v>1385</v>
      </c>
      <c r="F711" s="116">
        <v>1373.65</v>
      </c>
      <c r="G711">
        <v>25359</v>
      </c>
      <c r="H711" s="116"/>
      <c r="I711" s="116"/>
      <c r="L711" s="170">
        <v>44453</v>
      </c>
      <c r="M711" s="116">
        <v>1375</v>
      </c>
      <c r="N711" s="116">
        <v>1385.1</v>
      </c>
      <c r="O711" s="116">
        <v>1340</v>
      </c>
      <c r="P711" s="116">
        <v>1369.95</v>
      </c>
      <c r="Q711" s="116">
        <v>1375</v>
      </c>
      <c r="R711">
        <v>266026</v>
      </c>
    </row>
    <row r="712" spans="1:18" x14ac:dyDescent="0.25">
      <c r="A712" s="170">
        <v>44454</v>
      </c>
      <c r="B712" s="116">
        <v>1410.4</v>
      </c>
      <c r="C712" s="116">
        <v>1405.65</v>
      </c>
      <c r="D712" s="116">
        <v>1356.05</v>
      </c>
      <c r="E712" s="116">
        <v>1398</v>
      </c>
      <c r="F712" s="116">
        <v>1405.65</v>
      </c>
      <c r="G712">
        <v>22857</v>
      </c>
      <c r="H712" s="116"/>
      <c r="I712" s="116"/>
      <c r="L712" s="170">
        <v>44454</v>
      </c>
      <c r="M712" s="116">
        <v>1407.25</v>
      </c>
      <c r="N712" s="116">
        <v>1411.05</v>
      </c>
      <c r="O712" s="116">
        <v>1355</v>
      </c>
      <c r="P712" s="116">
        <v>1380</v>
      </c>
      <c r="Q712" s="116">
        <v>1407.25</v>
      </c>
      <c r="R712">
        <v>219870</v>
      </c>
    </row>
    <row r="713" spans="1:18" x14ac:dyDescent="0.25">
      <c r="A713" s="170">
        <v>44455</v>
      </c>
      <c r="B713" s="116">
        <v>1435</v>
      </c>
      <c r="C713" s="116">
        <v>1430.95</v>
      </c>
      <c r="D713" s="116">
        <v>1336.25</v>
      </c>
      <c r="E713" s="116">
        <v>1336.25</v>
      </c>
      <c r="F713" s="116">
        <v>1430.95</v>
      </c>
      <c r="G713">
        <v>18065</v>
      </c>
      <c r="H713" s="116"/>
      <c r="I713" s="116"/>
      <c r="L713" s="170">
        <v>44455</v>
      </c>
      <c r="M713" s="116">
        <v>1434.25</v>
      </c>
      <c r="N713" s="116">
        <v>1439</v>
      </c>
      <c r="O713" s="116">
        <v>1360.35</v>
      </c>
      <c r="P713" s="116">
        <v>1370</v>
      </c>
      <c r="Q713" s="116">
        <v>1434.25</v>
      </c>
      <c r="R713">
        <v>442276</v>
      </c>
    </row>
    <row r="714" spans="1:18" x14ac:dyDescent="0.25">
      <c r="A714" s="170">
        <v>44456</v>
      </c>
      <c r="B714" s="116">
        <v>1448</v>
      </c>
      <c r="C714" s="116">
        <v>1411.55</v>
      </c>
      <c r="D714" s="116">
        <v>1400</v>
      </c>
      <c r="E714" s="116">
        <v>1448</v>
      </c>
      <c r="F714" s="116">
        <v>1411.55</v>
      </c>
      <c r="G714">
        <v>16392</v>
      </c>
      <c r="H714" s="116"/>
      <c r="I714" s="116"/>
      <c r="L714" s="170">
        <v>44456</v>
      </c>
      <c r="M714" s="116">
        <v>1408.4</v>
      </c>
      <c r="N714" s="116">
        <v>1450</v>
      </c>
      <c r="O714" s="116">
        <v>1381</v>
      </c>
      <c r="P714" s="116">
        <v>1440.9</v>
      </c>
      <c r="Q714" s="116">
        <v>1408.4</v>
      </c>
      <c r="R714">
        <v>828242</v>
      </c>
    </row>
    <row r="715" spans="1:18" x14ac:dyDescent="0.25">
      <c r="A715" s="170">
        <v>44459</v>
      </c>
      <c r="B715" s="116">
        <v>1435</v>
      </c>
      <c r="C715" s="116">
        <v>1382.15</v>
      </c>
      <c r="D715" s="116">
        <v>1350</v>
      </c>
      <c r="E715" s="116">
        <v>1359.45</v>
      </c>
      <c r="F715" s="116">
        <v>1382.15</v>
      </c>
      <c r="G715">
        <v>23526</v>
      </c>
      <c r="H715" s="116"/>
      <c r="I715" s="116"/>
      <c r="L715" s="170">
        <v>44459</v>
      </c>
      <c r="M715" s="116">
        <v>1392.8</v>
      </c>
      <c r="N715" s="116">
        <v>1446</v>
      </c>
      <c r="O715" s="116">
        <v>1341</v>
      </c>
      <c r="P715" s="116">
        <v>1350</v>
      </c>
      <c r="Q715" s="116">
        <v>1392.8</v>
      </c>
      <c r="R715">
        <v>437651</v>
      </c>
    </row>
    <row r="716" spans="1:18" x14ac:dyDescent="0.25">
      <c r="A716" s="170">
        <v>44460</v>
      </c>
      <c r="B716" s="116">
        <v>1438.8</v>
      </c>
      <c r="C716" s="116">
        <v>1400.35</v>
      </c>
      <c r="D716" s="116">
        <v>1352</v>
      </c>
      <c r="E716" s="116">
        <v>1352</v>
      </c>
      <c r="F716" s="116">
        <v>1400.35</v>
      </c>
      <c r="G716">
        <v>11340</v>
      </c>
      <c r="H716" s="116"/>
      <c r="I716" s="116"/>
      <c r="L716" s="170">
        <v>44460</v>
      </c>
      <c r="M716" s="116">
        <v>1407.55</v>
      </c>
      <c r="N716" s="116">
        <v>1422</v>
      </c>
      <c r="O716" s="116">
        <v>1361.4</v>
      </c>
      <c r="P716" s="116">
        <v>1365</v>
      </c>
      <c r="Q716" s="116">
        <v>1407.55</v>
      </c>
      <c r="R716">
        <v>396437</v>
      </c>
    </row>
    <row r="717" spans="1:18" x14ac:dyDescent="0.25">
      <c r="A717" s="170">
        <v>44461</v>
      </c>
      <c r="B717" s="116">
        <v>1415.95</v>
      </c>
      <c r="C717" s="116">
        <v>1372.45</v>
      </c>
      <c r="D717" s="116">
        <v>1360.1</v>
      </c>
      <c r="E717" s="116">
        <v>1360.1</v>
      </c>
      <c r="F717" s="116">
        <v>1372.45</v>
      </c>
      <c r="G717">
        <v>7190</v>
      </c>
      <c r="H717" s="116"/>
      <c r="I717" s="116"/>
      <c r="L717" s="170">
        <v>44461</v>
      </c>
      <c r="M717" s="116">
        <v>1378.7</v>
      </c>
      <c r="N717" s="116">
        <v>1416</v>
      </c>
      <c r="O717" s="116">
        <v>1370</v>
      </c>
      <c r="P717" s="116">
        <v>1390</v>
      </c>
      <c r="Q717" s="116">
        <v>1378.7</v>
      </c>
      <c r="R717">
        <v>479991</v>
      </c>
    </row>
    <row r="718" spans="1:18" x14ac:dyDescent="0.25">
      <c r="A718" s="170">
        <v>44462</v>
      </c>
      <c r="B718" s="116">
        <v>1418</v>
      </c>
      <c r="C718" s="116">
        <v>1393.75</v>
      </c>
      <c r="D718" s="116">
        <v>1372.45</v>
      </c>
      <c r="E718" s="116">
        <v>1372.45</v>
      </c>
      <c r="F718" s="116">
        <v>1393.75</v>
      </c>
      <c r="G718">
        <v>263878</v>
      </c>
      <c r="H718" s="116"/>
      <c r="I718" s="116"/>
      <c r="L718" s="170">
        <v>44462</v>
      </c>
      <c r="M718" s="116">
        <v>1402.5</v>
      </c>
      <c r="N718" s="116">
        <v>1420</v>
      </c>
      <c r="O718" s="116">
        <v>1375</v>
      </c>
      <c r="P718" s="116">
        <v>1380</v>
      </c>
      <c r="Q718" s="116">
        <v>1402.5</v>
      </c>
      <c r="R718">
        <v>533733</v>
      </c>
    </row>
    <row r="719" spans="1:18" x14ac:dyDescent="0.25">
      <c r="A719" s="170">
        <v>44463</v>
      </c>
      <c r="B719" s="116">
        <v>1415</v>
      </c>
      <c r="C719" s="116">
        <v>1392.6</v>
      </c>
      <c r="D719" s="116">
        <v>1377.05</v>
      </c>
      <c r="E719" s="116">
        <v>1400</v>
      </c>
      <c r="F719" s="116">
        <v>1392.6</v>
      </c>
      <c r="G719">
        <v>8681</v>
      </c>
      <c r="H719" s="116"/>
      <c r="I719" s="116"/>
      <c r="L719" s="170">
        <v>44463</v>
      </c>
      <c r="M719" s="116">
        <v>1402.7</v>
      </c>
      <c r="N719" s="116">
        <v>1425.2</v>
      </c>
      <c r="O719" s="116">
        <v>1382</v>
      </c>
      <c r="P719" s="116">
        <v>1403</v>
      </c>
      <c r="Q719" s="116">
        <v>1402.7</v>
      </c>
      <c r="R719">
        <v>544273</v>
      </c>
    </row>
    <row r="720" spans="1:18" x14ac:dyDescent="0.25">
      <c r="A720" s="170">
        <v>44466</v>
      </c>
      <c r="B720" s="116">
        <v>1421.95</v>
      </c>
      <c r="C720" s="116">
        <v>1415.05</v>
      </c>
      <c r="D720" s="116">
        <v>1325</v>
      </c>
      <c r="E720" s="116">
        <v>1325</v>
      </c>
      <c r="F720" s="116">
        <v>1415.05</v>
      </c>
      <c r="G720">
        <v>16877</v>
      </c>
      <c r="H720" s="116"/>
      <c r="I720" s="116"/>
      <c r="L720" s="170">
        <v>44466</v>
      </c>
      <c r="M720" s="116">
        <v>1418.85</v>
      </c>
      <c r="N720" s="116">
        <v>1422</v>
      </c>
      <c r="O720" s="116">
        <v>1380</v>
      </c>
      <c r="P720" s="116">
        <v>1380</v>
      </c>
      <c r="Q720" s="116">
        <v>1418.85</v>
      </c>
      <c r="R720">
        <v>512848</v>
      </c>
    </row>
    <row r="721" spans="1:18" x14ac:dyDescent="0.25">
      <c r="A721" s="170">
        <v>44467</v>
      </c>
      <c r="B721" s="116">
        <v>1440</v>
      </c>
      <c r="C721" s="116">
        <v>1400.95</v>
      </c>
      <c r="D721" s="116">
        <v>1363</v>
      </c>
      <c r="E721" s="116">
        <v>1402</v>
      </c>
      <c r="F721" s="116">
        <v>1400.95</v>
      </c>
      <c r="G721">
        <v>14012</v>
      </c>
      <c r="H721" s="116"/>
      <c r="I721" s="116"/>
      <c r="L721" s="170">
        <v>44467</v>
      </c>
      <c r="M721" s="116">
        <v>1409.5</v>
      </c>
      <c r="N721" s="116">
        <v>1455</v>
      </c>
      <c r="O721" s="116">
        <v>1380</v>
      </c>
      <c r="P721" s="116">
        <v>1427.95</v>
      </c>
      <c r="Q721" s="116">
        <v>1409.5</v>
      </c>
      <c r="R721">
        <v>610851</v>
      </c>
    </row>
    <row r="722" spans="1:18" x14ac:dyDescent="0.25">
      <c r="A722" s="170">
        <v>44468</v>
      </c>
      <c r="B722" s="116">
        <v>1430</v>
      </c>
      <c r="C722" s="116">
        <v>1414.25</v>
      </c>
      <c r="D722" s="116">
        <v>1380</v>
      </c>
      <c r="E722" s="116">
        <v>1386</v>
      </c>
      <c r="F722" s="116">
        <v>1414.25</v>
      </c>
      <c r="G722">
        <v>7827</v>
      </c>
      <c r="H722" s="116"/>
      <c r="I722" s="116"/>
      <c r="L722" s="170">
        <v>44468</v>
      </c>
      <c r="M722" s="116">
        <v>1417.85</v>
      </c>
      <c r="N722" s="116">
        <v>1425.5</v>
      </c>
      <c r="O722" s="116">
        <v>1350</v>
      </c>
      <c r="P722" s="116">
        <v>1383.25</v>
      </c>
      <c r="Q722" s="116">
        <v>1417.85</v>
      </c>
      <c r="R722">
        <v>501516</v>
      </c>
    </row>
    <row r="723" spans="1:18" x14ac:dyDescent="0.25">
      <c r="A723" s="170">
        <v>44469</v>
      </c>
      <c r="B723" s="116">
        <v>1430</v>
      </c>
      <c r="C723" s="116">
        <v>1419.2</v>
      </c>
      <c r="D723" s="116">
        <v>1400.05</v>
      </c>
      <c r="E723" s="116">
        <v>1430</v>
      </c>
      <c r="F723" s="116">
        <v>1419.2</v>
      </c>
      <c r="G723">
        <v>5229</v>
      </c>
      <c r="H723" s="116"/>
      <c r="I723" s="116"/>
      <c r="L723" s="170">
        <v>44469</v>
      </c>
      <c r="M723" s="116">
        <v>1423.15</v>
      </c>
      <c r="N723" s="116">
        <v>1431.75</v>
      </c>
      <c r="O723" s="116">
        <v>1395</v>
      </c>
      <c r="P723" s="116">
        <v>1419.5</v>
      </c>
      <c r="Q723" s="116">
        <v>1423.15</v>
      </c>
      <c r="R723">
        <v>575925</v>
      </c>
    </row>
    <row r="724" spans="1:18" x14ac:dyDescent="0.25">
      <c r="A724" s="170">
        <v>44470</v>
      </c>
      <c r="B724" s="116">
        <v>1433</v>
      </c>
      <c r="C724" s="116">
        <v>1413.4</v>
      </c>
      <c r="D724" s="116">
        <v>1400</v>
      </c>
      <c r="E724" s="116">
        <v>1430</v>
      </c>
      <c r="F724" s="116">
        <v>1413.4</v>
      </c>
      <c r="G724">
        <v>7483</v>
      </c>
      <c r="H724" s="116"/>
      <c r="I724" s="116"/>
      <c r="L724" s="170">
        <v>44470</v>
      </c>
      <c r="M724" s="116">
        <v>1423.6</v>
      </c>
      <c r="N724" s="116">
        <v>1433.1</v>
      </c>
      <c r="O724" s="116">
        <v>1400.05</v>
      </c>
      <c r="P724" s="116">
        <v>1425</v>
      </c>
      <c r="Q724" s="116">
        <v>1423.6</v>
      </c>
      <c r="R724">
        <v>506283</v>
      </c>
    </row>
    <row r="725" spans="1:18" x14ac:dyDescent="0.25">
      <c r="A725" s="170">
        <v>44473</v>
      </c>
      <c r="B725" s="116">
        <v>1430</v>
      </c>
      <c r="C725" s="116">
        <v>1409.05</v>
      </c>
      <c r="D725" s="116">
        <v>1401</v>
      </c>
      <c r="E725" s="116">
        <v>1420</v>
      </c>
      <c r="F725" s="116">
        <v>1409.05</v>
      </c>
      <c r="G725">
        <v>307191</v>
      </c>
      <c r="H725" s="116"/>
      <c r="I725" s="116"/>
      <c r="L725" s="170">
        <v>44473</v>
      </c>
      <c r="M725" s="116">
        <v>1409.85</v>
      </c>
      <c r="N725" s="116">
        <v>1433</v>
      </c>
      <c r="O725" s="116">
        <v>1401</v>
      </c>
      <c r="P725" s="116">
        <v>1430</v>
      </c>
      <c r="Q725" s="116">
        <v>1409.85</v>
      </c>
      <c r="R725">
        <v>366579</v>
      </c>
    </row>
    <row r="726" spans="1:18" x14ac:dyDescent="0.25">
      <c r="A726" s="170">
        <v>44474</v>
      </c>
      <c r="B726" s="116">
        <v>1448.2</v>
      </c>
      <c r="C726" s="116">
        <v>1418.35</v>
      </c>
      <c r="D726" s="116">
        <v>1410</v>
      </c>
      <c r="E726" s="116">
        <v>1412</v>
      </c>
      <c r="F726" s="116">
        <v>1418.35</v>
      </c>
      <c r="G726">
        <v>9585</v>
      </c>
      <c r="H726" s="116"/>
      <c r="I726" s="116"/>
      <c r="L726" s="170">
        <v>44474</v>
      </c>
      <c r="M726" s="116">
        <v>1416.1</v>
      </c>
      <c r="N726" s="116">
        <v>1445</v>
      </c>
      <c r="O726" s="116">
        <v>1405</v>
      </c>
      <c r="P726" s="116">
        <v>1414.95</v>
      </c>
      <c r="Q726" s="116">
        <v>1416.1</v>
      </c>
      <c r="R726">
        <v>424068</v>
      </c>
    </row>
    <row r="727" spans="1:18" x14ac:dyDescent="0.25">
      <c r="A727" s="170">
        <v>44475</v>
      </c>
      <c r="B727" s="116">
        <v>1448.8</v>
      </c>
      <c r="C727" s="116">
        <v>1400.15</v>
      </c>
      <c r="D727" s="116">
        <v>1391</v>
      </c>
      <c r="E727" s="116">
        <v>1412</v>
      </c>
      <c r="F727" s="116">
        <v>1400.15</v>
      </c>
      <c r="G727">
        <v>10650</v>
      </c>
      <c r="H727" s="116"/>
      <c r="I727" s="116"/>
      <c r="L727" s="170">
        <v>44475</v>
      </c>
      <c r="M727" s="116">
        <v>1407.85</v>
      </c>
      <c r="N727" s="116">
        <v>1439.45</v>
      </c>
      <c r="O727" s="116">
        <v>1391</v>
      </c>
      <c r="P727" s="116">
        <v>1439.45</v>
      </c>
      <c r="Q727" s="116">
        <v>1407.85</v>
      </c>
      <c r="R727">
        <v>90631</v>
      </c>
    </row>
    <row r="728" spans="1:18" x14ac:dyDescent="0.25">
      <c r="A728" s="170">
        <v>44476</v>
      </c>
      <c r="B728" s="116">
        <v>1425.05</v>
      </c>
      <c r="C728" s="116">
        <v>1412.95</v>
      </c>
      <c r="D728" s="116">
        <v>1392</v>
      </c>
      <c r="E728" s="116">
        <v>1419</v>
      </c>
      <c r="F728" s="116">
        <v>1412.95</v>
      </c>
      <c r="G728">
        <v>6878</v>
      </c>
      <c r="H728" s="116"/>
      <c r="I728" s="116"/>
      <c r="L728" s="170">
        <v>44476</v>
      </c>
      <c r="M728" s="116">
        <v>1425.2</v>
      </c>
      <c r="N728" s="116">
        <v>1430.8</v>
      </c>
      <c r="O728" s="116">
        <v>1394</v>
      </c>
      <c r="P728" s="116">
        <v>1410</v>
      </c>
      <c r="Q728" s="116">
        <v>1425.2</v>
      </c>
      <c r="R728">
        <v>186415</v>
      </c>
    </row>
    <row r="729" spans="1:18" x14ac:dyDescent="0.25">
      <c r="A729" s="170">
        <v>44477</v>
      </c>
      <c r="B729" s="116">
        <v>1425</v>
      </c>
      <c r="C729" s="116">
        <v>1390.95</v>
      </c>
      <c r="D729" s="116">
        <v>1351.1</v>
      </c>
      <c r="E729" s="116">
        <v>1425</v>
      </c>
      <c r="F729" s="116">
        <v>1390.95</v>
      </c>
      <c r="G729">
        <v>12249</v>
      </c>
      <c r="H729" s="116"/>
      <c r="I729" s="116"/>
      <c r="L729" s="170">
        <v>44477</v>
      </c>
      <c r="M729" s="116">
        <v>1394.1</v>
      </c>
      <c r="N729" s="116">
        <v>1424</v>
      </c>
      <c r="O729" s="116">
        <v>1358</v>
      </c>
      <c r="P729" s="116">
        <v>1420</v>
      </c>
      <c r="Q729" s="116">
        <v>1394.1</v>
      </c>
      <c r="R729">
        <v>473089</v>
      </c>
    </row>
    <row r="730" spans="1:18" x14ac:dyDescent="0.25">
      <c r="A730" s="170">
        <v>44480</v>
      </c>
      <c r="B730" s="116">
        <v>1412</v>
      </c>
      <c r="C730" s="116">
        <v>1404.45</v>
      </c>
      <c r="D730" s="116">
        <v>1345</v>
      </c>
      <c r="E730" s="116">
        <v>1390</v>
      </c>
      <c r="F730" s="116">
        <v>1404.45</v>
      </c>
      <c r="G730">
        <v>265167</v>
      </c>
      <c r="H730" s="116"/>
      <c r="I730" s="116"/>
      <c r="L730" s="170">
        <v>44480</v>
      </c>
      <c r="M730" s="116">
        <v>1415.2</v>
      </c>
      <c r="N730" s="116">
        <v>1420</v>
      </c>
      <c r="O730" s="116">
        <v>1345</v>
      </c>
      <c r="P730" s="116">
        <v>1367.1</v>
      </c>
      <c r="Q730" s="116">
        <v>1415.2</v>
      </c>
      <c r="R730">
        <v>121928</v>
      </c>
    </row>
    <row r="731" spans="1:18" x14ac:dyDescent="0.25">
      <c r="A731" s="170">
        <v>44481</v>
      </c>
      <c r="B731" s="116">
        <v>1406</v>
      </c>
      <c r="C731" s="116">
        <v>1400.5</v>
      </c>
      <c r="D731" s="116">
        <v>1365.3</v>
      </c>
      <c r="E731" s="116">
        <v>1365.3</v>
      </c>
      <c r="F731" s="116">
        <v>1400.5</v>
      </c>
      <c r="G731">
        <v>6385</v>
      </c>
      <c r="H731" s="116"/>
      <c r="I731" s="116"/>
      <c r="L731" s="170">
        <v>44481</v>
      </c>
      <c r="M731" s="116">
        <v>1406.4</v>
      </c>
      <c r="N731" s="116">
        <v>1415</v>
      </c>
      <c r="O731" s="116">
        <v>1370</v>
      </c>
      <c r="P731" s="116">
        <v>1415</v>
      </c>
      <c r="Q731" s="116">
        <v>1406.4</v>
      </c>
      <c r="R731">
        <v>86876</v>
      </c>
    </row>
    <row r="732" spans="1:18" x14ac:dyDescent="0.25">
      <c r="A732" s="170">
        <v>44482</v>
      </c>
      <c r="B732" s="116">
        <v>1448.85</v>
      </c>
      <c r="C732" s="116">
        <v>1440.95</v>
      </c>
      <c r="D732" s="116">
        <v>1380</v>
      </c>
      <c r="E732" s="116">
        <v>1380</v>
      </c>
      <c r="F732" s="116">
        <v>1440.95</v>
      </c>
      <c r="G732">
        <v>19424</v>
      </c>
      <c r="H732" s="116"/>
      <c r="I732" s="116"/>
      <c r="L732" s="170">
        <v>44482</v>
      </c>
      <c r="M732" s="116">
        <v>1447.5</v>
      </c>
      <c r="N732" s="116">
        <v>1454</v>
      </c>
      <c r="O732" s="116">
        <v>1385</v>
      </c>
      <c r="P732" s="116">
        <v>1392.3</v>
      </c>
      <c r="Q732" s="116">
        <v>1447.5</v>
      </c>
      <c r="R732">
        <v>193395</v>
      </c>
    </row>
    <row r="733" spans="1:18" x14ac:dyDescent="0.25">
      <c r="A733" s="170">
        <v>44483</v>
      </c>
      <c r="B733" s="116">
        <v>1458.9</v>
      </c>
      <c r="C733" s="116">
        <v>1446.05</v>
      </c>
      <c r="D733" s="116">
        <v>1416.8</v>
      </c>
      <c r="E733" s="116">
        <v>1449</v>
      </c>
      <c r="F733" s="116">
        <v>1446.05</v>
      </c>
      <c r="G733">
        <v>11183</v>
      </c>
      <c r="H733" s="116"/>
      <c r="I733" s="116"/>
      <c r="L733" s="170">
        <v>44483</v>
      </c>
      <c r="M733" s="116">
        <v>1452</v>
      </c>
      <c r="N733" s="116">
        <v>1460.55</v>
      </c>
      <c r="O733" s="116">
        <v>1426</v>
      </c>
      <c r="P733" s="116">
        <v>1430</v>
      </c>
      <c r="Q733" s="116">
        <v>1452</v>
      </c>
      <c r="R733">
        <v>114599</v>
      </c>
    </row>
    <row r="734" spans="1:18" x14ac:dyDescent="0.25">
      <c r="A734" s="170">
        <v>44487</v>
      </c>
      <c r="B734" s="116">
        <v>1480</v>
      </c>
      <c r="C734" s="116">
        <v>1446.9</v>
      </c>
      <c r="D734" s="116">
        <v>1430</v>
      </c>
      <c r="E734" s="116">
        <v>1450</v>
      </c>
      <c r="F734" s="116">
        <v>1446.9</v>
      </c>
      <c r="G734">
        <v>6046</v>
      </c>
      <c r="H734" s="116"/>
      <c r="I734" s="116"/>
      <c r="L734" s="170">
        <v>44487</v>
      </c>
      <c r="M734" s="116">
        <v>1445.05</v>
      </c>
      <c r="N734" s="116">
        <v>1480</v>
      </c>
      <c r="O734" s="116">
        <v>1430</v>
      </c>
      <c r="P734" s="116">
        <v>1466.5</v>
      </c>
      <c r="Q734" s="116">
        <v>1445.05</v>
      </c>
      <c r="R734">
        <v>731097</v>
      </c>
    </row>
    <row r="735" spans="1:18" x14ac:dyDescent="0.25">
      <c r="A735" s="170">
        <v>44488</v>
      </c>
      <c r="B735" s="116">
        <v>1460</v>
      </c>
      <c r="C735" s="116">
        <v>1409.7</v>
      </c>
      <c r="D735" s="116">
        <v>1397</v>
      </c>
      <c r="E735" s="116">
        <v>1446.9</v>
      </c>
      <c r="F735" s="116">
        <v>1409.7</v>
      </c>
      <c r="G735">
        <v>17134</v>
      </c>
      <c r="H735" s="116"/>
      <c r="I735" s="116"/>
      <c r="L735" s="170">
        <v>44488</v>
      </c>
      <c r="M735" s="116">
        <v>1421</v>
      </c>
      <c r="N735" s="116">
        <v>1470</v>
      </c>
      <c r="O735" s="116">
        <v>1390</v>
      </c>
      <c r="P735" s="116">
        <v>1446</v>
      </c>
      <c r="Q735" s="116">
        <v>1421</v>
      </c>
      <c r="R735">
        <v>72736</v>
      </c>
    </row>
    <row r="736" spans="1:18" x14ac:dyDescent="0.25">
      <c r="A736" s="170">
        <v>44489</v>
      </c>
      <c r="B736" s="116">
        <v>1440</v>
      </c>
      <c r="C736" s="116">
        <v>1395.3</v>
      </c>
      <c r="D736" s="116">
        <v>1386.5</v>
      </c>
      <c r="E736" s="116">
        <v>1423</v>
      </c>
      <c r="F736" s="116">
        <v>1395.3</v>
      </c>
      <c r="G736">
        <v>256102</v>
      </c>
      <c r="H736" s="116"/>
      <c r="I736" s="116"/>
      <c r="L736" s="170">
        <v>44489</v>
      </c>
      <c r="M736" s="116">
        <v>1403.05</v>
      </c>
      <c r="N736" s="116">
        <v>1439.95</v>
      </c>
      <c r="O736" s="116">
        <v>1390</v>
      </c>
      <c r="P736" s="116">
        <v>1430.3</v>
      </c>
      <c r="Q736" s="116">
        <v>1403.05</v>
      </c>
      <c r="R736">
        <v>497982</v>
      </c>
    </row>
    <row r="737" spans="1:18" x14ac:dyDescent="0.25">
      <c r="A737" s="170">
        <v>44490</v>
      </c>
      <c r="B737" s="116">
        <v>1465.05</v>
      </c>
      <c r="C737" s="116">
        <v>1458.05</v>
      </c>
      <c r="D737" s="116">
        <v>1405.05</v>
      </c>
      <c r="E737" s="116">
        <v>1405.05</v>
      </c>
      <c r="F737" s="116">
        <v>1458.05</v>
      </c>
      <c r="G737">
        <v>9569</v>
      </c>
      <c r="H737" s="116"/>
      <c r="I737" s="116"/>
      <c r="L737" s="170">
        <v>44490</v>
      </c>
      <c r="M737" s="116">
        <v>1466.85</v>
      </c>
      <c r="N737" s="116">
        <v>1473.2</v>
      </c>
      <c r="O737" s="116">
        <v>1417.05</v>
      </c>
      <c r="P737" s="116">
        <v>1417.05</v>
      </c>
      <c r="Q737" s="116">
        <v>1466.85</v>
      </c>
      <c r="R737">
        <v>904407</v>
      </c>
    </row>
    <row r="738" spans="1:18" x14ac:dyDescent="0.25">
      <c r="A738" s="170">
        <v>44491</v>
      </c>
      <c r="B738" s="116">
        <v>1470</v>
      </c>
      <c r="C738" s="116">
        <v>1420.95</v>
      </c>
      <c r="D738" s="116">
        <v>1385.15</v>
      </c>
      <c r="E738" s="116">
        <v>1470</v>
      </c>
      <c r="F738" s="116">
        <v>1420.95</v>
      </c>
      <c r="G738">
        <v>7677</v>
      </c>
      <c r="H738" s="116"/>
      <c r="I738" s="116"/>
      <c r="L738" s="170">
        <v>44491</v>
      </c>
      <c r="M738" s="116">
        <v>1429.85</v>
      </c>
      <c r="N738" s="116">
        <v>1460</v>
      </c>
      <c r="O738" s="116">
        <v>1393.55</v>
      </c>
      <c r="P738" s="116">
        <v>1460</v>
      </c>
      <c r="Q738" s="116">
        <v>1429.85</v>
      </c>
      <c r="R738">
        <v>673481</v>
      </c>
    </row>
    <row r="739" spans="1:18" x14ac:dyDescent="0.25">
      <c r="A739" s="170">
        <v>44494</v>
      </c>
      <c r="B739" s="116">
        <v>1458</v>
      </c>
      <c r="C739" s="116">
        <v>1445.2</v>
      </c>
      <c r="D739" s="116">
        <v>1365</v>
      </c>
      <c r="E739" s="116">
        <v>1454</v>
      </c>
      <c r="F739" s="116">
        <v>1445.2</v>
      </c>
      <c r="G739">
        <v>5665</v>
      </c>
      <c r="H739" s="116"/>
      <c r="I739" s="116"/>
      <c r="L739" s="170">
        <v>44494</v>
      </c>
      <c r="M739" s="116">
        <v>1455.15</v>
      </c>
      <c r="N739" s="116">
        <v>1466.3</v>
      </c>
      <c r="O739" s="116">
        <v>1400</v>
      </c>
      <c r="P739" s="116">
        <v>1429</v>
      </c>
      <c r="Q739" s="116">
        <v>1455.15</v>
      </c>
      <c r="R739">
        <v>608464</v>
      </c>
    </row>
    <row r="740" spans="1:18" x14ac:dyDescent="0.25">
      <c r="A740" s="170">
        <v>44495</v>
      </c>
      <c r="B740" s="116">
        <v>1468</v>
      </c>
      <c r="C740" s="116">
        <v>1432.65</v>
      </c>
      <c r="D740" s="116">
        <v>1420</v>
      </c>
      <c r="E740" s="116">
        <v>1465</v>
      </c>
      <c r="F740" s="116">
        <v>1432.65</v>
      </c>
      <c r="G740">
        <v>4718</v>
      </c>
      <c r="H740" s="116"/>
      <c r="I740" s="116"/>
      <c r="L740" s="170">
        <v>44495</v>
      </c>
      <c r="M740" s="116">
        <v>1434.05</v>
      </c>
      <c r="N740" s="116">
        <v>1470</v>
      </c>
      <c r="O740" s="116">
        <v>1411.2</v>
      </c>
      <c r="P740" s="116">
        <v>1436.3</v>
      </c>
      <c r="Q740" s="116">
        <v>1434.05</v>
      </c>
      <c r="R740">
        <v>593252</v>
      </c>
    </row>
    <row r="741" spans="1:18" x14ac:dyDescent="0.25">
      <c r="A741" s="170">
        <v>44496</v>
      </c>
      <c r="B741" s="116">
        <v>1480</v>
      </c>
      <c r="C741" s="116">
        <v>1473.3</v>
      </c>
      <c r="D741" s="116">
        <v>1435</v>
      </c>
      <c r="E741" s="116">
        <v>1435</v>
      </c>
      <c r="F741" s="116">
        <v>1473.3</v>
      </c>
      <c r="G741">
        <v>8818</v>
      </c>
      <c r="H741" s="116"/>
      <c r="I741" s="116"/>
      <c r="L741" s="170">
        <v>44496</v>
      </c>
      <c r="M741" s="116">
        <v>1475.1</v>
      </c>
      <c r="N741" s="116">
        <v>1483.7</v>
      </c>
      <c r="O741" s="116">
        <v>1435</v>
      </c>
      <c r="P741" s="116">
        <v>1450</v>
      </c>
      <c r="Q741" s="116">
        <v>1475.1</v>
      </c>
      <c r="R741">
        <v>711674</v>
      </c>
    </row>
    <row r="742" spans="1:18" x14ac:dyDescent="0.25">
      <c r="A742" s="170">
        <v>44497</v>
      </c>
      <c r="B742" s="116">
        <v>1480</v>
      </c>
      <c r="C742" s="116">
        <v>1406.7</v>
      </c>
      <c r="D742" s="116">
        <v>1400</v>
      </c>
      <c r="E742" s="116">
        <v>1480</v>
      </c>
      <c r="F742" s="116">
        <v>1406.7</v>
      </c>
      <c r="G742">
        <v>8061</v>
      </c>
      <c r="H742" s="116"/>
      <c r="I742" s="116"/>
      <c r="L742" s="170">
        <v>44497</v>
      </c>
      <c r="M742" s="116">
        <v>1408.9</v>
      </c>
      <c r="N742" s="116">
        <v>1480</v>
      </c>
      <c r="O742" s="116">
        <v>1401.35</v>
      </c>
      <c r="P742" s="116">
        <v>1475.1</v>
      </c>
      <c r="Q742" s="116">
        <v>1408.9</v>
      </c>
      <c r="R742">
        <v>487533</v>
      </c>
    </row>
    <row r="743" spans="1:18" x14ac:dyDescent="0.25">
      <c r="A743" s="170">
        <v>44498</v>
      </c>
      <c r="B743" s="116">
        <v>1451</v>
      </c>
      <c r="C743" s="116">
        <v>1414.15</v>
      </c>
      <c r="D743" s="116">
        <v>1364.65</v>
      </c>
      <c r="E743" s="116">
        <v>1448.2</v>
      </c>
      <c r="F743" s="116">
        <v>1414.15</v>
      </c>
      <c r="G743">
        <v>4620</v>
      </c>
      <c r="H743" s="116"/>
      <c r="I743" s="116"/>
      <c r="L743" s="170">
        <v>44498</v>
      </c>
      <c r="M743" s="116">
        <v>1439.45</v>
      </c>
      <c r="N743" s="116">
        <v>1455</v>
      </c>
      <c r="O743" s="116">
        <v>1360</v>
      </c>
      <c r="P743" s="116">
        <v>1366.65</v>
      </c>
      <c r="Q743" s="116">
        <v>1439.45</v>
      </c>
      <c r="R743">
        <v>189941</v>
      </c>
    </row>
    <row r="744" spans="1:18" x14ac:dyDescent="0.25">
      <c r="A744" s="170">
        <v>44501</v>
      </c>
      <c r="B744" s="116">
        <v>1458.9</v>
      </c>
      <c r="C744" s="116">
        <v>1422.45</v>
      </c>
      <c r="D744" s="116">
        <v>1383</v>
      </c>
      <c r="E744" s="116">
        <v>1416</v>
      </c>
      <c r="F744" s="116">
        <v>1422.45</v>
      </c>
      <c r="G744">
        <v>1879</v>
      </c>
      <c r="H744" s="116"/>
      <c r="I744" s="116"/>
      <c r="L744" s="170">
        <v>44501</v>
      </c>
      <c r="M744" s="116">
        <v>1434.85</v>
      </c>
      <c r="N744" s="116">
        <v>1459</v>
      </c>
      <c r="O744" s="116">
        <v>1374.55</v>
      </c>
      <c r="P744" s="116">
        <v>1374.55</v>
      </c>
      <c r="Q744" s="116">
        <v>1434.85</v>
      </c>
      <c r="R744">
        <v>451961</v>
      </c>
    </row>
    <row r="745" spans="1:18" x14ac:dyDescent="0.25">
      <c r="A745" s="170">
        <v>44502</v>
      </c>
      <c r="B745" s="116">
        <v>1460</v>
      </c>
      <c r="C745" s="116">
        <v>1435.3</v>
      </c>
      <c r="D745" s="116">
        <v>1405</v>
      </c>
      <c r="E745" s="116">
        <v>1451</v>
      </c>
      <c r="F745" s="116">
        <v>1435.3</v>
      </c>
      <c r="G745">
        <v>2637</v>
      </c>
      <c r="H745" s="116"/>
      <c r="I745" s="116"/>
      <c r="L745" s="170">
        <v>44502</v>
      </c>
      <c r="M745" s="116">
        <v>1439.9</v>
      </c>
      <c r="N745" s="116">
        <v>1457</v>
      </c>
      <c r="O745" s="116">
        <v>1410.5</v>
      </c>
      <c r="P745" s="116">
        <v>1440</v>
      </c>
      <c r="Q745" s="116">
        <v>1439.9</v>
      </c>
      <c r="R745">
        <v>284957</v>
      </c>
    </row>
    <row r="746" spans="1:18" x14ac:dyDescent="0.25">
      <c r="A746" s="170">
        <v>44503</v>
      </c>
      <c r="B746" s="116">
        <v>1465</v>
      </c>
      <c r="C746" s="116">
        <v>1446.35</v>
      </c>
      <c r="D746" s="116">
        <v>1424.05</v>
      </c>
      <c r="E746" s="116">
        <v>1424.05</v>
      </c>
      <c r="F746" s="116">
        <v>1446.35</v>
      </c>
      <c r="G746">
        <v>2616</v>
      </c>
      <c r="H746" s="116"/>
      <c r="I746" s="116"/>
      <c r="L746" s="170">
        <v>44503</v>
      </c>
      <c r="M746" s="116">
        <v>1452</v>
      </c>
      <c r="N746" s="116">
        <v>1465</v>
      </c>
      <c r="O746" s="116">
        <v>1431.6</v>
      </c>
      <c r="P746" s="116">
        <v>1447</v>
      </c>
      <c r="Q746" s="116">
        <v>1452</v>
      </c>
      <c r="R746">
        <v>163222</v>
      </c>
    </row>
    <row r="747" spans="1:18" x14ac:dyDescent="0.25">
      <c r="A747" s="170">
        <v>44504</v>
      </c>
      <c r="B747" s="116">
        <v>1464</v>
      </c>
      <c r="C747" s="116">
        <v>1433.85</v>
      </c>
      <c r="D747" s="116">
        <v>1429.25</v>
      </c>
      <c r="E747" s="116">
        <v>1464</v>
      </c>
      <c r="F747" s="116">
        <v>1433.85</v>
      </c>
      <c r="G747">
        <v>1551</v>
      </c>
      <c r="H747" s="116"/>
      <c r="I747" s="116"/>
      <c r="L747" s="170">
        <v>44504</v>
      </c>
      <c r="M747" s="116">
        <v>1433.95</v>
      </c>
      <c r="N747" s="116">
        <v>1464</v>
      </c>
      <c r="O747" s="116">
        <v>1430</v>
      </c>
      <c r="P747" s="116">
        <v>1450</v>
      </c>
      <c r="Q747" s="116">
        <v>1433.95</v>
      </c>
      <c r="R747">
        <v>9421</v>
      </c>
    </row>
    <row r="748" spans="1:18" x14ac:dyDescent="0.25">
      <c r="A748" s="170">
        <v>44508</v>
      </c>
      <c r="B748" s="116">
        <v>1505.5</v>
      </c>
      <c r="C748" s="116">
        <v>1498.15</v>
      </c>
      <c r="D748" s="116">
        <v>1433.85</v>
      </c>
      <c r="E748" s="116">
        <v>1460</v>
      </c>
      <c r="F748" s="116">
        <v>1498.15</v>
      </c>
      <c r="G748">
        <v>8001</v>
      </c>
      <c r="H748" s="116"/>
      <c r="I748" s="116"/>
      <c r="L748" s="170">
        <v>44508</v>
      </c>
      <c r="M748" s="116">
        <v>1501.6</v>
      </c>
      <c r="N748" s="116">
        <v>1505.6</v>
      </c>
      <c r="O748" s="116">
        <v>1415</v>
      </c>
      <c r="P748" s="116">
        <v>1415</v>
      </c>
      <c r="Q748" s="116">
        <v>1501.6</v>
      </c>
      <c r="R748">
        <v>396785</v>
      </c>
    </row>
    <row r="749" spans="1:18" x14ac:dyDescent="0.25">
      <c r="A749" s="170">
        <v>44509</v>
      </c>
      <c r="B749" s="116">
        <v>1573.05</v>
      </c>
      <c r="C749" s="116">
        <v>1573</v>
      </c>
      <c r="D749" s="116">
        <v>1500</v>
      </c>
      <c r="E749" s="116">
        <v>1532.9</v>
      </c>
      <c r="F749" s="116">
        <v>1573</v>
      </c>
      <c r="G749">
        <v>12928</v>
      </c>
      <c r="H749" s="116"/>
      <c r="I749" s="116"/>
      <c r="L749" s="170">
        <v>44509</v>
      </c>
      <c r="M749" s="116">
        <v>1575.1</v>
      </c>
      <c r="N749" s="116">
        <v>1576.65</v>
      </c>
      <c r="O749" s="116">
        <v>1506.75</v>
      </c>
      <c r="P749" s="116">
        <v>1515</v>
      </c>
      <c r="Q749" s="116">
        <v>1575.1</v>
      </c>
      <c r="R749">
        <v>257697</v>
      </c>
    </row>
    <row r="750" spans="1:18" x14ac:dyDescent="0.25">
      <c r="A750" s="170">
        <v>44510</v>
      </c>
      <c r="B750" s="116">
        <v>1630</v>
      </c>
      <c r="C750" s="116">
        <v>1613.1</v>
      </c>
      <c r="D750" s="116">
        <v>1577.05</v>
      </c>
      <c r="E750" s="116">
        <v>1599</v>
      </c>
      <c r="F750" s="116">
        <v>1613.1</v>
      </c>
      <c r="G750">
        <v>10859</v>
      </c>
      <c r="H750" s="116"/>
      <c r="I750" s="116"/>
      <c r="L750" s="170">
        <v>44510</v>
      </c>
      <c r="M750" s="116">
        <v>1611.15</v>
      </c>
      <c r="N750" s="116">
        <v>1625</v>
      </c>
      <c r="O750" s="116">
        <v>1577.05</v>
      </c>
      <c r="P750" s="116">
        <v>1580</v>
      </c>
      <c r="Q750" s="116">
        <v>1611.15</v>
      </c>
      <c r="R750">
        <v>146069</v>
      </c>
    </row>
    <row r="751" spans="1:18" x14ac:dyDescent="0.25">
      <c r="A751" s="170">
        <v>44511</v>
      </c>
      <c r="B751" s="116">
        <v>1659.5</v>
      </c>
      <c r="C751" s="116">
        <v>1650.05</v>
      </c>
      <c r="D751" s="116">
        <v>1605</v>
      </c>
      <c r="E751" s="116">
        <v>1617</v>
      </c>
      <c r="F751" s="116">
        <v>1650.05</v>
      </c>
      <c r="G751">
        <v>30232</v>
      </c>
      <c r="H751" s="116"/>
      <c r="I751" s="116"/>
      <c r="L751" s="170">
        <v>44511</v>
      </c>
      <c r="M751" s="116">
        <v>1658.9</v>
      </c>
      <c r="N751" s="116">
        <v>1664</v>
      </c>
      <c r="O751" s="116">
        <v>1578.15</v>
      </c>
      <c r="P751" s="116">
        <v>1632</v>
      </c>
      <c r="Q751" s="116">
        <v>1658.9</v>
      </c>
      <c r="R751">
        <v>690962</v>
      </c>
    </row>
    <row r="752" spans="1:18" x14ac:dyDescent="0.25">
      <c r="A752" s="170">
        <v>44512</v>
      </c>
      <c r="B752" s="116">
        <v>1715</v>
      </c>
      <c r="C752" s="116">
        <v>1659.25</v>
      </c>
      <c r="D752" s="116">
        <v>1642.7</v>
      </c>
      <c r="E752" s="116">
        <v>1684</v>
      </c>
      <c r="F752" s="116">
        <v>1659.25</v>
      </c>
      <c r="G752">
        <v>8834</v>
      </c>
      <c r="H752" s="116"/>
      <c r="I752" s="116"/>
      <c r="L752" s="170">
        <v>44512</v>
      </c>
      <c r="M752" s="116">
        <v>1663.25</v>
      </c>
      <c r="N752" s="116">
        <v>1715</v>
      </c>
      <c r="O752" s="116">
        <v>1643</v>
      </c>
      <c r="P752" s="116">
        <v>1666</v>
      </c>
      <c r="Q752" s="116">
        <v>1663.25</v>
      </c>
      <c r="R752">
        <v>177805</v>
      </c>
    </row>
    <row r="753" spans="1:18" x14ac:dyDescent="0.25">
      <c r="A753" s="170">
        <v>44515</v>
      </c>
      <c r="B753" s="116">
        <v>1705</v>
      </c>
      <c r="C753" s="116">
        <v>1637.1</v>
      </c>
      <c r="D753" s="116">
        <v>1581.1</v>
      </c>
      <c r="E753" s="116">
        <v>1705</v>
      </c>
      <c r="F753" s="116">
        <v>1637.1</v>
      </c>
      <c r="G753">
        <v>5259</v>
      </c>
      <c r="H753" s="116"/>
      <c r="I753" s="116"/>
      <c r="L753" s="170">
        <v>44515</v>
      </c>
      <c r="M753" s="116">
        <v>1646.15</v>
      </c>
      <c r="N753" s="116">
        <v>1710</v>
      </c>
      <c r="O753" s="116">
        <v>1595.55</v>
      </c>
      <c r="P753" s="116">
        <v>1680</v>
      </c>
      <c r="Q753" s="116">
        <v>1646.15</v>
      </c>
      <c r="R753">
        <v>505509</v>
      </c>
    </row>
    <row r="754" spans="1:18" x14ac:dyDescent="0.25">
      <c r="A754" s="170">
        <v>44516</v>
      </c>
      <c r="B754" s="116">
        <v>1660</v>
      </c>
      <c r="C754" s="116">
        <v>1644.4</v>
      </c>
      <c r="D754" s="116">
        <v>1632</v>
      </c>
      <c r="E754" s="116">
        <v>1640</v>
      </c>
      <c r="F754" s="116">
        <v>1644.4</v>
      </c>
      <c r="G754">
        <v>4099</v>
      </c>
      <c r="H754" s="116"/>
      <c r="I754" s="116"/>
      <c r="L754" s="170">
        <v>44516</v>
      </c>
      <c r="M754" s="116">
        <v>1648.75</v>
      </c>
      <c r="N754" s="116">
        <v>1660</v>
      </c>
      <c r="O754" s="116">
        <v>1626</v>
      </c>
      <c r="P754" s="116">
        <v>1626</v>
      </c>
      <c r="Q754" s="116">
        <v>1648.75</v>
      </c>
      <c r="R754">
        <v>703390</v>
      </c>
    </row>
    <row r="755" spans="1:18" x14ac:dyDescent="0.25">
      <c r="A755" s="170">
        <v>44517</v>
      </c>
      <c r="B755" s="116">
        <v>1670</v>
      </c>
      <c r="C755" s="116">
        <v>1631.8</v>
      </c>
      <c r="D755" s="116">
        <v>1621</v>
      </c>
      <c r="E755" s="116">
        <v>1650</v>
      </c>
      <c r="F755" s="116">
        <v>1631.8</v>
      </c>
      <c r="G755">
        <v>2945</v>
      </c>
      <c r="H755" s="116"/>
      <c r="I755" s="116"/>
      <c r="L755" s="170">
        <v>44517</v>
      </c>
      <c r="M755" s="116">
        <v>1636.2</v>
      </c>
      <c r="N755" s="116">
        <v>1660</v>
      </c>
      <c r="O755" s="116">
        <v>1611</v>
      </c>
      <c r="P755" s="116">
        <v>1649</v>
      </c>
      <c r="Q755" s="116">
        <v>1636.2</v>
      </c>
      <c r="R755">
        <v>593192</v>
      </c>
    </row>
    <row r="756" spans="1:18" x14ac:dyDescent="0.25">
      <c r="A756" s="170">
        <v>44518</v>
      </c>
      <c r="B756" s="116">
        <v>1650</v>
      </c>
      <c r="C756" s="116">
        <v>1649.7</v>
      </c>
      <c r="D756" s="116">
        <v>1611</v>
      </c>
      <c r="E756" s="116">
        <v>1650</v>
      </c>
      <c r="F756" s="116">
        <v>1649.7</v>
      </c>
      <c r="G756">
        <v>3303</v>
      </c>
      <c r="H756" s="116"/>
      <c r="I756" s="116"/>
      <c r="L756" s="170">
        <v>44518</v>
      </c>
      <c r="M756" s="116">
        <v>1657.1</v>
      </c>
      <c r="N756" s="116">
        <v>1665</v>
      </c>
      <c r="O756" s="116">
        <v>1600</v>
      </c>
      <c r="P756" s="116">
        <v>1636.2</v>
      </c>
      <c r="Q756" s="116">
        <v>1657.1</v>
      </c>
      <c r="R756">
        <v>612007</v>
      </c>
    </row>
    <row r="757" spans="1:18" x14ac:dyDescent="0.25">
      <c r="A757" s="170">
        <v>44522</v>
      </c>
      <c r="B757" s="116">
        <v>1693.95</v>
      </c>
      <c r="C757" s="116">
        <v>1653.85</v>
      </c>
      <c r="D757" s="116">
        <v>1601</v>
      </c>
      <c r="E757" s="116">
        <v>1693.95</v>
      </c>
      <c r="F757" s="116">
        <v>1653.85</v>
      </c>
      <c r="G757">
        <v>6812</v>
      </c>
      <c r="H757" s="116"/>
      <c r="I757" s="116"/>
      <c r="L757" s="170">
        <v>44522</v>
      </c>
      <c r="M757" s="116">
        <v>1654.55</v>
      </c>
      <c r="N757" s="116">
        <v>1660</v>
      </c>
      <c r="O757" s="116">
        <v>1610</v>
      </c>
      <c r="P757" s="116">
        <v>1635</v>
      </c>
      <c r="Q757" s="116">
        <v>1654.55</v>
      </c>
      <c r="R757">
        <v>512279</v>
      </c>
    </row>
    <row r="758" spans="1:18" x14ac:dyDescent="0.25">
      <c r="A758" s="170">
        <v>44523</v>
      </c>
      <c r="B758" s="116">
        <v>1680</v>
      </c>
      <c r="C758" s="116">
        <v>1674.85</v>
      </c>
      <c r="D758" s="116">
        <v>1584</v>
      </c>
      <c r="E758" s="116">
        <v>1584</v>
      </c>
      <c r="F758" s="116">
        <v>1674.85</v>
      </c>
      <c r="G758">
        <v>7441</v>
      </c>
      <c r="H758" s="116"/>
      <c r="I758" s="116"/>
      <c r="L758" s="170">
        <v>44523</v>
      </c>
      <c r="M758" s="116">
        <v>1674.05</v>
      </c>
      <c r="N758" s="116">
        <v>1682</v>
      </c>
      <c r="O758" s="116">
        <v>1612</v>
      </c>
      <c r="P758" s="116">
        <v>1612</v>
      </c>
      <c r="Q758" s="116">
        <v>1674.05</v>
      </c>
      <c r="R758">
        <v>534112</v>
      </c>
    </row>
    <row r="759" spans="1:18" x14ac:dyDescent="0.25">
      <c r="A759" s="170">
        <v>44524</v>
      </c>
      <c r="B759" s="116">
        <v>1680</v>
      </c>
      <c r="C759" s="116">
        <v>1648.35</v>
      </c>
      <c r="D759" s="116">
        <v>1604.55</v>
      </c>
      <c r="E759" s="116">
        <v>1650</v>
      </c>
      <c r="F759" s="116">
        <v>1648.35</v>
      </c>
      <c r="G759">
        <v>6748</v>
      </c>
      <c r="H759" s="116"/>
      <c r="I759" s="116"/>
      <c r="L759" s="170">
        <v>44524</v>
      </c>
      <c r="M759" s="116">
        <v>1656.25</v>
      </c>
      <c r="N759" s="116">
        <v>1685</v>
      </c>
      <c r="O759" s="116">
        <v>1631</v>
      </c>
      <c r="P759" s="116">
        <v>1685</v>
      </c>
      <c r="Q759" s="116">
        <v>1656.25</v>
      </c>
      <c r="R759">
        <v>69537</v>
      </c>
    </row>
    <row r="760" spans="1:18" x14ac:dyDescent="0.25">
      <c r="A760" s="170">
        <v>44525</v>
      </c>
      <c r="B760" s="116">
        <v>1679</v>
      </c>
      <c r="C760" s="116">
        <v>1667</v>
      </c>
      <c r="D760" s="116">
        <v>1635.05</v>
      </c>
      <c r="E760" s="116">
        <v>1674</v>
      </c>
      <c r="F760" s="116">
        <v>1667</v>
      </c>
      <c r="G760">
        <v>3981</v>
      </c>
      <c r="H760" s="116"/>
      <c r="I760" s="116"/>
      <c r="L760" s="170">
        <v>44525</v>
      </c>
      <c r="M760" s="116">
        <v>1670.7</v>
      </c>
      <c r="N760" s="116">
        <v>1675</v>
      </c>
      <c r="O760" s="116">
        <v>1643.05</v>
      </c>
      <c r="P760" s="116">
        <v>1670</v>
      </c>
      <c r="Q760" s="116">
        <v>1670.7</v>
      </c>
      <c r="R760">
        <v>78133</v>
      </c>
    </row>
    <row r="761" spans="1:18" x14ac:dyDescent="0.25">
      <c r="A761" s="170">
        <v>44526</v>
      </c>
      <c r="B761" s="116">
        <v>1660.45</v>
      </c>
      <c r="C761" s="116">
        <v>1633.55</v>
      </c>
      <c r="D761" s="116">
        <v>1610</v>
      </c>
      <c r="E761" s="116">
        <v>1642.45</v>
      </c>
      <c r="F761" s="116">
        <v>1633.55</v>
      </c>
      <c r="G761">
        <v>3217</v>
      </c>
      <c r="H761" s="116"/>
      <c r="I761" s="116"/>
      <c r="L761" s="170">
        <v>44526</v>
      </c>
      <c r="M761" s="116">
        <v>1645.6</v>
      </c>
      <c r="N761" s="116">
        <v>1659</v>
      </c>
      <c r="O761" s="116">
        <v>1591.25</v>
      </c>
      <c r="P761" s="116">
        <v>1591.25</v>
      </c>
      <c r="Q761" s="116">
        <v>1645.6</v>
      </c>
      <c r="R761">
        <v>802820</v>
      </c>
    </row>
    <row r="762" spans="1:18" x14ac:dyDescent="0.25">
      <c r="A762" s="170">
        <v>44529</v>
      </c>
      <c r="B762" s="116">
        <v>1610</v>
      </c>
      <c r="C762" s="116">
        <v>1567.7</v>
      </c>
      <c r="D762" s="116">
        <v>1552</v>
      </c>
      <c r="E762" s="116">
        <v>1602</v>
      </c>
      <c r="F762" s="116">
        <v>1567.7</v>
      </c>
      <c r="G762">
        <v>66261</v>
      </c>
      <c r="H762" s="116"/>
      <c r="I762" s="116"/>
      <c r="L762" s="170">
        <v>44529</v>
      </c>
      <c r="M762" s="116">
        <v>1579.6</v>
      </c>
      <c r="N762" s="116">
        <v>1600</v>
      </c>
      <c r="O762" s="116">
        <v>1563.35</v>
      </c>
      <c r="P762" s="116">
        <v>1590.35</v>
      </c>
      <c r="Q762" s="116">
        <v>1579.6</v>
      </c>
      <c r="R762">
        <v>560206</v>
      </c>
    </row>
    <row r="763" spans="1:18" x14ac:dyDescent="0.25">
      <c r="A763" s="170">
        <v>44530</v>
      </c>
      <c r="B763" s="116">
        <v>1640</v>
      </c>
      <c r="C763" s="116">
        <v>1602.3</v>
      </c>
      <c r="D763" s="116">
        <v>1555</v>
      </c>
      <c r="E763" s="116">
        <v>1555</v>
      </c>
      <c r="F763" s="116">
        <v>1602.3</v>
      </c>
      <c r="G763">
        <v>5816</v>
      </c>
      <c r="H763" s="116"/>
      <c r="I763" s="116"/>
      <c r="L763" s="170">
        <v>44530</v>
      </c>
      <c r="M763" s="116">
        <v>1599.85</v>
      </c>
      <c r="N763" s="116">
        <v>1657</v>
      </c>
      <c r="O763" s="116">
        <v>1556</v>
      </c>
      <c r="P763" s="116">
        <v>1556</v>
      </c>
      <c r="Q763" s="116">
        <v>1599.85</v>
      </c>
      <c r="R763">
        <v>1393526</v>
      </c>
    </row>
    <row r="764" spans="1:18" x14ac:dyDescent="0.25">
      <c r="A764" s="170">
        <v>44531</v>
      </c>
      <c r="B764" s="116">
        <v>1649.95</v>
      </c>
      <c r="C764" s="116">
        <v>1614.9</v>
      </c>
      <c r="D764" s="116">
        <v>1575.05</v>
      </c>
      <c r="E764" s="116">
        <v>1638</v>
      </c>
      <c r="F764" s="116">
        <v>1614.9</v>
      </c>
      <c r="G764">
        <v>8131</v>
      </c>
      <c r="H764" s="116"/>
      <c r="I764" s="116"/>
      <c r="L764" s="170">
        <v>44531</v>
      </c>
      <c r="M764" s="116">
        <v>1626.1</v>
      </c>
      <c r="N764" s="116">
        <v>1660</v>
      </c>
      <c r="O764" s="116">
        <v>1583.85</v>
      </c>
      <c r="P764" s="116">
        <v>1620</v>
      </c>
      <c r="Q764" s="116">
        <v>1626.1</v>
      </c>
      <c r="R764">
        <v>472899</v>
      </c>
    </row>
    <row r="765" spans="1:18" x14ac:dyDescent="0.25">
      <c r="A765" s="170">
        <v>44532</v>
      </c>
      <c r="B765" s="116">
        <v>1669</v>
      </c>
      <c r="C765" s="116">
        <v>1655.6</v>
      </c>
      <c r="D765" s="116">
        <v>1613.05</v>
      </c>
      <c r="E765" s="116">
        <v>1613.05</v>
      </c>
      <c r="F765" s="116">
        <v>1655.6</v>
      </c>
      <c r="G765">
        <v>4691</v>
      </c>
      <c r="H765" s="116"/>
      <c r="I765" s="116"/>
      <c r="L765" s="170">
        <v>44532</v>
      </c>
      <c r="M765" s="116">
        <v>1657.75</v>
      </c>
      <c r="N765" s="116">
        <v>1671.2</v>
      </c>
      <c r="O765" s="116">
        <v>1615</v>
      </c>
      <c r="P765" s="116">
        <v>1640</v>
      </c>
      <c r="Q765" s="116">
        <v>1657.75</v>
      </c>
      <c r="R765">
        <v>491512</v>
      </c>
    </row>
    <row r="766" spans="1:18" x14ac:dyDescent="0.25">
      <c r="A766" s="170">
        <v>44533</v>
      </c>
      <c r="B766" s="116">
        <v>1673.95</v>
      </c>
      <c r="C766" s="116">
        <v>1594.9</v>
      </c>
      <c r="D766" s="116">
        <v>1581</v>
      </c>
      <c r="E766" s="116">
        <v>1660.25</v>
      </c>
      <c r="F766" s="116">
        <v>1594.9</v>
      </c>
      <c r="G766">
        <v>5618</v>
      </c>
      <c r="H766" s="116"/>
      <c r="I766" s="116"/>
      <c r="L766" s="170">
        <v>44533</v>
      </c>
      <c r="M766" s="116">
        <v>1592.75</v>
      </c>
      <c r="N766" s="116">
        <v>1669</v>
      </c>
      <c r="O766" s="116">
        <v>1580</v>
      </c>
      <c r="P766" s="116">
        <v>1665</v>
      </c>
      <c r="Q766" s="116">
        <v>1592.75</v>
      </c>
      <c r="R766">
        <v>149220</v>
      </c>
    </row>
    <row r="767" spans="1:18" x14ac:dyDescent="0.25">
      <c r="A767" s="170">
        <v>44536</v>
      </c>
      <c r="B767" s="116">
        <v>1608</v>
      </c>
      <c r="C767" s="116">
        <v>1550.75</v>
      </c>
      <c r="D767" s="116">
        <v>1535.05</v>
      </c>
      <c r="E767" s="116">
        <v>1583.1</v>
      </c>
      <c r="F767" s="116">
        <v>1550.75</v>
      </c>
      <c r="G767">
        <v>6991</v>
      </c>
      <c r="H767" s="116"/>
      <c r="I767" s="116"/>
      <c r="L767" s="170">
        <v>44536</v>
      </c>
      <c r="M767" s="116">
        <v>1561.05</v>
      </c>
      <c r="N767" s="116">
        <v>1620</v>
      </c>
      <c r="O767" s="116">
        <v>1513.15</v>
      </c>
      <c r="P767" s="116">
        <v>1592.75</v>
      </c>
      <c r="Q767" s="116">
        <v>1561.05</v>
      </c>
      <c r="R767">
        <v>133876</v>
      </c>
    </row>
    <row r="768" spans="1:18" x14ac:dyDescent="0.25">
      <c r="A768" s="170">
        <v>44537</v>
      </c>
      <c r="B768" s="116">
        <v>1628.25</v>
      </c>
      <c r="C768" s="116">
        <v>1621.3</v>
      </c>
      <c r="D768" s="116">
        <v>1541</v>
      </c>
      <c r="E768" s="116">
        <v>1541</v>
      </c>
      <c r="F768" s="116">
        <v>1621.3</v>
      </c>
      <c r="G768">
        <v>6166</v>
      </c>
      <c r="H768" s="116"/>
      <c r="I768" s="116"/>
      <c r="L768" s="170">
        <v>44537</v>
      </c>
      <c r="M768" s="116">
        <v>1628.4</v>
      </c>
      <c r="N768" s="116">
        <v>1635</v>
      </c>
      <c r="O768" s="116">
        <v>1545</v>
      </c>
      <c r="P768" s="116">
        <v>1589.2</v>
      </c>
      <c r="Q768" s="116">
        <v>1628.4</v>
      </c>
      <c r="R768">
        <v>152770</v>
      </c>
    </row>
    <row r="769" spans="1:18" x14ac:dyDescent="0.25">
      <c r="A769" s="170">
        <v>44538</v>
      </c>
      <c r="B769" s="116">
        <v>1694.95</v>
      </c>
      <c r="C769" s="116">
        <v>1685.35</v>
      </c>
      <c r="D769" s="116">
        <v>1621.3</v>
      </c>
      <c r="E769" s="116">
        <v>1652</v>
      </c>
      <c r="F769" s="116">
        <v>1685.35</v>
      </c>
      <c r="G769">
        <v>7126</v>
      </c>
      <c r="H769" s="116"/>
      <c r="I769" s="116"/>
      <c r="L769" s="170">
        <v>44538</v>
      </c>
      <c r="M769" s="116">
        <v>1689.05</v>
      </c>
      <c r="N769" s="116">
        <v>1709</v>
      </c>
      <c r="O769" s="116">
        <v>1630</v>
      </c>
      <c r="P769" s="116">
        <v>1635</v>
      </c>
      <c r="Q769" s="116">
        <v>1689.05</v>
      </c>
      <c r="R769">
        <v>169487</v>
      </c>
    </row>
    <row r="770" spans="1:18" x14ac:dyDescent="0.25">
      <c r="A770" s="170">
        <v>44539</v>
      </c>
      <c r="B770" s="116">
        <v>1760</v>
      </c>
      <c r="C770" s="116">
        <v>1754.2</v>
      </c>
      <c r="D770" s="116">
        <v>1631.05</v>
      </c>
      <c r="E770" s="116">
        <v>1690</v>
      </c>
      <c r="F770" s="116">
        <v>1754.2</v>
      </c>
      <c r="G770">
        <v>7984</v>
      </c>
      <c r="H770" s="116"/>
      <c r="I770" s="116"/>
      <c r="L770" s="170">
        <v>44539</v>
      </c>
      <c r="M770" s="116">
        <v>1763.9</v>
      </c>
      <c r="N770" s="116">
        <v>1770</v>
      </c>
      <c r="O770" s="116">
        <v>1672.2</v>
      </c>
      <c r="P770" s="116">
        <v>1703</v>
      </c>
      <c r="Q770" s="116">
        <v>1763.9</v>
      </c>
      <c r="R770">
        <v>171697</v>
      </c>
    </row>
    <row r="771" spans="1:18" x14ac:dyDescent="0.25">
      <c r="A771" s="170">
        <v>44540</v>
      </c>
      <c r="B771" s="116">
        <v>1835</v>
      </c>
      <c r="C771" s="116">
        <v>1817</v>
      </c>
      <c r="D771" s="116">
        <v>1735</v>
      </c>
      <c r="E771" s="116">
        <v>1768</v>
      </c>
      <c r="F771" s="116">
        <v>1817</v>
      </c>
      <c r="G771">
        <v>9168</v>
      </c>
      <c r="H771" s="116"/>
      <c r="I771" s="116"/>
      <c r="L771" s="170">
        <v>44540</v>
      </c>
      <c r="M771" s="116">
        <v>1825</v>
      </c>
      <c r="N771" s="116">
        <v>1840</v>
      </c>
      <c r="O771" s="116">
        <v>1725.1</v>
      </c>
      <c r="P771" s="116">
        <v>1730</v>
      </c>
      <c r="Q771" s="116">
        <v>1825</v>
      </c>
      <c r="R771">
        <v>243338</v>
      </c>
    </row>
    <row r="772" spans="1:18" x14ac:dyDescent="0.25">
      <c r="A772" s="170">
        <v>44543</v>
      </c>
      <c r="B772" s="116">
        <v>1889.9</v>
      </c>
      <c r="C772" s="116">
        <v>1812.7</v>
      </c>
      <c r="D772" s="116">
        <v>1780</v>
      </c>
      <c r="E772" s="116">
        <v>1889.9</v>
      </c>
      <c r="F772" s="116">
        <v>1812.7</v>
      </c>
      <c r="G772">
        <v>6382</v>
      </c>
      <c r="H772" s="116"/>
      <c r="I772" s="116"/>
      <c r="L772" s="170">
        <v>44543</v>
      </c>
      <c r="M772" s="116">
        <v>1810</v>
      </c>
      <c r="N772" s="116">
        <v>1870</v>
      </c>
      <c r="O772" s="116">
        <v>1760</v>
      </c>
      <c r="P772" s="116">
        <v>1870</v>
      </c>
      <c r="Q772" s="116">
        <v>1810</v>
      </c>
      <c r="R772">
        <v>193942</v>
      </c>
    </row>
    <row r="773" spans="1:18" x14ac:dyDescent="0.25">
      <c r="A773" s="170">
        <v>44544</v>
      </c>
      <c r="B773" s="116">
        <v>1900</v>
      </c>
      <c r="C773" s="116">
        <v>1893.9</v>
      </c>
      <c r="D773" s="116">
        <v>1760</v>
      </c>
      <c r="E773" s="116">
        <v>1812.7</v>
      </c>
      <c r="F773" s="116">
        <v>1893.9</v>
      </c>
      <c r="G773">
        <v>11508</v>
      </c>
      <c r="H773" s="116"/>
      <c r="I773" s="116"/>
      <c r="L773" s="170">
        <v>44544</v>
      </c>
      <c r="M773" s="116">
        <v>1899.8</v>
      </c>
      <c r="N773" s="116">
        <v>1900.5</v>
      </c>
      <c r="O773" s="116">
        <v>1770.75</v>
      </c>
      <c r="P773" s="116">
        <v>1810</v>
      </c>
      <c r="Q773" s="116">
        <v>1899.8</v>
      </c>
      <c r="R773">
        <v>183215</v>
      </c>
    </row>
    <row r="774" spans="1:18" x14ac:dyDescent="0.25">
      <c r="A774" s="170">
        <v>44545</v>
      </c>
      <c r="B774" s="116">
        <v>1955</v>
      </c>
      <c r="C774" s="116">
        <v>1938.2</v>
      </c>
      <c r="D774" s="116">
        <v>1859.7</v>
      </c>
      <c r="E774" s="116">
        <v>1901</v>
      </c>
      <c r="F774" s="116">
        <v>1938.2</v>
      </c>
      <c r="G774">
        <v>3607</v>
      </c>
      <c r="H774" s="116"/>
      <c r="I774" s="116"/>
      <c r="L774" s="170">
        <v>44545</v>
      </c>
      <c r="M774" s="116">
        <v>1945.25</v>
      </c>
      <c r="N774" s="116">
        <v>1950</v>
      </c>
      <c r="O774" s="116">
        <v>1860</v>
      </c>
      <c r="P774" s="116">
        <v>1896</v>
      </c>
      <c r="Q774" s="116">
        <v>1945.25</v>
      </c>
      <c r="R774">
        <v>74682</v>
      </c>
    </row>
    <row r="775" spans="1:18" x14ac:dyDescent="0.25">
      <c r="A775" s="170">
        <v>44546</v>
      </c>
      <c r="B775" s="116">
        <v>1987</v>
      </c>
      <c r="C775" s="116">
        <v>1918.75</v>
      </c>
      <c r="D775" s="116">
        <v>1881.25</v>
      </c>
      <c r="E775" s="116">
        <v>1980</v>
      </c>
      <c r="F775" s="116">
        <v>1918.75</v>
      </c>
      <c r="G775">
        <v>6969</v>
      </c>
      <c r="H775" s="116"/>
      <c r="I775" s="116"/>
      <c r="L775" s="170">
        <v>44546</v>
      </c>
      <c r="M775" s="116">
        <v>1915.7</v>
      </c>
      <c r="N775" s="116">
        <v>1987.1</v>
      </c>
      <c r="O775" s="116">
        <v>1848</v>
      </c>
      <c r="P775" s="116">
        <v>1975</v>
      </c>
      <c r="Q775" s="116">
        <v>1915.7</v>
      </c>
      <c r="R775">
        <v>178662</v>
      </c>
    </row>
    <row r="776" spans="1:18" x14ac:dyDescent="0.25">
      <c r="A776" s="170">
        <v>44547</v>
      </c>
      <c r="B776" s="116">
        <v>1975</v>
      </c>
      <c r="C776" s="116">
        <v>1884.1</v>
      </c>
      <c r="D776" s="116">
        <v>1822.85</v>
      </c>
      <c r="E776" s="116">
        <v>1845</v>
      </c>
      <c r="F776" s="116">
        <v>1884.1</v>
      </c>
      <c r="G776">
        <v>14659</v>
      </c>
      <c r="H776" s="116"/>
      <c r="I776" s="116"/>
      <c r="L776" s="170">
        <v>44547</v>
      </c>
      <c r="M776" s="116">
        <v>1861.6</v>
      </c>
      <c r="N776" s="116">
        <v>1977</v>
      </c>
      <c r="O776" s="116">
        <v>1819.95</v>
      </c>
      <c r="P776" s="116">
        <v>1875</v>
      </c>
      <c r="Q776" s="116">
        <v>1861.6</v>
      </c>
      <c r="R776">
        <v>390891</v>
      </c>
    </row>
    <row r="777" spans="1:18" x14ac:dyDescent="0.25">
      <c r="A777" s="170">
        <v>44550</v>
      </c>
      <c r="B777" s="116">
        <v>1790</v>
      </c>
      <c r="C777" s="116">
        <v>1789.9</v>
      </c>
      <c r="D777" s="116">
        <v>1789.9</v>
      </c>
      <c r="E777" s="116">
        <v>1790</v>
      </c>
      <c r="F777" s="116">
        <v>1789.9</v>
      </c>
      <c r="G777">
        <v>1886</v>
      </c>
      <c r="H777" s="116"/>
      <c r="I777" s="116"/>
      <c r="L777" s="170">
        <v>44550</v>
      </c>
      <c r="M777" s="116">
        <v>1768.55</v>
      </c>
      <c r="N777" s="116">
        <v>1789</v>
      </c>
      <c r="O777" s="116">
        <v>1768.55</v>
      </c>
      <c r="P777" s="116">
        <v>1768.55</v>
      </c>
      <c r="Q777" s="116">
        <v>1768.55</v>
      </c>
      <c r="R777">
        <v>38154</v>
      </c>
    </row>
    <row r="778" spans="1:18" x14ac:dyDescent="0.25">
      <c r="A778" s="170">
        <v>44551</v>
      </c>
      <c r="B778" s="116">
        <v>1800</v>
      </c>
      <c r="C778" s="116">
        <v>1705.3</v>
      </c>
      <c r="D778" s="116">
        <v>1700.45</v>
      </c>
      <c r="E778" s="116">
        <v>1700.45</v>
      </c>
      <c r="F778" s="116">
        <v>1705.3</v>
      </c>
      <c r="G778">
        <v>17897</v>
      </c>
      <c r="H778" s="116"/>
      <c r="I778" s="116"/>
      <c r="L778" s="170">
        <v>44551</v>
      </c>
      <c r="M778" s="116">
        <v>1698.45</v>
      </c>
      <c r="N778" s="116">
        <v>1818</v>
      </c>
      <c r="O778" s="116">
        <v>1680.15</v>
      </c>
      <c r="P778" s="116">
        <v>1680.15</v>
      </c>
      <c r="Q778" s="116">
        <v>1698.45</v>
      </c>
      <c r="R778">
        <v>104027</v>
      </c>
    </row>
    <row r="779" spans="1:18" x14ac:dyDescent="0.25">
      <c r="A779" s="170">
        <v>44552</v>
      </c>
      <c r="B779" s="116">
        <v>1785</v>
      </c>
      <c r="C779" s="116">
        <v>1728.5</v>
      </c>
      <c r="D779" s="116">
        <v>1622</v>
      </c>
      <c r="E779" s="116">
        <v>1735.9</v>
      </c>
      <c r="F779" s="116">
        <v>1728.5</v>
      </c>
      <c r="G779">
        <v>10618</v>
      </c>
      <c r="H779" s="116"/>
      <c r="I779" s="116"/>
      <c r="L779" s="170">
        <v>44552</v>
      </c>
      <c r="M779" s="116">
        <v>1738.6</v>
      </c>
      <c r="N779" s="116">
        <v>1781.5</v>
      </c>
      <c r="O779" s="116">
        <v>1620.1</v>
      </c>
      <c r="P779" s="116">
        <v>1700</v>
      </c>
      <c r="Q779" s="116">
        <v>1738.6</v>
      </c>
      <c r="R779">
        <v>126284</v>
      </c>
    </row>
    <row r="780" spans="1:18" x14ac:dyDescent="0.25">
      <c r="A780" s="170">
        <v>44553</v>
      </c>
      <c r="B780" s="116">
        <v>1785</v>
      </c>
      <c r="C780" s="116">
        <v>1748.25</v>
      </c>
      <c r="D780" s="116">
        <v>1732.5</v>
      </c>
      <c r="E780" s="116">
        <v>1760.45</v>
      </c>
      <c r="F780" s="116">
        <v>1748.25</v>
      </c>
      <c r="G780">
        <v>2233</v>
      </c>
      <c r="H780" s="116"/>
      <c r="I780" s="116"/>
      <c r="L780" s="170">
        <v>44553</v>
      </c>
      <c r="M780" s="116">
        <v>1752.3</v>
      </c>
      <c r="N780" s="116">
        <v>1800</v>
      </c>
      <c r="O780" s="116">
        <v>1725</v>
      </c>
      <c r="P780" s="116">
        <v>1800</v>
      </c>
      <c r="Q780" s="116">
        <v>1752.3</v>
      </c>
      <c r="R780">
        <v>83150</v>
      </c>
    </row>
    <row r="781" spans="1:18" x14ac:dyDescent="0.25">
      <c r="A781" s="170">
        <v>44554</v>
      </c>
      <c r="B781" s="116">
        <v>1755</v>
      </c>
      <c r="C781" s="116">
        <v>1719.55</v>
      </c>
      <c r="D781" s="116">
        <v>1674</v>
      </c>
      <c r="E781" s="116">
        <v>1755</v>
      </c>
      <c r="F781" s="116">
        <v>1719.55</v>
      </c>
      <c r="G781">
        <v>2850</v>
      </c>
      <c r="H781" s="116"/>
      <c r="I781" s="116"/>
      <c r="L781" s="170">
        <v>44554</v>
      </c>
      <c r="M781" s="116">
        <v>1712.4</v>
      </c>
      <c r="N781" s="116">
        <v>1745</v>
      </c>
      <c r="O781" s="116">
        <v>1678</v>
      </c>
      <c r="P781" s="116">
        <v>1720.05</v>
      </c>
      <c r="Q781" s="116">
        <v>1712.4</v>
      </c>
      <c r="R781">
        <v>47720</v>
      </c>
    </row>
    <row r="782" spans="1:18" x14ac:dyDescent="0.25">
      <c r="A782" s="170">
        <v>44557</v>
      </c>
      <c r="B782" s="116">
        <v>1774.15</v>
      </c>
      <c r="C782" s="116">
        <v>1761.7</v>
      </c>
      <c r="D782" s="116">
        <v>1642.05</v>
      </c>
      <c r="E782" s="116">
        <v>1691.05</v>
      </c>
      <c r="F782" s="116">
        <v>1761.7</v>
      </c>
      <c r="G782">
        <v>6320</v>
      </c>
      <c r="H782" s="116"/>
      <c r="I782" s="116"/>
      <c r="L782" s="170">
        <v>44557</v>
      </c>
      <c r="M782" s="116">
        <v>1769.65</v>
      </c>
      <c r="N782" s="116">
        <v>1783</v>
      </c>
      <c r="O782" s="116">
        <v>1665</v>
      </c>
      <c r="P782" s="116">
        <v>1705</v>
      </c>
      <c r="Q782" s="116">
        <v>1769.65</v>
      </c>
      <c r="R782">
        <v>71983</v>
      </c>
    </row>
    <row r="783" spans="1:18" x14ac:dyDescent="0.25">
      <c r="A783" s="170">
        <v>44558</v>
      </c>
      <c r="B783" s="116">
        <v>1797</v>
      </c>
      <c r="C783" s="116">
        <v>1746.6</v>
      </c>
      <c r="D783" s="116">
        <v>1731.1</v>
      </c>
      <c r="E783" s="116">
        <v>1797</v>
      </c>
      <c r="F783" s="116">
        <v>1746.6</v>
      </c>
      <c r="G783">
        <v>3104</v>
      </c>
      <c r="H783" s="116"/>
      <c r="I783" s="116"/>
      <c r="L783" s="170">
        <v>44558</v>
      </c>
      <c r="M783" s="116">
        <v>1762.05</v>
      </c>
      <c r="N783" s="116">
        <v>1798</v>
      </c>
      <c r="O783" s="116">
        <v>1728</v>
      </c>
      <c r="P783" s="116">
        <v>1784</v>
      </c>
      <c r="Q783" s="116">
        <v>1762.05</v>
      </c>
      <c r="R783">
        <v>62275</v>
      </c>
    </row>
    <row r="784" spans="1:18" x14ac:dyDescent="0.25">
      <c r="A784" s="170">
        <v>44559</v>
      </c>
      <c r="B784" s="116">
        <v>1778</v>
      </c>
      <c r="C784" s="116">
        <v>1742.3</v>
      </c>
      <c r="D784" s="116">
        <v>1727.15</v>
      </c>
      <c r="E784" s="116">
        <v>1778</v>
      </c>
      <c r="F784" s="116">
        <v>1742.3</v>
      </c>
      <c r="G784">
        <v>2337</v>
      </c>
      <c r="H784" s="116"/>
      <c r="I784" s="116"/>
      <c r="L784" s="170">
        <v>44559</v>
      </c>
      <c r="M784" s="116">
        <v>1749.2</v>
      </c>
      <c r="N784" s="116">
        <v>1772</v>
      </c>
      <c r="O784" s="116">
        <v>1730</v>
      </c>
      <c r="P784" s="116">
        <v>1760</v>
      </c>
      <c r="Q784" s="116">
        <v>1749.2</v>
      </c>
      <c r="R784">
        <v>239218</v>
      </c>
    </row>
    <row r="785" spans="1:18" x14ac:dyDescent="0.25">
      <c r="A785" s="170">
        <v>44560</v>
      </c>
      <c r="B785" s="116">
        <v>1770</v>
      </c>
      <c r="C785" s="116">
        <v>1687.95</v>
      </c>
      <c r="D785" s="116">
        <v>1660</v>
      </c>
      <c r="E785" s="116">
        <v>1755</v>
      </c>
      <c r="F785" s="116">
        <v>1687.95</v>
      </c>
      <c r="G785">
        <v>3166</v>
      </c>
      <c r="H785" s="116"/>
      <c r="I785" s="116"/>
      <c r="L785" s="170">
        <v>44560</v>
      </c>
      <c r="M785" s="116">
        <v>1682.4</v>
      </c>
      <c r="N785" s="116">
        <v>1762.55</v>
      </c>
      <c r="O785" s="116">
        <v>1662</v>
      </c>
      <c r="P785" s="116">
        <v>1726</v>
      </c>
      <c r="Q785" s="116">
        <v>1682.4</v>
      </c>
      <c r="R785">
        <v>402881</v>
      </c>
    </row>
    <row r="786" spans="1:18" x14ac:dyDescent="0.25">
      <c r="A786" s="170">
        <v>44561</v>
      </c>
      <c r="B786" s="116">
        <v>1739.8</v>
      </c>
      <c r="C786" s="116">
        <v>1714.65</v>
      </c>
      <c r="D786" s="116">
        <v>1668.25</v>
      </c>
      <c r="E786" s="116">
        <v>1717</v>
      </c>
      <c r="F786" s="116">
        <v>1714.65</v>
      </c>
      <c r="G786">
        <v>4330</v>
      </c>
      <c r="H786" s="116"/>
      <c r="I786" s="116"/>
      <c r="L786" s="170">
        <v>44561</v>
      </c>
      <c r="M786" s="116">
        <v>1721.8</v>
      </c>
      <c r="N786" s="116">
        <v>1740</v>
      </c>
      <c r="O786" s="116">
        <v>1681.1</v>
      </c>
      <c r="P786" s="116">
        <v>1701</v>
      </c>
      <c r="Q786" s="116">
        <v>1721.8</v>
      </c>
      <c r="R786">
        <v>270997</v>
      </c>
    </row>
    <row r="787" spans="1:18" x14ac:dyDescent="0.25">
      <c r="A787" s="170">
        <v>44564</v>
      </c>
      <c r="B787" s="116">
        <v>1775</v>
      </c>
      <c r="C787" s="116">
        <v>1744.7</v>
      </c>
      <c r="D787" s="116">
        <v>1699</v>
      </c>
      <c r="E787" s="116">
        <v>1710</v>
      </c>
      <c r="F787" s="116">
        <v>1744.7</v>
      </c>
      <c r="G787">
        <v>4082</v>
      </c>
      <c r="H787" s="116"/>
      <c r="I787" s="116"/>
      <c r="L787" s="170">
        <v>44564</v>
      </c>
      <c r="M787" s="116">
        <v>1743.8</v>
      </c>
      <c r="N787" s="116">
        <v>1770</v>
      </c>
      <c r="O787" s="116">
        <v>1685.05</v>
      </c>
      <c r="P787" s="116">
        <v>1685.05</v>
      </c>
      <c r="Q787" s="116">
        <v>1743.8</v>
      </c>
      <c r="R787">
        <v>332111</v>
      </c>
    </row>
    <row r="788" spans="1:18" x14ac:dyDescent="0.25">
      <c r="A788" s="170">
        <v>44565</v>
      </c>
      <c r="B788" s="116">
        <v>1765</v>
      </c>
      <c r="C788" s="116">
        <v>1746.4</v>
      </c>
      <c r="D788" s="116">
        <v>1726.35</v>
      </c>
      <c r="E788" s="116">
        <v>1765</v>
      </c>
      <c r="F788" s="116">
        <v>1746.4</v>
      </c>
      <c r="G788">
        <v>5926</v>
      </c>
      <c r="H788" s="116"/>
      <c r="I788" s="116"/>
      <c r="L788" s="170">
        <v>44565</v>
      </c>
      <c r="M788" s="116">
        <v>1753.95</v>
      </c>
      <c r="N788" s="116">
        <v>1769.9</v>
      </c>
      <c r="O788" s="116">
        <v>1715</v>
      </c>
      <c r="P788" s="116">
        <v>1752</v>
      </c>
      <c r="Q788" s="116">
        <v>1753.95</v>
      </c>
      <c r="R788">
        <v>431313</v>
      </c>
    </row>
    <row r="789" spans="1:18" x14ac:dyDescent="0.25">
      <c r="A789" s="170">
        <v>44566</v>
      </c>
      <c r="B789" s="116">
        <v>1780</v>
      </c>
      <c r="C789" s="116">
        <v>1765.35</v>
      </c>
      <c r="D789" s="116">
        <v>1725</v>
      </c>
      <c r="E789" s="116">
        <v>1741</v>
      </c>
      <c r="F789" s="116">
        <v>1765.35</v>
      </c>
      <c r="G789">
        <v>2640</v>
      </c>
      <c r="H789" s="116"/>
      <c r="I789" s="116"/>
      <c r="L789" s="170">
        <v>44566</v>
      </c>
      <c r="M789" s="116">
        <v>1771.7</v>
      </c>
      <c r="N789" s="116">
        <v>1774.9</v>
      </c>
      <c r="O789" s="116">
        <v>1725</v>
      </c>
      <c r="P789" s="116">
        <v>1725</v>
      </c>
      <c r="Q789" s="116">
        <v>1771.7</v>
      </c>
      <c r="R789">
        <v>368312</v>
      </c>
    </row>
    <row r="790" spans="1:18" x14ac:dyDescent="0.25">
      <c r="A790" s="170">
        <v>44567</v>
      </c>
      <c r="B790" s="116">
        <v>1800</v>
      </c>
      <c r="C790" s="116">
        <v>1798.65</v>
      </c>
      <c r="D790" s="116">
        <v>1734</v>
      </c>
      <c r="E790" s="116">
        <v>1755</v>
      </c>
      <c r="F790" s="116">
        <v>1798.65</v>
      </c>
      <c r="G790">
        <v>3033</v>
      </c>
      <c r="H790" s="116"/>
      <c r="I790" s="116"/>
      <c r="L790" s="170">
        <v>44567</v>
      </c>
      <c r="M790" s="116">
        <v>1798.5</v>
      </c>
      <c r="N790" s="116">
        <v>1800</v>
      </c>
      <c r="O790" s="116">
        <v>1731.7</v>
      </c>
      <c r="P790" s="116">
        <v>1760</v>
      </c>
      <c r="Q790" s="116">
        <v>1798.5</v>
      </c>
      <c r="R790">
        <v>272343</v>
      </c>
    </row>
    <row r="791" spans="1:18" x14ac:dyDescent="0.25">
      <c r="A791" s="170">
        <v>44568</v>
      </c>
      <c r="B791" s="116">
        <v>1825</v>
      </c>
      <c r="C791" s="116">
        <v>1783.25</v>
      </c>
      <c r="D791" s="116">
        <v>1770</v>
      </c>
      <c r="E791" s="116">
        <v>1822</v>
      </c>
      <c r="F791" s="116">
        <v>1783.25</v>
      </c>
      <c r="G791">
        <v>5565</v>
      </c>
      <c r="H791" s="116"/>
      <c r="I791" s="116"/>
      <c r="L791" s="170">
        <v>44568</v>
      </c>
      <c r="M791" s="116">
        <v>1787.8</v>
      </c>
      <c r="N791" s="116">
        <v>1820</v>
      </c>
      <c r="O791" s="116">
        <v>1765</v>
      </c>
      <c r="P791" s="116">
        <v>1801</v>
      </c>
      <c r="Q791" s="116">
        <v>1787.8</v>
      </c>
      <c r="R791">
        <v>53569</v>
      </c>
    </row>
    <row r="792" spans="1:18" x14ac:dyDescent="0.25">
      <c r="A792" s="170">
        <v>44571</v>
      </c>
      <c r="B792" s="116">
        <v>1817.95</v>
      </c>
      <c r="C792" s="116">
        <v>1761.6</v>
      </c>
      <c r="D792" s="116">
        <v>1750</v>
      </c>
      <c r="E792" s="116">
        <v>1780</v>
      </c>
      <c r="F792" s="116">
        <v>1761.6</v>
      </c>
      <c r="G792">
        <v>2409</v>
      </c>
      <c r="H792" s="116"/>
      <c r="I792" s="116"/>
      <c r="L792" s="170">
        <v>44571</v>
      </c>
      <c r="M792" s="116">
        <v>1763.35</v>
      </c>
      <c r="N792" s="116">
        <v>1809.8</v>
      </c>
      <c r="O792" s="116">
        <v>1750</v>
      </c>
      <c r="P792" s="116">
        <v>1790.1</v>
      </c>
      <c r="Q792" s="116">
        <v>1763.35</v>
      </c>
      <c r="R792">
        <v>53429</v>
      </c>
    </row>
    <row r="793" spans="1:18" x14ac:dyDescent="0.25">
      <c r="A793" s="170">
        <v>44572</v>
      </c>
      <c r="B793" s="116">
        <v>1797.65</v>
      </c>
      <c r="C793" s="116">
        <v>1783.9</v>
      </c>
      <c r="D793" s="116">
        <v>1735.25</v>
      </c>
      <c r="E793" s="116">
        <v>1787.9</v>
      </c>
      <c r="F793" s="116">
        <v>1783.9</v>
      </c>
      <c r="G793">
        <v>1662</v>
      </c>
      <c r="H793" s="116"/>
      <c r="I793" s="116"/>
      <c r="L793" s="170">
        <v>44572</v>
      </c>
      <c r="M793" s="116">
        <v>1779.95</v>
      </c>
      <c r="N793" s="116">
        <v>1798.65</v>
      </c>
      <c r="O793" s="116">
        <v>1740.25</v>
      </c>
      <c r="P793" s="116">
        <v>1790</v>
      </c>
      <c r="Q793" s="116">
        <v>1779.95</v>
      </c>
      <c r="R793">
        <v>178094</v>
      </c>
    </row>
    <row r="794" spans="1:18" x14ac:dyDescent="0.25">
      <c r="A794" s="170">
        <v>44573</v>
      </c>
      <c r="B794" s="116">
        <v>1799</v>
      </c>
      <c r="C794" s="116">
        <v>1775.4</v>
      </c>
      <c r="D794" s="116">
        <v>1711</v>
      </c>
      <c r="E794" s="116">
        <v>1794.9</v>
      </c>
      <c r="F794" s="116">
        <v>1775.4</v>
      </c>
      <c r="G794">
        <v>7203</v>
      </c>
      <c r="H794" s="116"/>
      <c r="I794" s="116"/>
      <c r="L794" s="170">
        <v>44573</v>
      </c>
      <c r="M794" s="116">
        <v>1796.7</v>
      </c>
      <c r="N794" s="116">
        <v>1805</v>
      </c>
      <c r="O794" s="116">
        <v>1765</v>
      </c>
      <c r="P794" s="116">
        <v>1800</v>
      </c>
      <c r="Q794" s="116">
        <v>1796.7</v>
      </c>
      <c r="R794">
        <v>121926</v>
      </c>
    </row>
    <row r="795" spans="1:18" x14ac:dyDescent="0.25">
      <c r="A795" s="170">
        <v>44574</v>
      </c>
      <c r="B795" s="116">
        <v>1850</v>
      </c>
      <c r="C795" s="116">
        <v>1815.25</v>
      </c>
      <c r="D795" s="116">
        <v>1769.05</v>
      </c>
      <c r="E795" s="116">
        <v>1799</v>
      </c>
      <c r="F795" s="116">
        <v>1815.25</v>
      </c>
      <c r="G795">
        <v>3264</v>
      </c>
      <c r="H795" s="116"/>
      <c r="I795" s="116"/>
      <c r="L795" s="170">
        <v>44574</v>
      </c>
      <c r="M795" s="116">
        <v>1821.25</v>
      </c>
      <c r="N795" s="116">
        <v>1833</v>
      </c>
      <c r="O795" s="116">
        <v>1775</v>
      </c>
      <c r="P795" s="116">
        <v>1800</v>
      </c>
      <c r="Q795" s="116">
        <v>1821.25</v>
      </c>
      <c r="R795">
        <v>108499</v>
      </c>
    </row>
    <row r="796" spans="1:18" x14ac:dyDescent="0.25">
      <c r="A796" s="170">
        <v>44575</v>
      </c>
      <c r="B796" s="116">
        <v>1851</v>
      </c>
      <c r="C796" s="116">
        <v>1806.4</v>
      </c>
      <c r="D796" s="116">
        <v>1770</v>
      </c>
      <c r="E796" s="116">
        <v>1851</v>
      </c>
      <c r="F796" s="116">
        <v>1806.4</v>
      </c>
      <c r="G796">
        <v>5140</v>
      </c>
      <c r="H796" s="116"/>
      <c r="I796" s="116"/>
      <c r="L796" s="170">
        <v>44575</v>
      </c>
      <c r="M796" s="116">
        <v>1805.85</v>
      </c>
      <c r="N796" s="116">
        <v>1828</v>
      </c>
      <c r="O796" s="116">
        <v>1785</v>
      </c>
      <c r="P796" s="116">
        <v>1828</v>
      </c>
      <c r="Q796" s="116">
        <v>1805.85</v>
      </c>
      <c r="R796">
        <v>151881</v>
      </c>
    </row>
    <row r="797" spans="1:18" x14ac:dyDescent="0.25">
      <c r="A797" s="170">
        <v>44578</v>
      </c>
      <c r="B797" s="116">
        <v>1838</v>
      </c>
      <c r="C797" s="116">
        <v>1784.85</v>
      </c>
      <c r="D797" s="116">
        <v>1750</v>
      </c>
      <c r="E797" s="116">
        <v>1838</v>
      </c>
      <c r="F797" s="116">
        <v>1784.85</v>
      </c>
      <c r="G797">
        <v>8003</v>
      </c>
      <c r="H797" s="116"/>
      <c r="I797" s="116"/>
      <c r="L797" s="170">
        <v>44578</v>
      </c>
      <c r="M797" s="116">
        <v>1798.8</v>
      </c>
      <c r="N797" s="116">
        <v>1840</v>
      </c>
      <c r="O797" s="116">
        <v>1776.2</v>
      </c>
      <c r="P797" s="116">
        <v>1840</v>
      </c>
      <c r="Q797" s="116">
        <v>1798.8</v>
      </c>
      <c r="R797">
        <v>198010</v>
      </c>
    </row>
    <row r="798" spans="1:18" x14ac:dyDescent="0.25">
      <c r="A798" s="170">
        <v>44579</v>
      </c>
      <c r="B798" s="116">
        <v>1824.05</v>
      </c>
      <c r="C798" s="116">
        <v>1812.75</v>
      </c>
      <c r="D798" s="116">
        <v>1776</v>
      </c>
      <c r="E798" s="116">
        <v>1814.85</v>
      </c>
      <c r="F798" s="116">
        <v>1812.75</v>
      </c>
      <c r="G798">
        <v>2807</v>
      </c>
      <c r="H798" s="116"/>
      <c r="I798" s="116"/>
      <c r="L798" s="170">
        <v>44579</v>
      </c>
      <c r="M798" s="116">
        <v>1815.45</v>
      </c>
      <c r="N798" s="116">
        <v>1822</v>
      </c>
      <c r="O798" s="116">
        <v>1780</v>
      </c>
      <c r="P798" s="116">
        <v>1798.8</v>
      </c>
      <c r="Q798" s="116">
        <v>1815.45</v>
      </c>
      <c r="R798">
        <v>75764</v>
      </c>
    </row>
    <row r="799" spans="1:18" x14ac:dyDescent="0.25">
      <c r="A799" s="170">
        <v>44580</v>
      </c>
      <c r="B799" s="116">
        <v>1819.9</v>
      </c>
      <c r="C799" s="116">
        <v>1794.65</v>
      </c>
      <c r="D799" s="116">
        <v>1770</v>
      </c>
      <c r="E799" s="116">
        <v>1819.9</v>
      </c>
      <c r="F799" s="116">
        <v>1794.65</v>
      </c>
      <c r="G799">
        <v>1915</v>
      </c>
      <c r="H799" s="116"/>
      <c r="I799" s="116"/>
      <c r="L799" s="170">
        <v>44580</v>
      </c>
      <c r="M799" s="116">
        <v>1794.9</v>
      </c>
      <c r="N799" s="116">
        <v>1820</v>
      </c>
      <c r="O799" s="116">
        <v>1761</v>
      </c>
      <c r="P799" s="116">
        <v>1818</v>
      </c>
      <c r="Q799" s="116">
        <v>1794.9</v>
      </c>
      <c r="R799">
        <v>40542</v>
      </c>
    </row>
    <row r="800" spans="1:18" x14ac:dyDescent="0.25">
      <c r="A800" s="170">
        <v>44581</v>
      </c>
      <c r="B800" s="116">
        <v>1818</v>
      </c>
      <c r="C800" s="116">
        <v>1793.8</v>
      </c>
      <c r="D800" s="116">
        <v>1775</v>
      </c>
      <c r="E800" s="116">
        <v>1818</v>
      </c>
      <c r="F800" s="116">
        <v>1793.8</v>
      </c>
      <c r="G800">
        <v>2162</v>
      </c>
      <c r="H800" s="116"/>
      <c r="I800" s="116"/>
      <c r="L800" s="170">
        <v>44581</v>
      </c>
      <c r="M800" s="116">
        <v>1803.7</v>
      </c>
      <c r="N800" s="116">
        <v>1810</v>
      </c>
      <c r="O800" s="116">
        <v>1765</v>
      </c>
      <c r="P800" s="116">
        <v>1780.05</v>
      </c>
      <c r="Q800" s="116">
        <v>1803.7</v>
      </c>
      <c r="R800">
        <v>64946</v>
      </c>
    </row>
    <row r="801" spans="1:18" x14ac:dyDescent="0.25">
      <c r="A801" s="170">
        <v>44582</v>
      </c>
      <c r="B801" s="116">
        <v>1870</v>
      </c>
      <c r="C801" s="116">
        <v>1834.5</v>
      </c>
      <c r="D801" s="116">
        <v>1741.6</v>
      </c>
      <c r="E801" s="116">
        <v>1803</v>
      </c>
      <c r="F801" s="116">
        <v>1834.5</v>
      </c>
      <c r="G801">
        <v>4298</v>
      </c>
      <c r="H801" s="116"/>
      <c r="I801" s="116"/>
      <c r="L801" s="170">
        <v>44582</v>
      </c>
      <c r="M801" s="116">
        <v>1827.3</v>
      </c>
      <c r="N801" s="116">
        <v>1890</v>
      </c>
      <c r="O801" s="116">
        <v>1745</v>
      </c>
      <c r="P801" s="116">
        <v>1804</v>
      </c>
      <c r="Q801" s="116">
        <v>1827.3</v>
      </c>
      <c r="R801">
        <v>287544</v>
      </c>
    </row>
    <row r="802" spans="1:18" x14ac:dyDescent="0.25">
      <c r="A802" s="170">
        <v>44585</v>
      </c>
      <c r="B802" s="116">
        <v>1857</v>
      </c>
      <c r="C802" s="116">
        <v>1763.95</v>
      </c>
      <c r="D802" s="116">
        <v>1742.8</v>
      </c>
      <c r="E802" s="116">
        <v>1840</v>
      </c>
      <c r="F802" s="116">
        <v>1763.95</v>
      </c>
      <c r="G802">
        <v>10783</v>
      </c>
      <c r="H802" s="116"/>
      <c r="I802" s="116"/>
      <c r="L802" s="170">
        <v>44585</v>
      </c>
      <c r="M802" s="116">
        <v>1781.15</v>
      </c>
      <c r="N802" s="116">
        <v>1844.9</v>
      </c>
      <c r="O802" s="116">
        <v>1735.95</v>
      </c>
      <c r="P802" s="116">
        <v>1844.9</v>
      </c>
      <c r="Q802" s="116">
        <v>1781.15</v>
      </c>
      <c r="R802">
        <v>223551</v>
      </c>
    </row>
    <row r="803" spans="1:18" x14ac:dyDescent="0.25">
      <c r="A803" s="170">
        <v>44586</v>
      </c>
      <c r="B803" s="116">
        <v>1849.2</v>
      </c>
      <c r="C803" s="116">
        <v>1833.05</v>
      </c>
      <c r="D803" s="116">
        <v>1676</v>
      </c>
      <c r="E803" s="116">
        <v>1704</v>
      </c>
      <c r="F803" s="116">
        <v>1833.05</v>
      </c>
      <c r="G803">
        <v>3027</v>
      </c>
      <c r="H803" s="116"/>
      <c r="I803" s="116"/>
      <c r="L803" s="170">
        <v>44586</v>
      </c>
      <c r="M803" s="116">
        <v>1825.2</v>
      </c>
      <c r="N803" s="116">
        <v>1848.9</v>
      </c>
      <c r="O803" s="116">
        <v>1700</v>
      </c>
      <c r="P803" s="116">
        <v>1750</v>
      </c>
      <c r="Q803" s="116">
        <v>1825.2</v>
      </c>
      <c r="R803">
        <v>231199</v>
      </c>
    </row>
    <row r="804" spans="1:18" x14ac:dyDescent="0.25">
      <c r="A804" s="170">
        <v>44588</v>
      </c>
      <c r="B804" s="116">
        <v>1849</v>
      </c>
      <c r="C804" s="116">
        <v>1816.55</v>
      </c>
      <c r="D804" s="116">
        <v>1765</v>
      </c>
      <c r="E804" s="116">
        <v>1835</v>
      </c>
      <c r="F804" s="116">
        <v>1816.55</v>
      </c>
      <c r="G804">
        <v>5339</v>
      </c>
      <c r="H804" s="116"/>
      <c r="I804" s="116"/>
      <c r="L804" s="170">
        <v>44588</v>
      </c>
      <c r="M804" s="116">
        <v>1830.75</v>
      </c>
      <c r="N804" s="116">
        <v>1850.05</v>
      </c>
      <c r="O804" s="116">
        <v>1780</v>
      </c>
      <c r="P804" s="116">
        <v>1839</v>
      </c>
      <c r="Q804" s="116">
        <v>1830.75</v>
      </c>
      <c r="R804">
        <v>288688</v>
      </c>
    </row>
    <row r="805" spans="1:18" x14ac:dyDescent="0.25">
      <c r="A805" s="170">
        <v>44589</v>
      </c>
      <c r="B805" s="116">
        <v>1865</v>
      </c>
      <c r="C805" s="116">
        <v>1822.45</v>
      </c>
      <c r="D805" s="116">
        <v>1800</v>
      </c>
      <c r="E805" s="116">
        <v>1840</v>
      </c>
      <c r="F805" s="116">
        <v>1822.45</v>
      </c>
      <c r="G805">
        <v>3944</v>
      </c>
      <c r="H805" s="116"/>
      <c r="I805" s="116"/>
      <c r="L805" s="170">
        <v>44589</v>
      </c>
      <c r="M805" s="116">
        <v>1830.9</v>
      </c>
      <c r="N805" s="116">
        <v>1864.95</v>
      </c>
      <c r="O805" s="116">
        <v>1810.15</v>
      </c>
      <c r="P805" s="116">
        <v>1835</v>
      </c>
      <c r="Q805" s="116">
        <v>1830.9</v>
      </c>
      <c r="R805">
        <v>250657</v>
      </c>
    </row>
    <row r="806" spans="1:18" x14ac:dyDescent="0.25">
      <c r="A806" s="170">
        <v>44592</v>
      </c>
      <c r="B806" s="116">
        <v>1890</v>
      </c>
      <c r="C806" s="116">
        <v>1822.15</v>
      </c>
      <c r="D806" s="116">
        <v>1785.6</v>
      </c>
      <c r="E806" s="116">
        <v>1859.9</v>
      </c>
      <c r="F806" s="116">
        <v>1822.15</v>
      </c>
      <c r="G806">
        <v>7602</v>
      </c>
      <c r="H806" s="116"/>
      <c r="I806" s="116"/>
      <c r="L806" s="170">
        <v>44592</v>
      </c>
      <c r="M806" s="116">
        <v>1821.25</v>
      </c>
      <c r="N806" s="116">
        <v>1888</v>
      </c>
      <c r="O806" s="116">
        <v>1802</v>
      </c>
      <c r="P806" s="116">
        <v>1847</v>
      </c>
      <c r="Q806" s="116">
        <v>1821.25</v>
      </c>
      <c r="R806">
        <v>178616</v>
      </c>
    </row>
    <row r="807" spans="1:18" x14ac:dyDescent="0.25">
      <c r="A807" s="170">
        <v>44593</v>
      </c>
      <c r="B807" s="116">
        <v>1880</v>
      </c>
      <c r="C807" s="116">
        <v>1855.25</v>
      </c>
      <c r="D807" s="116">
        <v>1806.05</v>
      </c>
      <c r="E807" s="116">
        <v>1843</v>
      </c>
      <c r="F807" s="116">
        <v>1855.25</v>
      </c>
      <c r="G807">
        <v>5994</v>
      </c>
      <c r="H807" s="116"/>
      <c r="I807" s="116"/>
      <c r="L807" s="170">
        <v>44593</v>
      </c>
      <c r="M807" s="116">
        <v>1864.65</v>
      </c>
      <c r="N807" s="116">
        <v>1880</v>
      </c>
      <c r="O807" s="116">
        <v>1830</v>
      </c>
      <c r="P807" s="116">
        <v>1830</v>
      </c>
      <c r="Q807" s="116">
        <v>1864.65</v>
      </c>
      <c r="R807">
        <v>349743</v>
      </c>
    </row>
    <row r="808" spans="1:18" x14ac:dyDescent="0.25">
      <c r="A808" s="170">
        <v>44594</v>
      </c>
      <c r="B808" s="116">
        <v>1899</v>
      </c>
      <c r="C808" s="116">
        <v>1871</v>
      </c>
      <c r="D808" s="116">
        <v>1850.35</v>
      </c>
      <c r="E808" s="116">
        <v>1873</v>
      </c>
      <c r="F808" s="116">
        <v>1871</v>
      </c>
      <c r="G808">
        <v>2874</v>
      </c>
      <c r="H808" s="116"/>
      <c r="I808" s="116"/>
      <c r="L808" s="170">
        <v>44594</v>
      </c>
      <c r="M808" s="116">
        <v>1877.1</v>
      </c>
      <c r="N808" s="116">
        <v>1880</v>
      </c>
      <c r="O808" s="116">
        <v>1861</v>
      </c>
      <c r="P808" s="116">
        <v>1880</v>
      </c>
      <c r="Q808" s="116">
        <v>1877.1</v>
      </c>
      <c r="R808">
        <v>280986</v>
      </c>
    </row>
    <row r="809" spans="1:18" x14ac:dyDescent="0.25">
      <c r="A809" s="170">
        <v>44595</v>
      </c>
      <c r="B809" s="116">
        <v>1870</v>
      </c>
      <c r="C809" s="116">
        <v>1853.7</v>
      </c>
      <c r="D809" s="116">
        <v>1800</v>
      </c>
      <c r="E809" s="116">
        <v>1833</v>
      </c>
      <c r="F809" s="116">
        <v>1853.7</v>
      </c>
      <c r="G809">
        <v>5504</v>
      </c>
      <c r="H809" s="116"/>
      <c r="I809" s="116"/>
      <c r="L809" s="170">
        <v>44595</v>
      </c>
      <c r="M809" s="116">
        <v>1851.65</v>
      </c>
      <c r="N809" s="116">
        <v>1869.95</v>
      </c>
      <c r="O809" s="116">
        <v>1783.25</v>
      </c>
      <c r="P809" s="116">
        <v>1845</v>
      </c>
      <c r="Q809" s="116">
        <v>1851.65</v>
      </c>
      <c r="R809">
        <v>258851</v>
      </c>
    </row>
    <row r="810" spans="1:18" x14ac:dyDescent="0.25">
      <c r="A810" s="170">
        <v>44596</v>
      </c>
      <c r="B810" s="116">
        <v>1870</v>
      </c>
      <c r="C810" s="116">
        <v>1843.25</v>
      </c>
      <c r="D810" s="116">
        <v>1801.25</v>
      </c>
      <c r="E810" s="116">
        <v>1801.25</v>
      </c>
      <c r="F810" s="116">
        <v>1843.25</v>
      </c>
      <c r="G810">
        <v>3486</v>
      </c>
      <c r="H810" s="116"/>
      <c r="I810" s="116"/>
      <c r="L810" s="170">
        <v>44596</v>
      </c>
      <c r="M810" s="116">
        <v>1851.1</v>
      </c>
      <c r="N810" s="116">
        <v>1870</v>
      </c>
      <c r="O810" s="116">
        <v>1830</v>
      </c>
      <c r="P810" s="116">
        <v>1868</v>
      </c>
      <c r="Q810" s="116">
        <v>1851.1</v>
      </c>
      <c r="R810">
        <v>235782</v>
      </c>
    </row>
    <row r="811" spans="1:18" x14ac:dyDescent="0.25">
      <c r="A811" s="170">
        <v>44599</v>
      </c>
      <c r="B811" s="116">
        <v>1895</v>
      </c>
      <c r="C811" s="116">
        <v>1817.35</v>
      </c>
      <c r="D811" s="116">
        <v>1800</v>
      </c>
      <c r="E811" s="116">
        <v>1895</v>
      </c>
      <c r="F811" s="116">
        <v>1817.35</v>
      </c>
      <c r="G811">
        <v>3606</v>
      </c>
      <c r="H811" s="116"/>
      <c r="I811" s="116"/>
      <c r="L811" s="170">
        <v>44599</v>
      </c>
      <c r="M811" s="116">
        <v>1820.15</v>
      </c>
      <c r="N811" s="116">
        <v>1879</v>
      </c>
      <c r="O811" s="116">
        <v>1801</v>
      </c>
      <c r="P811" s="116">
        <v>1876</v>
      </c>
      <c r="Q811" s="116">
        <v>1820.15</v>
      </c>
      <c r="R811">
        <v>76636</v>
      </c>
    </row>
    <row r="812" spans="1:18" x14ac:dyDescent="0.25">
      <c r="A812" s="170">
        <v>44600</v>
      </c>
      <c r="B812" s="116">
        <v>1848</v>
      </c>
      <c r="C812" s="116">
        <v>1807.8</v>
      </c>
      <c r="D812" s="116">
        <v>1780</v>
      </c>
      <c r="E812" s="116">
        <v>1848</v>
      </c>
      <c r="F812" s="116">
        <v>1807.8</v>
      </c>
      <c r="G812">
        <v>2810</v>
      </c>
      <c r="H812" s="116"/>
      <c r="I812" s="116"/>
      <c r="L812" s="170">
        <v>44600</v>
      </c>
      <c r="M812" s="116">
        <v>1809.05</v>
      </c>
      <c r="N812" s="116">
        <v>1835</v>
      </c>
      <c r="O812" s="116">
        <v>1780</v>
      </c>
      <c r="P812" s="116">
        <v>1820.15</v>
      </c>
      <c r="Q812" s="116">
        <v>1809.05</v>
      </c>
      <c r="R812">
        <v>81276</v>
      </c>
    </row>
    <row r="813" spans="1:18" x14ac:dyDescent="0.25">
      <c r="A813" s="170">
        <v>44601</v>
      </c>
      <c r="B813" s="116">
        <v>1825</v>
      </c>
      <c r="C813" s="116">
        <v>1771.9</v>
      </c>
      <c r="D813" s="116">
        <v>1760</v>
      </c>
      <c r="E813" s="116">
        <v>1816</v>
      </c>
      <c r="F813" s="116">
        <v>1771.9</v>
      </c>
      <c r="G813">
        <v>2316</v>
      </c>
      <c r="H813" s="116"/>
      <c r="I813" s="116"/>
      <c r="L813" s="170">
        <v>44601</v>
      </c>
      <c r="M813" s="116">
        <v>1765</v>
      </c>
      <c r="N813" s="116">
        <v>1821</v>
      </c>
      <c r="O813" s="116">
        <v>1750</v>
      </c>
      <c r="P813" s="116">
        <v>1805</v>
      </c>
      <c r="Q813" s="116">
        <v>1765</v>
      </c>
      <c r="R813">
        <v>255476</v>
      </c>
    </row>
    <row r="814" spans="1:18" x14ac:dyDescent="0.25">
      <c r="A814" s="170">
        <v>44602</v>
      </c>
      <c r="B814" s="116">
        <v>1821</v>
      </c>
      <c r="C814" s="116">
        <v>1808.9</v>
      </c>
      <c r="D814" s="116">
        <v>1720</v>
      </c>
      <c r="E814" s="116">
        <v>1772</v>
      </c>
      <c r="F814" s="116">
        <v>1808.9</v>
      </c>
      <c r="G814">
        <v>6554</v>
      </c>
      <c r="H814" s="116"/>
      <c r="I814" s="116"/>
      <c r="L814" s="170">
        <v>44602</v>
      </c>
      <c r="M814" s="116">
        <v>1810.55</v>
      </c>
      <c r="N814" s="116">
        <v>1830</v>
      </c>
      <c r="O814" s="116">
        <v>1676.75</v>
      </c>
      <c r="P814" s="116">
        <v>1769</v>
      </c>
      <c r="Q814" s="116">
        <v>1810.55</v>
      </c>
      <c r="R814">
        <v>347972</v>
      </c>
    </row>
    <row r="815" spans="1:18" x14ac:dyDescent="0.25">
      <c r="A815" s="170">
        <v>44603</v>
      </c>
      <c r="B815" s="116">
        <v>1800</v>
      </c>
      <c r="C815" s="116">
        <v>1776.4</v>
      </c>
      <c r="D815" s="116">
        <v>1721</v>
      </c>
      <c r="E815" s="116">
        <v>1800</v>
      </c>
      <c r="F815" s="116">
        <v>1776.4</v>
      </c>
      <c r="G815">
        <v>4231</v>
      </c>
      <c r="H815" s="116"/>
      <c r="I815" s="116"/>
      <c r="L815" s="170">
        <v>44603</v>
      </c>
      <c r="M815" s="116">
        <v>1790.3</v>
      </c>
      <c r="N815" s="116">
        <v>1799</v>
      </c>
      <c r="O815" s="116">
        <v>1731</v>
      </c>
      <c r="P815" s="116">
        <v>1796.9</v>
      </c>
      <c r="Q815" s="116">
        <v>1790.3</v>
      </c>
      <c r="R815">
        <v>292368</v>
      </c>
    </row>
    <row r="816" spans="1:18" x14ac:dyDescent="0.25">
      <c r="A816" s="170">
        <v>44606</v>
      </c>
      <c r="B816" s="116">
        <v>1764</v>
      </c>
      <c r="C816" s="116">
        <v>1704.15</v>
      </c>
      <c r="D816" s="116">
        <v>1687.6</v>
      </c>
      <c r="E816" s="116">
        <v>1764</v>
      </c>
      <c r="F816" s="116">
        <v>1704.15</v>
      </c>
      <c r="G816">
        <v>7830</v>
      </c>
      <c r="H816" s="116"/>
      <c r="I816" s="116"/>
      <c r="L816" s="170">
        <v>44606</v>
      </c>
      <c r="M816" s="116">
        <v>1712.3</v>
      </c>
      <c r="N816" s="116">
        <v>1755</v>
      </c>
      <c r="O816" s="116">
        <v>1700.8</v>
      </c>
      <c r="P816" s="116">
        <v>1713.3</v>
      </c>
      <c r="Q816" s="116">
        <v>1712.3</v>
      </c>
      <c r="R816">
        <v>153454</v>
      </c>
    </row>
    <row r="817" spans="1:18" x14ac:dyDescent="0.25">
      <c r="A817" s="170">
        <v>44607</v>
      </c>
      <c r="B817" s="116">
        <v>1750</v>
      </c>
      <c r="C817" s="116">
        <v>1734.15</v>
      </c>
      <c r="D817" s="116">
        <v>1620</v>
      </c>
      <c r="E817" s="116">
        <v>1703</v>
      </c>
      <c r="F817" s="116">
        <v>1734.15</v>
      </c>
      <c r="G817">
        <v>5213</v>
      </c>
      <c r="H817" s="116"/>
      <c r="I817" s="116"/>
      <c r="L817" s="170">
        <v>44607</v>
      </c>
      <c r="M817" s="116">
        <v>1737.7</v>
      </c>
      <c r="N817" s="116">
        <v>1749</v>
      </c>
      <c r="O817" s="116">
        <v>1626.7</v>
      </c>
      <c r="P817" s="116">
        <v>1626.7</v>
      </c>
      <c r="Q817" s="116">
        <v>1737.7</v>
      </c>
      <c r="R817">
        <v>98405</v>
      </c>
    </row>
    <row r="818" spans="1:18" x14ac:dyDescent="0.25">
      <c r="A818" s="170">
        <v>44608</v>
      </c>
      <c r="B818" s="116">
        <v>1773.8</v>
      </c>
      <c r="C818" s="116">
        <v>1673.5</v>
      </c>
      <c r="D818" s="116">
        <v>1650.1</v>
      </c>
      <c r="E818" s="116">
        <v>1708</v>
      </c>
      <c r="F818" s="116">
        <v>1673.5</v>
      </c>
      <c r="G818">
        <v>3516</v>
      </c>
      <c r="H818" s="116"/>
      <c r="I818" s="116"/>
      <c r="L818" s="170">
        <v>44608</v>
      </c>
      <c r="M818" s="116">
        <v>1686.35</v>
      </c>
      <c r="N818" s="116">
        <v>1760</v>
      </c>
      <c r="O818" s="116">
        <v>1675</v>
      </c>
      <c r="P818" s="116">
        <v>1728</v>
      </c>
      <c r="Q818" s="116">
        <v>1686.35</v>
      </c>
      <c r="R818">
        <v>92227</v>
      </c>
    </row>
    <row r="819" spans="1:18" x14ac:dyDescent="0.25">
      <c r="A819" s="170">
        <v>44609</v>
      </c>
      <c r="B819" s="116">
        <v>1734.95</v>
      </c>
      <c r="C819" s="116">
        <v>1725.4</v>
      </c>
      <c r="D819" s="116">
        <v>1650</v>
      </c>
      <c r="E819" s="116">
        <v>1718</v>
      </c>
      <c r="F819" s="116">
        <v>1725.4</v>
      </c>
      <c r="G819">
        <v>2524</v>
      </c>
      <c r="H819" s="116"/>
      <c r="I819" s="116"/>
      <c r="L819" s="170">
        <v>44609</v>
      </c>
      <c r="M819" s="116">
        <v>1726.85</v>
      </c>
      <c r="N819" s="116">
        <v>1747.9</v>
      </c>
      <c r="O819" s="116">
        <v>1681</v>
      </c>
      <c r="P819" s="116">
        <v>1709</v>
      </c>
      <c r="Q819" s="116">
        <v>1726.85</v>
      </c>
      <c r="R819">
        <v>145965</v>
      </c>
    </row>
    <row r="820" spans="1:18" x14ac:dyDescent="0.25">
      <c r="A820" s="170">
        <v>44610</v>
      </c>
      <c r="B820" s="116">
        <v>1735</v>
      </c>
      <c r="C820" s="116">
        <v>1666.6</v>
      </c>
      <c r="D820" s="116">
        <v>1650</v>
      </c>
      <c r="E820" s="116">
        <v>1735</v>
      </c>
      <c r="F820" s="116">
        <v>1666.6</v>
      </c>
      <c r="G820">
        <v>2376</v>
      </c>
      <c r="H820" s="116"/>
      <c r="I820" s="116"/>
      <c r="L820" s="170">
        <v>44610</v>
      </c>
      <c r="M820" s="116">
        <v>1665.2</v>
      </c>
      <c r="N820" s="116">
        <v>1726.85</v>
      </c>
      <c r="O820" s="116">
        <v>1650</v>
      </c>
      <c r="P820" s="116">
        <v>1697</v>
      </c>
      <c r="Q820" s="116">
        <v>1665.2</v>
      </c>
      <c r="R820">
        <v>61173</v>
      </c>
    </row>
    <row r="821" spans="1:18" x14ac:dyDescent="0.25">
      <c r="A821" s="170">
        <v>44613</v>
      </c>
      <c r="B821" s="116">
        <v>1675</v>
      </c>
      <c r="C821" s="116">
        <v>1592.6</v>
      </c>
      <c r="D821" s="116">
        <v>1583.3</v>
      </c>
      <c r="E821" s="116">
        <v>1605</v>
      </c>
      <c r="F821" s="116">
        <v>1592.6</v>
      </c>
      <c r="G821">
        <v>11248</v>
      </c>
      <c r="H821" s="116"/>
      <c r="I821" s="116"/>
      <c r="L821" s="170">
        <v>44613</v>
      </c>
      <c r="M821" s="116">
        <v>1591.1</v>
      </c>
      <c r="N821" s="116">
        <v>1675</v>
      </c>
      <c r="O821" s="116">
        <v>1581.95</v>
      </c>
      <c r="P821" s="116">
        <v>1675</v>
      </c>
      <c r="Q821" s="116">
        <v>1591.1</v>
      </c>
      <c r="R821">
        <v>65240</v>
      </c>
    </row>
    <row r="822" spans="1:18" x14ac:dyDescent="0.25">
      <c r="A822" s="170">
        <v>44614</v>
      </c>
      <c r="B822" s="116">
        <v>1589.95</v>
      </c>
      <c r="C822" s="116">
        <v>1578.05</v>
      </c>
      <c r="D822" s="116">
        <v>1513</v>
      </c>
      <c r="E822" s="116">
        <v>1517</v>
      </c>
      <c r="F822" s="116">
        <v>1578.05</v>
      </c>
      <c r="G822">
        <v>11878</v>
      </c>
      <c r="H822" s="116"/>
      <c r="I822" s="116"/>
      <c r="L822" s="170">
        <v>44614</v>
      </c>
      <c r="M822" s="116">
        <v>1587.5</v>
      </c>
      <c r="N822" s="116">
        <v>1598</v>
      </c>
      <c r="O822" s="116">
        <v>1511.55</v>
      </c>
      <c r="P822" s="116">
        <v>1545</v>
      </c>
      <c r="Q822" s="116">
        <v>1587.5</v>
      </c>
      <c r="R822">
        <v>80783</v>
      </c>
    </row>
    <row r="823" spans="1:18" x14ac:dyDescent="0.25">
      <c r="A823" s="170">
        <v>44615</v>
      </c>
      <c r="B823" s="116">
        <v>1656.95</v>
      </c>
      <c r="C823" s="116">
        <v>1617.4</v>
      </c>
      <c r="D823" s="116">
        <v>1571</v>
      </c>
      <c r="E823" s="116">
        <v>1571</v>
      </c>
      <c r="F823" s="116">
        <v>1617.4</v>
      </c>
      <c r="G823">
        <v>3708</v>
      </c>
      <c r="H823" s="116"/>
      <c r="I823" s="116"/>
      <c r="L823" s="170">
        <v>44615</v>
      </c>
      <c r="M823" s="116">
        <v>1641.8</v>
      </c>
      <c r="N823" s="116">
        <v>1666.85</v>
      </c>
      <c r="O823" s="116">
        <v>1580</v>
      </c>
      <c r="P823" s="116">
        <v>1595</v>
      </c>
      <c r="Q823" s="116">
        <v>1641.8</v>
      </c>
      <c r="R823">
        <v>104403</v>
      </c>
    </row>
    <row r="824" spans="1:18" x14ac:dyDescent="0.25">
      <c r="A824" s="170">
        <v>44616</v>
      </c>
      <c r="B824" s="116">
        <v>1639</v>
      </c>
      <c r="C824" s="116">
        <v>1556.6</v>
      </c>
      <c r="D824" s="116">
        <v>1537</v>
      </c>
      <c r="E824" s="116">
        <v>1609</v>
      </c>
      <c r="F824" s="116">
        <v>1556.6</v>
      </c>
      <c r="G824">
        <v>9024</v>
      </c>
      <c r="H824" s="116"/>
      <c r="I824" s="116"/>
      <c r="L824" s="170">
        <v>44616</v>
      </c>
      <c r="M824" s="116">
        <v>1565.05</v>
      </c>
      <c r="N824" s="116">
        <v>1614.5</v>
      </c>
      <c r="O824" s="116">
        <v>1559.75</v>
      </c>
      <c r="P824" s="116">
        <v>1561</v>
      </c>
      <c r="Q824" s="116">
        <v>1565.05</v>
      </c>
      <c r="R824">
        <v>133530</v>
      </c>
    </row>
    <row r="825" spans="1:18" x14ac:dyDescent="0.25">
      <c r="A825" s="170">
        <v>44617</v>
      </c>
      <c r="B825" s="116">
        <v>1621.9</v>
      </c>
      <c r="C825" s="116">
        <v>1576.7</v>
      </c>
      <c r="D825" s="116">
        <v>1550.1</v>
      </c>
      <c r="E825" s="116">
        <v>1567.75</v>
      </c>
      <c r="F825" s="116">
        <v>1576.7</v>
      </c>
      <c r="G825">
        <v>4349</v>
      </c>
      <c r="H825" s="116"/>
      <c r="I825" s="116"/>
      <c r="L825" s="170">
        <v>44617</v>
      </c>
      <c r="M825" s="116">
        <v>1573.2</v>
      </c>
      <c r="N825" s="116">
        <v>1625</v>
      </c>
      <c r="O825" s="116">
        <v>1550</v>
      </c>
      <c r="P825" s="116">
        <v>1566.25</v>
      </c>
      <c r="Q825" s="116">
        <v>1573.2</v>
      </c>
      <c r="R825">
        <v>101266</v>
      </c>
    </row>
    <row r="826" spans="1:18" x14ac:dyDescent="0.25">
      <c r="A826" s="170">
        <v>44620</v>
      </c>
      <c r="B826" s="116">
        <v>1606.45</v>
      </c>
      <c r="C826" s="116">
        <v>1587.35</v>
      </c>
      <c r="D826" s="116">
        <v>1517</v>
      </c>
      <c r="E826" s="116">
        <v>1520</v>
      </c>
      <c r="F826" s="116">
        <v>1587.35</v>
      </c>
      <c r="G826">
        <v>9875</v>
      </c>
      <c r="H826" s="116"/>
      <c r="I826" s="116"/>
      <c r="L826" s="170">
        <v>44620</v>
      </c>
      <c r="M826" s="116">
        <v>1588.5</v>
      </c>
      <c r="N826" s="116">
        <v>1604.95</v>
      </c>
      <c r="O826" s="116">
        <v>1510.3</v>
      </c>
      <c r="P826" s="116">
        <v>1524.7</v>
      </c>
      <c r="Q826" s="116">
        <v>1588.5</v>
      </c>
      <c r="R826">
        <v>305348</v>
      </c>
    </row>
    <row r="827" spans="1:18" x14ac:dyDescent="0.25">
      <c r="A827" s="170">
        <v>44622</v>
      </c>
      <c r="B827" s="116">
        <v>1666.7</v>
      </c>
      <c r="C827" s="116">
        <v>1666.7</v>
      </c>
      <c r="D827" s="116">
        <v>1581.1</v>
      </c>
      <c r="E827" s="116">
        <v>1587</v>
      </c>
      <c r="F827" s="116">
        <v>1666.7</v>
      </c>
      <c r="G827">
        <v>8804</v>
      </c>
      <c r="H827" s="116"/>
      <c r="I827" s="116"/>
      <c r="L827" s="170">
        <v>44622</v>
      </c>
      <c r="M827" s="116">
        <v>1667.9</v>
      </c>
      <c r="N827" s="116">
        <v>1667.9</v>
      </c>
      <c r="O827" s="116">
        <v>1550.3</v>
      </c>
      <c r="P827" s="116">
        <v>1592</v>
      </c>
      <c r="Q827" s="116">
        <v>1667.9</v>
      </c>
      <c r="R827">
        <v>123179</v>
      </c>
    </row>
    <row r="828" spans="1:18" x14ac:dyDescent="0.25">
      <c r="A828" s="170">
        <v>44623</v>
      </c>
      <c r="B828" s="116">
        <v>1750</v>
      </c>
      <c r="C828" s="116">
        <v>1750</v>
      </c>
      <c r="D828" s="116">
        <v>1699</v>
      </c>
      <c r="E828" s="116">
        <v>1711</v>
      </c>
      <c r="F828" s="116">
        <v>1750</v>
      </c>
      <c r="G828">
        <v>10930</v>
      </c>
      <c r="H828" s="116"/>
      <c r="I828" s="116"/>
      <c r="L828" s="170">
        <v>44623</v>
      </c>
      <c r="M828" s="116">
        <v>1751.25</v>
      </c>
      <c r="N828" s="116">
        <v>1751.25</v>
      </c>
      <c r="O828" s="116">
        <v>1701.3</v>
      </c>
      <c r="P828" s="116">
        <v>1735</v>
      </c>
      <c r="Q828" s="116">
        <v>1751.25</v>
      </c>
      <c r="R828">
        <v>134848</v>
      </c>
    </row>
    <row r="829" spans="1:18" x14ac:dyDescent="0.25">
      <c r="A829" s="170">
        <v>44624</v>
      </c>
      <c r="B829" s="116">
        <v>1837</v>
      </c>
      <c r="C829" s="116">
        <v>1803</v>
      </c>
      <c r="D829" s="116">
        <v>1740.3</v>
      </c>
      <c r="E829" s="116">
        <v>1766.5</v>
      </c>
      <c r="F829" s="116">
        <v>1803</v>
      </c>
      <c r="G829">
        <v>22201</v>
      </c>
      <c r="H829" s="116"/>
      <c r="I829" s="116"/>
      <c r="L829" s="170">
        <v>44624</v>
      </c>
      <c r="M829" s="116">
        <v>1805.2</v>
      </c>
      <c r="N829" s="116">
        <v>1838</v>
      </c>
      <c r="O829" s="116">
        <v>1733</v>
      </c>
      <c r="P829" s="116">
        <v>1769.95</v>
      </c>
      <c r="Q829" s="116">
        <v>1805.2</v>
      </c>
      <c r="R829">
        <v>307022</v>
      </c>
    </row>
    <row r="830" spans="1:18" x14ac:dyDescent="0.25">
      <c r="A830" s="170">
        <v>44627</v>
      </c>
      <c r="B830" s="116">
        <v>1790.1</v>
      </c>
      <c r="C830" s="116">
        <v>1714.75</v>
      </c>
      <c r="D830" s="116">
        <v>1713</v>
      </c>
      <c r="E830" s="116">
        <v>1784.9</v>
      </c>
      <c r="F830" s="116">
        <v>1714.75</v>
      </c>
      <c r="G830">
        <v>13533</v>
      </c>
      <c r="H830" s="116"/>
      <c r="I830" s="116"/>
      <c r="L830" s="170">
        <v>44627</v>
      </c>
      <c r="M830" s="116">
        <v>1714.95</v>
      </c>
      <c r="N830" s="116">
        <v>1789.8</v>
      </c>
      <c r="O830" s="116">
        <v>1714.95</v>
      </c>
      <c r="P830" s="116">
        <v>1769.1</v>
      </c>
      <c r="Q830" s="116">
        <v>1714.95</v>
      </c>
      <c r="R830">
        <v>162241</v>
      </c>
    </row>
    <row r="831" spans="1:18" x14ac:dyDescent="0.25">
      <c r="A831" s="170">
        <v>44628</v>
      </c>
      <c r="B831" s="116">
        <v>1752.75</v>
      </c>
      <c r="C831" s="116">
        <v>1629.5</v>
      </c>
      <c r="D831" s="116">
        <v>1629.05</v>
      </c>
      <c r="E831" s="116">
        <v>1705</v>
      </c>
      <c r="F831" s="116">
        <v>1629.5</v>
      </c>
      <c r="G831">
        <v>19808</v>
      </c>
      <c r="H831" s="116"/>
      <c r="I831" s="116"/>
      <c r="L831" s="170">
        <v>44628</v>
      </c>
      <c r="M831" s="116">
        <v>1629.65</v>
      </c>
      <c r="N831" s="116">
        <v>1755.05</v>
      </c>
      <c r="O831" s="116">
        <v>1629.25</v>
      </c>
      <c r="P831" s="116">
        <v>1692</v>
      </c>
      <c r="Q831" s="116">
        <v>1629.65</v>
      </c>
      <c r="R831">
        <v>263876</v>
      </c>
    </row>
    <row r="832" spans="1:18" x14ac:dyDescent="0.25">
      <c r="A832" s="170">
        <v>44629</v>
      </c>
      <c r="B832" s="116">
        <v>1695</v>
      </c>
      <c r="C832" s="116">
        <v>1618.85</v>
      </c>
      <c r="D832" s="116">
        <v>1603</v>
      </c>
      <c r="E832" s="116">
        <v>1679</v>
      </c>
      <c r="F832" s="116">
        <v>1618.85</v>
      </c>
      <c r="G832">
        <v>7831</v>
      </c>
      <c r="H832" s="116"/>
      <c r="I832" s="116"/>
      <c r="L832" s="170">
        <v>44629</v>
      </c>
      <c r="M832" s="116">
        <v>1615.35</v>
      </c>
      <c r="N832" s="116">
        <v>1695.4</v>
      </c>
      <c r="O832" s="116">
        <v>1601</v>
      </c>
      <c r="P832" s="116">
        <v>1650</v>
      </c>
      <c r="Q832" s="116">
        <v>1615.35</v>
      </c>
      <c r="R832">
        <v>169156</v>
      </c>
    </row>
    <row r="833" spans="1:18" x14ac:dyDescent="0.25">
      <c r="A833" s="170">
        <v>44630</v>
      </c>
      <c r="B833" s="116">
        <v>1699.75</v>
      </c>
      <c r="C833" s="116">
        <v>1698.8</v>
      </c>
      <c r="D833" s="116">
        <v>1620.15</v>
      </c>
      <c r="E833" s="116">
        <v>1648</v>
      </c>
      <c r="F833" s="116">
        <v>1698.8</v>
      </c>
      <c r="G833">
        <v>72053</v>
      </c>
      <c r="H833" s="116"/>
      <c r="I833" s="116"/>
      <c r="L833" s="170">
        <v>44630</v>
      </c>
      <c r="M833" s="116">
        <v>1696.05</v>
      </c>
      <c r="N833" s="116">
        <v>1696.1</v>
      </c>
      <c r="O833" s="116">
        <v>1622.05</v>
      </c>
      <c r="P833" s="116">
        <v>1644.9</v>
      </c>
      <c r="Q833" s="116">
        <v>1696.05</v>
      </c>
      <c r="R833">
        <v>358381</v>
      </c>
    </row>
    <row r="834" spans="1:18" x14ac:dyDescent="0.25">
      <c r="A834" s="170">
        <v>44631</v>
      </c>
      <c r="B834" s="116">
        <v>1710</v>
      </c>
      <c r="C834" s="116">
        <v>1661.3</v>
      </c>
      <c r="D834" s="116">
        <v>1650.05</v>
      </c>
      <c r="E834" s="116">
        <v>1694</v>
      </c>
      <c r="F834" s="116">
        <v>1661.3</v>
      </c>
      <c r="G834">
        <v>12299</v>
      </c>
      <c r="H834" s="116"/>
      <c r="I834" s="116"/>
      <c r="L834" s="170">
        <v>44631</v>
      </c>
      <c r="M834" s="116">
        <v>1661.85</v>
      </c>
      <c r="N834" s="116">
        <v>1714</v>
      </c>
      <c r="O834" s="116">
        <v>1649.25</v>
      </c>
      <c r="P834" s="116">
        <v>1686.15</v>
      </c>
      <c r="Q834" s="116">
        <v>1661.85</v>
      </c>
      <c r="R834">
        <v>135449</v>
      </c>
    </row>
    <row r="835" spans="1:18" x14ac:dyDescent="0.25">
      <c r="A835" s="170">
        <v>44634</v>
      </c>
      <c r="B835" s="116">
        <v>1679</v>
      </c>
      <c r="C835" s="116">
        <v>1650.25</v>
      </c>
      <c r="D835" s="116">
        <v>1640.15</v>
      </c>
      <c r="E835" s="116">
        <v>1675</v>
      </c>
      <c r="F835" s="116">
        <v>1650.25</v>
      </c>
      <c r="G835">
        <v>5657</v>
      </c>
      <c r="H835" s="116"/>
      <c r="I835" s="116"/>
      <c r="L835" s="170">
        <v>44634</v>
      </c>
      <c r="M835" s="116">
        <v>1650.35</v>
      </c>
      <c r="N835" s="116">
        <v>1677.3</v>
      </c>
      <c r="O835" s="116">
        <v>1642.05</v>
      </c>
      <c r="P835" s="116">
        <v>1664.9</v>
      </c>
      <c r="Q835" s="116">
        <v>1650.35</v>
      </c>
      <c r="R835">
        <v>277776</v>
      </c>
    </row>
    <row r="836" spans="1:18" x14ac:dyDescent="0.25">
      <c r="A836" s="170">
        <v>44635</v>
      </c>
      <c r="B836" s="116">
        <v>1673.95</v>
      </c>
      <c r="C836" s="116">
        <v>1624.7</v>
      </c>
      <c r="D836" s="116">
        <v>1608.95</v>
      </c>
      <c r="E836" s="116">
        <v>1665</v>
      </c>
      <c r="F836" s="116">
        <v>1624.7</v>
      </c>
      <c r="G836">
        <v>17223</v>
      </c>
      <c r="H836" s="116"/>
      <c r="I836" s="116"/>
      <c r="L836" s="170">
        <v>44635</v>
      </c>
      <c r="M836" s="116">
        <v>1624.4</v>
      </c>
      <c r="N836" s="116">
        <v>1673</v>
      </c>
      <c r="O836" s="116">
        <v>1610</v>
      </c>
      <c r="P836" s="116">
        <v>1655</v>
      </c>
      <c r="Q836" s="116">
        <v>1624.4</v>
      </c>
      <c r="R836">
        <v>242931</v>
      </c>
    </row>
    <row r="837" spans="1:18" x14ac:dyDescent="0.25">
      <c r="A837" s="170">
        <v>44636</v>
      </c>
      <c r="B837" s="116">
        <v>1697</v>
      </c>
      <c r="C837" s="116">
        <v>1690</v>
      </c>
      <c r="D837" s="116">
        <v>1644.5</v>
      </c>
      <c r="E837" s="116">
        <v>1645</v>
      </c>
      <c r="F837" s="116">
        <v>1690</v>
      </c>
      <c r="G837">
        <v>11693</v>
      </c>
      <c r="H837" s="116"/>
      <c r="I837" s="116"/>
      <c r="L837" s="170">
        <v>44636</v>
      </c>
      <c r="M837" s="116">
        <v>1685.1</v>
      </c>
      <c r="N837" s="116">
        <v>1696.9</v>
      </c>
      <c r="O837" s="116">
        <v>1631</v>
      </c>
      <c r="P837" s="116">
        <v>1631</v>
      </c>
      <c r="Q837" s="116">
        <v>1685.1</v>
      </c>
      <c r="R837">
        <v>308775</v>
      </c>
    </row>
    <row r="838" spans="1:18" x14ac:dyDescent="0.25">
      <c r="A838" s="170">
        <v>44637</v>
      </c>
      <c r="B838" s="116">
        <v>1774.5</v>
      </c>
      <c r="C838" s="116">
        <v>1771</v>
      </c>
      <c r="D838" s="116">
        <v>1682.1</v>
      </c>
      <c r="E838" s="116">
        <v>1702</v>
      </c>
      <c r="F838" s="116">
        <v>1771</v>
      </c>
      <c r="G838">
        <v>38208</v>
      </c>
      <c r="H838" s="116"/>
      <c r="I838" s="116"/>
      <c r="L838" s="170">
        <v>44637</v>
      </c>
      <c r="M838" s="116">
        <v>1766.8</v>
      </c>
      <c r="N838" s="116">
        <v>1769.35</v>
      </c>
      <c r="O838" s="116">
        <v>1682.25</v>
      </c>
      <c r="P838" s="116">
        <v>1701.25</v>
      </c>
      <c r="Q838" s="116">
        <v>1766.8</v>
      </c>
      <c r="R838">
        <v>706012</v>
      </c>
    </row>
    <row r="839" spans="1:18" x14ac:dyDescent="0.25">
      <c r="A839" s="170">
        <v>44641</v>
      </c>
      <c r="B839" s="116">
        <v>1859.55</v>
      </c>
      <c r="C839" s="116">
        <v>1813.4</v>
      </c>
      <c r="D839" s="116">
        <v>1792.05</v>
      </c>
      <c r="E839" s="116">
        <v>1792.05</v>
      </c>
      <c r="F839" s="116">
        <v>1813.4</v>
      </c>
      <c r="G839">
        <v>19907</v>
      </c>
      <c r="H839" s="116"/>
      <c r="I839" s="116"/>
      <c r="L839" s="170">
        <v>44641</v>
      </c>
      <c r="M839" s="116">
        <v>1814.15</v>
      </c>
      <c r="N839" s="116">
        <v>1836.9</v>
      </c>
      <c r="O839" s="116">
        <v>1790.65</v>
      </c>
      <c r="P839" s="116">
        <v>1810.2</v>
      </c>
      <c r="Q839" s="116">
        <v>1814.15</v>
      </c>
      <c r="R839">
        <v>157858</v>
      </c>
    </row>
    <row r="840" spans="1:18" x14ac:dyDescent="0.25">
      <c r="A840" s="170">
        <v>44642</v>
      </c>
      <c r="B840" s="116">
        <v>1904.05</v>
      </c>
      <c r="C840" s="116">
        <v>1886.1</v>
      </c>
      <c r="D840" s="116">
        <v>1807.1</v>
      </c>
      <c r="E840" s="116">
        <v>1825.05</v>
      </c>
      <c r="F840" s="116">
        <v>1886.1</v>
      </c>
      <c r="G840">
        <v>24156</v>
      </c>
      <c r="H840" s="116"/>
      <c r="I840" s="116"/>
      <c r="L840" s="170">
        <v>44642</v>
      </c>
      <c r="M840" s="116">
        <v>1883.95</v>
      </c>
      <c r="N840" s="116">
        <v>1904.85</v>
      </c>
      <c r="O840" s="116">
        <v>1805</v>
      </c>
      <c r="P840" s="116">
        <v>1845.45</v>
      </c>
      <c r="Q840" s="116">
        <v>1883.95</v>
      </c>
      <c r="R840">
        <v>334089</v>
      </c>
    </row>
    <row r="841" spans="1:18" x14ac:dyDescent="0.25">
      <c r="A841" s="170">
        <v>44643</v>
      </c>
      <c r="B841" s="116">
        <v>1914</v>
      </c>
      <c r="C841" s="116">
        <v>1894.75</v>
      </c>
      <c r="D841" s="116">
        <v>1859.85</v>
      </c>
      <c r="E841" s="116">
        <v>1886.05</v>
      </c>
      <c r="F841" s="116">
        <v>1894.75</v>
      </c>
      <c r="G841">
        <v>21685</v>
      </c>
      <c r="H841" s="116"/>
      <c r="I841" s="116"/>
      <c r="L841" s="170">
        <v>44643</v>
      </c>
      <c r="M841" s="116">
        <v>1898</v>
      </c>
      <c r="N841" s="116">
        <v>1914</v>
      </c>
      <c r="O841" s="116">
        <v>1845</v>
      </c>
      <c r="P841" s="116">
        <v>1889</v>
      </c>
      <c r="Q841" s="116">
        <v>1898</v>
      </c>
      <c r="R841">
        <v>411440</v>
      </c>
    </row>
    <row r="842" spans="1:18" x14ac:dyDescent="0.25">
      <c r="A842" s="170">
        <v>44644</v>
      </c>
      <c r="B842" s="116">
        <v>1989.45</v>
      </c>
      <c r="C842" s="116">
        <v>1983.85</v>
      </c>
      <c r="D842" s="116">
        <v>1885.8</v>
      </c>
      <c r="E842" s="116">
        <v>1905</v>
      </c>
      <c r="F842" s="116">
        <v>1983.85</v>
      </c>
      <c r="G842">
        <v>16573</v>
      </c>
      <c r="H842" s="116"/>
      <c r="I842" s="116"/>
      <c r="L842" s="170">
        <v>44644</v>
      </c>
      <c r="M842" s="116">
        <v>1979.75</v>
      </c>
      <c r="N842" s="116">
        <v>1992.9</v>
      </c>
      <c r="O842" s="116">
        <v>1855</v>
      </c>
      <c r="P842" s="116">
        <v>1910</v>
      </c>
      <c r="Q842" s="116">
        <v>1979.75</v>
      </c>
      <c r="R842">
        <v>294149</v>
      </c>
    </row>
    <row r="843" spans="1:18" x14ac:dyDescent="0.25">
      <c r="A843" s="170">
        <v>44645</v>
      </c>
      <c r="B843" s="116">
        <v>2069.8000000000002</v>
      </c>
      <c r="C843" s="116">
        <v>2053.65</v>
      </c>
      <c r="D843" s="116">
        <v>2005.05</v>
      </c>
      <c r="E843" s="116">
        <v>2008</v>
      </c>
      <c r="F843" s="116">
        <v>2053.65</v>
      </c>
      <c r="G843">
        <v>32689</v>
      </c>
      <c r="H843" s="116"/>
      <c r="I843" s="116"/>
      <c r="L843" s="170">
        <v>44645</v>
      </c>
      <c r="M843" s="116">
        <v>2054.6</v>
      </c>
      <c r="N843" s="116">
        <v>2069</v>
      </c>
      <c r="O843" s="116">
        <v>1977.75</v>
      </c>
      <c r="P843" s="116">
        <v>2015</v>
      </c>
      <c r="Q843" s="116">
        <v>2054.6</v>
      </c>
      <c r="R843">
        <v>205342</v>
      </c>
    </row>
    <row r="844" spans="1:18" x14ac:dyDescent="0.25">
      <c r="A844" s="170">
        <v>44648</v>
      </c>
      <c r="B844" s="116">
        <v>2224</v>
      </c>
      <c r="C844" s="116">
        <v>2142.5</v>
      </c>
      <c r="D844" s="116">
        <v>2082.8000000000002</v>
      </c>
      <c r="E844" s="116">
        <v>2103</v>
      </c>
      <c r="F844" s="116">
        <v>2142.5</v>
      </c>
      <c r="G844">
        <v>26776</v>
      </c>
      <c r="H844" s="116"/>
      <c r="I844" s="116"/>
      <c r="L844" s="170">
        <v>44648</v>
      </c>
      <c r="M844" s="116">
        <v>2141.1999999999998</v>
      </c>
      <c r="N844" s="116">
        <v>2221.9499999999998</v>
      </c>
      <c r="O844" s="116">
        <v>2080</v>
      </c>
      <c r="P844" s="116">
        <v>2095</v>
      </c>
      <c r="Q844" s="116">
        <v>2141.1999999999998</v>
      </c>
      <c r="R844">
        <v>370493</v>
      </c>
    </row>
    <row r="845" spans="1:18" x14ac:dyDescent="0.25">
      <c r="A845" s="170">
        <v>44649</v>
      </c>
      <c r="B845" s="116">
        <v>2190.35</v>
      </c>
      <c r="C845" s="116">
        <v>2178.5</v>
      </c>
      <c r="D845" s="116">
        <v>2090</v>
      </c>
      <c r="E845" s="116">
        <v>2180</v>
      </c>
      <c r="F845" s="116">
        <v>2178.5</v>
      </c>
      <c r="G845">
        <v>33594</v>
      </c>
      <c r="H845" s="116"/>
      <c r="I845" s="116"/>
      <c r="L845" s="170">
        <v>44649</v>
      </c>
      <c r="M845" s="116">
        <v>2180.8000000000002</v>
      </c>
      <c r="N845" s="116">
        <v>2190</v>
      </c>
      <c r="O845" s="116">
        <v>2090</v>
      </c>
      <c r="P845" s="116">
        <v>2179</v>
      </c>
      <c r="Q845" s="116">
        <v>2180.8000000000002</v>
      </c>
      <c r="R845">
        <v>239910</v>
      </c>
    </row>
    <row r="846" spans="1:18" x14ac:dyDescent="0.25">
      <c r="A846" s="170">
        <v>44650</v>
      </c>
      <c r="B846" s="116">
        <v>2241.4</v>
      </c>
      <c r="C846" s="116">
        <v>2128.6999999999998</v>
      </c>
      <c r="D846" s="116">
        <v>2071.6</v>
      </c>
      <c r="E846" s="116">
        <v>2180</v>
      </c>
      <c r="F846" s="116">
        <v>2128.6999999999998</v>
      </c>
      <c r="G846">
        <v>21014</v>
      </c>
      <c r="H846" s="116"/>
      <c r="I846" s="116"/>
      <c r="L846" s="170">
        <v>44650</v>
      </c>
      <c r="M846" s="116">
        <v>2124.65</v>
      </c>
      <c r="N846" s="116">
        <v>2242.9</v>
      </c>
      <c r="O846" s="116">
        <v>2070</v>
      </c>
      <c r="P846" s="116">
        <v>2179</v>
      </c>
      <c r="Q846" s="116">
        <v>2124.65</v>
      </c>
      <c r="R846">
        <v>233133</v>
      </c>
    </row>
    <row r="847" spans="1:18" x14ac:dyDescent="0.25">
      <c r="A847" s="170">
        <v>44651</v>
      </c>
      <c r="B847" s="116">
        <v>2205</v>
      </c>
      <c r="C847" s="116">
        <v>2148.75</v>
      </c>
      <c r="D847" s="116">
        <v>2101.0500000000002</v>
      </c>
      <c r="E847" s="116">
        <v>2114.9499999999998</v>
      </c>
      <c r="F847" s="116">
        <v>2148.75</v>
      </c>
      <c r="G847">
        <v>20904</v>
      </c>
      <c r="H847" s="116"/>
      <c r="I847" s="116"/>
      <c r="L847" s="170">
        <v>44651</v>
      </c>
      <c r="M847" s="116">
        <v>2149.8000000000002</v>
      </c>
      <c r="N847" s="116">
        <v>2208.9499999999998</v>
      </c>
      <c r="O847" s="116">
        <v>2096</v>
      </c>
      <c r="P847" s="116">
        <v>2100</v>
      </c>
      <c r="Q847" s="116">
        <v>2149.8000000000002</v>
      </c>
      <c r="R847">
        <v>241990</v>
      </c>
    </row>
    <row r="848" spans="1:18" x14ac:dyDescent="0.25">
      <c r="A848" s="170">
        <v>44652</v>
      </c>
      <c r="B848" s="116">
        <v>2284.5</v>
      </c>
      <c r="C848" s="116">
        <v>2251.4</v>
      </c>
      <c r="D848" s="116">
        <v>2164</v>
      </c>
      <c r="E848" s="116">
        <v>2197</v>
      </c>
      <c r="F848" s="116">
        <v>2251.4</v>
      </c>
      <c r="G848">
        <v>13350</v>
      </c>
      <c r="H848" s="116"/>
      <c r="I848" s="116"/>
      <c r="L848" s="170">
        <v>44652</v>
      </c>
      <c r="M848" s="116">
        <v>2249.5</v>
      </c>
      <c r="N848" s="116">
        <v>2281</v>
      </c>
      <c r="O848" s="116">
        <v>2155.65</v>
      </c>
      <c r="P848" s="116">
        <v>2178.5500000000002</v>
      </c>
      <c r="Q848" s="116">
        <v>2249.5</v>
      </c>
      <c r="R848">
        <v>239883</v>
      </c>
    </row>
    <row r="849" spans="1:18" x14ac:dyDescent="0.25">
      <c r="A849" s="170">
        <v>44655</v>
      </c>
      <c r="B849" s="116">
        <v>2385</v>
      </c>
      <c r="C849" s="116">
        <v>2373.6999999999998</v>
      </c>
      <c r="D849" s="116">
        <v>2270.25</v>
      </c>
      <c r="E849" s="116">
        <v>2270.25</v>
      </c>
      <c r="F849" s="116">
        <v>2373.6999999999998</v>
      </c>
      <c r="G849">
        <v>32882</v>
      </c>
      <c r="H849" s="116"/>
      <c r="I849" s="116"/>
      <c r="L849" s="170">
        <v>44655</v>
      </c>
      <c r="M849" s="116">
        <v>2369.8000000000002</v>
      </c>
      <c r="N849" s="116">
        <v>2382</v>
      </c>
      <c r="O849" s="116">
        <v>2268</v>
      </c>
      <c r="P849" s="116">
        <v>2280</v>
      </c>
      <c r="Q849" s="116">
        <v>2369.8000000000002</v>
      </c>
      <c r="R849">
        <v>274461</v>
      </c>
    </row>
    <row r="850" spans="1:18" x14ac:dyDescent="0.25">
      <c r="A850" s="170">
        <v>44656</v>
      </c>
      <c r="B850" s="116">
        <v>2485</v>
      </c>
      <c r="C850" s="116">
        <v>2470.5500000000002</v>
      </c>
      <c r="D850" s="116">
        <v>2316.6</v>
      </c>
      <c r="E850" s="116">
        <v>2375</v>
      </c>
      <c r="F850" s="116">
        <v>2470.5500000000002</v>
      </c>
      <c r="G850">
        <v>34141</v>
      </c>
      <c r="H850" s="116"/>
      <c r="I850" s="116"/>
      <c r="L850" s="170">
        <v>44656</v>
      </c>
      <c r="M850" s="116">
        <v>2468.15</v>
      </c>
      <c r="N850" s="116">
        <v>2485</v>
      </c>
      <c r="O850" s="116">
        <v>2310</v>
      </c>
      <c r="P850" s="116">
        <v>2366.8000000000002</v>
      </c>
      <c r="Q850" s="116">
        <v>2468.15</v>
      </c>
      <c r="R850">
        <v>267152</v>
      </c>
    </row>
    <row r="851" spans="1:18" x14ac:dyDescent="0.25">
      <c r="A851" s="170">
        <v>44657</v>
      </c>
      <c r="B851" s="116">
        <v>2560</v>
      </c>
      <c r="C851" s="116">
        <v>2536.8000000000002</v>
      </c>
      <c r="D851" s="116">
        <v>2466.25</v>
      </c>
      <c r="E851" s="116">
        <v>2523</v>
      </c>
      <c r="F851" s="116">
        <v>2536.8000000000002</v>
      </c>
      <c r="G851">
        <v>34474</v>
      </c>
      <c r="H851" s="116"/>
      <c r="I851" s="116"/>
      <c r="L851" s="170">
        <v>44657</v>
      </c>
      <c r="M851" s="116">
        <v>2536.9499999999998</v>
      </c>
      <c r="N851" s="116">
        <v>2560</v>
      </c>
      <c r="O851" s="116">
        <v>2468.15</v>
      </c>
      <c r="P851" s="116">
        <v>2489.9499999999998</v>
      </c>
      <c r="Q851" s="116">
        <v>2536.9499999999998</v>
      </c>
      <c r="R851">
        <v>343764</v>
      </c>
    </row>
    <row r="852" spans="1:18" x14ac:dyDescent="0.25">
      <c r="A852" s="170">
        <v>44658</v>
      </c>
      <c r="B852" s="116">
        <v>2600</v>
      </c>
      <c r="C852" s="116">
        <v>2361.5</v>
      </c>
      <c r="D852" s="116">
        <v>2305.6999999999998</v>
      </c>
      <c r="E852" s="116">
        <v>2535</v>
      </c>
      <c r="F852" s="116">
        <v>2361.5</v>
      </c>
      <c r="G852">
        <v>49974</v>
      </c>
      <c r="H852" s="116"/>
      <c r="I852" s="116"/>
      <c r="L852" s="170">
        <v>44658</v>
      </c>
      <c r="M852" s="116">
        <v>2362.6999999999998</v>
      </c>
      <c r="N852" s="116">
        <v>2600</v>
      </c>
      <c r="O852" s="116">
        <v>2303</v>
      </c>
      <c r="P852" s="116">
        <v>2530</v>
      </c>
      <c r="Q852" s="116">
        <v>2362.6999999999998</v>
      </c>
      <c r="R852">
        <v>506677</v>
      </c>
    </row>
    <row r="853" spans="1:18" x14ac:dyDescent="0.25">
      <c r="A853" s="170">
        <v>44659</v>
      </c>
      <c r="B853" s="116">
        <v>2499.85</v>
      </c>
      <c r="C853" s="116">
        <v>2424.25</v>
      </c>
      <c r="D853" s="116">
        <v>2385</v>
      </c>
      <c r="E853" s="116">
        <v>2499.85</v>
      </c>
      <c r="F853" s="116">
        <v>2424.25</v>
      </c>
      <c r="G853">
        <v>12278</v>
      </c>
      <c r="H853" s="116"/>
      <c r="I853" s="116"/>
      <c r="L853" s="170">
        <v>44659</v>
      </c>
      <c r="M853" s="116">
        <v>2427.1</v>
      </c>
      <c r="N853" s="116">
        <v>2450</v>
      </c>
      <c r="O853" s="116">
        <v>2378.85</v>
      </c>
      <c r="P853" s="116">
        <v>2399.8000000000002</v>
      </c>
      <c r="Q853" s="116">
        <v>2427.1</v>
      </c>
      <c r="R853">
        <v>159992</v>
      </c>
    </row>
    <row r="854" spans="1:18" x14ac:dyDescent="0.25">
      <c r="A854" s="170">
        <v>44662</v>
      </c>
      <c r="B854" s="116">
        <v>2666.65</v>
      </c>
      <c r="C854" s="116">
        <v>2664.25</v>
      </c>
      <c r="D854" s="116">
        <v>2469</v>
      </c>
      <c r="E854" s="116">
        <v>2489.8000000000002</v>
      </c>
      <c r="F854" s="116">
        <v>2664.25</v>
      </c>
      <c r="G854">
        <v>55463</v>
      </c>
      <c r="H854" s="116"/>
      <c r="I854" s="116"/>
      <c r="L854" s="170">
        <v>44662</v>
      </c>
      <c r="M854" s="116">
        <v>2665</v>
      </c>
      <c r="N854" s="116">
        <v>2669.8</v>
      </c>
      <c r="O854" s="116">
        <v>2469</v>
      </c>
      <c r="P854" s="116">
        <v>2469</v>
      </c>
      <c r="Q854" s="116">
        <v>2665</v>
      </c>
      <c r="R854">
        <v>553146</v>
      </c>
    </row>
    <row r="855" spans="1:18" x14ac:dyDescent="0.25">
      <c r="A855" s="170">
        <v>44663</v>
      </c>
      <c r="B855" s="116">
        <v>2739.95</v>
      </c>
      <c r="C855" s="116">
        <v>2501.6999999999998</v>
      </c>
      <c r="D855" s="116">
        <v>2457</v>
      </c>
      <c r="E855" s="116">
        <v>2700</v>
      </c>
      <c r="F855" s="116">
        <v>2501.6999999999998</v>
      </c>
      <c r="G855">
        <v>55188</v>
      </c>
      <c r="H855" s="116"/>
      <c r="I855" s="116"/>
      <c r="L855" s="170">
        <v>44663</v>
      </c>
      <c r="M855" s="116">
        <v>2502.0500000000002</v>
      </c>
      <c r="N855" s="116">
        <v>2740</v>
      </c>
      <c r="O855" s="116">
        <v>2454.0500000000002</v>
      </c>
      <c r="P855" s="116">
        <v>2700</v>
      </c>
      <c r="Q855" s="116">
        <v>2502.0500000000002</v>
      </c>
      <c r="R855">
        <v>804605</v>
      </c>
    </row>
    <row r="856" spans="1:18" x14ac:dyDescent="0.25">
      <c r="A856" s="170">
        <v>44664</v>
      </c>
      <c r="B856" s="116">
        <v>2566</v>
      </c>
      <c r="C856" s="116">
        <v>2498.0500000000002</v>
      </c>
      <c r="D856" s="116">
        <v>2469.9499999999998</v>
      </c>
      <c r="E856" s="116">
        <v>2555</v>
      </c>
      <c r="F856" s="116">
        <v>2498.0500000000002</v>
      </c>
      <c r="G856">
        <v>25117</v>
      </c>
      <c r="H856" s="116"/>
      <c r="I856" s="116"/>
      <c r="L856" s="170">
        <v>44664</v>
      </c>
      <c r="M856" s="116">
        <v>2500.85</v>
      </c>
      <c r="N856" s="116">
        <v>2569.9499999999998</v>
      </c>
      <c r="O856" s="116">
        <v>2465.4499999999998</v>
      </c>
      <c r="P856" s="116">
        <v>2545</v>
      </c>
      <c r="Q856" s="116">
        <v>2500.85</v>
      </c>
      <c r="R856">
        <v>213500</v>
      </c>
    </row>
    <row r="857" spans="1:18" x14ac:dyDescent="0.25">
      <c r="A857" s="170">
        <v>44669</v>
      </c>
      <c r="B857" s="116">
        <v>2521.25</v>
      </c>
      <c r="C857" s="116">
        <v>2491.1999999999998</v>
      </c>
      <c r="D857" s="116">
        <v>2349.9</v>
      </c>
      <c r="E857" s="116">
        <v>2495</v>
      </c>
      <c r="F857" s="116">
        <v>2491.1999999999998</v>
      </c>
      <c r="G857">
        <v>18314</v>
      </c>
      <c r="H857" s="116"/>
      <c r="I857" s="116"/>
      <c r="L857" s="170">
        <v>44669</v>
      </c>
      <c r="M857" s="116">
        <v>2495</v>
      </c>
      <c r="N857" s="116">
        <v>2520.0500000000002</v>
      </c>
      <c r="O857" s="116">
        <v>2322.6999999999998</v>
      </c>
      <c r="P857" s="116">
        <v>2482.5</v>
      </c>
      <c r="Q857" s="116">
        <v>2495</v>
      </c>
      <c r="R857">
        <v>288489</v>
      </c>
    </row>
    <row r="858" spans="1:18" x14ac:dyDescent="0.25">
      <c r="A858" s="170">
        <v>44670</v>
      </c>
      <c r="B858" s="116">
        <v>2552.5500000000002</v>
      </c>
      <c r="C858" s="116">
        <v>2369.15</v>
      </c>
      <c r="D858" s="116">
        <v>2302.5500000000002</v>
      </c>
      <c r="E858" s="116">
        <v>2528.8000000000002</v>
      </c>
      <c r="F858" s="116">
        <v>2369.15</v>
      </c>
      <c r="G858">
        <v>16906</v>
      </c>
      <c r="H858" s="116"/>
      <c r="I858" s="116"/>
      <c r="L858" s="170">
        <v>44670</v>
      </c>
      <c r="M858" s="116">
        <v>2369.4</v>
      </c>
      <c r="N858" s="116">
        <v>2552</v>
      </c>
      <c r="O858" s="116">
        <v>2300</v>
      </c>
      <c r="P858" s="116">
        <v>2522</v>
      </c>
      <c r="Q858" s="116">
        <v>2369.4</v>
      </c>
      <c r="R858">
        <v>420809</v>
      </c>
    </row>
    <row r="859" spans="1:18" x14ac:dyDescent="0.25">
      <c r="A859" s="170">
        <v>44671</v>
      </c>
      <c r="B859" s="116">
        <v>2500</v>
      </c>
      <c r="C859" s="116">
        <v>2484.1999999999998</v>
      </c>
      <c r="D859" s="116">
        <v>2414.9499999999998</v>
      </c>
      <c r="E859" s="116">
        <v>2438.35</v>
      </c>
      <c r="F859" s="116">
        <v>2484.1999999999998</v>
      </c>
      <c r="G859">
        <v>20274</v>
      </c>
      <c r="H859" s="116"/>
      <c r="I859" s="116"/>
      <c r="L859" s="170">
        <v>44671</v>
      </c>
      <c r="M859" s="116">
        <v>2478.4</v>
      </c>
      <c r="N859" s="116">
        <v>2500</v>
      </c>
      <c r="O859" s="116">
        <v>2415</v>
      </c>
      <c r="P859" s="116">
        <v>2421</v>
      </c>
      <c r="Q859" s="116">
        <v>2478.4</v>
      </c>
      <c r="R859">
        <v>290667</v>
      </c>
    </row>
    <row r="860" spans="1:18" x14ac:dyDescent="0.25">
      <c r="A860" s="170">
        <v>44672</v>
      </c>
      <c r="B860" s="116">
        <v>2527.9</v>
      </c>
      <c r="C860" s="116">
        <v>2443.35</v>
      </c>
      <c r="D860" s="116">
        <v>2416</v>
      </c>
      <c r="E860" s="116">
        <v>2525</v>
      </c>
      <c r="F860" s="116">
        <v>2443.35</v>
      </c>
      <c r="G860">
        <v>21859</v>
      </c>
      <c r="H860" s="116"/>
      <c r="I860" s="116"/>
      <c r="L860" s="170">
        <v>44672</v>
      </c>
      <c r="M860" s="116">
        <v>2443.35</v>
      </c>
      <c r="N860" s="116">
        <v>2530</v>
      </c>
      <c r="O860" s="116">
        <v>2415.1999999999998</v>
      </c>
      <c r="P860" s="116">
        <v>2509</v>
      </c>
      <c r="Q860" s="116">
        <v>2443.35</v>
      </c>
      <c r="R860">
        <v>292017</v>
      </c>
    </row>
    <row r="861" spans="1:18" x14ac:dyDescent="0.25">
      <c r="A861" s="170">
        <v>44673</v>
      </c>
      <c r="B861" s="116">
        <v>2474.15</v>
      </c>
      <c r="C861" s="116">
        <v>2416.1</v>
      </c>
      <c r="D861" s="116">
        <v>2394.9499999999998</v>
      </c>
      <c r="E861" s="116">
        <v>2434</v>
      </c>
      <c r="F861" s="116">
        <v>2416.1</v>
      </c>
      <c r="G861">
        <v>10196</v>
      </c>
      <c r="H861" s="116"/>
      <c r="I861" s="116"/>
      <c r="L861" s="170">
        <v>44673</v>
      </c>
      <c r="M861" s="116">
        <v>2413</v>
      </c>
      <c r="N861" s="116">
        <v>2480</v>
      </c>
      <c r="O861" s="116">
        <v>2393</v>
      </c>
      <c r="P861" s="116">
        <v>2420</v>
      </c>
      <c r="Q861" s="116">
        <v>2413</v>
      </c>
      <c r="R861">
        <v>197099</v>
      </c>
    </row>
    <row r="862" spans="1:18" x14ac:dyDescent="0.25">
      <c r="A862" s="170">
        <v>44676</v>
      </c>
      <c r="B862" s="116">
        <v>2470</v>
      </c>
      <c r="C862" s="116">
        <v>2419.5500000000002</v>
      </c>
      <c r="D862" s="116">
        <v>2394</v>
      </c>
      <c r="E862" s="116">
        <v>2402.6</v>
      </c>
      <c r="F862" s="116">
        <v>2419.5500000000002</v>
      </c>
      <c r="G862">
        <v>41497</v>
      </c>
      <c r="H862" s="116"/>
      <c r="I862" s="116"/>
      <c r="L862" s="170">
        <v>44676</v>
      </c>
      <c r="M862" s="116">
        <v>2420</v>
      </c>
      <c r="N862" s="116">
        <v>2474.75</v>
      </c>
      <c r="O862" s="116">
        <v>2400</v>
      </c>
      <c r="P862" s="116">
        <v>2419</v>
      </c>
      <c r="Q862" s="116">
        <v>2420</v>
      </c>
      <c r="R862">
        <v>268339</v>
      </c>
    </row>
    <row r="863" spans="1:18" x14ac:dyDescent="0.25">
      <c r="A863" s="170">
        <v>44677</v>
      </c>
      <c r="B863" s="116">
        <v>2595.65</v>
      </c>
      <c r="C863" s="116">
        <v>2569.3000000000002</v>
      </c>
      <c r="D863" s="116">
        <v>2448.0500000000002</v>
      </c>
      <c r="E863" s="116">
        <v>2460.0500000000002</v>
      </c>
      <c r="F863" s="116">
        <v>2569.3000000000002</v>
      </c>
      <c r="G863">
        <v>31107</v>
      </c>
      <c r="H863" s="116"/>
      <c r="I863" s="116"/>
      <c r="L863" s="170">
        <v>44677</v>
      </c>
      <c r="M863" s="116">
        <v>2562.5</v>
      </c>
      <c r="N863" s="116">
        <v>2595</v>
      </c>
      <c r="O863" s="116">
        <v>2430</v>
      </c>
      <c r="P863" s="116">
        <v>2478.15</v>
      </c>
      <c r="Q863" s="116">
        <v>2562.5</v>
      </c>
      <c r="R863">
        <v>702985</v>
      </c>
    </row>
    <row r="864" spans="1:18" x14ac:dyDescent="0.25">
      <c r="A864" s="170">
        <v>44678</v>
      </c>
      <c r="B864" s="116">
        <v>2575</v>
      </c>
      <c r="C864" s="116">
        <v>2509.9499999999998</v>
      </c>
      <c r="D864" s="116">
        <v>2452.0500000000002</v>
      </c>
      <c r="E864" s="116">
        <v>2570</v>
      </c>
      <c r="F864" s="116">
        <v>2509.9499999999998</v>
      </c>
      <c r="G864">
        <v>49581</v>
      </c>
      <c r="H864" s="116"/>
      <c r="I864" s="116"/>
      <c r="L864" s="170">
        <v>44678</v>
      </c>
      <c r="M864" s="116">
        <v>2503</v>
      </c>
      <c r="N864" s="116">
        <v>2580</v>
      </c>
      <c r="O864" s="116">
        <v>2448.65</v>
      </c>
      <c r="P864" s="116">
        <v>2573.0500000000002</v>
      </c>
      <c r="Q864" s="116">
        <v>2503</v>
      </c>
      <c r="R864">
        <v>345199</v>
      </c>
    </row>
    <row r="865" spans="1:18" x14ac:dyDescent="0.25">
      <c r="A865" s="170">
        <v>44679</v>
      </c>
      <c r="B865" s="116">
        <v>2626.65</v>
      </c>
      <c r="C865" s="116">
        <v>2559.75</v>
      </c>
      <c r="D865" s="116">
        <v>2532</v>
      </c>
      <c r="E865" s="116">
        <v>2565</v>
      </c>
      <c r="F865" s="116">
        <v>2559.75</v>
      </c>
      <c r="G865">
        <v>52610</v>
      </c>
      <c r="H865" s="116"/>
      <c r="I865" s="116"/>
      <c r="L865" s="170">
        <v>44679</v>
      </c>
      <c r="M865" s="116">
        <v>2562.6</v>
      </c>
      <c r="N865" s="116">
        <v>2628</v>
      </c>
      <c r="O865" s="116">
        <v>2532.1</v>
      </c>
      <c r="P865" s="116">
        <v>2553</v>
      </c>
      <c r="Q865" s="116">
        <v>2562.6</v>
      </c>
      <c r="R865">
        <v>465693</v>
      </c>
    </row>
    <row r="866" spans="1:18" x14ac:dyDescent="0.25">
      <c r="A866" s="170">
        <v>44680</v>
      </c>
      <c r="B866" s="116">
        <v>2610</v>
      </c>
      <c r="C866" s="116">
        <v>2442.5</v>
      </c>
      <c r="D866" s="116">
        <v>2371.25</v>
      </c>
      <c r="E866" s="116">
        <v>2596</v>
      </c>
      <c r="F866" s="116">
        <v>2442.5</v>
      </c>
      <c r="G866">
        <v>24720</v>
      </c>
      <c r="H866" s="116"/>
      <c r="I866" s="116"/>
      <c r="L866" s="170">
        <v>44680</v>
      </c>
      <c r="M866" s="116">
        <v>2450.9499999999998</v>
      </c>
      <c r="N866" s="116">
        <v>2609.6999999999998</v>
      </c>
      <c r="O866" s="116">
        <v>2373.6999999999998</v>
      </c>
      <c r="P866" s="116">
        <v>2599.4</v>
      </c>
      <c r="Q866" s="116">
        <v>2450.9499999999998</v>
      </c>
      <c r="R866">
        <v>659458</v>
      </c>
    </row>
    <row r="867" spans="1:18" x14ac:dyDescent="0.25">
      <c r="A867" s="170">
        <v>44683</v>
      </c>
      <c r="B867" s="116">
        <v>2518.4</v>
      </c>
      <c r="C867" s="116">
        <v>2486.75</v>
      </c>
      <c r="D867" s="116">
        <v>2445</v>
      </c>
      <c r="E867" s="116">
        <v>2474.1999999999998</v>
      </c>
      <c r="F867" s="116">
        <v>2486.75</v>
      </c>
      <c r="G867">
        <v>9464</v>
      </c>
      <c r="H867" s="116"/>
      <c r="I867" s="116"/>
      <c r="L867" s="170">
        <v>44683</v>
      </c>
      <c r="M867" s="116">
        <v>2488.1999999999998</v>
      </c>
      <c r="N867" s="116">
        <v>2520</v>
      </c>
      <c r="O867" s="116">
        <v>2442.15</v>
      </c>
      <c r="P867" s="116">
        <v>2451</v>
      </c>
      <c r="Q867" s="116">
        <v>2488.1999999999998</v>
      </c>
      <c r="R867">
        <v>305245</v>
      </c>
    </row>
    <row r="868" spans="1:18" x14ac:dyDescent="0.25">
      <c r="A868" s="170">
        <v>44685</v>
      </c>
      <c r="B868" s="116">
        <v>2505</v>
      </c>
      <c r="C868" s="116">
        <v>2444.4</v>
      </c>
      <c r="D868" s="116">
        <v>2428.6999999999998</v>
      </c>
      <c r="E868" s="116">
        <v>2489</v>
      </c>
      <c r="F868" s="116">
        <v>2444.4</v>
      </c>
      <c r="G868">
        <v>306268</v>
      </c>
      <c r="H868" s="116"/>
      <c r="I868" s="116"/>
      <c r="L868" s="170">
        <v>44685</v>
      </c>
      <c r="M868" s="116">
        <v>2447.0500000000002</v>
      </c>
      <c r="N868" s="116">
        <v>2504.9499999999998</v>
      </c>
      <c r="O868" s="116">
        <v>2434.0500000000002</v>
      </c>
      <c r="P868" s="116">
        <v>2450</v>
      </c>
      <c r="Q868" s="116">
        <v>2447.0500000000002</v>
      </c>
      <c r="R868">
        <v>310199</v>
      </c>
    </row>
    <row r="869" spans="1:18" x14ac:dyDescent="0.25">
      <c r="A869" s="170">
        <v>44686</v>
      </c>
      <c r="B869" s="116">
        <v>2493</v>
      </c>
      <c r="C869" s="116">
        <v>2454.4</v>
      </c>
      <c r="D869" s="116">
        <v>2370.1</v>
      </c>
      <c r="E869" s="116">
        <v>2390</v>
      </c>
      <c r="F869" s="116">
        <v>2454.4</v>
      </c>
      <c r="G869">
        <v>12793</v>
      </c>
      <c r="H869" s="116"/>
      <c r="I869" s="116"/>
      <c r="L869" s="170">
        <v>44686</v>
      </c>
      <c r="M869" s="116">
        <v>2450.5</v>
      </c>
      <c r="N869" s="116">
        <v>2495</v>
      </c>
      <c r="O869" s="116">
        <v>2361.0500000000002</v>
      </c>
      <c r="P869" s="116">
        <v>2375.0500000000002</v>
      </c>
      <c r="Q869" s="116">
        <v>2450.5</v>
      </c>
      <c r="R869">
        <v>416552</v>
      </c>
    </row>
    <row r="870" spans="1:18" x14ac:dyDescent="0.25">
      <c r="A870" s="170">
        <v>44687</v>
      </c>
      <c r="B870" s="116">
        <v>2475.3000000000002</v>
      </c>
      <c r="C870" s="116">
        <v>2436.1</v>
      </c>
      <c r="D870" s="116">
        <v>2369.4</v>
      </c>
      <c r="E870" s="116">
        <v>2370.1</v>
      </c>
      <c r="F870" s="116">
        <v>2436.1</v>
      </c>
      <c r="G870">
        <v>17133</v>
      </c>
      <c r="H870" s="116"/>
      <c r="I870" s="116"/>
      <c r="L870" s="170">
        <v>44687</v>
      </c>
      <c r="M870" s="116">
        <v>2437.65</v>
      </c>
      <c r="N870" s="116">
        <v>2476</v>
      </c>
      <c r="O870" s="116">
        <v>2370.15</v>
      </c>
      <c r="P870" s="116">
        <v>2375</v>
      </c>
      <c r="Q870" s="116">
        <v>2437.65</v>
      </c>
      <c r="R870">
        <v>359823</v>
      </c>
    </row>
    <row r="871" spans="1:18" x14ac:dyDescent="0.25">
      <c r="A871" s="170">
        <v>44690</v>
      </c>
      <c r="B871" s="116">
        <v>2420.5500000000002</v>
      </c>
      <c r="C871" s="116">
        <v>2362.4499999999998</v>
      </c>
      <c r="D871" s="116">
        <v>2303</v>
      </c>
      <c r="E871" s="116">
        <v>2375</v>
      </c>
      <c r="F871" s="116">
        <v>2362.4499999999998</v>
      </c>
      <c r="G871">
        <v>13263</v>
      </c>
      <c r="H871" s="116"/>
      <c r="I871" s="116"/>
      <c r="L871" s="170">
        <v>44690</v>
      </c>
      <c r="M871" s="116">
        <v>2375.25</v>
      </c>
      <c r="N871" s="116">
        <v>2423.4</v>
      </c>
      <c r="O871" s="116">
        <v>2300</v>
      </c>
      <c r="P871" s="116">
        <v>2400</v>
      </c>
      <c r="Q871" s="116">
        <v>2375.25</v>
      </c>
      <c r="R871">
        <v>305943</v>
      </c>
    </row>
    <row r="872" spans="1:18" x14ac:dyDescent="0.25">
      <c r="A872" s="170">
        <v>44691</v>
      </c>
      <c r="B872" s="116">
        <v>2439.5500000000002</v>
      </c>
      <c r="C872" s="116">
        <v>2346.9499999999998</v>
      </c>
      <c r="D872" s="116">
        <v>2298</v>
      </c>
      <c r="E872" s="116">
        <v>2385</v>
      </c>
      <c r="F872" s="116">
        <v>2346.9499999999998</v>
      </c>
      <c r="G872">
        <v>17566</v>
      </c>
      <c r="H872" s="116"/>
      <c r="I872" s="116"/>
      <c r="L872" s="170">
        <v>44691</v>
      </c>
      <c r="M872" s="116">
        <v>2360.65</v>
      </c>
      <c r="N872" s="116">
        <v>2438</v>
      </c>
      <c r="O872" s="116">
        <v>2301</v>
      </c>
      <c r="P872" s="116">
        <v>2376.15</v>
      </c>
      <c r="Q872" s="116">
        <v>2360.65</v>
      </c>
      <c r="R872">
        <v>469693</v>
      </c>
    </row>
    <row r="873" spans="1:18" x14ac:dyDescent="0.25">
      <c r="A873" s="170">
        <v>44692</v>
      </c>
      <c r="B873" s="116">
        <v>2455.1999999999998</v>
      </c>
      <c r="C873" s="116">
        <v>2339.1</v>
      </c>
      <c r="D873" s="116">
        <v>2241</v>
      </c>
      <c r="E873" s="116">
        <v>2360</v>
      </c>
      <c r="F873" s="116">
        <v>2339.1</v>
      </c>
      <c r="G873">
        <v>26314</v>
      </c>
      <c r="H873" s="116"/>
      <c r="I873" s="116"/>
      <c r="L873" s="170">
        <v>44692</v>
      </c>
      <c r="M873" s="116">
        <v>2355.0500000000002</v>
      </c>
      <c r="N873" s="116">
        <v>2454</v>
      </c>
      <c r="O873" s="116">
        <v>2236.0500000000002</v>
      </c>
      <c r="P873" s="116">
        <v>2345</v>
      </c>
      <c r="Q873" s="116">
        <v>2355.0500000000002</v>
      </c>
      <c r="R873">
        <v>508758</v>
      </c>
    </row>
    <row r="874" spans="1:18" x14ac:dyDescent="0.25">
      <c r="A874" s="170">
        <v>44693</v>
      </c>
      <c r="B874" s="116">
        <v>2389.9</v>
      </c>
      <c r="C874" s="116">
        <v>2294.3000000000002</v>
      </c>
      <c r="D874" s="116">
        <v>2169</v>
      </c>
      <c r="E874" s="116">
        <v>2376</v>
      </c>
      <c r="F874" s="116">
        <v>2294.3000000000002</v>
      </c>
      <c r="G874">
        <v>28189</v>
      </c>
      <c r="H874" s="116"/>
      <c r="I874" s="116"/>
      <c r="L874" s="170">
        <v>44693</v>
      </c>
      <c r="M874" s="116">
        <v>2294.1</v>
      </c>
      <c r="N874" s="116">
        <v>2398</v>
      </c>
      <c r="O874" s="116">
        <v>2166.0500000000002</v>
      </c>
      <c r="P874" s="116">
        <v>2362.5</v>
      </c>
      <c r="Q874" s="116">
        <v>2294.1</v>
      </c>
      <c r="R874">
        <v>602564</v>
      </c>
    </row>
    <row r="875" spans="1:18" x14ac:dyDescent="0.25">
      <c r="A875" s="170">
        <v>44694</v>
      </c>
      <c r="B875" s="116">
        <v>2485</v>
      </c>
      <c r="C875" s="116">
        <v>2376.0500000000002</v>
      </c>
      <c r="D875" s="116">
        <v>2310</v>
      </c>
      <c r="E875" s="116">
        <v>2310</v>
      </c>
      <c r="F875" s="116">
        <v>2376.0500000000002</v>
      </c>
      <c r="G875">
        <v>36788</v>
      </c>
      <c r="H875" s="116"/>
      <c r="I875" s="116"/>
      <c r="L875" s="170">
        <v>44694</v>
      </c>
      <c r="M875" s="116">
        <v>2369.1</v>
      </c>
      <c r="N875" s="116">
        <v>2490</v>
      </c>
      <c r="O875" s="116">
        <v>2311</v>
      </c>
      <c r="P875" s="116">
        <v>2311</v>
      </c>
      <c r="Q875" s="116">
        <v>2369.1</v>
      </c>
      <c r="R875">
        <v>554235</v>
      </c>
    </row>
    <row r="876" spans="1:18" x14ac:dyDescent="0.25">
      <c r="A876" s="170">
        <v>44697</v>
      </c>
      <c r="B876" s="116">
        <v>2424</v>
      </c>
      <c r="C876" s="116">
        <v>2384.5</v>
      </c>
      <c r="D876" s="116">
        <v>2313.1</v>
      </c>
      <c r="E876" s="116">
        <v>2351</v>
      </c>
      <c r="F876" s="116">
        <v>2384.5</v>
      </c>
      <c r="G876">
        <v>24047</v>
      </c>
      <c r="H876" s="116"/>
      <c r="I876" s="116"/>
      <c r="L876" s="170">
        <v>44697</v>
      </c>
      <c r="M876" s="116">
        <v>2388.5500000000002</v>
      </c>
      <c r="N876" s="116">
        <v>2424.8000000000002</v>
      </c>
      <c r="O876" s="116">
        <v>2312.35</v>
      </c>
      <c r="P876" s="116">
        <v>2340</v>
      </c>
      <c r="Q876" s="116">
        <v>2388.5500000000002</v>
      </c>
      <c r="R876">
        <v>154088</v>
      </c>
    </row>
    <row r="877" spans="1:18" x14ac:dyDescent="0.25">
      <c r="A877" s="170">
        <v>44698</v>
      </c>
      <c r="B877" s="116">
        <v>2515.1</v>
      </c>
      <c r="C877" s="116">
        <v>2499.4</v>
      </c>
      <c r="D877" s="116">
        <v>2390</v>
      </c>
      <c r="E877" s="116">
        <v>2431.9</v>
      </c>
      <c r="F877" s="116">
        <v>2499.4</v>
      </c>
      <c r="G877">
        <v>11850</v>
      </c>
      <c r="H877" s="116"/>
      <c r="I877" s="116"/>
      <c r="L877" s="170">
        <v>44698</v>
      </c>
      <c r="M877" s="116">
        <v>2500.5</v>
      </c>
      <c r="N877" s="116">
        <v>2518</v>
      </c>
      <c r="O877" s="116">
        <v>2385.15</v>
      </c>
      <c r="P877" s="116">
        <v>2414.15</v>
      </c>
      <c r="Q877" s="116">
        <v>2500.5</v>
      </c>
      <c r="R877">
        <v>371040</v>
      </c>
    </row>
    <row r="878" spans="1:18" x14ac:dyDescent="0.25">
      <c r="A878" s="170">
        <v>44699</v>
      </c>
      <c r="B878" s="116">
        <v>2560</v>
      </c>
      <c r="C878" s="116">
        <v>2489.6</v>
      </c>
      <c r="D878" s="116">
        <v>2458.85</v>
      </c>
      <c r="E878" s="116">
        <v>2550.6</v>
      </c>
      <c r="F878" s="116">
        <v>2489.6</v>
      </c>
      <c r="G878">
        <v>38137</v>
      </c>
      <c r="H878" s="116"/>
      <c r="I878" s="116"/>
      <c r="L878" s="170">
        <v>44699</v>
      </c>
      <c r="M878" s="116">
        <v>2485.6999999999998</v>
      </c>
      <c r="N878" s="116">
        <v>2561.9499999999998</v>
      </c>
      <c r="O878" s="116">
        <v>2460</v>
      </c>
      <c r="P878" s="116">
        <v>2543</v>
      </c>
      <c r="Q878" s="116">
        <v>2485.6999999999998</v>
      </c>
      <c r="R878">
        <v>412949</v>
      </c>
    </row>
    <row r="879" spans="1:18" x14ac:dyDescent="0.25">
      <c r="A879" s="170">
        <v>44700</v>
      </c>
      <c r="B879" s="116">
        <v>2449</v>
      </c>
      <c r="C879" s="116">
        <v>2375.15</v>
      </c>
      <c r="D879" s="116">
        <v>2357.15</v>
      </c>
      <c r="E879" s="116">
        <v>2400.25</v>
      </c>
      <c r="F879" s="116">
        <v>2375.15</v>
      </c>
      <c r="G879">
        <v>22577</v>
      </c>
      <c r="H879" s="116"/>
      <c r="I879" s="116"/>
      <c r="L879" s="170">
        <v>44700</v>
      </c>
      <c r="M879" s="116">
        <v>2378.5</v>
      </c>
      <c r="N879" s="116">
        <v>2449.9</v>
      </c>
      <c r="O879" s="116">
        <v>2350</v>
      </c>
      <c r="P879" s="116">
        <v>2419</v>
      </c>
      <c r="Q879" s="116">
        <v>2378.5</v>
      </c>
      <c r="R879">
        <v>210243</v>
      </c>
    </row>
    <row r="880" spans="1:18" x14ac:dyDescent="0.25">
      <c r="A880" s="170">
        <v>44701</v>
      </c>
      <c r="B880" s="116">
        <v>2459</v>
      </c>
      <c r="C880" s="116">
        <v>2382.9</v>
      </c>
      <c r="D880" s="116">
        <v>2359.9499999999998</v>
      </c>
      <c r="E880" s="116">
        <v>2439.8000000000002</v>
      </c>
      <c r="F880" s="116">
        <v>2382.9</v>
      </c>
      <c r="G880">
        <v>9805</v>
      </c>
      <c r="H880" s="116"/>
      <c r="I880" s="116"/>
      <c r="L880" s="170">
        <v>44701</v>
      </c>
      <c r="M880" s="116">
        <v>2380.35</v>
      </c>
      <c r="N880" s="116">
        <v>2460</v>
      </c>
      <c r="O880" s="116">
        <v>2355.8000000000002</v>
      </c>
      <c r="P880" s="116">
        <v>2449.8000000000002</v>
      </c>
      <c r="Q880" s="116">
        <v>2380.35</v>
      </c>
      <c r="R880">
        <v>444435</v>
      </c>
    </row>
    <row r="881" spans="1:18" x14ac:dyDescent="0.25">
      <c r="A881" s="170">
        <v>44704</v>
      </c>
      <c r="B881" s="116">
        <v>2436</v>
      </c>
      <c r="C881" s="116">
        <v>2330.9</v>
      </c>
      <c r="D881" s="116">
        <v>2315</v>
      </c>
      <c r="E881" s="116">
        <v>2385</v>
      </c>
      <c r="F881" s="116">
        <v>2330.9</v>
      </c>
      <c r="G881">
        <v>11989</v>
      </c>
      <c r="H881" s="116"/>
      <c r="I881" s="116"/>
      <c r="L881" s="170">
        <v>44704</v>
      </c>
      <c r="M881" s="116">
        <v>2331.6</v>
      </c>
      <c r="N881" s="116">
        <v>2434.6999999999998</v>
      </c>
      <c r="O881" s="116">
        <v>2311.1999999999998</v>
      </c>
      <c r="P881" s="116">
        <v>2400</v>
      </c>
      <c r="Q881" s="116">
        <v>2331.6</v>
      </c>
      <c r="R881">
        <v>292937</v>
      </c>
    </row>
    <row r="882" spans="1:18" x14ac:dyDescent="0.25">
      <c r="A882" s="170">
        <v>44705</v>
      </c>
      <c r="B882" s="116">
        <v>2398.8000000000002</v>
      </c>
      <c r="C882" s="116">
        <v>2333.6999999999998</v>
      </c>
      <c r="D882" s="116">
        <v>2290</v>
      </c>
      <c r="E882" s="116">
        <v>2375</v>
      </c>
      <c r="F882" s="116">
        <v>2333.6999999999998</v>
      </c>
      <c r="G882">
        <v>9461</v>
      </c>
      <c r="H882" s="116"/>
      <c r="I882" s="116"/>
      <c r="L882" s="170">
        <v>44705</v>
      </c>
      <c r="M882" s="116">
        <v>2328.25</v>
      </c>
      <c r="N882" s="116">
        <v>2394.9499999999998</v>
      </c>
      <c r="O882" s="116">
        <v>2290</v>
      </c>
      <c r="P882" s="116">
        <v>2377</v>
      </c>
      <c r="Q882" s="116">
        <v>2328.25</v>
      </c>
      <c r="R882">
        <v>295781</v>
      </c>
    </row>
    <row r="883" spans="1:18" x14ac:dyDescent="0.25">
      <c r="A883" s="170">
        <v>44706</v>
      </c>
      <c r="B883" s="116">
        <v>2386.4</v>
      </c>
      <c r="C883" s="116">
        <v>2214.4</v>
      </c>
      <c r="D883" s="116">
        <v>2188.3000000000002</v>
      </c>
      <c r="E883" s="116">
        <v>2386.4</v>
      </c>
      <c r="F883" s="116">
        <v>2214.4</v>
      </c>
      <c r="G883">
        <v>12854</v>
      </c>
      <c r="H883" s="116"/>
      <c r="I883" s="116"/>
      <c r="L883" s="170">
        <v>44706</v>
      </c>
      <c r="M883" s="116">
        <v>2216.9499999999998</v>
      </c>
      <c r="N883" s="116">
        <v>2328</v>
      </c>
      <c r="O883" s="116">
        <v>2185.6999999999998</v>
      </c>
      <c r="P883" s="116">
        <v>2315</v>
      </c>
      <c r="Q883" s="116">
        <v>2216.9499999999998</v>
      </c>
      <c r="R883">
        <v>304532</v>
      </c>
    </row>
    <row r="884" spans="1:18" x14ac:dyDescent="0.25">
      <c r="A884" s="170">
        <v>44707</v>
      </c>
      <c r="B884" s="116">
        <v>2435.8000000000002</v>
      </c>
      <c r="C884" s="116">
        <v>2363.35</v>
      </c>
      <c r="D884" s="116">
        <v>2146.65</v>
      </c>
      <c r="E884" s="116">
        <v>2210</v>
      </c>
      <c r="F884" s="116">
        <v>2363.35</v>
      </c>
      <c r="G884">
        <v>28508</v>
      </c>
      <c r="H884" s="116"/>
      <c r="I884" s="116"/>
      <c r="L884" s="170">
        <v>44707</v>
      </c>
      <c r="M884" s="116">
        <v>2391.35</v>
      </c>
      <c r="N884" s="116">
        <v>2438.6</v>
      </c>
      <c r="O884" s="116">
        <v>2145</v>
      </c>
      <c r="P884" s="116">
        <v>2230</v>
      </c>
      <c r="Q884" s="116">
        <v>2391.35</v>
      </c>
      <c r="R884">
        <v>365372</v>
      </c>
    </row>
    <row r="885" spans="1:18" x14ac:dyDescent="0.25">
      <c r="A885" s="170">
        <v>44708</v>
      </c>
      <c r="B885" s="116">
        <v>2485</v>
      </c>
      <c r="C885" s="116">
        <v>2454.1</v>
      </c>
      <c r="D885" s="116">
        <v>2360</v>
      </c>
      <c r="E885" s="116">
        <v>2431</v>
      </c>
      <c r="F885" s="116">
        <v>2454.1</v>
      </c>
      <c r="G885">
        <v>15145</v>
      </c>
      <c r="H885" s="116"/>
      <c r="I885" s="116"/>
      <c r="L885" s="170">
        <v>44708</v>
      </c>
      <c r="M885" s="116">
        <v>2456.4499999999998</v>
      </c>
      <c r="N885" s="116">
        <v>2485.75</v>
      </c>
      <c r="O885" s="116">
        <v>2360</v>
      </c>
      <c r="P885" s="116">
        <v>2440</v>
      </c>
      <c r="Q885" s="116">
        <v>2456.4499999999998</v>
      </c>
      <c r="R885">
        <v>308232</v>
      </c>
    </row>
    <row r="886" spans="1:18" x14ac:dyDescent="0.25">
      <c r="A886" s="170">
        <v>44711</v>
      </c>
      <c r="B886" s="116">
        <v>2607.25</v>
      </c>
      <c r="C886" s="116">
        <v>2587.5500000000002</v>
      </c>
      <c r="D886" s="116">
        <v>2460.25</v>
      </c>
      <c r="E886" s="116">
        <v>2460.25</v>
      </c>
      <c r="F886" s="116">
        <v>2587.5500000000002</v>
      </c>
      <c r="G886">
        <v>19973</v>
      </c>
      <c r="H886" s="116"/>
      <c r="I886" s="116"/>
      <c r="L886" s="170">
        <v>44711</v>
      </c>
      <c r="M886" s="116">
        <v>2589.5</v>
      </c>
      <c r="N886" s="116">
        <v>2610</v>
      </c>
      <c r="O886" s="116">
        <v>2465.0500000000002</v>
      </c>
      <c r="P886" s="116">
        <v>2468</v>
      </c>
      <c r="Q886" s="116">
        <v>2589.5</v>
      </c>
      <c r="R886">
        <v>357491</v>
      </c>
    </row>
    <row r="887" spans="1:18" x14ac:dyDescent="0.25">
      <c r="A887" s="170">
        <v>44712</v>
      </c>
      <c r="B887" s="116">
        <v>2624</v>
      </c>
      <c r="C887" s="116">
        <v>2392.5</v>
      </c>
      <c r="D887" s="116">
        <v>2335.0500000000002</v>
      </c>
      <c r="E887" s="116">
        <v>2596</v>
      </c>
      <c r="F887" s="116">
        <v>2392.5</v>
      </c>
      <c r="G887">
        <v>26002</v>
      </c>
      <c r="H887" s="116"/>
      <c r="I887" s="116"/>
      <c r="L887" s="170">
        <v>44712</v>
      </c>
      <c r="M887" s="116">
        <v>2397.9</v>
      </c>
      <c r="N887" s="116">
        <v>2624</v>
      </c>
      <c r="O887" s="116">
        <v>2335.9</v>
      </c>
      <c r="P887" s="116">
        <v>2580</v>
      </c>
      <c r="Q887" s="116">
        <v>2397.9</v>
      </c>
      <c r="R887">
        <v>1523242</v>
      </c>
    </row>
    <row r="888" spans="1:18" x14ac:dyDescent="0.25">
      <c r="A888" s="170">
        <v>44713</v>
      </c>
      <c r="B888" s="116">
        <v>2456.9499999999998</v>
      </c>
      <c r="C888" s="116">
        <v>2326.15</v>
      </c>
      <c r="D888" s="116">
        <v>2280</v>
      </c>
      <c r="E888" s="116">
        <v>2396.1999999999998</v>
      </c>
      <c r="F888" s="116">
        <v>2326.15</v>
      </c>
      <c r="G888">
        <v>17354</v>
      </c>
      <c r="H888" s="116"/>
      <c r="I888" s="116"/>
      <c r="L888" s="170">
        <v>44713</v>
      </c>
      <c r="M888" s="116">
        <v>2325.9</v>
      </c>
      <c r="N888" s="116">
        <v>2458.6</v>
      </c>
      <c r="O888" s="116">
        <v>2276</v>
      </c>
      <c r="P888" s="116">
        <v>2380.9</v>
      </c>
      <c r="Q888" s="116">
        <v>2325.9</v>
      </c>
      <c r="R888">
        <v>705859</v>
      </c>
    </row>
    <row r="889" spans="1:18" x14ac:dyDescent="0.25">
      <c r="A889" s="170">
        <v>44714</v>
      </c>
      <c r="B889" s="116">
        <v>2494.75</v>
      </c>
      <c r="C889" s="116">
        <v>2444.9</v>
      </c>
      <c r="D889" s="116">
        <v>2293.4</v>
      </c>
      <c r="E889" s="116">
        <v>2345</v>
      </c>
      <c r="F889" s="116">
        <v>2444.9</v>
      </c>
      <c r="G889">
        <v>36943</v>
      </c>
      <c r="H889" s="116"/>
      <c r="I889" s="116"/>
      <c r="L889" s="170">
        <v>44714</v>
      </c>
      <c r="M889" s="116">
        <v>2445.85</v>
      </c>
      <c r="N889" s="116">
        <v>2495.25</v>
      </c>
      <c r="O889" s="116">
        <v>2295.15</v>
      </c>
      <c r="P889" s="116">
        <v>2330</v>
      </c>
      <c r="Q889" s="116">
        <v>2445.85</v>
      </c>
      <c r="R889">
        <v>487748</v>
      </c>
    </row>
    <row r="890" spans="1:18" x14ac:dyDescent="0.25">
      <c r="A890" s="170">
        <v>44715</v>
      </c>
      <c r="B890" s="116">
        <v>2484.85</v>
      </c>
      <c r="C890" s="116">
        <v>2391.35</v>
      </c>
      <c r="D890" s="116">
        <v>2360</v>
      </c>
      <c r="E890" s="116">
        <v>2484.85</v>
      </c>
      <c r="F890" s="116">
        <v>2391.35</v>
      </c>
      <c r="G890">
        <v>9422</v>
      </c>
      <c r="H890" s="116"/>
      <c r="I890" s="116"/>
      <c r="L890" s="170">
        <v>44715</v>
      </c>
      <c r="M890" s="116">
        <v>2390.4499999999998</v>
      </c>
      <c r="N890" s="116">
        <v>2467</v>
      </c>
      <c r="O890" s="116">
        <v>2353.1</v>
      </c>
      <c r="P890" s="116">
        <v>2467</v>
      </c>
      <c r="Q890" s="116">
        <v>2390.4499999999998</v>
      </c>
      <c r="R890">
        <v>388286</v>
      </c>
    </row>
    <row r="891" spans="1:18" x14ac:dyDescent="0.25">
      <c r="A891" s="170">
        <v>44718</v>
      </c>
      <c r="B891" s="116">
        <v>2510</v>
      </c>
      <c r="C891" s="116">
        <v>2478.25</v>
      </c>
      <c r="D891" s="116">
        <v>2285</v>
      </c>
      <c r="E891" s="116">
        <v>2376</v>
      </c>
      <c r="F891" s="116">
        <v>2478.25</v>
      </c>
      <c r="G891">
        <v>25907</v>
      </c>
      <c r="H891" s="116"/>
      <c r="I891" s="116"/>
      <c r="L891" s="170">
        <v>44718</v>
      </c>
      <c r="M891" s="116">
        <v>2480.1</v>
      </c>
      <c r="N891" s="116">
        <v>2511.1999999999998</v>
      </c>
      <c r="O891" s="116">
        <v>2284</v>
      </c>
      <c r="P891" s="116">
        <v>2379</v>
      </c>
      <c r="Q891" s="116">
        <v>2480.1</v>
      </c>
      <c r="R891">
        <v>266574</v>
      </c>
    </row>
    <row r="892" spans="1:18" x14ac:dyDescent="0.25">
      <c r="A892" s="170">
        <v>44719</v>
      </c>
      <c r="B892" s="116">
        <v>2585</v>
      </c>
      <c r="C892" s="116">
        <v>2501.6</v>
      </c>
      <c r="D892" s="116">
        <v>2420.1</v>
      </c>
      <c r="E892" s="116">
        <v>2456</v>
      </c>
      <c r="F892" s="116">
        <v>2501.6</v>
      </c>
      <c r="G892">
        <v>18082</v>
      </c>
      <c r="H892" s="116"/>
      <c r="I892" s="116"/>
      <c r="L892" s="170">
        <v>44719</v>
      </c>
      <c r="M892" s="116">
        <v>2498.9499999999998</v>
      </c>
      <c r="N892" s="116">
        <v>2585.6</v>
      </c>
      <c r="O892" s="116">
        <v>2401</v>
      </c>
      <c r="P892" s="116">
        <v>2480</v>
      </c>
      <c r="Q892" s="116">
        <v>2498.9499999999998</v>
      </c>
      <c r="R892">
        <v>430802</v>
      </c>
    </row>
    <row r="893" spans="1:18" x14ac:dyDescent="0.25">
      <c r="A893" s="170">
        <v>44720</v>
      </c>
      <c r="B893" s="116">
        <v>2524.8000000000002</v>
      </c>
      <c r="C893" s="116">
        <v>2447.9</v>
      </c>
      <c r="D893" s="116">
        <v>2427</v>
      </c>
      <c r="E893" s="116">
        <v>2487</v>
      </c>
      <c r="F893" s="116">
        <v>2447.9</v>
      </c>
      <c r="G893">
        <v>14409</v>
      </c>
      <c r="H893" s="116"/>
      <c r="I893" s="116"/>
      <c r="L893" s="170">
        <v>44720</v>
      </c>
      <c r="M893" s="116">
        <v>2447.35</v>
      </c>
      <c r="N893" s="116">
        <v>2524.9</v>
      </c>
      <c r="O893" s="116">
        <v>2426.1999999999998</v>
      </c>
      <c r="P893" s="116">
        <v>2480.15</v>
      </c>
      <c r="Q893" s="116">
        <v>2447.35</v>
      </c>
      <c r="R893">
        <v>268958</v>
      </c>
    </row>
    <row r="894" spans="1:18" x14ac:dyDescent="0.25">
      <c r="A894" s="170">
        <v>44721</v>
      </c>
      <c r="B894" s="116">
        <v>2517.25</v>
      </c>
      <c r="C894" s="116">
        <v>2500.1999999999998</v>
      </c>
      <c r="D894" s="116">
        <v>2413.6</v>
      </c>
      <c r="E894" s="116">
        <v>2430</v>
      </c>
      <c r="F894" s="116">
        <v>2500.1999999999998</v>
      </c>
      <c r="G894">
        <v>24816</v>
      </c>
      <c r="H894" s="116"/>
      <c r="I894" s="116"/>
      <c r="L894" s="170">
        <v>44721</v>
      </c>
      <c r="M894" s="116">
        <v>2498.0500000000002</v>
      </c>
      <c r="N894" s="116">
        <v>2515</v>
      </c>
      <c r="O894" s="116">
        <v>2411.3000000000002</v>
      </c>
      <c r="P894" s="116">
        <v>2429</v>
      </c>
      <c r="Q894" s="116">
        <v>2498.0500000000002</v>
      </c>
      <c r="R894">
        <v>281257</v>
      </c>
    </row>
    <row r="895" spans="1:18" x14ac:dyDescent="0.25">
      <c r="A895" s="170">
        <v>44722</v>
      </c>
      <c r="B895" s="116">
        <v>2483.0500000000002</v>
      </c>
      <c r="C895" s="116">
        <v>2394.5500000000002</v>
      </c>
      <c r="D895" s="116">
        <v>2374.0500000000002</v>
      </c>
      <c r="E895" s="116">
        <v>2436.0500000000002</v>
      </c>
      <c r="F895" s="116">
        <v>2394.5500000000002</v>
      </c>
      <c r="G895">
        <v>11251</v>
      </c>
      <c r="H895" s="116"/>
      <c r="I895" s="116"/>
      <c r="L895" s="170">
        <v>44722</v>
      </c>
      <c r="M895" s="116">
        <v>2398.3000000000002</v>
      </c>
      <c r="N895" s="116">
        <v>2485</v>
      </c>
      <c r="O895" s="116">
        <v>2370.9</v>
      </c>
      <c r="P895" s="116">
        <v>2430</v>
      </c>
      <c r="Q895" s="116">
        <v>2398.3000000000002</v>
      </c>
      <c r="R895">
        <v>318811</v>
      </c>
    </row>
    <row r="896" spans="1:18" x14ac:dyDescent="0.25">
      <c r="A896" s="170">
        <v>44725</v>
      </c>
      <c r="B896" s="116">
        <v>2400</v>
      </c>
      <c r="C896" s="116">
        <v>2337.35</v>
      </c>
      <c r="D896" s="116">
        <v>2320</v>
      </c>
      <c r="E896" s="116">
        <v>2348</v>
      </c>
      <c r="F896" s="116">
        <v>2337.35</v>
      </c>
      <c r="G896">
        <v>9153</v>
      </c>
      <c r="H896" s="116"/>
      <c r="I896" s="116"/>
      <c r="L896" s="170">
        <v>44725</v>
      </c>
      <c r="M896" s="116">
        <v>2337.5500000000002</v>
      </c>
      <c r="N896" s="116">
        <v>2407.4499999999998</v>
      </c>
      <c r="O896" s="116">
        <v>2321.3000000000002</v>
      </c>
      <c r="P896" s="116">
        <v>2335.1</v>
      </c>
      <c r="Q896" s="116">
        <v>2337.5500000000002</v>
      </c>
      <c r="R896">
        <v>287801</v>
      </c>
    </row>
    <row r="897" spans="1:18" x14ac:dyDescent="0.25">
      <c r="A897" s="170">
        <v>44726</v>
      </c>
      <c r="B897" s="116">
        <v>2395</v>
      </c>
      <c r="C897" s="116">
        <v>2375.75</v>
      </c>
      <c r="D897" s="116">
        <v>2305</v>
      </c>
      <c r="E897" s="116">
        <v>2341</v>
      </c>
      <c r="F897" s="116">
        <v>2375.75</v>
      </c>
      <c r="G897">
        <v>11743</v>
      </c>
      <c r="H897" s="116"/>
      <c r="I897" s="116"/>
      <c r="L897" s="170">
        <v>44726</v>
      </c>
      <c r="M897" s="116">
        <v>2374.6999999999998</v>
      </c>
      <c r="N897" s="116">
        <v>2400</v>
      </c>
      <c r="O897" s="116">
        <v>2302</v>
      </c>
      <c r="P897" s="116">
        <v>2325</v>
      </c>
      <c r="Q897" s="116">
        <v>2374.6999999999998</v>
      </c>
      <c r="R897">
        <v>268064</v>
      </c>
    </row>
    <row r="898" spans="1:18" x14ac:dyDescent="0.25">
      <c r="A898" s="170">
        <v>44727</v>
      </c>
      <c r="B898" s="116">
        <v>2417.35</v>
      </c>
      <c r="C898" s="116">
        <v>2353</v>
      </c>
      <c r="D898" s="116">
        <v>2335</v>
      </c>
      <c r="E898" s="116">
        <v>2409</v>
      </c>
      <c r="F898" s="116">
        <v>2353</v>
      </c>
      <c r="G898">
        <v>15210</v>
      </c>
      <c r="H898" s="116"/>
      <c r="I898" s="116"/>
      <c r="L898" s="170">
        <v>44727</v>
      </c>
      <c r="M898" s="116">
        <v>2351.8000000000002</v>
      </c>
      <c r="N898" s="116">
        <v>2419.9499999999998</v>
      </c>
      <c r="O898" s="116">
        <v>2332</v>
      </c>
      <c r="P898" s="116">
        <v>2383.6999999999998</v>
      </c>
      <c r="Q898" s="116">
        <v>2351.8000000000002</v>
      </c>
      <c r="R898">
        <v>311850</v>
      </c>
    </row>
    <row r="899" spans="1:18" x14ac:dyDescent="0.25">
      <c r="A899" s="170">
        <v>44728</v>
      </c>
      <c r="B899" s="116">
        <v>2405</v>
      </c>
      <c r="C899" s="116">
        <v>2377.6</v>
      </c>
      <c r="D899" s="116">
        <v>2240.65</v>
      </c>
      <c r="E899" s="116">
        <v>2373.0500000000002</v>
      </c>
      <c r="F899" s="116">
        <v>2377.6</v>
      </c>
      <c r="G899">
        <v>19795</v>
      </c>
      <c r="H899" s="116"/>
      <c r="I899" s="116"/>
      <c r="L899" s="170">
        <v>44728</v>
      </c>
      <c r="M899" s="116">
        <v>2376.5</v>
      </c>
      <c r="N899" s="116">
        <v>2410</v>
      </c>
      <c r="O899" s="116">
        <v>2241.9</v>
      </c>
      <c r="P899" s="116">
        <v>2375</v>
      </c>
      <c r="Q899" s="116">
        <v>2376.5</v>
      </c>
      <c r="R899">
        <v>478333</v>
      </c>
    </row>
    <row r="900" spans="1:18" x14ac:dyDescent="0.25">
      <c r="A900" s="170">
        <v>44729</v>
      </c>
      <c r="B900" s="116">
        <v>2347.75</v>
      </c>
      <c r="C900" s="116">
        <v>2146.25</v>
      </c>
      <c r="D900" s="116">
        <v>2063.25</v>
      </c>
      <c r="E900" s="116">
        <v>2335</v>
      </c>
      <c r="F900" s="116">
        <v>2146.25</v>
      </c>
      <c r="G900">
        <v>58630</v>
      </c>
      <c r="H900" s="116"/>
      <c r="I900" s="116"/>
      <c r="L900" s="170">
        <v>44729</v>
      </c>
      <c r="M900" s="116">
        <v>2149.0500000000002</v>
      </c>
      <c r="N900" s="116">
        <v>2353.25</v>
      </c>
      <c r="O900" s="116">
        <v>2062.25</v>
      </c>
      <c r="P900" s="116">
        <v>2330</v>
      </c>
      <c r="Q900" s="116">
        <v>2149.0500000000002</v>
      </c>
      <c r="R900">
        <v>1100784</v>
      </c>
    </row>
    <row r="901" spans="1:18" x14ac:dyDescent="0.25">
      <c r="A901" s="170">
        <v>44732</v>
      </c>
      <c r="B901" s="116">
        <v>2180.1</v>
      </c>
      <c r="C901" s="116">
        <v>1988.6</v>
      </c>
      <c r="D901" s="116">
        <v>1950</v>
      </c>
      <c r="E901" s="116">
        <v>2164.9</v>
      </c>
      <c r="F901" s="116">
        <v>1988.6</v>
      </c>
      <c r="G901">
        <v>28837</v>
      </c>
      <c r="H901" s="116"/>
      <c r="I901" s="116"/>
      <c r="L901" s="170">
        <v>44732</v>
      </c>
      <c r="M901" s="116">
        <v>1989.2</v>
      </c>
      <c r="N901" s="116">
        <v>2177</v>
      </c>
      <c r="O901" s="116">
        <v>1948</v>
      </c>
      <c r="P901" s="116">
        <v>2152</v>
      </c>
      <c r="Q901" s="116">
        <v>1989.2</v>
      </c>
      <c r="R901">
        <v>559207</v>
      </c>
    </row>
    <row r="902" spans="1:18" x14ac:dyDescent="0.25">
      <c r="A902" s="170">
        <v>44733</v>
      </c>
      <c r="B902" s="116">
        <v>2386.3000000000002</v>
      </c>
      <c r="C902" s="116">
        <v>2381.1999999999998</v>
      </c>
      <c r="D902" s="116">
        <v>1983.05</v>
      </c>
      <c r="E902" s="116">
        <v>2000</v>
      </c>
      <c r="F902" s="116">
        <v>2381.1999999999998</v>
      </c>
      <c r="G902">
        <v>42635</v>
      </c>
      <c r="H902" s="116"/>
      <c r="I902" s="116"/>
      <c r="L902" s="170">
        <v>44733</v>
      </c>
      <c r="M902" s="116">
        <v>2382.9</v>
      </c>
      <c r="N902" s="116">
        <v>2387</v>
      </c>
      <c r="O902" s="116">
        <v>1980.15</v>
      </c>
      <c r="P902" s="116">
        <v>2000.5</v>
      </c>
      <c r="Q902" s="116">
        <v>2382.9</v>
      </c>
      <c r="R902">
        <v>1049282</v>
      </c>
    </row>
    <row r="903" spans="1:18" x14ac:dyDescent="0.25">
      <c r="A903" s="170">
        <v>44734</v>
      </c>
      <c r="B903" s="116">
        <v>2458.5500000000002</v>
      </c>
      <c r="C903" s="116">
        <v>2270.65</v>
      </c>
      <c r="D903" s="116">
        <v>2230</v>
      </c>
      <c r="E903" s="116">
        <v>2395</v>
      </c>
      <c r="F903" s="116">
        <v>2270.65</v>
      </c>
      <c r="G903">
        <v>76241</v>
      </c>
      <c r="H903" s="116"/>
      <c r="I903" s="116"/>
      <c r="L903" s="170">
        <v>44734</v>
      </c>
      <c r="M903" s="116">
        <v>2270.8000000000002</v>
      </c>
      <c r="N903" s="116">
        <v>2458.8000000000002</v>
      </c>
      <c r="O903" s="116">
        <v>2231</v>
      </c>
      <c r="P903" s="116">
        <v>2380</v>
      </c>
      <c r="Q903" s="116">
        <v>2270.8000000000002</v>
      </c>
      <c r="R903">
        <v>1629448</v>
      </c>
    </row>
    <row r="904" spans="1:18" x14ac:dyDescent="0.25">
      <c r="A904" s="170">
        <v>44735</v>
      </c>
      <c r="B904" s="116">
        <v>2329.8000000000002</v>
      </c>
      <c r="C904" s="116">
        <v>2261.15</v>
      </c>
      <c r="D904" s="116">
        <v>2195</v>
      </c>
      <c r="E904" s="116">
        <v>2280</v>
      </c>
      <c r="F904" s="116">
        <v>2261.15</v>
      </c>
      <c r="G904">
        <v>39728</v>
      </c>
      <c r="H904" s="116"/>
      <c r="I904" s="116"/>
      <c r="L904" s="170">
        <v>44735</v>
      </c>
      <c r="M904" s="116">
        <v>2264.65</v>
      </c>
      <c r="N904" s="116">
        <v>2320</v>
      </c>
      <c r="O904" s="116">
        <v>2195.85</v>
      </c>
      <c r="P904" s="116">
        <v>2290</v>
      </c>
      <c r="Q904" s="116">
        <v>2264.65</v>
      </c>
      <c r="R904">
        <v>703032</v>
      </c>
    </row>
    <row r="905" spans="1:18" x14ac:dyDescent="0.25">
      <c r="A905" s="170">
        <v>44736</v>
      </c>
      <c r="B905" s="116">
        <v>2335</v>
      </c>
      <c r="C905" s="116">
        <v>2283.65</v>
      </c>
      <c r="D905" s="116">
        <v>2264.5</v>
      </c>
      <c r="E905" s="116">
        <v>2280</v>
      </c>
      <c r="F905" s="116">
        <v>2283.65</v>
      </c>
      <c r="G905">
        <v>16840</v>
      </c>
      <c r="H905" s="116"/>
      <c r="I905" s="116"/>
      <c r="L905" s="170">
        <v>44736</v>
      </c>
      <c r="M905" s="116">
        <v>2291.6</v>
      </c>
      <c r="N905" s="116">
        <v>2335</v>
      </c>
      <c r="O905" s="116">
        <v>2265</v>
      </c>
      <c r="P905" s="116">
        <v>2284.9</v>
      </c>
      <c r="Q905" s="116">
        <v>2291.6</v>
      </c>
      <c r="R905">
        <v>323814</v>
      </c>
    </row>
    <row r="906" spans="1:18" x14ac:dyDescent="0.25">
      <c r="A906" s="170">
        <v>44739</v>
      </c>
      <c r="B906" s="116">
        <v>2338</v>
      </c>
      <c r="C906" s="116">
        <v>2287.4</v>
      </c>
      <c r="D906" s="116">
        <v>2262</v>
      </c>
      <c r="E906" s="116">
        <v>2338</v>
      </c>
      <c r="F906" s="116">
        <v>2287.4</v>
      </c>
      <c r="G906">
        <v>11504</v>
      </c>
      <c r="H906" s="116"/>
      <c r="I906" s="116"/>
      <c r="L906" s="170">
        <v>44739</v>
      </c>
      <c r="M906" s="116">
        <v>2289.8000000000002</v>
      </c>
      <c r="N906" s="116">
        <v>2319.85</v>
      </c>
      <c r="O906" s="116">
        <v>2262.1999999999998</v>
      </c>
      <c r="P906" s="116">
        <v>2301.9499999999998</v>
      </c>
      <c r="Q906" s="116">
        <v>2289.8000000000002</v>
      </c>
      <c r="R906">
        <v>200440</v>
      </c>
    </row>
    <row r="907" spans="1:18" x14ac:dyDescent="0.25">
      <c r="A907" s="170">
        <v>44740</v>
      </c>
      <c r="B907" s="116">
        <v>2411.4</v>
      </c>
      <c r="C907" s="116">
        <v>2392.6999999999998</v>
      </c>
      <c r="D907" s="116">
        <v>2244.9</v>
      </c>
      <c r="E907" s="116">
        <v>2270</v>
      </c>
      <c r="F907" s="116">
        <v>2392.6999999999998</v>
      </c>
      <c r="G907">
        <v>30597</v>
      </c>
      <c r="H907" s="116"/>
      <c r="I907" s="116"/>
      <c r="L907" s="170">
        <v>44740</v>
      </c>
      <c r="M907" s="116">
        <v>2394.4</v>
      </c>
      <c r="N907" s="116">
        <v>2410</v>
      </c>
      <c r="O907" s="116">
        <v>2230</v>
      </c>
      <c r="P907" s="116">
        <v>2285</v>
      </c>
      <c r="Q907" s="116">
        <v>2394.4</v>
      </c>
      <c r="R907">
        <v>474019</v>
      </c>
    </row>
    <row r="908" spans="1:18" x14ac:dyDescent="0.25">
      <c r="A908" s="170">
        <v>44741</v>
      </c>
      <c r="B908" s="116">
        <v>2462</v>
      </c>
      <c r="C908" s="116">
        <v>2336.8000000000002</v>
      </c>
      <c r="D908" s="116">
        <v>2312.15</v>
      </c>
      <c r="E908" s="116">
        <v>2366</v>
      </c>
      <c r="F908" s="116">
        <v>2336.8000000000002</v>
      </c>
      <c r="G908">
        <v>29111</v>
      </c>
      <c r="H908" s="116"/>
      <c r="I908" s="116"/>
      <c r="L908" s="170">
        <v>44741</v>
      </c>
      <c r="M908" s="116">
        <v>2347.6999999999998</v>
      </c>
      <c r="N908" s="116">
        <v>2464</v>
      </c>
      <c r="O908" s="116">
        <v>2330.75</v>
      </c>
      <c r="P908" s="116">
        <v>2350</v>
      </c>
      <c r="Q908" s="116">
        <v>2347.6999999999998</v>
      </c>
      <c r="R908">
        <v>535713</v>
      </c>
    </row>
    <row r="909" spans="1:18" x14ac:dyDescent="0.25">
      <c r="A909" s="170">
        <v>44742</v>
      </c>
      <c r="B909" s="116">
        <v>2443.4499999999998</v>
      </c>
      <c r="C909" s="116">
        <v>2391.5500000000002</v>
      </c>
      <c r="D909" s="116">
        <v>2375.15</v>
      </c>
      <c r="E909" s="116">
        <v>2385</v>
      </c>
      <c r="F909" s="116">
        <v>2391.5500000000002</v>
      </c>
      <c r="G909">
        <v>27268</v>
      </c>
      <c r="H909" s="116"/>
      <c r="I909" s="116"/>
      <c r="L909" s="170">
        <v>44742</v>
      </c>
      <c r="M909" s="116">
        <v>2392.9</v>
      </c>
      <c r="N909" s="116">
        <v>2445</v>
      </c>
      <c r="O909" s="116">
        <v>2371.5500000000002</v>
      </c>
      <c r="P909" s="116">
        <v>2424</v>
      </c>
      <c r="Q909" s="116">
        <v>2392.9</v>
      </c>
      <c r="R909">
        <v>627112</v>
      </c>
    </row>
    <row r="910" spans="1:18" x14ac:dyDescent="0.25">
      <c r="A910" s="170">
        <v>44743</v>
      </c>
      <c r="B910" s="116">
        <v>2441</v>
      </c>
      <c r="C910" s="116">
        <v>2388</v>
      </c>
      <c r="D910" s="116">
        <v>2371</v>
      </c>
      <c r="E910" s="116">
        <v>2406</v>
      </c>
      <c r="F910" s="116">
        <v>2388</v>
      </c>
      <c r="G910">
        <v>12667</v>
      </c>
      <c r="H910" s="116"/>
      <c r="I910" s="116"/>
      <c r="L910" s="170">
        <v>44743</v>
      </c>
      <c r="M910" s="116">
        <v>2389</v>
      </c>
      <c r="N910" s="116">
        <v>2442.9499999999998</v>
      </c>
      <c r="O910" s="116">
        <v>2370</v>
      </c>
      <c r="P910" s="116">
        <v>2392.5500000000002</v>
      </c>
      <c r="Q910" s="116">
        <v>2389</v>
      </c>
      <c r="R910">
        <v>436503</v>
      </c>
    </row>
    <row r="911" spans="1:18" x14ac:dyDescent="0.25">
      <c r="A911" s="170">
        <v>44746</v>
      </c>
      <c r="B911" s="116">
        <v>2430</v>
      </c>
      <c r="C911" s="116">
        <v>2396.5</v>
      </c>
      <c r="D911" s="116">
        <v>2380</v>
      </c>
      <c r="E911" s="116">
        <v>2401.75</v>
      </c>
      <c r="F911" s="116">
        <v>2396.5</v>
      </c>
      <c r="G911">
        <v>6839</v>
      </c>
      <c r="H911" s="116"/>
      <c r="I911" s="116"/>
      <c r="L911" s="170">
        <v>44746</v>
      </c>
      <c r="M911" s="116">
        <v>2396.8000000000002</v>
      </c>
      <c r="N911" s="116">
        <v>2429.9</v>
      </c>
      <c r="O911" s="116">
        <v>2377</v>
      </c>
      <c r="P911" s="116">
        <v>2405.6</v>
      </c>
      <c r="Q911" s="116">
        <v>2396.8000000000002</v>
      </c>
      <c r="R911">
        <v>322319</v>
      </c>
    </row>
    <row r="912" spans="1:18" x14ac:dyDescent="0.25">
      <c r="A912" s="170">
        <v>44747</v>
      </c>
      <c r="B912" s="116">
        <v>2432</v>
      </c>
      <c r="C912" s="116">
        <v>2418.1</v>
      </c>
      <c r="D912" s="116">
        <v>2363.4499999999998</v>
      </c>
      <c r="E912" s="116">
        <v>2395.9499999999998</v>
      </c>
      <c r="F912" s="116">
        <v>2418.1</v>
      </c>
      <c r="G912">
        <v>10389</v>
      </c>
      <c r="H912" s="116"/>
      <c r="I912" s="116"/>
      <c r="L912" s="170">
        <v>44747</v>
      </c>
      <c r="M912" s="116">
        <v>2410.4499999999998</v>
      </c>
      <c r="N912" s="116">
        <v>2434.8000000000002</v>
      </c>
      <c r="O912" s="116">
        <v>2362.4499999999998</v>
      </c>
      <c r="P912" s="116">
        <v>2400.0500000000002</v>
      </c>
      <c r="Q912" s="116">
        <v>2410.4499999999998</v>
      </c>
      <c r="R912">
        <v>355962</v>
      </c>
    </row>
    <row r="913" spans="1:18" x14ac:dyDescent="0.25">
      <c r="A913" s="170">
        <v>44748</v>
      </c>
      <c r="B913" s="116">
        <v>2489</v>
      </c>
      <c r="C913" s="116">
        <v>2475</v>
      </c>
      <c r="D913" s="116">
        <v>2401.4</v>
      </c>
      <c r="E913" s="116">
        <v>2401.4</v>
      </c>
      <c r="F913" s="116">
        <v>2475</v>
      </c>
      <c r="G913">
        <v>20858</v>
      </c>
      <c r="H913" s="116"/>
      <c r="I913" s="116"/>
      <c r="L913" s="170">
        <v>44748</v>
      </c>
      <c r="M913" s="116">
        <v>2475.35</v>
      </c>
      <c r="N913" s="116">
        <v>2487.8000000000002</v>
      </c>
      <c r="O913" s="116">
        <v>2410.4499999999998</v>
      </c>
      <c r="P913" s="116">
        <v>2426.8000000000002</v>
      </c>
      <c r="Q913" s="116">
        <v>2475.35</v>
      </c>
      <c r="R913">
        <v>257988</v>
      </c>
    </row>
    <row r="914" spans="1:18" x14ac:dyDescent="0.25">
      <c r="A914" s="170">
        <v>44749</v>
      </c>
      <c r="B914" s="116">
        <v>2546.9</v>
      </c>
      <c r="C914" s="116">
        <v>2483.25</v>
      </c>
      <c r="D914" s="116">
        <v>2465.65</v>
      </c>
      <c r="E914" s="116">
        <v>2480.85</v>
      </c>
      <c r="F914" s="116">
        <v>2483.25</v>
      </c>
      <c r="G914">
        <v>9140</v>
      </c>
      <c r="H914" s="116"/>
      <c r="I914" s="116"/>
      <c r="L914" s="170">
        <v>44749</v>
      </c>
      <c r="M914" s="116">
        <v>2485.75</v>
      </c>
      <c r="N914" s="116">
        <v>2546</v>
      </c>
      <c r="O914" s="116">
        <v>2465.0500000000002</v>
      </c>
      <c r="P914" s="116">
        <v>2499.85</v>
      </c>
      <c r="Q914" s="116">
        <v>2485.75</v>
      </c>
      <c r="R914">
        <v>160658</v>
      </c>
    </row>
    <row r="915" spans="1:18" x14ac:dyDescent="0.25">
      <c r="A915" s="170">
        <v>44750</v>
      </c>
      <c r="B915" s="116">
        <v>2563.4</v>
      </c>
      <c r="C915" s="116">
        <v>2541.35</v>
      </c>
      <c r="D915" s="116">
        <v>2473.8000000000002</v>
      </c>
      <c r="E915" s="116">
        <v>2498</v>
      </c>
      <c r="F915" s="116">
        <v>2541.35</v>
      </c>
      <c r="G915">
        <v>9339</v>
      </c>
      <c r="H915" s="116"/>
      <c r="I915" s="116"/>
      <c r="L915" s="170">
        <v>44750</v>
      </c>
      <c r="M915" s="116">
        <v>2540.8000000000002</v>
      </c>
      <c r="N915" s="116">
        <v>2564</v>
      </c>
      <c r="O915" s="116">
        <v>2470.5</v>
      </c>
      <c r="P915" s="116">
        <v>2490</v>
      </c>
      <c r="Q915" s="116">
        <v>2540.8000000000002</v>
      </c>
      <c r="R915">
        <v>230639</v>
      </c>
    </row>
    <row r="916" spans="1:18" x14ac:dyDescent="0.25">
      <c r="A916" s="170">
        <v>44753</v>
      </c>
      <c r="B916" s="116">
        <v>2775.85</v>
      </c>
      <c r="C916" s="116">
        <v>2714.15</v>
      </c>
      <c r="D916" s="116">
        <v>2509.9</v>
      </c>
      <c r="E916" s="116">
        <v>2549.9</v>
      </c>
      <c r="F916" s="116">
        <v>2714.15</v>
      </c>
      <c r="G916">
        <v>71017</v>
      </c>
      <c r="H916" s="116"/>
      <c r="I916" s="116"/>
      <c r="L916" s="170">
        <v>44753</v>
      </c>
      <c r="M916" s="116">
        <v>2716.65</v>
      </c>
      <c r="N916" s="116">
        <v>2775</v>
      </c>
      <c r="O916" s="116">
        <v>2502.15</v>
      </c>
      <c r="P916" s="116">
        <v>2550</v>
      </c>
      <c r="Q916" s="116">
        <v>2716.65</v>
      </c>
      <c r="R916">
        <v>974385</v>
      </c>
    </row>
    <row r="917" spans="1:18" x14ac:dyDescent="0.25">
      <c r="A917" s="170">
        <v>44754</v>
      </c>
      <c r="B917" s="116">
        <v>2845</v>
      </c>
      <c r="C917" s="116">
        <v>2798.35</v>
      </c>
      <c r="D917" s="116">
        <v>2689.6</v>
      </c>
      <c r="E917" s="116">
        <v>2705.05</v>
      </c>
      <c r="F917" s="116">
        <v>2798.35</v>
      </c>
      <c r="G917">
        <v>54361</v>
      </c>
      <c r="H917" s="116"/>
      <c r="I917" s="116"/>
      <c r="L917" s="170">
        <v>44754</v>
      </c>
      <c r="M917" s="116">
        <v>2797.55</v>
      </c>
      <c r="N917" s="116">
        <v>2844.95</v>
      </c>
      <c r="O917" s="116">
        <v>2685.05</v>
      </c>
      <c r="P917" s="116">
        <v>2690</v>
      </c>
      <c r="Q917" s="116">
        <v>2797.55</v>
      </c>
      <c r="R917">
        <v>931697</v>
      </c>
    </row>
    <row r="918" spans="1:18" x14ac:dyDescent="0.25">
      <c r="A918" s="170">
        <v>44755</v>
      </c>
      <c r="B918" s="116">
        <v>2867.5</v>
      </c>
      <c r="C918" s="116">
        <v>2671.95</v>
      </c>
      <c r="D918" s="116">
        <v>2651.05</v>
      </c>
      <c r="E918" s="116">
        <v>2821.05</v>
      </c>
      <c r="F918" s="116">
        <v>2671.95</v>
      </c>
      <c r="G918">
        <v>50970</v>
      </c>
      <c r="H918" s="116"/>
      <c r="I918" s="116"/>
      <c r="L918" s="170">
        <v>44755</v>
      </c>
      <c r="M918" s="116">
        <v>2672.1</v>
      </c>
      <c r="N918" s="116">
        <v>2867.5</v>
      </c>
      <c r="O918" s="116">
        <v>2646</v>
      </c>
      <c r="P918" s="116">
        <v>2830</v>
      </c>
      <c r="Q918" s="116">
        <v>2672.1</v>
      </c>
      <c r="R918">
        <v>715239</v>
      </c>
    </row>
    <row r="919" spans="1:18" x14ac:dyDescent="0.25">
      <c r="A919" s="170">
        <v>44756</v>
      </c>
      <c r="B919" s="116">
        <v>2832.95</v>
      </c>
      <c r="C919" s="116">
        <v>2770.05</v>
      </c>
      <c r="D919" s="116">
        <v>2602.0500000000002</v>
      </c>
      <c r="E919" s="116">
        <v>2699.95</v>
      </c>
      <c r="F919" s="116">
        <v>2770.05</v>
      </c>
      <c r="G919">
        <v>31562</v>
      </c>
      <c r="H919" s="116"/>
      <c r="I919" s="116"/>
      <c r="L919" s="170">
        <v>44756</v>
      </c>
      <c r="M919" s="116">
        <v>2764.85</v>
      </c>
      <c r="N919" s="116">
        <v>2832</v>
      </c>
      <c r="O919" s="116">
        <v>2601</v>
      </c>
      <c r="P919" s="116">
        <v>2689</v>
      </c>
      <c r="Q919" s="116">
        <v>2764.85</v>
      </c>
      <c r="R919">
        <v>592269</v>
      </c>
    </row>
    <row r="920" spans="1:18" x14ac:dyDescent="0.25">
      <c r="A920" s="170">
        <v>44757</v>
      </c>
      <c r="B920" s="116">
        <v>2848</v>
      </c>
      <c r="C920" s="116">
        <v>2806.55</v>
      </c>
      <c r="D920" s="116">
        <v>2728.7</v>
      </c>
      <c r="E920" s="116">
        <v>2800</v>
      </c>
      <c r="F920" s="116">
        <v>2806.55</v>
      </c>
      <c r="G920">
        <v>34835</v>
      </c>
      <c r="H920" s="116"/>
      <c r="I920" s="116"/>
      <c r="L920" s="170">
        <v>44757</v>
      </c>
      <c r="M920" s="116">
        <v>2807.7</v>
      </c>
      <c r="N920" s="116">
        <v>2847.65</v>
      </c>
      <c r="O920" s="116">
        <v>2731.05</v>
      </c>
      <c r="P920" s="116">
        <v>2800</v>
      </c>
      <c r="Q920" s="116">
        <v>2807.7</v>
      </c>
      <c r="R920">
        <v>572560</v>
      </c>
    </row>
    <row r="921" spans="1:18" x14ac:dyDescent="0.25">
      <c r="A921" s="170">
        <v>44760</v>
      </c>
      <c r="B921" s="116">
        <v>2860</v>
      </c>
      <c r="C921" s="116">
        <v>2838.7</v>
      </c>
      <c r="D921" s="116">
        <v>2770</v>
      </c>
      <c r="E921" s="116">
        <v>2825</v>
      </c>
      <c r="F921" s="116">
        <v>2838.7</v>
      </c>
      <c r="G921">
        <v>354722</v>
      </c>
      <c r="H921" s="116"/>
      <c r="I921" s="116"/>
      <c r="L921" s="170">
        <v>44760</v>
      </c>
      <c r="M921" s="116">
        <v>2832.8</v>
      </c>
      <c r="N921" s="116">
        <v>2859.9</v>
      </c>
      <c r="O921" s="116">
        <v>2767.6</v>
      </c>
      <c r="P921" s="116">
        <v>2832</v>
      </c>
      <c r="Q921" s="116">
        <v>2832.8</v>
      </c>
      <c r="R921">
        <v>461187</v>
      </c>
    </row>
    <row r="922" spans="1:18" x14ac:dyDescent="0.25">
      <c r="A922" s="170">
        <v>44761</v>
      </c>
      <c r="B922" s="116">
        <v>2847</v>
      </c>
      <c r="C922" s="116">
        <v>2833.25</v>
      </c>
      <c r="D922" s="116">
        <v>2765.8</v>
      </c>
      <c r="E922" s="116">
        <v>2820.05</v>
      </c>
      <c r="F922" s="116">
        <v>2833.25</v>
      </c>
      <c r="G922">
        <v>31730</v>
      </c>
      <c r="H922" s="116"/>
      <c r="I922" s="116"/>
      <c r="L922" s="170">
        <v>44761</v>
      </c>
      <c r="M922" s="116">
        <v>2832.35</v>
      </c>
      <c r="N922" s="116">
        <v>2847</v>
      </c>
      <c r="O922" s="116">
        <v>2765.1</v>
      </c>
      <c r="P922" s="116">
        <v>2817</v>
      </c>
      <c r="Q922" s="116">
        <v>2832.35</v>
      </c>
      <c r="R922">
        <v>456761</v>
      </c>
    </row>
    <row r="923" spans="1:18" x14ac:dyDescent="0.25">
      <c r="A923" s="170">
        <v>44762</v>
      </c>
      <c r="B923" s="116">
        <v>2880</v>
      </c>
      <c r="C923" s="116">
        <v>2781.25</v>
      </c>
      <c r="D923" s="116">
        <v>2723.95</v>
      </c>
      <c r="E923" s="116">
        <v>2863</v>
      </c>
      <c r="F923" s="116">
        <v>2781.25</v>
      </c>
      <c r="G923">
        <v>28678</v>
      </c>
      <c r="H923" s="116"/>
      <c r="I923" s="116"/>
      <c r="L923" s="170">
        <v>44762</v>
      </c>
      <c r="M923" s="116">
        <v>2779.95</v>
      </c>
      <c r="N923" s="116">
        <v>2860.45</v>
      </c>
      <c r="O923" s="116">
        <v>2728.1</v>
      </c>
      <c r="P923" s="116">
        <v>2849.85</v>
      </c>
      <c r="Q923" s="116">
        <v>2779.95</v>
      </c>
      <c r="R923">
        <v>341959</v>
      </c>
    </row>
    <row r="924" spans="1:18" x14ac:dyDescent="0.25">
      <c r="A924" s="170">
        <v>44763</v>
      </c>
      <c r="B924" s="116">
        <v>2891.5</v>
      </c>
      <c r="C924" s="116">
        <v>2877.45</v>
      </c>
      <c r="D924" s="116">
        <v>2750.1</v>
      </c>
      <c r="E924" s="116">
        <v>2789</v>
      </c>
      <c r="F924" s="116">
        <v>2877.45</v>
      </c>
      <c r="G924">
        <v>37964</v>
      </c>
      <c r="H924" s="116"/>
      <c r="I924" s="116"/>
      <c r="L924" s="170">
        <v>44763</v>
      </c>
      <c r="M924" s="116">
        <v>2876.6</v>
      </c>
      <c r="N924" s="116">
        <v>2893</v>
      </c>
      <c r="O924" s="116">
        <v>2741.05</v>
      </c>
      <c r="P924" s="116">
        <v>2785</v>
      </c>
      <c r="Q924" s="116">
        <v>2876.6</v>
      </c>
      <c r="R924">
        <v>737814</v>
      </c>
    </row>
    <row r="925" spans="1:18" x14ac:dyDescent="0.25">
      <c r="A925" s="170">
        <v>44764</v>
      </c>
      <c r="B925" s="116">
        <v>2888.05</v>
      </c>
      <c r="C925" s="116">
        <v>2871.55</v>
      </c>
      <c r="D925" s="116">
        <v>2814</v>
      </c>
      <c r="E925" s="116">
        <v>2888.05</v>
      </c>
      <c r="F925" s="116">
        <v>2871.55</v>
      </c>
      <c r="G925">
        <v>28751</v>
      </c>
      <c r="H925" s="116"/>
      <c r="I925" s="116"/>
      <c r="L925" s="170">
        <v>44764</v>
      </c>
      <c r="M925" s="116">
        <v>2874.2</v>
      </c>
      <c r="N925" s="116">
        <v>2889.7</v>
      </c>
      <c r="O925" s="116">
        <v>2816.1</v>
      </c>
      <c r="P925" s="116">
        <v>2878.85</v>
      </c>
      <c r="Q925" s="116">
        <v>2874.2</v>
      </c>
      <c r="R925">
        <v>339750</v>
      </c>
    </row>
    <row r="926" spans="1:18" x14ac:dyDescent="0.25">
      <c r="A926" s="170">
        <v>44767</v>
      </c>
      <c r="B926" s="116">
        <v>2924.95</v>
      </c>
      <c r="C926" s="116">
        <v>2873.8</v>
      </c>
      <c r="D926" s="116">
        <v>2836.95</v>
      </c>
      <c r="E926" s="116">
        <v>2882</v>
      </c>
      <c r="F926" s="116">
        <v>2873.8</v>
      </c>
      <c r="G926">
        <v>16282</v>
      </c>
      <c r="H926" s="116"/>
      <c r="I926" s="116"/>
      <c r="L926" s="170">
        <v>44767</v>
      </c>
      <c r="M926" s="116">
        <v>2878.85</v>
      </c>
      <c r="N926" s="116">
        <v>2924.2</v>
      </c>
      <c r="O926" s="116">
        <v>2836.85</v>
      </c>
      <c r="P926" s="116">
        <v>2860</v>
      </c>
      <c r="Q926" s="116">
        <v>2878.85</v>
      </c>
      <c r="R926">
        <v>363143</v>
      </c>
    </row>
    <row r="927" spans="1:18" x14ac:dyDescent="0.25">
      <c r="A927" s="170">
        <v>44768</v>
      </c>
      <c r="B927" s="116">
        <v>2910</v>
      </c>
      <c r="C927" s="116">
        <v>2897.4</v>
      </c>
      <c r="D927" s="116">
        <v>2843</v>
      </c>
      <c r="E927" s="116">
        <v>2904</v>
      </c>
      <c r="F927" s="116">
        <v>2897.4</v>
      </c>
      <c r="G927">
        <v>10347</v>
      </c>
      <c r="H927" s="116"/>
      <c r="I927" s="116"/>
      <c r="L927" s="170">
        <v>44768</v>
      </c>
      <c r="M927" s="116">
        <v>2898.2</v>
      </c>
      <c r="N927" s="116">
        <v>2912</v>
      </c>
      <c r="O927" s="116">
        <v>2841.5</v>
      </c>
      <c r="P927" s="116">
        <v>2890</v>
      </c>
      <c r="Q927" s="116">
        <v>2898.2</v>
      </c>
      <c r="R927">
        <v>230808</v>
      </c>
    </row>
    <row r="928" spans="1:18" x14ac:dyDescent="0.25">
      <c r="A928" s="170">
        <v>44769</v>
      </c>
      <c r="B928" s="116">
        <v>2980</v>
      </c>
      <c r="C928" s="116">
        <v>2958.55</v>
      </c>
      <c r="D928" s="116">
        <v>2895.15</v>
      </c>
      <c r="E928" s="116">
        <v>2907</v>
      </c>
      <c r="F928" s="116">
        <v>2958.55</v>
      </c>
      <c r="G928">
        <v>13660</v>
      </c>
      <c r="H928" s="116"/>
      <c r="I928" s="116"/>
      <c r="L928" s="170">
        <v>44769</v>
      </c>
      <c r="M928" s="116">
        <v>2960.1</v>
      </c>
      <c r="N928" s="116">
        <v>2977.95</v>
      </c>
      <c r="O928" s="116">
        <v>2885</v>
      </c>
      <c r="P928" s="116">
        <v>2908</v>
      </c>
      <c r="Q928" s="116">
        <v>2960.1</v>
      </c>
      <c r="R928">
        <v>310009</v>
      </c>
    </row>
    <row r="929" spans="1:18" x14ac:dyDescent="0.25">
      <c r="A929" s="170">
        <v>44770</v>
      </c>
      <c r="B929" s="116">
        <v>3017</v>
      </c>
      <c r="C929" s="116">
        <v>3005.3</v>
      </c>
      <c r="D929" s="116">
        <v>2959.7</v>
      </c>
      <c r="E929" s="116">
        <v>2980</v>
      </c>
      <c r="F929" s="116">
        <v>3005.3</v>
      </c>
      <c r="G929">
        <v>22072</v>
      </c>
      <c r="H929" s="116"/>
      <c r="I929" s="116"/>
      <c r="L929" s="170">
        <v>44770</v>
      </c>
      <c r="M929" s="116">
        <v>3005.9</v>
      </c>
      <c r="N929" s="116">
        <v>3018</v>
      </c>
      <c r="O929" s="116">
        <v>2958.3</v>
      </c>
      <c r="P929" s="116">
        <v>2977</v>
      </c>
      <c r="Q929" s="116">
        <v>3005.9</v>
      </c>
      <c r="R929">
        <v>258796</v>
      </c>
    </row>
    <row r="930" spans="1:18" x14ac:dyDescent="0.25">
      <c r="A930" s="170">
        <v>44771</v>
      </c>
      <c r="B930" s="116">
        <v>3157</v>
      </c>
      <c r="C930" s="116">
        <v>3123.4</v>
      </c>
      <c r="D930" s="116">
        <v>3016.3</v>
      </c>
      <c r="E930" s="116">
        <v>3061</v>
      </c>
      <c r="F930" s="116">
        <v>3123.4</v>
      </c>
      <c r="G930">
        <v>35568</v>
      </c>
      <c r="H930" s="116"/>
      <c r="I930" s="116"/>
      <c r="L930" s="170">
        <v>44771</v>
      </c>
      <c r="M930" s="116">
        <v>3127.2</v>
      </c>
      <c r="N930" s="116">
        <v>3158</v>
      </c>
      <c r="O930" s="116">
        <v>3014</v>
      </c>
      <c r="P930" s="116">
        <v>3035</v>
      </c>
      <c r="Q930" s="116">
        <v>3127.2</v>
      </c>
      <c r="R930">
        <v>457762</v>
      </c>
    </row>
    <row r="931" spans="1:18" x14ac:dyDescent="0.25">
      <c r="A931" s="170">
        <v>44774</v>
      </c>
      <c r="B931" s="116">
        <v>3231</v>
      </c>
      <c r="C931" s="116">
        <v>3216</v>
      </c>
      <c r="D931" s="116">
        <v>3083.2</v>
      </c>
      <c r="E931" s="116">
        <v>3148</v>
      </c>
      <c r="F931" s="116">
        <v>3216</v>
      </c>
      <c r="G931">
        <v>361155</v>
      </c>
      <c r="H931" s="116"/>
      <c r="I931" s="116"/>
      <c r="L931" s="170">
        <v>44774</v>
      </c>
      <c r="M931" s="116">
        <v>3217.65</v>
      </c>
      <c r="N931" s="116">
        <v>3232.3</v>
      </c>
      <c r="O931" s="116">
        <v>3080</v>
      </c>
      <c r="P931" s="116">
        <v>3144</v>
      </c>
      <c r="Q931" s="116">
        <v>3217.65</v>
      </c>
      <c r="R931">
        <v>495733</v>
      </c>
    </row>
    <row r="932" spans="1:18" x14ac:dyDescent="0.25">
      <c r="A932" s="170">
        <v>44775</v>
      </c>
      <c r="B932" s="116">
        <v>3267.25</v>
      </c>
      <c r="C932" s="116">
        <v>3243.4</v>
      </c>
      <c r="D932" s="116">
        <v>3176.7</v>
      </c>
      <c r="E932" s="116">
        <v>3237.5</v>
      </c>
      <c r="F932" s="116">
        <v>3243.4</v>
      </c>
      <c r="G932">
        <v>27877</v>
      </c>
      <c r="H932" s="116"/>
      <c r="I932" s="116"/>
      <c r="L932" s="170">
        <v>44775</v>
      </c>
      <c r="M932" s="116">
        <v>3248.85</v>
      </c>
      <c r="N932" s="116">
        <v>3265.55</v>
      </c>
      <c r="O932" s="116">
        <v>3173.2</v>
      </c>
      <c r="P932" s="116">
        <v>3210</v>
      </c>
      <c r="Q932" s="116">
        <v>3248.85</v>
      </c>
      <c r="R932">
        <v>500363</v>
      </c>
    </row>
    <row r="933" spans="1:18" x14ac:dyDescent="0.25">
      <c r="A933" s="170">
        <v>44776</v>
      </c>
      <c r="B933" s="116">
        <v>3297</v>
      </c>
      <c r="C933" s="116">
        <v>3264.6</v>
      </c>
      <c r="D933" s="116">
        <v>3155.6</v>
      </c>
      <c r="E933" s="116">
        <v>3269</v>
      </c>
      <c r="F933" s="116">
        <v>3264.6</v>
      </c>
      <c r="G933">
        <v>15421</v>
      </c>
      <c r="H933" s="116"/>
      <c r="I933" s="116"/>
      <c r="L933" s="170">
        <v>44776</v>
      </c>
      <c r="M933" s="116">
        <v>3269.95</v>
      </c>
      <c r="N933" s="116">
        <v>3299</v>
      </c>
      <c r="O933" s="116">
        <v>2811</v>
      </c>
      <c r="P933" s="116">
        <v>3240</v>
      </c>
      <c r="Q933" s="116">
        <v>3269.95</v>
      </c>
      <c r="R933">
        <v>336678</v>
      </c>
    </row>
    <row r="934" spans="1:18" x14ac:dyDescent="0.25">
      <c r="A934" s="170">
        <v>44777</v>
      </c>
      <c r="B934" s="116">
        <v>3401.05</v>
      </c>
      <c r="C934" s="116">
        <v>3334.65</v>
      </c>
      <c r="D934" s="116">
        <v>3184</v>
      </c>
      <c r="E934" s="116">
        <v>3290</v>
      </c>
      <c r="F934" s="116">
        <v>3334.65</v>
      </c>
      <c r="G934">
        <v>36538</v>
      </c>
      <c r="H934" s="116"/>
      <c r="I934" s="116"/>
      <c r="L934" s="170">
        <v>44777</v>
      </c>
      <c r="M934" s="116">
        <v>3349.65</v>
      </c>
      <c r="N934" s="116">
        <v>3389</v>
      </c>
      <c r="O934" s="116">
        <v>3180</v>
      </c>
      <c r="P934" s="116">
        <v>3284.85</v>
      </c>
      <c r="Q934" s="116">
        <v>3349.65</v>
      </c>
      <c r="R934">
        <v>672043</v>
      </c>
    </row>
    <row r="935" spans="1:18" x14ac:dyDescent="0.25">
      <c r="A935" s="170">
        <v>44778</v>
      </c>
      <c r="B935" s="116">
        <v>3381.15</v>
      </c>
      <c r="C935" s="116">
        <v>3340.3</v>
      </c>
      <c r="D935" s="116">
        <v>3303</v>
      </c>
      <c r="E935" s="116">
        <v>3354</v>
      </c>
      <c r="F935" s="116">
        <v>3340.3</v>
      </c>
      <c r="G935">
        <v>25639</v>
      </c>
      <c r="H935" s="116"/>
      <c r="I935" s="116"/>
      <c r="L935" s="170">
        <v>44778</v>
      </c>
      <c r="M935" s="116">
        <v>3347.4</v>
      </c>
      <c r="N935" s="116">
        <v>3378.8</v>
      </c>
      <c r="O935" s="116">
        <v>3302.55</v>
      </c>
      <c r="P935" s="116">
        <v>3365.9</v>
      </c>
      <c r="Q935" s="116">
        <v>3347.4</v>
      </c>
      <c r="R935">
        <v>502620</v>
      </c>
    </row>
    <row r="936" spans="1:18" x14ac:dyDescent="0.25">
      <c r="A936" s="170">
        <v>44781</v>
      </c>
      <c r="B936" s="116">
        <v>3471.4</v>
      </c>
      <c r="C936" s="116">
        <v>3362</v>
      </c>
      <c r="D936" s="116">
        <v>3290</v>
      </c>
      <c r="E936" s="116">
        <v>3360</v>
      </c>
      <c r="F936" s="116">
        <v>3362</v>
      </c>
      <c r="G936">
        <v>17974</v>
      </c>
      <c r="H936" s="116"/>
      <c r="I936" s="116"/>
      <c r="L936" s="170">
        <v>44781</v>
      </c>
      <c r="M936" s="116">
        <v>3365</v>
      </c>
      <c r="N936" s="116">
        <v>3474</v>
      </c>
      <c r="O936" s="116">
        <v>3287.25</v>
      </c>
      <c r="P936" s="116">
        <v>3363.95</v>
      </c>
      <c r="Q936" s="116">
        <v>3365</v>
      </c>
      <c r="R936">
        <v>514366</v>
      </c>
    </row>
    <row r="937" spans="1:18" x14ac:dyDescent="0.25">
      <c r="A937" s="170">
        <v>44783</v>
      </c>
      <c r="B937" s="116">
        <v>3392.35</v>
      </c>
      <c r="C937" s="116">
        <v>3346.7</v>
      </c>
      <c r="D937" s="116">
        <v>3275</v>
      </c>
      <c r="E937" s="116">
        <v>3360.05</v>
      </c>
      <c r="F937" s="116">
        <v>3346.7</v>
      </c>
      <c r="G937">
        <v>14857</v>
      </c>
      <c r="H937" s="116"/>
      <c r="I937" s="116"/>
      <c r="L937" s="170">
        <v>44783</v>
      </c>
      <c r="M937" s="116">
        <v>3351.4</v>
      </c>
      <c r="N937" s="116">
        <v>3390</v>
      </c>
      <c r="O937" s="116">
        <v>3271</v>
      </c>
      <c r="P937" s="116">
        <v>3388</v>
      </c>
      <c r="Q937" s="116">
        <v>3351.4</v>
      </c>
      <c r="R937">
        <v>551856</v>
      </c>
    </row>
    <row r="938" spans="1:18" x14ac:dyDescent="0.25">
      <c r="A938" s="170">
        <v>44784</v>
      </c>
      <c r="B938" s="116">
        <v>3398.15</v>
      </c>
      <c r="C938" s="116">
        <v>3348.15</v>
      </c>
      <c r="D938" s="116">
        <v>3311</v>
      </c>
      <c r="E938" s="116">
        <v>3395</v>
      </c>
      <c r="F938" s="116">
        <v>3348.15</v>
      </c>
      <c r="G938">
        <v>9398</v>
      </c>
      <c r="H938" s="116"/>
      <c r="I938" s="116"/>
      <c r="L938" s="170">
        <v>44784</v>
      </c>
      <c r="M938" s="116">
        <v>3352.3</v>
      </c>
      <c r="N938" s="116">
        <v>3399.3</v>
      </c>
      <c r="O938" s="116">
        <v>3309</v>
      </c>
      <c r="P938" s="116">
        <v>3362</v>
      </c>
      <c r="Q938" s="116">
        <v>3352.3</v>
      </c>
      <c r="R938">
        <v>473134</v>
      </c>
    </row>
    <row r="939" spans="1:18" x14ac:dyDescent="0.25">
      <c r="A939" s="170">
        <v>44785</v>
      </c>
      <c r="B939" s="116">
        <v>3438.7</v>
      </c>
      <c r="C939" s="116">
        <v>3423.15</v>
      </c>
      <c r="D939" s="116">
        <v>3335.5</v>
      </c>
      <c r="E939" s="116">
        <v>3374</v>
      </c>
      <c r="F939" s="116">
        <v>3423.15</v>
      </c>
      <c r="G939">
        <v>10295</v>
      </c>
      <c r="H939" s="116"/>
      <c r="I939" s="116"/>
      <c r="L939" s="170">
        <v>44785</v>
      </c>
      <c r="M939" s="116">
        <v>3425.4</v>
      </c>
      <c r="N939" s="116">
        <v>3439.8</v>
      </c>
      <c r="O939" s="116">
        <v>3338.35</v>
      </c>
      <c r="P939" s="116">
        <v>3347</v>
      </c>
      <c r="Q939" s="116">
        <v>3425.4</v>
      </c>
      <c r="R939">
        <v>453978</v>
      </c>
    </row>
    <row r="940" spans="1:18" x14ac:dyDescent="0.25">
      <c r="A940" s="170">
        <v>44789</v>
      </c>
      <c r="B940" s="116">
        <v>3500</v>
      </c>
      <c r="C940" s="116">
        <v>3490.25</v>
      </c>
      <c r="D940" s="116">
        <v>3423.15</v>
      </c>
      <c r="E940" s="116">
        <v>3430</v>
      </c>
      <c r="F940" s="116">
        <v>3490.25</v>
      </c>
      <c r="G940">
        <v>10914</v>
      </c>
      <c r="H940" s="116"/>
      <c r="I940" s="116"/>
      <c r="L940" s="170">
        <v>44789</v>
      </c>
      <c r="M940" s="116">
        <v>3489.7</v>
      </c>
      <c r="N940" s="116">
        <v>3498</v>
      </c>
      <c r="O940" s="116">
        <v>3415.4</v>
      </c>
      <c r="P940" s="116">
        <v>3438.3</v>
      </c>
      <c r="Q940" s="116">
        <v>3489.7</v>
      </c>
      <c r="R940">
        <v>230770</v>
      </c>
    </row>
    <row r="941" spans="1:18" x14ac:dyDescent="0.25">
      <c r="A941" s="170">
        <v>44790</v>
      </c>
      <c r="B941" s="116">
        <v>3530.95</v>
      </c>
      <c r="C941" s="116">
        <v>3468.7</v>
      </c>
      <c r="D941" s="116">
        <v>3408.45</v>
      </c>
      <c r="E941" s="116">
        <v>3509</v>
      </c>
      <c r="F941" s="116">
        <v>3468.7</v>
      </c>
      <c r="G941">
        <v>23042</v>
      </c>
      <c r="H941" s="116"/>
      <c r="I941" s="116"/>
      <c r="L941" s="170">
        <v>44790</v>
      </c>
      <c r="M941" s="116">
        <v>3471.85</v>
      </c>
      <c r="N941" s="116">
        <v>3533.45</v>
      </c>
      <c r="O941" s="116">
        <v>3405</v>
      </c>
      <c r="P941" s="116">
        <v>3485.7</v>
      </c>
      <c r="Q941" s="116">
        <v>3471.85</v>
      </c>
      <c r="R941">
        <v>295428</v>
      </c>
    </row>
    <row r="942" spans="1:18" x14ac:dyDescent="0.25">
      <c r="A942" s="170">
        <v>44791</v>
      </c>
      <c r="B942" s="116">
        <v>3501</v>
      </c>
      <c r="C942" s="116">
        <v>3462.4</v>
      </c>
      <c r="D942" s="116">
        <v>3437.95</v>
      </c>
      <c r="E942" s="116">
        <v>3471.95</v>
      </c>
      <c r="F942" s="116">
        <v>3462.4</v>
      </c>
      <c r="G942">
        <v>18103</v>
      </c>
      <c r="H942" s="116"/>
      <c r="I942" s="116"/>
      <c r="L942" s="170">
        <v>44791</v>
      </c>
      <c r="M942" s="116">
        <v>3463.3</v>
      </c>
      <c r="N942" s="116">
        <v>3495</v>
      </c>
      <c r="O942" s="116">
        <v>3434.1</v>
      </c>
      <c r="P942" s="116">
        <v>3460</v>
      </c>
      <c r="Q942" s="116">
        <v>3463.3</v>
      </c>
      <c r="R942">
        <v>582583</v>
      </c>
    </row>
    <row r="943" spans="1:18" x14ac:dyDescent="0.25">
      <c r="A943" s="170">
        <v>44792</v>
      </c>
      <c r="B943" s="116">
        <v>3490.15</v>
      </c>
      <c r="C943" s="116">
        <v>3380.8</v>
      </c>
      <c r="D943" s="116">
        <v>3326.15</v>
      </c>
      <c r="E943" s="116">
        <v>3455</v>
      </c>
      <c r="F943" s="116">
        <v>3380.8</v>
      </c>
      <c r="G943">
        <v>18237</v>
      </c>
      <c r="H943" s="116"/>
      <c r="I943" s="116"/>
      <c r="L943" s="170">
        <v>44792</v>
      </c>
      <c r="M943" s="116">
        <v>3390.9</v>
      </c>
      <c r="N943" s="116">
        <v>3491.85</v>
      </c>
      <c r="O943" s="116">
        <v>3328</v>
      </c>
      <c r="P943" s="116">
        <v>3480</v>
      </c>
      <c r="Q943" s="116">
        <v>3390.9</v>
      </c>
      <c r="R943">
        <v>492655</v>
      </c>
    </row>
    <row r="944" spans="1:18" x14ac:dyDescent="0.25">
      <c r="A944" s="170">
        <v>44795</v>
      </c>
      <c r="B944" s="116">
        <v>3440</v>
      </c>
      <c r="C944" s="116">
        <v>3372.5</v>
      </c>
      <c r="D944" s="116">
        <v>3309.95</v>
      </c>
      <c r="E944" s="116">
        <v>3409</v>
      </c>
      <c r="F944" s="116">
        <v>3372.5</v>
      </c>
      <c r="G944">
        <v>9535</v>
      </c>
      <c r="H944" s="116"/>
      <c r="I944" s="116"/>
      <c r="L944" s="170">
        <v>44795</v>
      </c>
      <c r="M944" s="116">
        <v>3364.3</v>
      </c>
      <c r="N944" s="116">
        <v>3440</v>
      </c>
      <c r="O944" s="116">
        <v>3305</v>
      </c>
      <c r="P944" s="116">
        <v>3390.9</v>
      </c>
      <c r="Q944" s="116">
        <v>3364.3</v>
      </c>
      <c r="R944">
        <v>346319</v>
      </c>
    </row>
    <row r="945" spans="1:18" x14ac:dyDescent="0.25">
      <c r="A945" s="170">
        <v>44796</v>
      </c>
      <c r="B945" s="116">
        <v>3452</v>
      </c>
      <c r="C945" s="116">
        <v>3431</v>
      </c>
      <c r="D945" s="116">
        <v>3240</v>
      </c>
      <c r="E945" s="116">
        <v>3360</v>
      </c>
      <c r="F945" s="116">
        <v>3431</v>
      </c>
      <c r="G945">
        <v>26491</v>
      </c>
      <c r="H945" s="116"/>
      <c r="I945" s="116"/>
      <c r="L945" s="170">
        <v>44796</v>
      </c>
      <c r="M945" s="116">
        <v>3430.95</v>
      </c>
      <c r="N945" s="116">
        <v>3448</v>
      </c>
      <c r="O945" s="116">
        <v>3239.3</v>
      </c>
      <c r="P945" s="116">
        <v>3300</v>
      </c>
      <c r="Q945" s="116">
        <v>3430.95</v>
      </c>
      <c r="R945">
        <v>497088</v>
      </c>
    </row>
    <row r="946" spans="1:18" x14ac:dyDescent="0.25">
      <c r="A946" s="170">
        <v>44797</v>
      </c>
      <c r="B946" s="116">
        <v>3456.9</v>
      </c>
      <c r="C946" s="116">
        <v>3421.1</v>
      </c>
      <c r="D946" s="116">
        <v>3340</v>
      </c>
      <c r="E946" s="116">
        <v>3355.05</v>
      </c>
      <c r="F946" s="116">
        <v>3421.1</v>
      </c>
      <c r="G946">
        <v>23394</v>
      </c>
      <c r="H946" s="116"/>
      <c r="I946" s="116"/>
      <c r="L946" s="170">
        <v>44797</v>
      </c>
      <c r="M946" s="116">
        <v>3427.8</v>
      </c>
      <c r="N946" s="116">
        <v>3459</v>
      </c>
      <c r="O946" s="116">
        <v>3335</v>
      </c>
      <c r="P946" s="116">
        <v>3362.35</v>
      </c>
      <c r="Q946" s="116">
        <v>3427.8</v>
      </c>
      <c r="R946">
        <v>459108</v>
      </c>
    </row>
    <row r="947" spans="1:18" x14ac:dyDescent="0.25">
      <c r="A947" s="170">
        <v>44798</v>
      </c>
      <c r="B947" s="116">
        <v>3439.75</v>
      </c>
      <c r="C947" s="116">
        <v>3365.25</v>
      </c>
      <c r="D947" s="116">
        <v>3342.25</v>
      </c>
      <c r="E947" s="116">
        <v>3380.05</v>
      </c>
      <c r="F947" s="116">
        <v>3365.25</v>
      </c>
      <c r="G947">
        <v>12830</v>
      </c>
      <c r="H947" s="116"/>
      <c r="I947" s="116"/>
      <c r="L947" s="170">
        <v>44798</v>
      </c>
      <c r="M947" s="116">
        <v>3365.2</v>
      </c>
      <c r="N947" s="116">
        <v>3440</v>
      </c>
      <c r="O947" s="116">
        <v>3340</v>
      </c>
      <c r="P947" s="116">
        <v>3420</v>
      </c>
      <c r="Q947" s="116">
        <v>3365.2</v>
      </c>
      <c r="R947">
        <v>185491</v>
      </c>
    </row>
    <row r="948" spans="1:18" x14ac:dyDescent="0.25">
      <c r="A948" s="170">
        <v>44799</v>
      </c>
      <c r="B948" s="116">
        <v>3470</v>
      </c>
      <c r="C948" s="116">
        <v>3459.45</v>
      </c>
      <c r="D948" s="116">
        <v>3364.75</v>
      </c>
      <c r="E948" s="116">
        <v>3397.6</v>
      </c>
      <c r="F948" s="116">
        <v>3459.45</v>
      </c>
      <c r="G948">
        <v>28746</v>
      </c>
      <c r="H948" s="116"/>
      <c r="I948" s="116"/>
      <c r="L948" s="170">
        <v>44799</v>
      </c>
      <c r="M948" s="116">
        <v>3459.65</v>
      </c>
      <c r="N948" s="116">
        <v>3472</v>
      </c>
      <c r="O948" s="116">
        <v>3365.5</v>
      </c>
      <c r="P948" s="116">
        <v>3365.5</v>
      </c>
      <c r="Q948" s="116">
        <v>3459.65</v>
      </c>
      <c r="R948">
        <v>504729</v>
      </c>
    </row>
    <row r="949" spans="1:18" x14ac:dyDescent="0.25">
      <c r="A949" s="170">
        <v>44802</v>
      </c>
      <c r="B949" s="116">
        <v>3550</v>
      </c>
      <c r="C949" s="116">
        <v>3537.8</v>
      </c>
      <c r="D949" s="116">
        <v>3302</v>
      </c>
      <c r="E949" s="116">
        <v>3302</v>
      </c>
      <c r="F949" s="116">
        <v>3537.8</v>
      </c>
      <c r="G949">
        <v>21605</v>
      </c>
      <c r="H949" s="116"/>
      <c r="I949" s="116"/>
      <c r="L949" s="170">
        <v>44802</v>
      </c>
      <c r="M949" s="116">
        <v>3537.4</v>
      </c>
      <c r="N949" s="116">
        <v>3550</v>
      </c>
      <c r="O949" s="116">
        <v>3301</v>
      </c>
      <c r="P949" s="116">
        <v>3301</v>
      </c>
      <c r="Q949" s="116">
        <v>3537.4</v>
      </c>
      <c r="R949">
        <v>608809</v>
      </c>
    </row>
    <row r="950" spans="1:18" x14ac:dyDescent="0.25">
      <c r="A950" s="170">
        <v>44803</v>
      </c>
      <c r="B950" s="116">
        <v>3816.3</v>
      </c>
      <c r="C950" s="116">
        <v>3753.7</v>
      </c>
      <c r="D950" s="116">
        <v>3545</v>
      </c>
      <c r="E950" s="116">
        <v>3545</v>
      </c>
      <c r="F950" s="116">
        <v>3753.7</v>
      </c>
      <c r="G950">
        <v>46046</v>
      </c>
      <c r="H950" s="116"/>
      <c r="I950" s="116"/>
      <c r="L950" s="170">
        <v>44803</v>
      </c>
      <c r="M950" s="116">
        <v>3744.95</v>
      </c>
      <c r="N950" s="116">
        <v>3816</v>
      </c>
      <c r="O950" s="116">
        <v>3550</v>
      </c>
      <c r="P950" s="116">
        <v>3550</v>
      </c>
      <c r="Q950" s="116">
        <v>3744.95</v>
      </c>
      <c r="R950">
        <v>1274580</v>
      </c>
    </row>
    <row r="951" spans="1:18" x14ac:dyDescent="0.25">
      <c r="A951" s="170">
        <v>44805</v>
      </c>
      <c r="B951" s="116">
        <v>3723.95</v>
      </c>
      <c r="C951" s="116">
        <v>3635.8</v>
      </c>
      <c r="D951" s="116">
        <v>3570</v>
      </c>
      <c r="E951" s="116">
        <v>3714</v>
      </c>
      <c r="F951" s="116">
        <v>3635.8</v>
      </c>
      <c r="G951">
        <v>31141</v>
      </c>
      <c r="H951" s="116"/>
      <c r="I951" s="116"/>
      <c r="L951" s="170">
        <v>44805</v>
      </c>
      <c r="M951" s="116">
        <v>3639.25</v>
      </c>
      <c r="N951" s="116">
        <v>3727.7</v>
      </c>
      <c r="O951" s="116">
        <v>3580</v>
      </c>
      <c r="P951" s="116">
        <v>3684.05</v>
      </c>
      <c r="Q951" s="116">
        <v>3639.25</v>
      </c>
      <c r="R951">
        <v>586989</v>
      </c>
    </row>
    <row r="952" spans="1:18" x14ac:dyDescent="0.25">
      <c r="A952" s="170">
        <v>44806</v>
      </c>
      <c r="B952" s="116">
        <v>3735.4</v>
      </c>
      <c r="C952" s="116">
        <v>3625.5</v>
      </c>
      <c r="D952" s="116">
        <v>3570</v>
      </c>
      <c r="E952" s="116">
        <v>3679.95</v>
      </c>
      <c r="F952" s="116">
        <v>3625.5</v>
      </c>
      <c r="G952">
        <v>14530</v>
      </c>
      <c r="H952" s="116"/>
      <c r="I952" s="116"/>
      <c r="L952" s="170">
        <v>44806</v>
      </c>
      <c r="M952" s="116">
        <v>3622.85</v>
      </c>
      <c r="N952" s="116">
        <v>3736</v>
      </c>
      <c r="O952" s="116">
        <v>3566</v>
      </c>
      <c r="P952" s="116">
        <v>3665</v>
      </c>
      <c r="Q952" s="116">
        <v>3622.85</v>
      </c>
      <c r="R952">
        <v>360875</v>
      </c>
    </row>
    <row r="953" spans="1:18" x14ac:dyDescent="0.25">
      <c r="A953" s="170">
        <v>44809</v>
      </c>
      <c r="B953" s="116">
        <v>3648</v>
      </c>
      <c r="C953" s="116">
        <v>3525.35</v>
      </c>
      <c r="D953" s="116">
        <v>3505</v>
      </c>
      <c r="E953" s="116">
        <v>3573</v>
      </c>
      <c r="F953" s="116">
        <v>3525.35</v>
      </c>
      <c r="G953">
        <v>21433</v>
      </c>
      <c r="H953" s="116"/>
      <c r="I953" s="116"/>
      <c r="L953" s="170">
        <v>44809</v>
      </c>
      <c r="M953" s="116">
        <v>3530.6</v>
      </c>
      <c r="N953" s="116">
        <v>3646.2</v>
      </c>
      <c r="O953" s="116">
        <v>3505</v>
      </c>
      <c r="P953" s="116">
        <v>3588.05</v>
      </c>
      <c r="Q953" s="116">
        <v>3530.6</v>
      </c>
      <c r="R953">
        <v>249706</v>
      </c>
    </row>
    <row r="954" spans="1:18" x14ac:dyDescent="0.25">
      <c r="A954" s="170">
        <v>44810</v>
      </c>
      <c r="B954" s="116">
        <v>3707</v>
      </c>
      <c r="C954" s="116">
        <v>3683.25</v>
      </c>
      <c r="D954" s="116">
        <v>3536.05</v>
      </c>
      <c r="E954" s="116">
        <v>3565</v>
      </c>
      <c r="F954" s="116">
        <v>3683.25</v>
      </c>
      <c r="G954">
        <v>15089</v>
      </c>
      <c r="H954" s="116"/>
      <c r="I954" s="116"/>
      <c r="L954" s="170">
        <v>44810</v>
      </c>
      <c r="M954" s="116">
        <v>3682.85</v>
      </c>
      <c r="N954" s="116">
        <v>3710</v>
      </c>
      <c r="O954" s="116">
        <v>3535.95</v>
      </c>
      <c r="P954" s="116">
        <v>3545.95</v>
      </c>
      <c r="Q954" s="116">
        <v>3682.85</v>
      </c>
      <c r="R954">
        <v>355296</v>
      </c>
    </row>
    <row r="955" spans="1:18" x14ac:dyDescent="0.25">
      <c r="A955" s="170">
        <v>44811</v>
      </c>
      <c r="B955" s="116">
        <v>3764.3</v>
      </c>
      <c r="C955" s="116">
        <v>3655.55</v>
      </c>
      <c r="D955" s="116">
        <v>3635.7</v>
      </c>
      <c r="E955" s="116">
        <v>3678</v>
      </c>
      <c r="F955" s="116">
        <v>3655.55</v>
      </c>
      <c r="G955">
        <v>19098</v>
      </c>
      <c r="H955" s="116"/>
      <c r="I955" s="116"/>
      <c r="L955" s="170">
        <v>44811</v>
      </c>
      <c r="M955" s="116">
        <v>3661.25</v>
      </c>
      <c r="N955" s="116">
        <v>3764.95</v>
      </c>
      <c r="O955" s="116">
        <v>3642</v>
      </c>
      <c r="P955" s="116">
        <v>3680</v>
      </c>
      <c r="Q955" s="116">
        <v>3661.25</v>
      </c>
      <c r="R955">
        <v>330913</v>
      </c>
    </row>
    <row r="956" spans="1:18" x14ac:dyDescent="0.25">
      <c r="A956" s="170">
        <v>44812</v>
      </c>
      <c r="B956" s="116">
        <v>3710.25</v>
      </c>
      <c r="C956" s="116">
        <v>3630.55</v>
      </c>
      <c r="D956" s="116">
        <v>3607.95</v>
      </c>
      <c r="E956" s="116">
        <v>3695</v>
      </c>
      <c r="F956" s="116">
        <v>3630.55</v>
      </c>
      <c r="G956">
        <v>8230</v>
      </c>
      <c r="H956" s="116"/>
      <c r="I956" s="116"/>
      <c r="L956" s="170">
        <v>44812</v>
      </c>
      <c r="M956" s="116">
        <v>3629.9</v>
      </c>
      <c r="N956" s="116">
        <v>3712</v>
      </c>
      <c r="O956" s="116">
        <v>3605</v>
      </c>
      <c r="P956" s="116">
        <v>3685.8</v>
      </c>
      <c r="Q956" s="116">
        <v>3629.9</v>
      </c>
      <c r="R956">
        <v>261326</v>
      </c>
    </row>
    <row r="957" spans="1:18" x14ac:dyDescent="0.25">
      <c r="A957" s="170">
        <v>44813</v>
      </c>
      <c r="B957" s="116">
        <v>3694.45</v>
      </c>
      <c r="C957" s="116">
        <v>3631.25</v>
      </c>
      <c r="D957" s="116">
        <v>3607.5</v>
      </c>
      <c r="E957" s="116">
        <v>3650</v>
      </c>
      <c r="F957" s="116">
        <v>3631.25</v>
      </c>
      <c r="G957">
        <v>15579</v>
      </c>
      <c r="H957" s="116"/>
      <c r="I957" s="116"/>
      <c r="L957" s="170">
        <v>44813</v>
      </c>
      <c r="M957" s="116">
        <v>3633.3</v>
      </c>
      <c r="N957" s="116">
        <v>3695</v>
      </c>
      <c r="O957" s="116">
        <v>3612</v>
      </c>
      <c r="P957" s="116">
        <v>3670</v>
      </c>
      <c r="Q957" s="116">
        <v>3633.3</v>
      </c>
      <c r="R957">
        <v>204584</v>
      </c>
    </row>
    <row r="958" spans="1:18" x14ac:dyDescent="0.25">
      <c r="A958" s="170">
        <v>44816</v>
      </c>
      <c r="B958" s="116">
        <v>3680.25</v>
      </c>
      <c r="C958" s="116">
        <v>3631.8</v>
      </c>
      <c r="D958" s="116">
        <v>3600</v>
      </c>
      <c r="E958" s="116">
        <v>3635</v>
      </c>
      <c r="F958" s="116">
        <v>3631.8</v>
      </c>
      <c r="G958">
        <v>9834</v>
      </c>
      <c r="H958" s="116"/>
      <c r="I958" s="116"/>
      <c r="L958" s="170">
        <v>44816</v>
      </c>
      <c r="M958" s="116">
        <v>3635.4</v>
      </c>
      <c r="N958" s="116">
        <v>3679.85</v>
      </c>
      <c r="O958" s="116">
        <v>3600</v>
      </c>
      <c r="P958" s="116">
        <v>3653.75</v>
      </c>
      <c r="Q958" s="116">
        <v>3635.4</v>
      </c>
      <c r="R958">
        <v>194549</v>
      </c>
    </row>
    <row r="959" spans="1:18" x14ac:dyDescent="0.25">
      <c r="A959" s="170">
        <v>44817</v>
      </c>
      <c r="B959" s="116">
        <v>3668</v>
      </c>
      <c r="C959" s="116">
        <v>3603.55</v>
      </c>
      <c r="D959" s="116">
        <v>3586.05</v>
      </c>
      <c r="E959" s="116">
        <v>3635</v>
      </c>
      <c r="F959" s="116">
        <v>3603.55</v>
      </c>
      <c r="G959">
        <v>12535</v>
      </c>
      <c r="H959" s="116"/>
      <c r="I959" s="116"/>
      <c r="L959" s="170">
        <v>44817</v>
      </c>
      <c r="M959" s="116">
        <v>3604.75</v>
      </c>
      <c r="N959" s="116">
        <v>3668.45</v>
      </c>
      <c r="O959" s="116">
        <v>3585</v>
      </c>
      <c r="P959" s="116">
        <v>3642</v>
      </c>
      <c r="Q959" s="116">
        <v>3604.75</v>
      </c>
      <c r="R959">
        <v>220809</v>
      </c>
    </row>
    <row r="960" spans="1:18" x14ac:dyDescent="0.25">
      <c r="A960" s="170">
        <v>44818</v>
      </c>
      <c r="B960" s="116">
        <v>3620</v>
      </c>
      <c r="C960" s="116">
        <v>3566</v>
      </c>
      <c r="D960" s="116">
        <v>3551</v>
      </c>
      <c r="E960" s="116">
        <v>3551</v>
      </c>
      <c r="F960" s="116">
        <v>3566</v>
      </c>
      <c r="G960">
        <v>10864</v>
      </c>
      <c r="H960" s="116"/>
      <c r="I960" s="116"/>
      <c r="L960" s="170">
        <v>44818</v>
      </c>
      <c r="M960" s="116">
        <v>3564.4</v>
      </c>
      <c r="N960" s="116">
        <v>3620</v>
      </c>
      <c r="O960" s="116">
        <v>3550.55</v>
      </c>
      <c r="P960" s="116">
        <v>3570</v>
      </c>
      <c r="Q960" s="116">
        <v>3564.4</v>
      </c>
      <c r="R960">
        <v>179827</v>
      </c>
    </row>
    <row r="961" spans="1:18" x14ac:dyDescent="0.25">
      <c r="A961" s="170">
        <v>44819</v>
      </c>
      <c r="B961" s="116">
        <v>3704</v>
      </c>
      <c r="C961" s="116">
        <v>3606.6</v>
      </c>
      <c r="D961" s="116">
        <v>3554.6</v>
      </c>
      <c r="E961" s="116">
        <v>3566</v>
      </c>
      <c r="F961" s="116">
        <v>3606.6</v>
      </c>
      <c r="G961">
        <v>37009</v>
      </c>
      <c r="H961" s="116"/>
      <c r="I961" s="116"/>
      <c r="L961" s="170">
        <v>44819</v>
      </c>
      <c r="M961" s="116">
        <v>3601.35</v>
      </c>
      <c r="N961" s="116">
        <v>3704.7</v>
      </c>
      <c r="O961" s="116">
        <v>3554.4</v>
      </c>
      <c r="P961" s="116">
        <v>3565</v>
      </c>
      <c r="Q961" s="116">
        <v>3601.35</v>
      </c>
      <c r="R961">
        <v>326756</v>
      </c>
    </row>
    <row r="962" spans="1:18" x14ac:dyDescent="0.25">
      <c r="A962" s="170">
        <v>44820</v>
      </c>
      <c r="B962" s="116">
        <v>3630</v>
      </c>
      <c r="C962" s="116">
        <v>3520.5</v>
      </c>
      <c r="D962" s="116">
        <v>3467.65</v>
      </c>
      <c r="E962" s="116">
        <v>3619.9</v>
      </c>
      <c r="F962" s="116">
        <v>3520.5</v>
      </c>
      <c r="G962">
        <v>19608</v>
      </c>
      <c r="H962" s="116"/>
      <c r="I962" s="116"/>
      <c r="L962" s="170">
        <v>44820</v>
      </c>
      <c r="M962" s="116">
        <v>3528.8</v>
      </c>
      <c r="N962" s="116">
        <v>3631.8</v>
      </c>
      <c r="O962" s="116">
        <v>3469.2</v>
      </c>
      <c r="P962" s="116">
        <v>3608.95</v>
      </c>
      <c r="Q962" s="116">
        <v>3528.8</v>
      </c>
      <c r="R962">
        <v>604559</v>
      </c>
    </row>
    <row r="963" spans="1:18" x14ac:dyDescent="0.25">
      <c r="A963" s="170">
        <v>44823</v>
      </c>
      <c r="B963" s="116">
        <v>3646.45</v>
      </c>
      <c r="C963" s="116">
        <v>3621.7</v>
      </c>
      <c r="D963" s="116">
        <v>3490</v>
      </c>
      <c r="E963" s="116">
        <v>3570</v>
      </c>
      <c r="F963" s="116">
        <v>3621.7</v>
      </c>
      <c r="G963">
        <v>440061</v>
      </c>
      <c r="H963" s="116"/>
      <c r="I963" s="116"/>
      <c r="L963" s="170">
        <v>44823</v>
      </c>
      <c r="M963" s="116">
        <v>3620.05</v>
      </c>
      <c r="N963" s="116">
        <v>3646</v>
      </c>
      <c r="O963" s="116">
        <v>3489.65</v>
      </c>
      <c r="P963" s="116">
        <v>3546.45</v>
      </c>
      <c r="Q963" s="116">
        <v>3620.05</v>
      </c>
      <c r="R963">
        <v>267621</v>
      </c>
    </row>
    <row r="964" spans="1:18" x14ac:dyDescent="0.25">
      <c r="A964" s="170">
        <v>44824</v>
      </c>
      <c r="B964" s="116">
        <v>3725</v>
      </c>
      <c r="C964" s="116">
        <v>3675.4</v>
      </c>
      <c r="D964" s="116">
        <v>3630.05</v>
      </c>
      <c r="E964" s="116">
        <v>3630.05</v>
      </c>
      <c r="F964" s="116">
        <v>3675.4</v>
      </c>
      <c r="G964">
        <v>29086</v>
      </c>
      <c r="H964" s="116"/>
      <c r="I964" s="116"/>
      <c r="L964" s="170">
        <v>44824</v>
      </c>
      <c r="M964" s="116">
        <v>3674.95</v>
      </c>
      <c r="N964" s="116">
        <v>3725</v>
      </c>
      <c r="O964" s="116">
        <v>3646.05</v>
      </c>
      <c r="P964" s="116">
        <v>3657.95</v>
      </c>
      <c r="Q964" s="116">
        <v>3674.95</v>
      </c>
      <c r="R964">
        <v>398494</v>
      </c>
    </row>
    <row r="965" spans="1:18" x14ac:dyDescent="0.25">
      <c r="A965" s="170">
        <v>44825</v>
      </c>
      <c r="B965" s="116">
        <v>3737.7</v>
      </c>
      <c r="C965" s="116">
        <v>3559.1</v>
      </c>
      <c r="D965" s="116">
        <v>3537.35</v>
      </c>
      <c r="E965" s="116">
        <v>3676.3</v>
      </c>
      <c r="F965" s="116">
        <v>3559.1</v>
      </c>
      <c r="G965">
        <v>23836</v>
      </c>
      <c r="H965" s="116"/>
      <c r="I965" s="116"/>
      <c r="L965" s="170">
        <v>44825</v>
      </c>
      <c r="M965" s="116">
        <v>3565.5</v>
      </c>
      <c r="N965" s="116">
        <v>3740</v>
      </c>
      <c r="O965" s="116">
        <v>3538.1</v>
      </c>
      <c r="P965" s="116">
        <v>3690</v>
      </c>
      <c r="Q965" s="116">
        <v>3565.5</v>
      </c>
      <c r="R965">
        <v>368952</v>
      </c>
    </row>
    <row r="966" spans="1:18" x14ac:dyDescent="0.25">
      <c r="A966" s="170">
        <v>44826</v>
      </c>
      <c r="B966" s="116">
        <v>3646.8</v>
      </c>
      <c r="C966" s="116">
        <v>3626.6</v>
      </c>
      <c r="D966" s="116">
        <v>3493.15</v>
      </c>
      <c r="E966" s="116">
        <v>3559</v>
      </c>
      <c r="F966" s="116">
        <v>3626.6</v>
      </c>
      <c r="G966">
        <v>16253</v>
      </c>
      <c r="H966" s="116"/>
      <c r="I966" s="116"/>
      <c r="L966" s="170">
        <v>44826</v>
      </c>
      <c r="M966" s="116">
        <v>3629.9</v>
      </c>
      <c r="N966" s="116">
        <v>3644.95</v>
      </c>
      <c r="O966" s="116">
        <v>3491</v>
      </c>
      <c r="P966" s="116">
        <v>3565</v>
      </c>
      <c r="Q966" s="116">
        <v>3629.9</v>
      </c>
      <c r="R966">
        <v>229512</v>
      </c>
    </row>
    <row r="967" spans="1:18" x14ac:dyDescent="0.25">
      <c r="A967" s="170">
        <v>44827</v>
      </c>
      <c r="B967" s="116">
        <v>3665</v>
      </c>
      <c r="C967" s="116">
        <v>3544.3</v>
      </c>
      <c r="D967" s="116">
        <v>3519.65</v>
      </c>
      <c r="E967" s="116">
        <v>3665</v>
      </c>
      <c r="F967" s="116">
        <v>3544.3</v>
      </c>
      <c r="G967">
        <v>9310</v>
      </c>
      <c r="H967" s="116"/>
      <c r="I967" s="116"/>
      <c r="L967" s="170">
        <v>44827</v>
      </c>
      <c r="M967" s="116">
        <v>3545.25</v>
      </c>
      <c r="N967" s="116">
        <v>3663.3</v>
      </c>
      <c r="O967" s="116">
        <v>3526.2</v>
      </c>
      <c r="P967" s="116">
        <v>3642.1</v>
      </c>
      <c r="Q967" s="116">
        <v>3545.25</v>
      </c>
      <c r="R967">
        <v>143552</v>
      </c>
    </row>
    <row r="968" spans="1:18" x14ac:dyDescent="0.25">
      <c r="A968" s="170">
        <v>44830</v>
      </c>
      <c r="B968" s="116">
        <v>3555.05</v>
      </c>
      <c r="C968" s="116">
        <v>3375.55</v>
      </c>
      <c r="D968" s="116">
        <v>3285.75</v>
      </c>
      <c r="E968" s="116">
        <v>3490</v>
      </c>
      <c r="F968" s="116">
        <v>3375.55</v>
      </c>
      <c r="G968">
        <v>19704</v>
      </c>
      <c r="H968" s="116"/>
      <c r="I968" s="116"/>
      <c r="L968" s="170">
        <v>44830</v>
      </c>
      <c r="M968" s="116">
        <v>3371.05</v>
      </c>
      <c r="N968" s="116">
        <v>3527.45</v>
      </c>
      <c r="O968" s="116">
        <v>3275.65</v>
      </c>
      <c r="P968" s="116">
        <v>3500</v>
      </c>
      <c r="Q968" s="116">
        <v>3371.05</v>
      </c>
      <c r="R968">
        <v>395275</v>
      </c>
    </row>
    <row r="969" spans="1:18" x14ac:dyDescent="0.25">
      <c r="A969" s="170">
        <v>44831</v>
      </c>
      <c r="B969" s="116">
        <v>3499</v>
      </c>
      <c r="C969" s="116">
        <v>3381.9</v>
      </c>
      <c r="D969" s="116">
        <v>3332.05</v>
      </c>
      <c r="E969" s="116">
        <v>3363</v>
      </c>
      <c r="F969" s="116">
        <v>3381.9</v>
      </c>
      <c r="G969">
        <v>25391</v>
      </c>
      <c r="H969" s="116"/>
      <c r="I969" s="116"/>
      <c r="L969" s="170">
        <v>44831</v>
      </c>
      <c r="M969" s="116">
        <v>3378.7</v>
      </c>
      <c r="N969" s="116">
        <v>3499.9</v>
      </c>
      <c r="O969" s="116">
        <v>3331.8</v>
      </c>
      <c r="P969" s="116">
        <v>3371.05</v>
      </c>
      <c r="Q969" s="116">
        <v>3378.7</v>
      </c>
      <c r="R969">
        <v>483227</v>
      </c>
    </row>
    <row r="970" spans="1:18" x14ac:dyDescent="0.25">
      <c r="A970" s="170">
        <v>44832</v>
      </c>
      <c r="B970" s="116">
        <v>3484</v>
      </c>
      <c r="C970" s="116">
        <v>3450.85</v>
      </c>
      <c r="D970" s="116">
        <v>3338.8</v>
      </c>
      <c r="E970" s="116">
        <v>3345.05</v>
      </c>
      <c r="F970" s="116">
        <v>3450.85</v>
      </c>
      <c r="G970">
        <v>23322</v>
      </c>
      <c r="H970" s="116"/>
      <c r="I970" s="116"/>
      <c r="L970" s="170">
        <v>44832</v>
      </c>
      <c r="M970" s="116">
        <v>3448.05</v>
      </c>
      <c r="N970" s="116">
        <v>3485</v>
      </c>
      <c r="O970" s="116">
        <v>3335</v>
      </c>
      <c r="P970" s="116">
        <v>3360</v>
      </c>
      <c r="Q970" s="116">
        <v>3448.05</v>
      </c>
      <c r="R970">
        <v>267366</v>
      </c>
    </row>
    <row r="971" spans="1:18" x14ac:dyDescent="0.25">
      <c r="A971" s="170">
        <v>44833</v>
      </c>
      <c r="B971" s="116">
        <v>3573</v>
      </c>
      <c r="C971" s="116">
        <v>3406.6</v>
      </c>
      <c r="D971" s="116">
        <v>3307.15</v>
      </c>
      <c r="E971" s="116">
        <v>3472.7</v>
      </c>
      <c r="F971" s="116">
        <v>3406.6</v>
      </c>
      <c r="G971">
        <v>34432</v>
      </c>
      <c r="H971" s="116"/>
      <c r="I971" s="116"/>
      <c r="L971" s="170">
        <v>44833</v>
      </c>
      <c r="M971" s="116">
        <v>3372.25</v>
      </c>
      <c r="N971" s="116">
        <v>3574.8</v>
      </c>
      <c r="O971" s="116">
        <v>3303.4</v>
      </c>
      <c r="P971" s="116">
        <v>3508</v>
      </c>
      <c r="Q971" s="116">
        <v>3372.25</v>
      </c>
      <c r="R971">
        <v>2436698</v>
      </c>
    </row>
    <row r="972" spans="1:18" x14ac:dyDescent="0.25">
      <c r="A972" s="170">
        <v>44834</v>
      </c>
      <c r="B972" s="116">
        <v>3415</v>
      </c>
      <c r="C972" s="116">
        <v>3337</v>
      </c>
      <c r="D972" s="116">
        <v>3250</v>
      </c>
      <c r="E972" s="116">
        <v>3340</v>
      </c>
      <c r="F972" s="116">
        <v>3337</v>
      </c>
      <c r="G972">
        <v>39381</v>
      </c>
      <c r="H972" s="116"/>
      <c r="I972" s="116"/>
      <c r="L972" s="170">
        <v>44834</v>
      </c>
      <c r="M972" s="116">
        <v>3339.85</v>
      </c>
      <c r="N972" s="116">
        <v>3416.45</v>
      </c>
      <c r="O972" s="116">
        <v>3251.1</v>
      </c>
      <c r="P972" s="116">
        <v>3344</v>
      </c>
      <c r="Q972" s="116">
        <v>3339.85</v>
      </c>
      <c r="R972">
        <v>527566</v>
      </c>
    </row>
    <row r="973" spans="1:18" x14ac:dyDescent="0.25">
      <c r="A973" s="170">
        <v>44837</v>
      </c>
      <c r="B973" s="116">
        <v>3420.1</v>
      </c>
      <c r="C973" s="116">
        <v>3104.65</v>
      </c>
      <c r="D973" s="116">
        <v>2919.2</v>
      </c>
      <c r="E973" s="116">
        <v>3337.95</v>
      </c>
      <c r="F973" s="116">
        <v>3104.65</v>
      </c>
      <c r="G973">
        <v>59936</v>
      </c>
      <c r="H973" s="116"/>
      <c r="I973" s="116"/>
      <c r="L973" s="170">
        <v>44837</v>
      </c>
      <c r="M973" s="116">
        <v>3100.8</v>
      </c>
      <c r="N973" s="116">
        <v>3424.65</v>
      </c>
      <c r="O973" s="116">
        <v>2965.65</v>
      </c>
      <c r="P973" s="116">
        <v>3329.9</v>
      </c>
      <c r="Q973" s="116">
        <v>3100.8</v>
      </c>
      <c r="R973">
        <v>578177</v>
      </c>
    </row>
    <row r="974" spans="1:18" x14ac:dyDescent="0.25">
      <c r="A974" s="170">
        <v>44838</v>
      </c>
      <c r="B974" s="116">
        <v>3260</v>
      </c>
      <c r="C974" s="116">
        <v>3216.7</v>
      </c>
      <c r="D974" s="116">
        <v>3104.65</v>
      </c>
      <c r="E974" s="116">
        <v>3180.9</v>
      </c>
      <c r="F974" s="116">
        <v>3216.7</v>
      </c>
      <c r="G974">
        <v>28530</v>
      </c>
      <c r="H974" s="116"/>
      <c r="I974" s="116"/>
      <c r="L974" s="170">
        <v>44838</v>
      </c>
      <c r="M974" s="116">
        <v>3216.15</v>
      </c>
      <c r="N974" s="116">
        <v>3263.45</v>
      </c>
      <c r="O974" s="116">
        <v>3102.5</v>
      </c>
      <c r="P974" s="116">
        <v>3182</v>
      </c>
      <c r="Q974" s="116">
        <v>3216.15</v>
      </c>
      <c r="R974">
        <v>475008</v>
      </c>
    </row>
    <row r="975" spans="1:18" x14ac:dyDescent="0.25">
      <c r="A975" s="170">
        <v>44840</v>
      </c>
      <c r="B975" s="116">
        <v>3321.15</v>
      </c>
      <c r="C975" s="116">
        <v>3311.05</v>
      </c>
      <c r="D975" s="116">
        <v>3250</v>
      </c>
      <c r="E975" s="116">
        <v>3250.05</v>
      </c>
      <c r="F975" s="116">
        <v>3311.05</v>
      </c>
      <c r="G975">
        <v>23076</v>
      </c>
      <c r="H975" s="116"/>
      <c r="I975" s="116"/>
      <c r="L975" s="170">
        <v>44840</v>
      </c>
      <c r="M975" s="116">
        <v>3308</v>
      </c>
      <c r="N975" s="116">
        <v>3321.8</v>
      </c>
      <c r="O975" s="116">
        <v>3244.35</v>
      </c>
      <c r="P975" s="116">
        <v>3262</v>
      </c>
      <c r="Q975" s="116">
        <v>3308</v>
      </c>
      <c r="R975">
        <v>461996</v>
      </c>
    </row>
    <row r="976" spans="1:18" x14ac:dyDescent="0.25">
      <c r="A976" s="170">
        <v>44841</v>
      </c>
      <c r="B976" s="116">
        <v>3315</v>
      </c>
      <c r="C976" s="116">
        <v>3186.35</v>
      </c>
      <c r="D976" s="116">
        <v>3138.75</v>
      </c>
      <c r="E976" s="116">
        <v>3315</v>
      </c>
      <c r="F976" s="116">
        <v>3186.35</v>
      </c>
      <c r="G976">
        <v>33368</v>
      </c>
      <c r="H976" s="116"/>
      <c r="I976" s="116"/>
      <c r="L976" s="170">
        <v>44841</v>
      </c>
      <c r="M976" s="116">
        <v>3187.6</v>
      </c>
      <c r="N976" s="116">
        <v>3304.6</v>
      </c>
      <c r="O976" s="116">
        <v>3137.55</v>
      </c>
      <c r="P976" s="116">
        <v>3304.6</v>
      </c>
      <c r="Q976" s="116">
        <v>3187.6</v>
      </c>
      <c r="R976">
        <v>440350</v>
      </c>
    </row>
    <row r="977" spans="1:18" x14ac:dyDescent="0.25">
      <c r="A977" s="170">
        <v>44844</v>
      </c>
      <c r="B977" s="116">
        <v>3188.35</v>
      </c>
      <c r="C977" s="116">
        <v>3160.55</v>
      </c>
      <c r="D977" s="116">
        <v>3115.25</v>
      </c>
      <c r="E977" s="116">
        <v>3168</v>
      </c>
      <c r="F977" s="116">
        <v>3160.55</v>
      </c>
      <c r="G977">
        <v>10114</v>
      </c>
      <c r="H977" s="116"/>
      <c r="I977" s="116"/>
      <c r="L977" s="170">
        <v>44844</v>
      </c>
      <c r="M977" s="116">
        <v>3161</v>
      </c>
      <c r="N977" s="116">
        <v>3189</v>
      </c>
      <c r="O977" s="116">
        <v>3120</v>
      </c>
      <c r="P977" s="116">
        <v>3164.2</v>
      </c>
      <c r="Q977" s="116">
        <v>3161</v>
      </c>
      <c r="R977">
        <v>275699</v>
      </c>
    </row>
    <row r="978" spans="1:18" x14ac:dyDescent="0.25">
      <c r="A978" s="170">
        <v>44845</v>
      </c>
      <c r="B978" s="116">
        <v>3218.35</v>
      </c>
      <c r="C978" s="116">
        <v>3175.6</v>
      </c>
      <c r="D978" s="116">
        <v>3151.2</v>
      </c>
      <c r="E978" s="116">
        <v>3185.05</v>
      </c>
      <c r="F978" s="116">
        <v>3175.6</v>
      </c>
      <c r="G978">
        <v>336013</v>
      </c>
      <c r="H978" s="116"/>
      <c r="I978" s="116"/>
      <c r="L978" s="170">
        <v>44845</v>
      </c>
      <c r="M978" s="116">
        <v>3173.6</v>
      </c>
      <c r="N978" s="116">
        <v>3219.95</v>
      </c>
      <c r="O978" s="116">
        <v>3150</v>
      </c>
      <c r="P978" s="116">
        <v>3200</v>
      </c>
      <c r="Q978" s="116">
        <v>3173.6</v>
      </c>
      <c r="R978">
        <v>296173</v>
      </c>
    </row>
    <row r="979" spans="1:18" x14ac:dyDescent="0.25">
      <c r="A979" s="170">
        <v>44846</v>
      </c>
      <c r="B979" s="116">
        <v>3224</v>
      </c>
      <c r="C979" s="116">
        <v>3205.5</v>
      </c>
      <c r="D979" s="116">
        <v>3168.1</v>
      </c>
      <c r="E979" s="116">
        <v>3175.6</v>
      </c>
      <c r="F979" s="116">
        <v>3205.5</v>
      </c>
      <c r="G979">
        <v>15805</v>
      </c>
      <c r="H979" s="116"/>
      <c r="I979" s="116"/>
      <c r="L979" s="170">
        <v>44846</v>
      </c>
      <c r="M979" s="116">
        <v>3202.85</v>
      </c>
      <c r="N979" s="116">
        <v>3224</v>
      </c>
      <c r="O979" s="116">
        <v>3167.85</v>
      </c>
      <c r="P979" s="116">
        <v>3180</v>
      </c>
      <c r="Q979" s="116">
        <v>3202.85</v>
      </c>
      <c r="R979">
        <v>329608</v>
      </c>
    </row>
    <row r="980" spans="1:18" x14ac:dyDescent="0.25">
      <c r="A980" s="170">
        <v>44847</v>
      </c>
      <c r="B980" s="116">
        <v>3237.55</v>
      </c>
      <c r="C980" s="116">
        <v>3172.85</v>
      </c>
      <c r="D980" s="116">
        <v>3150</v>
      </c>
      <c r="E980" s="116">
        <v>3190</v>
      </c>
      <c r="F980" s="116">
        <v>3172.85</v>
      </c>
      <c r="G980">
        <v>9580</v>
      </c>
      <c r="H980" s="116"/>
      <c r="I980" s="116"/>
      <c r="L980" s="170">
        <v>44847</v>
      </c>
      <c r="M980" s="116">
        <v>3177.35</v>
      </c>
      <c r="N980" s="116">
        <v>3238</v>
      </c>
      <c r="O980" s="116">
        <v>3151.25</v>
      </c>
      <c r="P980" s="116">
        <v>3190</v>
      </c>
      <c r="Q980" s="116">
        <v>3177.35</v>
      </c>
      <c r="R980">
        <v>222741</v>
      </c>
    </row>
    <row r="981" spans="1:18" x14ac:dyDescent="0.25">
      <c r="A981" s="170">
        <v>44848</v>
      </c>
      <c r="B981" s="116">
        <v>3239.8</v>
      </c>
      <c r="C981" s="116">
        <v>3063.55</v>
      </c>
      <c r="D981" s="116">
        <v>3009.2</v>
      </c>
      <c r="E981" s="116">
        <v>3203.05</v>
      </c>
      <c r="F981" s="116">
        <v>3063.55</v>
      </c>
      <c r="G981">
        <v>11189</v>
      </c>
      <c r="H981" s="116"/>
      <c r="I981" s="116"/>
      <c r="L981" s="170">
        <v>44848</v>
      </c>
      <c r="M981" s="116">
        <v>3047.15</v>
      </c>
      <c r="N981" s="116">
        <v>3240</v>
      </c>
      <c r="O981" s="116">
        <v>3006</v>
      </c>
      <c r="P981" s="116">
        <v>3225</v>
      </c>
      <c r="Q981" s="116">
        <v>3047.15</v>
      </c>
      <c r="R981">
        <v>320461</v>
      </c>
    </row>
    <row r="982" spans="1:18" x14ac:dyDescent="0.25">
      <c r="A982" s="170">
        <v>44851</v>
      </c>
      <c r="B982" s="116">
        <v>3135</v>
      </c>
      <c r="C982" s="116">
        <v>3106.95</v>
      </c>
      <c r="D982" s="116">
        <v>2974.95</v>
      </c>
      <c r="E982" s="116">
        <v>3038.2</v>
      </c>
      <c r="F982" s="116">
        <v>3106.95</v>
      </c>
      <c r="G982">
        <v>351731</v>
      </c>
      <c r="H982" s="116"/>
      <c r="I982" s="116"/>
      <c r="L982" s="170">
        <v>44851</v>
      </c>
      <c r="M982" s="116">
        <v>3099.3</v>
      </c>
      <c r="N982" s="116">
        <v>3135</v>
      </c>
      <c r="O982" s="116">
        <v>2976</v>
      </c>
      <c r="P982" s="116">
        <v>3047</v>
      </c>
      <c r="Q982" s="116">
        <v>3099.3</v>
      </c>
      <c r="R982">
        <v>193751</v>
      </c>
    </row>
    <row r="983" spans="1:18" x14ac:dyDescent="0.25">
      <c r="A983" s="170">
        <v>44852</v>
      </c>
      <c r="B983" s="116">
        <v>3197.35</v>
      </c>
      <c r="C983" s="116">
        <v>3150.3</v>
      </c>
      <c r="D983" s="116">
        <v>3106.1</v>
      </c>
      <c r="E983" s="116">
        <v>3106.1</v>
      </c>
      <c r="F983" s="116">
        <v>3150.3</v>
      </c>
      <c r="G983">
        <v>9457</v>
      </c>
      <c r="H983" s="116"/>
      <c r="I983" s="116"/>
      <c r="L983" s="170">
        <v>44852</v>
      </c>
      <c r="M983" s="116">
        <v>3152.85</v>
      </c>
      <c r="N983" s="116">
        <v>3199</v>
      </c>
      <c r="O983" s="116">
        <v>3110.05</v>
      </c>
      <c r="P983" s="116">
        <v>3114.8</v>
      </c>
      <c r="Q983" s="116">
        <v>3152.85</v>
      </c>
      <c r="R983">
        <v>295584</v>
      </c>
    </row>
    <row r="984" spans="1:18" x14ac:dyDescent="0.25">
      <c r="A984" s="170">
        <v>44853</v>
      </c>
      <c r="B984" s="116">
        <v>3238.15</v>
      </c>
      <c r="C984" s="116">
        <v>3160.25</v>
      </c>
      <c r="D984" s="116">
        <v>3114.95</v>
      </c>
      <c r="E984" s="116">
        <v>3150.3</v>
      </c>
      <c r="F984" s="116">
        <v>3160.25</v>
      </c>
      <c r="G984">
        <v>14116</v>
      </c>
      <c r="H984" s="116"/>
      <c r="I984" s="116"/>
      <c r="L984" s="170">
        <v>44853</v>
      </c>
      <c r="M984" s="116">
        <v>3166.85</v>
      </c>
      <c r="N984" s="116">
        <v>3238.35</v>
      </c>
      <c r="O984" s="116">
        <v>3121.1</v>
      </c>
      <c r="P984" s="116">
        <v>3168.65</v>
      </c>
      <c r="Q984" s="116">
        <v>3166.85</v>
      </c>
      <c r="R984">
        <v>467958</v>
      </c>
    </row>
    <row r="985" spans="1:18" x14ac:dyDescent="0.25">
      <c r="A985" s="170">
        <v>44854</v>
      </c>
      <c r="B985" s="116">
        <v>3331</v>
      </c>
      <c r="C985" s="116">
        <v>3280.95</v>
      </c>
      <c r="D985" s="116">
        <v>3144.05</v>
      </c>
      <c r="E985" s="116">
        <v>3165.65</v>
      </c>
      <c r="F985" s="116">
        <v>3280.95</v>
      </c>
      <c r="G985">
        <v>11201</v>
      </c>
      <c r="H985" s="116"/>
      <c r="I985" s="116"/>
      <c r="L985" s="170">
        <v>44854</v>
      </c>
      <c r="M985" s="116">
        <v>3277.1</v>
      </c>
      <c r="N985" s="116">
        <v>3325.15</v>
      </c>
      <c r="O985" s="116">
        <v>3141.15</v>
      </c>
      <c r="P985" s="116">
        <v>3150</v>
      </c>
      <c r="Q985" s="116">
        <v>3277.1</v>
      </c>
      <c r="R985">
        <v>422771</v>
      </c>
    </row>
    <row r="986" spans="1:18" x14ac:dyDescent="0.25">
      <c r="A986" s="170">
        <v>44855</v>
      </c>
      <c r="B986" s="116">
        <v>3299.9</v>
      </c>
      <c r="C986" s="116">
        <v>3263.95</v>
      </c>
      <c r="D986" s="116">
        <v>3190</v>
      </c>
      <c r="E986" s="116">
        <v>3299.9</v>
      </c>
      <c r="F986" s="116">
        <v>3263.95</v>
      </c>
      <c r="G986">
        <v>16045</v>
      </c>
      <c r="H986" s="116"/>
      <c r="I986" s="116"/>
      <c r="L986" s="170">
        <v>44855</v>
      </c>
      <c r="M986" s="116">
        <v>3261.75</v>
      </c>
      <c r="N986" s="116">
        <v>3293.5</v>
      </c>
      <c r="O986" s="116">
        <v>3186.5</v>
      </c>
      <c r="P986" s="116">
        <v>3293.5</v>
      </c>
      <c r="Q986" s="116">
        <v>3261.75</v>
      </c>
      <c r="R986">
        <v>174257</v>
      </c>
    </row>
    <row r="987" spans="1:18" x14ac:dyDescent="0.25">
      <c r="A987" s="170">
        <v>44858</v>
      </c>
      <c r="B987" s="116">
        <v>3295.15</v>
      </c>
      <c r="C987" s="116">
        <v>3265.55</v>
      </c>
      <c r="D987" s="116">
        <v>3240.25</v>
      </c>
      <c r="E987" s="116">
        <v>3260.45</v>
      </c>
      <c r="F987" s="116">
        <v>3265.55</v>
      </c>
      <c r="G987">
        <v>2768</v>
      </c>
      <c r="H987" s="116"/>
      <c r="I987" s="116"/>
      <c r="L987" s="170">
        <v>44858</v>
      </c>
      <c r="M987" s="116">
        <v>3267.3</v>
      </c>
      <c r="N987" s="116">
        <v>3291.15</v>
      </c>
      <c r="O987" s="116">
        <v>3240.05</v>
      </c>
      <c r="P987" s="116">
        <v>3280</v>
      </c>
      <c r="Q987" s="116">
        <v>3267.3</v>
      </c>
      <c r="R987">
        <v>29267</v>
      </c>
    </row>
    <row r="988" spans="1:18" x14ac:dyDescent="0.25">
      <c r="A988" s="170">
        <v>44859</v>
      </c>
      <c r="B988" s="116">
        <v>3430</v>
      </c>
      <c r="C988" s="116">
        <v>3387.7</v>
      </c>
      <c r="D988" s="116">
        <v>3251.3</v>
      </c>
      <c r="E988" s="116">
        <v>3254.05</v>
      </c>
      <c r="F988" s="116">
        <v>3387.7</v>
      </c>
      <c r="G988">
        <v>8349</v>
      </c>
      <c r="H988" s="116"/>
      <c r="I988" s="116"/>
      <c r="L988" s="170">
        <v>44859</v>
      </c>
      <c r="M988" s="116">
        <v>3382.95</v>
      </c>
      <c r="N988" s="116">
        <v>3433.95</v>
      </c>
      <c r="O988" s="116">
        <v>3251</v>
      </c>
      <c r="P988" s="116">
        <v>3283.65</v>
      </c>
      <c r="Q988" s="116">
        <v>3382.95</v>
      </c>
      <c r="R988">
        <v>216330</v>
      </c>
    </row>
    <row r="989" spans="1:18" x14ac:dyDescent="0.25">
      <c r="A989" s="170">
        <v>44861</v>
      </c>
      <c r="B989" s="116">
        <v>3549</v>
      </c>
      <c r="C989" s="116">
        <v>3508.6</v>
      </c>
      <c r="D989" s="116">
        <v>3394</v>
      </c>
      <c r="E989" s="116">
        <v>3394</v>
      </c>
      <c r="F989" s="116">
        <v>3508.6</v>
      </c>
      <c r="G989">
        <v>30680</v>
      </c>
      <c r="H989" s="116"/>
      <c r="I989" s="116"/>
      <c r="L989" s="170">
        <v>44861</v>
      </c>
      <c r="M989" s="116">
        <v>3507.75</v>
      </c>
      <c r="N989" s="116">
        <v>3549</v>
      </c>
      <c r="O989" s="116">
        <v>3395</v>
      </c>
      <c r="P989" s="116">
        <v>3403.2</v>
      </c>
      <c r="Q989" s="116">
        <v>3507.75</v>
      </c>
      <c r="R989">
        <v>684860</v>
      </c>
    </row>
    <row r="990" spans="1:18" x14ac:dyDescent="0.25">
      <c r="A990" s="170">
        <v>44862</v>
      </c>
      <c r="B990" s="116">
        <v>3519.2</v>
      </c>
      <c r="C990" s="116">
        <v>3447</v>
      </c>
      <c r="D990" s="116">
        <v>3421.3</v>
      </c>
      <c r="E990" s="116">
        <v>3509.4</v>
      </c>
      <c r="F990" s="116">
        <v>3447</v>
      </c>
      <c r="G990">
        <v>12236</v>
      </c>
      <c r="H990" s="116"/>
      <c r="I990" s="116"/>
      <c r="L990" s="170">
        <v>44862</v>
      </c>
      <c r="M990" s="116">
        <v>3444.05</v>
      </c>
      <c r="N990" s="116">
        <v>3525.3</v>
      </c>
      <c r="O990" s="116">
        <v>3421.6</v>
      </c>
      <c r="P990" s="116">
        <v>3525.3</v>
      </c>
      <c r="Q990" s="116">
        <v>3444.05</v>
      </c>
      <c r="R990">
        <v>312597</v>
      </c>
    </row>
    <row r="991" spans="1:18" x14ac:dyDescent="0.25">
      <c r="A991" s="170">
        <v>44865</v>
      </c>
      <c r="B991" s="116">
        <v>3659.9</v>
      </c>
      <c r="C991" s="116">
        <v>3603.45</v>
      </c>
      <c r="D991" s="116">
        <v>3423.9</v>
      </c>
      <c r="E991" s="116">
        <v>3452</v>
      </c>
      <c r="F991" s="116">
        <v>3603.45</v>
      </c>
      <c r="G991">
        <v>20594</v>
      </c>
      <c r="H991" s="116"/>
      <c r="I991" s="116"/>
      <c r="L991" s="170">
        <v>44865</v>
      </c>
      <c r="M991" s="116">
        <v>3602.85</v>
      </c>
      <c r="N991" s="116">
        <v>3658.7</v>
      </c>
      <c r="O991" s="116">
        <v>3423</v>
      </c>
      <c r="P991" s="116">
        <v>3460</v>
      </c>
      <c r="Q991" s="116">
        <v>3602.85</v>
      </c>
      <c r="R991">
        <v>284614</v>
      </c>
    </row>
    <row r="992" spans="1:18" x14ac:dyDescent="0.25">
      <c r="A992" s="170">
        <v>44866</v>
      </c>
      <c r="B992" s="116">
        <v>3720</v>
      </c>
      <c r="C992" s="116">
        <v>3686.05</v>
      </c>
      <c r="D992" s="116">
        <v>3537.05</v>
      </c>
      <c r="E992" s="116">
        <v>3616</v>
      </c>
      <c r="F992" s="116">
        <v>3686.05</v>
      </c>
      <c r="G992">
        <v>29197</v>
      </c>
      <c r="H992" s="116"/>
      <c r="I992" s="116"/>
      <c r="L992" s="170">
        <v>44866</v>
      </c>
      <c r="M992" s="116">
        <v>3681.2</v>
      </c>
      <c r="N992" s="116">
        <v>3720.5</v>
      </c>
      <c r="O992" s="116">
        <v>3537.05</v>
      </c>
      <c r="P992" s="116">
        <v>3620.9</v>
      </c>
      <c r="Q992" s="116">
        <v>3681.2</v>
      </c>
      <c r="R992">
        <v>369944</v>
      </c>
    </row>
    <row r="993" spans="1:18" x14ac:dyDescent="0.25">
      <c r="A993" s="170">
        <v>44867</v>
      </c>
      <c r="B993" s="116">
        <v>3682.95</v>
      </c>
      <c r="C993" s="116">
        <v>3636.2</v>
      </c>
      <c r="D993" s="116">
        <v>3601</v>
      </c>
      <c r="E993" s="116">
        <v>3662</v>
      </c>
      <c r="F993" s="116">
        <v>3636.2</v>
      </c>
      <c r="G993">
        <v>15932</v>
      </c>
      <c r="H993" s="116"/>
      <c r="I993" s="116"/>
      <c r="L993" s="170">
        <v>44867</v>
      </c>
      <c r="M993" s="116">
        <v>3637.3</v>
      </c>
      <c r="N993" s="116">
        <v>3693.05</v>
      </c>
      <c r="O993" s="116">
        <v>3602.1</v>
      </c>
      <c r="P993" s="116">
        <v>3679.9</v>
      </c>
      <c r="Q993" s="116">
        <v>3637.3</v>
      </c>
      <c r="R993">
        <v>280173</v>
      </c>
    </row>
    <row r="994" spans="1:18" x14ac:dyDescent="0.25">
      <c r="A994" s="170">
        <v>44868</v>
      </c>
      <c r="B994" s="116">
        <v>3685</v>
      </c>
      <c r="C994" s="116">
        <v>3655.05</v>
      </c>
      <c r="D994" s="116">
        <v>3556.8</v>
      </c>
      <c r="E994" s="116">
        <v>3565.8</v>
      </c>
      <c r="F994" s="116">
        <v>3655.05</v>
      </c>
      <c r="G994">
        <v>9006</v>
      </c>
      <c r="H994" s="116"/>
      <c r="I994" s="116"/>
      <c r="L994" s="170">
        <v>44868</v>
      </c>
      <c r="M994" s="116">
        <v>3660.9</v>
      </c>
      <c r="N994" s="116">
        <v>3688.35</v>
      </c>
      <c r="O994" s="116">
        <v>3557</v>
      </c>
      <c r="P994" s="116">
        <v>3620</v>
      </c>
      <c r="Q994" s="116">
        <v>3660.9</v>
      </c>
      <c r="R994">
        <v>256243</v>
      </c>
    </row>
    <row r="995" spans="1:18" x14ac:dyDescent="0.25">
      <c r="A995" s="170">
        <v>44869</v>
      </c>
      <c r="B995" s="116">
        <v>3799</v>
      </c>
      <c r="C995" s="116">
        <v>3753.1</v>
      </c>
      <c r="D995" s="116">
        <v>3568.4</v>
      </c>
      <c r="E995" s="116">
        <v>3660</v>
      </c>
      <c r="F995" s="116">
        <v>3753.1</v>
      </c>
      <c r="G995">
        <v>15201</v>
      </c>
      <c r="H995" s="116"/>
      <c r="I995" s="116"/>
      <c r="L995" s="170">
        <v>44869</v>
      </c>
      <c r="M995" s="116">
        <v>3759.25</v>
      </c>
      <c r="N995" s="116">
        <v>3800</v>
      </c>
      <c r="O995" s="116">
        <v>3501</v>
      </c>
      <c r="P995" s="116">
        <v>3659</v>
      </c>
      <c r="Q995" s="116">
        <v>3759.25</v>
      </c>
      <c r="R995">
        <v>349779</v>
      </c>
    </row>
    <row r="996" spans="1:18" x14ac:dyDescent="0.25">
      <c r="A996" s="170">
        <v>44872</v>
      </c>
      <c r="B996" s="116">
        <v>3844</v>
      </c>
      <c r="C996" s="116">
        <v>3799.65</v>
      </c>
      <c r="D996" s="116">
        <v>3695</v>
      </c>
      <c r="E996" s="116">
        <v>3735.1</v>
      </c>
      <c r="F996" s="116">
        <v>3799.65</v>
      </c>
      <c r="G996">
        <v>17747</v>
      </c>
      <c r="H996" s="116"/>
      <c r="I996" s="116"/>
      <c r="L996" s="170">
        <v>44872</v>
      </c>
      <c r="M996" s="116">
        <v>3800.4</v>
      </c>
      <c r="N996" s="116">
        <v>3845</v>
      </c>
      <c r="O996" s="116">
        <v>3690.7</v>
      </c>
      <c r="P996" s="116">
        <v>3759</v>
      </c>
      <c r="Q996" s="116">
        <v>3800.4</v>
      </c>
      <c r="R996">
        <v>529323</v>
      </c>
    </row>
    <row r="997" spans="1:18" x14ac:dyDescent="0.25">
      <c r="A997" s="170">
        <v>44874</v>
      </c>
      <c r="B997" s="116">
        <v>3893.55</v>
      </c>
      <c r="C997" s="116">
        <v>3795.85</v>
      </c>
      <c r="D997" s="116">
        <v>3722.5</v>
      </c>
      <c r="E997" s="116">
        <v>3818</v>
      </c>
      <c r="F997" s="116">
        <v>3795.85</v>
      </c>
      <c r="G997">
        <v>20738</v>
      </c>
      <c r="H997" s="116"/>
      <c r="I997" s="116"/>
      <c r="L997" s="170">
        <v>44874</v>
      </c>
      <c r="M997" s="116">
        <v>3795.2</v>
      </c>
      <c r="N997" s="116">
        <v>3891.25</v>
      </c>
      <c r="O997" s="116">
        <v>3720.1</v>
      </c>
      <c r="P997" s="116">
        <v>3800.4</v>
      </c>
      <c r="Q997" s="116">
        <v>3795.2</v>
      </c>
      <c r="R997">
        <v>422176</v>
      </c>
    </row>
    <row r="998" spans="1:18" x14ac:dyDescent="0.25">
      <c r="A998" s="170">
        <v>44875</v>
      </c>
      <c r="B998" s="116">
        <v>3820</v>
      </c>
      <c r="C998" s="116">
        <v>3709</v>
      </c>
      <c r="D998" s="116">
        <v>3666</v>
      </c>
      <c r="E998" s="116">
        <v>3771.05</v>
      </c>
      <c r="F998" s="116">
        <v>3709</v>
      </c>
      <c r="G998">
        <v>20424</v>
      </c>
      <c r="H998" s="116"/>
      <c r="I998" s="116"/>
      <c r="L998" s="170">
        <v>44875</v>
      </c>
      <c r="M998" s="116">
        <v>3707.1</v>
      </c>
      <c r="N998" s="116">
        <v>3820</v>
      </c>
      <c r="O998" s="116">
        <v>3663.4</v>
      </c>
      <c r="P998" s="116">
        <v>3790</v>
      </c>
      <c r="Q998" s="116">
        <v>3707.1</v>
      </c>
      <c r="R998">
        <v>252727</v>
      </c>
    </row>
    <row r="999" spans="1:18" x14ac:dyDescent="0.25">
      <c r="A999" s="170">
        <v>44876</v>
      </c>
      <c r="B999" s="116">
        <v>3810</v>
      </c>
      <c r="C999" s="116">
        <v>3800.35</v>
      </c>
      <c r="D999" s="116">
        <v>3720</v>
      </c>
      <c r="E999" s="116">
        <v>3720</v>
      </c>
      <c r="F999" s="116">
        <v>3800.35</v>
      </c>
      <c r="G999">
        <v>21255</v>
      </c>
      <c r="H999" s="116"/>
      <c r="I999" s="116"/>
      <c r="L999" s="170">
        <v>44876</v>
      </c>
      <c r="M999" s="116">
        <v>3800.6</v>
      </c>
      <c r="N999" s="116">
        <v>3810.5</v>
      </c>
      <c r="O999" s="116">
        <v>3722</v>
      </c>
      <c r="P999" s="116">
        <v>3725.65</v>
      </c>
      <c r="Q999" s="116">
        <v>3800.6</v>
      </c>
      <c r="R999">
        <v>248079</v>
      </c>
    </row>
    <row r="1000" spans="1:18" x14ac:dyDescent="0.25">
      <c r="A1000" s="170">
        <v>44879</v>
      </c>
      <c r="B1000" s="116">
        <v>3889</v>
      </c>
      <c r="C1000" s="116">
        <v>3868.85</v>
      </c>
      <c r="D1000" s="116">
        <v>3777.9</v>
      </c>
      <c r="E1000" s="116">
        <v>3792.5</v>
      </c>
      <c r="F1000" s="116">
        <v>3868.85</v>
      </c>
      <c r="G1000">
        <v>13434</v>
      </c>
      <c r="H1000" s="116"/>
      <c r="I1000" s="116"/>
      <c r="L1000" s="170">
        <v>44879</v>
      </c>
      <c r="M1000" s="116">
        <v>3870.3</v>
      </c>
      <c r="N1000" s="116">
        <v>3888</v>
      </c>
      <c r="O1000" s="116">
        <v>3770.05</v>
      </c>
      <c r="P1000" s="116">
        <v>3805</v>
      </c>
      <c r="Q1000" s="116">
        <v>3870.3</v>
      </c>
      <c r="R1000">
        <v>218406</v>
      </c>
    </row>
    <row r="1001" spans="1:18" x14ac:dyDescent="0.25">
      <c r="A1001" s="170">
        <v>44880</v>
      </c>
      <c r="B1001" s="116">
        <v>3910</v>
      </c>
      <c r="C1001" s="116">
        <v>3887.35</v>
      </c>
      <c r="D1001" s="116">
        <v>3811.6</v>
      </c>
      <c r="E1001" s="116">
        <v>3872</v>
      </c>
      <c r="F1001" s="116">
        <v>3887.35</v>
      </c>
      <c r="G1001">
        <v>34821</v>
      </c>
      <c r="H1001" s="116"/>
      <c r="I1001" s="116"/>
      <c r="L1001" s="170">
        <v>44880</v>
      </c>
      <c r="M1001" s="116">
        <v>3885.3</v>
      </c>
      <c r="N1001" s="116">
        <v>3912.4</v>
      </c>
      <c r="O1001" s="116">
        <v>3811</v>
      </c>
      <c r="P1001" s="116">
        <v>3888.35</v>
      </c>
      <c r="Q1001" s="116">
        <v>3885.3</v>
      </c>
      <c r="R1001">
        <v>237581</v>
      </c>
    </row>
    <row r="1002" spans="1:18" x14ac:dyDescent="0.25">
      <c r="A1002" s="170">
        <v>44881</v>
      </c>
      <c r="B1002" s="116">
        <v>3899.45</v>
      </c>
      <c r="C1002" s="116">
        <v>3802.65</v>
      </c>
      <c r="D1002" s="116">
        <v>3750.75</v>
      </c>
      <c r="E1002" s="116">
        <v>3899.45</v>
      </c>
      <c r="F1002" s="116">
        <v>3802.65</v>
      </c>
      <c r="G1002">
        <v>22159</v>
      </c>
      <c r="H1002" s="116"/>
      <c r="I1002" s="116"/>
      <c r="L1002" s="170">
        <v>44881</v>
      </c>
      <c r="M1002" s="116">
        <v>3809.65</v>
      </c>
      <c r="N1002" s="116">
        <v>3880</v>
      </c>
      <c r="O1002" s="116">
        <v>3752</v>
      </c>
      <c r="P1002" s="116">
        <v>3865</v>
      </c>
      <c r="Q1002" s="116">
        <v>3809.65</v>
      </c>
      <c r="R1002">
        <v>316610</v>
      </c>
    </row>
    <row r="1003" spans="1:18" x14ac:dyDescent="0.25">
      <c r="A1003" s="170">
        <v>44882</v>
      </c>
      <c r="B1003" s="116">
        <v>3856.9</v>
      </c>
      <c r="C1003" s="116">
        <v>3738.1</v>
      </c>
      <c r="D1003" s="116">
        <v>3715.7</v>
      </c>
      <c r="E1003" s="116">
        <v>3824.95</v>
      </c>
      <c r="F1003" s="116">
        <v>3738.1</v>
      </c>
      <c r="G1003">
        <v>12942</v>
      </c>
      <c r="H1003" s="116"/>
      <c r="I1003" s="116"/>
      <c r="L1003" s="170">
        <v>44882</v>
      </c>
      <c r="M1003" s="116">
        <v>3753.45</v>
      </c>
      <c r="N1003" s="116">
        <v>3859.2</v>
      </c>
      <c r="O1003" s="116">
        <v>3715</v>
      </c>
      <c r="P1003" s="116">
        <v>3808.95</v>
      </c>
      <c r="Q1003" s="116">
        <v>3753.45</v>
      </c>
      <c r="R1003">
        <v>246287</v>
      </c>
    </row>
    <row r="1004" spans="1:18" x14ac:dyDescent="0.25">
      <c r="A1004" s="170">
        <v>44883</v>
      </c>
      <c r="B1004" s="116">
        <v>3777.15</v>
      </c>
      <c r="C1004" s="116">
        <v>3642.45</v>
      </c>
      <c r="D1004" s="116">
        <v>3607.2</v>
      </c>
      <c r="E1004" s="116">
        <v>3755.05</v>
      </c>
      <c r="F1004" s="116">
        <v>3642.45</v>
      </c>
      <c r="G1004">
        <v>11677</v>
      </c>
      <c r="H1004" s="116"/>
      <c r="I1004" s="116"/>
      <c r="L1004" s="170">
        <v>44883</v>
      </c>
      <c r="M1004" s="116">
        <v>3644.65</v>
      </c>
      <c r="N1004" s="116">
        <v>3773.8</v>
      </c>
      <c r="O1004" s="116">
        <v>3608</v>
      </c>
      <c r="P1004" s="116">
        <v>3767.25</v>
      </c>
      <c r="Q1004" s="116">
        <v>3644.65</v>
      </c>
      <c r="R1004">
        <v>219386</v>
      </c>
    </row>
    <row r="1005" spans="1:18" x14ac:dyDescent="0.25">
      <c r="A1005" s="170">
        <v>44886</v>
      </c>
      <c r="B1005" s="116">
        <v>3685.5</v>
      </c>
      <c r="C1005" s="116">
        <v>3660.7</v>
      </c>
      <c r="D1005" s="116">
        <v>3560.05</v>
      </c>
      <c r="E1005" s="116">
        <v>3611.2</v>
      </c>
      <c r="F1005" s="116">
        <v>3660.7</v>
      </c>
      <c r="G1005">
        <v>7963</v>
      </c>
      <c r="H1005" s="116"/>
      <c r="I1005" s="116"/>
      <c r="L1005" s="170">
        <v>44886</v>
      </c>
      <c r="M1005" s="116">
        <v>3661</v>
      </c>
      <c r="N1005" s="116">
        <v>3688</v>
      </c>
      <c r="O1005" s="116">
        <v>3560</v>
      </c>
      <c r="P1005" s="116">
        <v>3615</v>
      </c>
      <c r="Q1005" s="116">
        <v>3661</v>
      </c>
      <c r="R1005">
        <v>136427</v>
      </c>
    </row>
    <row r="1006" spans="1:18" x14ac:dyDescent="0.25">
      <c r="A1006" s="170">
        <v>44887</v>
      </c>
      <c r="B1006" s="116">
        <v>3686.6</v>
      </c>
      <c r="C1006" s="116">
        <v>3669.05</v>
      </c>
      <c r="D1006" s="116">
        <v>3580.8</v>
      </c>
      <c r="E1006" s="116">
        <v>3620.05</v>
      </c>
      <c r="F1006" s="116">
        <v>3669.05</v>
      </c>
      <c r="G1006">
        <v>8488</v>
      </c>
      <c r="H1006" s="116"/>
      <c r="I1006" s="116"/>
      <c r="L1006" s="170">
        <v>44887</v>
      </c>
      <c r="M1006" s="116">
        <v>3671.4</v>
      </c>
      <c r="N1006" s="116">
        <v>3685</v>
      </c>
      <c r="O1006" s="116">
        <v>3581</v>
      </c>
      <c r="P1006" s="116">
        <v>3661</v>
      </c>
      <c r="Q1006" s="116">
        <v>3671.4</v>
      </c>
      <c r="R1006">
        <v>164102</v>
      </c>
    </row>
    <row r="1007" spans="1:18" x14ac:dyDescent="0.25">
      <c r="A1007" s="170">
        <v>44888</v>
      </c>
      <c r="B1007" s="116">
        <v>3790</v>
      </c>
      <c r="C1007" s="116">
        <v>3752.35</v>
      </c>
      <c r="D1007" s="116">
        <v>3673</v>
      </c>
      <c r="E1007" s="116">
        <v>3673.05</v>
      </c>
      <c r="F1007" s="116">
        <v>3752.35</v>
      </c>
      <c r="G1007">
        <v>9731</v>
      </c>
      <c r="H1007" s="116"/>
      <c r="I1007" s="116"/>
      <c r="L1007" s="170">
        <v>44888</v>
      </c>
      <c r="M1007" s="116">
        <v>3752.45</v>
      </c>
      <c r="N1007" s="116">
        <v>3794.75</v>
      </c>
      <c r="O1007" s="116">
        <v>3671.45</v>
      </c>
      <c r="P1007" s="116">
        <v>3685.55</v>
      </c>
      <c r="Q1007" s="116">
        <v>3752.45</v>
      </c>
      <c r="R1007">
        <v>205491</v>
      </c>
    </row>
    <row r="1008" spans="1:18" x14ac:dyDescent="0.25">
      <c r="A1008" s="170">
        <v>44889</v>
      </c>
      <c r="B1008" s="116">
        <v>3775.85</v>
      </c>
      <c r="C1008" s="116">
        <v>3729.35</v>
      </c>
      <c r="D1008" s="116">
        <v>3695.95</v>
      </c>
      <c r="E1008" s="116">
        <v>3711.05</v>
      </c>
      <c r="F1008" s="116">
        <v>3729.35</v>
      </c>
      <c r="G1008">
        <v>6238</v>
      </c>
      <c r="H1008" s="116"/>
      <c r="I1008" s="116"/>
      <c r="L1008" s="170">
        <v>44889</v>
      </c>
      <c r="M1008" s="116">
        <v>3731</v>
      </c>
      <c r="N1008" s="116">
        <v>3780</v>
      </c>
      <c r="O1008" s="116">
        <v>3686.15</v>
      </c>
      <c r="P1008" s="116">
        <v>3730</v>
      </c>
      <c r="Q1008" s="116">
        <v>3731</v>
      </c>
      <c r="R1008">
        <v>125461</v>
      </c>
    </row>
    <row r="1009" spans="1:18" x14ac:dyDescent="0.25">
      <c r="A1009" s="170">
        <v>44890</v>
      </c>
      <c r="B1009" s="116">
        <v>3734.15</v>
      </c>
      <c r="C1009" s="116">
        <v>3662.25</v>
      </c>
      <c r="D1009" s="116">
        <v>3630</v>
      </c>
      <c r="E1009" s="116">
        <v>3716.65</v>
      </c>
      <c r="F1009" s="116">
        <v>3662.25</v>
      </c>
      <c r="G1009">
        <v>18370</v>
      </c>
      <c r="H1009" s="116"/>
      <c r="I1009" s="116"/>
      <c r="L1009" s="170">
        <v>44890</v>
      </c>
      <c r="M1009" s="116">
        <v>3664.75</v>
      </c>
      <c r="N1009" s="116">
        <v>3745</v>
      </c>
      <c r="O1009" s="116">
        <v>3631</v>
      </c>
      <c r="P1009" s="116">
        <v>3741.95</v>
      </c>
      <c r="Q1009" s="116">
        <v>3664.75</v>
      </c>
      <c r="R1009">
        <v>224375</v>
      </c>
    </row>
    <row r="1010" spans="1:18" x14ac:dyDescent="0.25">
      <c r="A1010" s="170">
        <v>44893</v>
      </c>
      <c r="B1010" s="116">
        <v>3765.45</v>
      </c>
      <c r="C1010" s="116">
        <v>3596.35</v>
      </c>
      <c r="D1010" s="116">
        <v>3550</v>
      </c>
      <c r="E1010" s="116">
        <v>3611.3</v>
      </c>
      <c r="F1010" s="116">
        <v>3596.35</v>
      </c>
      <c r="G1010">
        <v>11887</v>
      </c>
      <c r="H1010" s="116"/>
      <c r="I1010" s="116"/>
      <c r="L1010" s="170">
        <v>44893</v>
      </c>
      <c r="M1010" s="116">
        <v>3605.15</v>
      </c>
      <c r="N1010" s="116">
        <v>3768.2</v>
      </c>
      <c r="O1010" s="116">
        <v>3545.2</v>
      </c>
      <c r="P1010" s="116">
        <v>3626</v>
      </c>
      <c r="Q1010" s="116">
        <v>3605.15</v>
      </c>
      <c r="R1010">
        <v>349032</v>
      </c>
    </row>
    <row r="1011" spans="1:18" x14ac:dyDescent="0.25">
      <c r="A1011" s="170">
        <v>44894</v>
      </c>
      <c r="B1011" s="116">
        <v>3657.35</v>
      </c>
      <c r="C1011" s="116">
        <v>3607.1</v>
      </c>
      <c r="D1011" s="116">
        <v>3560.05</v>
      </c>
      <c r="E1011" s="116">
        <v>3561.45</v>
      </c>
      <c r="F1011" s="116">
        <v>3607.1</v>
      </c>
      <c r="G1011">
        <v>6508</v>
      </c>
      <c r="H1011" s="116"/>
      <c r="I1011" s="116"/>
      <c r="L1011" s="170">
        <v>44894</v>
      </c>
      <c r="M1011" s="116">
        <v>3600</v>
      </c>
      <c r="N1011" s="116">
        <v>3658</v>
      </c>
      <c r="O1011" s="116">
        <v>3552.25</v>
      </c>
      <c r="P1011" s="116">
        <v>3589.2</v>
      </c>
      <c r="Q1011" s="116">
        <v>3600</v>
      </c>
      <c r="R1011">
        <v>184715</v>
      </c>
    </row>
    <row r="1012" spans="1:18" x14ac:dyDescent="0.25">
      <c r="A1012" s="170">
        <v>44895</v>
      </c>
      <c r="B1012" s="116">
        <v>3667.3</v>
      </c>
      <c r="C1012" s="116">
        <v>3633.35</v>
      </c>
      <c r="D1012" s="116">
        <v>3566.75</v>
      </c>
      <c r="E1012" s="116">
        <v>3616.95</v>
      </c>
      <c r="F1012" s="116">
        <v>3633.35</v>
      </c>
      <c r="G1012">
        <v>15627</v>
      </c>
      <c r="H1012" s="116"/>
      <c r="I1012" s="116"/>
      <c r="L1012" s="170">
        <v>44895</v>
      </c>
      <c r="M1012" s="116">
        <v>3632.75</v>
      </c>
      <c r="N1012" s="116">
        <v>3668</v>
      </c>
      <c r="O1012" s="116">
        <v>3566.15</v>
      </c>
      <c r="P1012" s="116">
        <v>3599.95</v>
      </c>
      <c r="Q1012" s="116">
        <v>3632.75</v>
      </c>
      <c r="R1012">
        <v>620284</v>
      </c>
    </row>
    <row r="1013" spans="1:18" x14ac:dyDescent="0.25">
      <c r="A1013" s="170">
        <v>44896</v>
      </c>
      <c r="B1013" s="116">
        <v>3697.8</v>
      </c>
      <c r="C1013" s="116">
        <v>3615.3</v>
      </c>
      <c r="D1013" s="116">
        <v>3586.2</v>
      </c>
      <c r="E1013" s="116">
        <v>3669.85</v>
      </c>
      <c r="F1013" s="116">
        <v>3615.3</v>
      </c>
      <c r="G1013">
        <v>11107</v>
      </c>
      <c r="H1013" s="116"/>
      <c r="I1013" s="116"/>
      <c r="L1013" s="170">
        <v>44896</v>
      </c>
      <c r="M1013" s="116">
        <v>3612.4</v>
      </c>
      <c r="N1013" s="116">
        <v>3698</v>
      </c>
      <c r="O1013" s="116">
        <v>3585</v>
      </c>
      <c r="P1013" s="116">
        <v>3650.95</v>
      </c>
      <c r="Q1013" s="116">
        <v>3612.4</v>
      </c>
      <c r="R1013">
        <v>151309</v>
      </c>
    </row>
    <row r="1014" spans="1:18" x14ac:dyDescent="0.25">
      <c r="A1014" s="170">
        <v>44897</v>
      </c>
      <c r="B1014" s="116">
        <v>3640</v>
      </c>
      <c r="C1014" s="116">
        <v>3577</v>
      </c>
      <c r="D1014" s="116">
        <v>3528.85</v>
      </c>
      <c r="E1014" s="116">
        <v>3620.05</v>
      </c>
      <c r="F1014" s="116">
        <v>3577</v>
      </c>
      <c r="G1014">
        <v>15735</v>
      </c>
      <c r="H1014" s="116"/>
      <c r="I1014" s="116"/>
      <c r="L1014" s="170">
        <v>44897</v>
      </c>
      <c r="M1014" s="116">
        <v>3579.65</v>
      </c>
      <c r="N1014" s="116">
        <v>3645</v>
      </c>
      <c r="O1014" s="116">
        <v>3525.3</v>
      </c>
      <c r="P1014" s="116">
        <v>3634</v>
      </c>
      <c r="Q1014" s="116">
        <v>3579.65</v>
      </c>
      <c r="R1014">
        <v>224342</v>
      </c>
    </row>
    <row r="1015" spans="1:18" x14ac:dyDescent="0.25">
      <c r="A1015" s="170">
        <v>44900</v>
      </c>
      <c r="B1015" s="116">
        <v>3619.8</v>
      </c>
      <c r="C1015" s="116">
        <v>3590.85</v>
      </c>
      <c r="D1015" s="116">
        <v>3464.8</v>
      </c>
      <c r="E1015" s="116">
        <v>3585.05</v>
      </c>
      <c r="F1015" s="116">
        <v>3590.85</v>
      </c>
      <c r="G1015">
        <v>14771</v>
      </c>
      <c r="H1015" s="116"/>
      <c r="I1015" s="116"/>
      <c r="L1015" s="170">
        <v>44900</v>
      </c>
      <c r="M1015" s="116">
        <v>3590.1</v>
      </c>
      <c r="N1015" s="116">
        <v>3620</v>
      </c>
      <c r="O1015" s="116">
        <v>3382.2</v>
      </c>
      <c r="P1015" s="116">
        <v>3597.55</v>
      </c>
      <c r="Q1015" s="116">
        <v>3590.1</v>
      </c>
      <c r="R1015">
        <v>276317</v>
      </c>
    </row>
    <row r="1016" spans="1:18" x14ac:dyDescent="0.25">
      <c r="A1016" s="170">
        <v>44901</v>
      </c>
      <c r="B1016" s="116">
        <v>3722</v>
      </c>
      <c r="C1016" s="116">
        <v>3696.5</v>
      </c>
      <c r="D1016" s="116">
        <v>3566.7</v>
      </c>
      <c r="E1016" s="116">
        <v>3600</v>
      </c>
      <c r="F1016" s="116">
        <v>3696.5</v>
      </c>
      <c r="G1016">
        <v>16216</v>
      </c>
      <c r="H1016" s="116"/>
      <c r="I1016" s="116"/>
      <c r="L1016" s="170">
        <v>44901</v>
      </c>
      <c r="M1016" s="116">
        <v>3696.85</v>
      </c>
      <c r="N1016" s="116">
        <v>3724.7</v>
      </c>
      <c r="O1016" s="116">
        <v>3565.55</v>
      </c>
      <c r="P1016" s="116">
        <v>3592.2</v>
      </c>
      <c r="Q1016" s="116">
        <v>3696.85</v>
      </c>
      <c r="R1016">
        <v>268871</v>
      </c>
    </row>
    <row r="1017" spans="1:18" x14ac:dyDescent="0.25">
      <c r="A1017" s="170">
        <v>44902</v>
      </c>
      <c r="B1017" s="116">
        <v>3785.55</v>
      </c>
      <c r="C1017" s="116">
        <v>3722.8</v>
      </c>
      <c r="D1017" s="116">
        <v>3690.5</v>
      </c>
      <c r="E1017" s="116">
        <v>3700.1</v>
      </c>
      <c r="F1017" s="116">
        <v>3722.8</v>
      </c>
      <c r="G1017">
        <v>10720</v>
      </c>
      <c r="H1017" s="116"/>
      <c r="I1017" s="116"/>
      <c r="L1017" s="170">
        <v>44902</v>
      </c>
      <c r="M1017" s="116">
        <v>3730.35</v>
      </c>
      <c r="N1017" s="116">
        <v>3786</v>
      </c>
      <c r="O1017" s="116">
        <v>3691</v>
      </c>
      <c r="P1017" s="116">
        <v>3716.4</v>
      </c>
      <c r="Q1017" s="116">
        <v>3730.35</v>
      </c>
      <c r="R1017">
        <v>259618</v>
      </c>
    </row>
    <row r="1018" spans="1:18" x14ac:dyDescent="0.25">
      <c r="A1018" s="170">
        <v>44903</v>
      </c>
      <c r="B1018" s="116">
        <v>3778</v>
      </c>
      <c r="C1018" s="116">
        <v>3691.75</v>
      </c>
      <c r="D1018" s="116">
        <v>3655.05</v>
      </c>
      <c r="E1018" s="116">
        <v>3754</v>
      </c>
      <c r="F1018" s="116">
        <v>3691.75</v>
      </c>
      <c r="G1018">
        <v>6468</v>
      </c>
      <c r="H1018" s="116"/>
      <c r="I1018" s="116"/>
      <c r="L1018" s="170">
        <v>44903</v>
      </c>
      <c r="M1018" s="116">
        <v>3694.9</v>
      </c>
      <c r="N1018" s="116">
        <v>3779</v>
      </c>
      <c r="O1018" s="116">
        <v>3655.5</v>
      </c>
      <c r="P1018" s="116">
        <v>3760.4</v>
      </c>
      <c r="Q1018" s="116">
        <v>3694.9</v>
      </c>
      <c r="R1018">
        <v>150349</v>
      </c>
    </row>
    <row r="1019" spans="1:18" x14ac:dyDescent="0.25">
      <c r="A1019" s="170">
        <v>44904</v>
      </c>
      <c r="B1019" s="116">
        <v>3722.4</v>
      </c>
      <c r="C1019" s="116">
        <v>3620.55</v>
      </c>
      <c r="D1019" s="116">
        <v>3603</v>
      </c>
      <c r="E1019" s="116">
        <v>3670.25</v>
      </c>
      <c r="F1019" s="116">
        <v>3620.55</v>
      </c>
      <c r="G1019">
        <v>6350</v>
      </c>
      <c r="H1019" s="116"/>
      <c r="I1019" s="116"/>
      <c r="L1019" s="170">
        <v>44904</v>
      </c>
      <c r="M1019" s="116">
        <v>3621.3</v>
      </c>
      <c r="N1019" s="116">
        <v>3720</v>
      </c>
      <c r="O1019" s="116">
        <v>3606</v>
      </c>
      <c r="P1019" s="116">
        <v>3680</v>
      </c>
      <c r="Q1019" s="116">
        <v>3621.3</v>
      </c>
      <c r="R1019">
        <v>242005</v>
      </c>
    </row>
    <row r="1020" spans="1:18" x14ac:dyDescent="0.25">
      <c r="A1020" s="170">
        <v>44907</v>
      </c>
      <c r="B1020" s="116">
        <v>3685</v>
      </c>
      <c r="C1020" s="116">
        <v>3641.9</v>
      </c>
      <c r="D1020" s="116">
        <v>3602.25</v>
      </c>
      <c r="E1020" s="116">
        <v>3649.85</v>
      </c>
      <c r="F1020" s="116">
        <v>3641.9</v>
      </c>
      <c r="G1020">
        <v>6525</v>
      </c>
      <c r="H1020" s="116"/>
      <c r="I1020" s="116"/>
      <c r="L1020" s="170">
        <v>44907</v>
      </c>
      <c r="M1020" s="116">
        <v>3641</v>
      </c>
      <c r="N1020" s="116">
        <v>3687.25</v>
      </c>
      <c r="O1020" s="116">
        <v>3601.65</v>
      </c>
      <c r="P1020" s="116">
        <v>3634.95</v>
      </c>
      <c r="Q1020" s="116">
        <v>3641</v>
      </c>
      <c r="R1020">
        <v>203019</v>
      </c>
    </row>
    <row r="1021" spans="1:18" x14ac:dyDescent="0.25">
      <c r="A1021" s="170">
        <v>44908</v>
      </c>
      <c r="B1021" s="116">
        <v>3669.9</v>
      </c>
      <c r="C1021" s="116">
        <v>3587.85</v>
      </c>
      <c r="D1021" s="116">
        <v>3555</v>
      </c>
      <c r="E1021" s="116">
        <v>3669.9</v>
      </c>
      <c r="F1021" s="116">
        <v>3587.85</v>
      </c>
      <c r="G1021">
        <v>14694</v>
      </c>
      <c r="H1021" s="116"/>
      <c r="I1021" s="116"/>
      <c r="L1021" s="170">
        <v>44908</v>
      </c>
      <c r="M1021" s="116">
        <v>3586.3</v>
      </c>
      <c r="N1021" s="116">
        <v>3668.2</v>
      </c>
      <c r="O1021" s="116">
        <v>3551</v>
      </c>
      <c r="P1021" s="116">
        <v>3659.8</v>
      </c>
      <c r="Q1021" s="116">
        <v>3586.3</v>
      </c>
      <c r="R1021">
        <v>346102</v>
      </c>
    </row>
    <row r="1022" spans="1:18" x14ac:dyDescent="0.25">
      <c r="A1022" s="170">
        <v>44909</v>
      </c>
      <c r="B1022" s="116">
        <v>3650</v>
      </c>
      <c r="C1022" s="116">
        <v>3510.7</v>
      </c>
      <c r="D1022" s="116">
        <v>3455.55</v>
      </c>
      <c r="E1022" s="116">
        <v>3579.05</v>
      </c>
      <c r="F1022" s="116">
        <v>3510.7</v>
      </c>
      <c r="G1022">
        <v>18790</v>
      </c>
      <c r="H1022" s="116"/>
      <c r="I1022" s="116"/>
      <c r="L1022" s="170">
        <v>44909</v>
      </c>
      <c r="M1022" s="116">
        <v>3517.85</v>
      </c>
      <c r="N1022" s="116">
        <v>3652</v>
      </c>
      <c r="O1022" s="116">
        <v>3461.8</v>
      </c>
      <c r="P1022" s="116">
        <v>3589.9</v>
      </c>
      <c r="Q1022" s="116">
        <v>3517.85</v>
      </c>
      <c r="R1022">
        <v>346571</v>
      </c>
    </row>
    <row r="1023" spans="1:18" x14ac:dyDescent="0.25">
      <c r="A1023" s="170">
        <v>44910</v>
      </c>
      <c r="B1023" s="116">
        <v>3596</v>
      </c>
      <c r="C1023" s="116">
        <v>3549.65</v>
      </c>
      <c r="D1023" s="116">
        <v>3510</v>
      </c>
      <c r="E1023" s="116">
        <v>3521.5</v>
      </c>
      <c r="F1023" s="116">
        <v>3549.65</v>
      </c>
      <c r="G1023">
        <v>9060</v>
      </c>
      <c r="H1023" s="116"/>
      <c r="I1023" s="116"/>
      <c r="L1023" s="170">
        <v>44910</v>
      </c>
      <c r="M1023" s="116">
        <v>3550.75</v>
      </c>
      <c r="N1023" s="116">
        <v>3595.5</v>
      </c>
      <c r="O1023" s="116">
        <v>3504.05</v>
      </c>
      <c r="P1023" s="116">
        <v>3520</v>
      </c>
      <c r="Q1023" s="116">
        <v>3550.75</v>
      </c>
      <c r="R1023">
        <v>268903</v>
      </c>
    </row>
    <row r="1024" spans="1:18" x14ac:dyDescent="0.25">
      <c r="A1024" s="170">
        <v>44911</v>
      </c>
      <c r="B1024" s="116">
        <v>3611.9</v>
      </c>
      <c r="C1024" s="116">
        <v>3553.55</v>
      </c>
      <c r="D1024" s="116">
        <v>3477.3</v>
      </c>
      <c r="E1024" s="116">
        <v>3522.05</v>
      </c>
      <c r="F1024" s="116">
        <v>3553.55</v>
      </c>
      <c r="G1024">
        <v>14119</v>
      </c>
      <c r="H1024" s="116"/>
      <c r="I1024" s="116"/>
      <c r="L1024" s="170">
        <v>44911</v>
      </c>
      <c r="M1024" s="116">
        <v>3584.8</v>
      </c>
      <c r="N1024" s="116">
        <v>3619</v>
      </c>
      <c r="O1024" s="116">
        <v>3520</v>
      </c>
      <c r="P1024" s="116">
        <v>3546.95</v>
      </c>
      <c r="Q1024" s="116">
        <v>3584.8</v>
      </c>
      <c r="R1024">
        <v>320375</v>
      </c>
    </row>
    <row r="1025" spans="1:18" x14ac:dyDescent="0.25">
      <c r="A1025" s="170">
        <v>44914</v>
      </c>
      <c r="B1025" s="116">
        <v>3644.8</v>
      </c>
      <c r="C1025" s="116">
        <v>3616.9</v>
      </c>
      <c r="D1025" s="116">
        <v>3575</v>
      </c>
      <c r="E1025" s="116">
        <v>3599.95</v>
      </c>
      <c r="F1025" s="116">
        <v>3616.9</v>
      </c>
      <c r="G1025">
        <v>7615</v>
      </c>
      <c r="H1025" s="116"/>
      <c r="I1025" s="116"/>
      <c r="L1025" s="170">
        <v>44914</v>
      </c>
      <c r="M1025" s="116">
        <v>3618.45</v>
      </c>
      <c r="N1025" s="116">
        <v>3650</v>
      </c>
      <c r="O1025" s="116">
        <v>3571.1</v>
      </c>
      <c r="P1025" s="116">
        <v>3584.95</v>
      </c>
      <c r="Q1025" s="116">
        <v>3618.45</v>
      </c>
      <c r="R1025">
        <v>184705</v>
      </c>
    </row>
    <row r="1026" spans="1:18" x14ac:dyDescent="0.25">
      <c r="A1026" s="170">
        <v>44915</v>
      </c>
      <c r="B1026" s="116">
        <v>3630</v>
      </c>
      <c r="C1026" s="116">
        <v>3615.75</v>
      </c>
      <c r="D1026" s="116">
        <v>3568.65</v>
      </c>
      <c r="E1026" s="116">
        <v>3618</v>
      </c>
      <c r="F1026" s="116">
        <v>3615.75</v>
      </c>
      <c r="G1026">
        <v>9713</v>
      </c>
      <c r="H1026" s="116"/>
      <c r="I1026" s="116"/>
      <c r="L1026" s="170">
        <v>44915</v>
      </c>
      <c r="M1026" s="116">
        <v>3614.2</v>
      </c>
      <c r="N1026" s="116">
        <v>3634.45</v>
      </c>
      <c r="O1026" s="116">
        <v>3563.2</v>
      </c>
      <c r="P1026" s="116">
        <v>3634.45</v>
      </c>
      <c r="Q1026" s="116">
        <v>3614.2</v>
      </c>
      <c r="R1026">
        <v>195335</v>
      </c>
    </row>
    <row r="1027" spans="1:18" x14ac:dyDescent="0.25">
      <c r="A1027" s="170">
        <v>44916</v>
      </c>
      <c r="B1027" s="116">
        <v>3670</v>
      </c>
      <c r="C1027" s="116">
        <v>3539.35</v>
      </c>
      <c r="D1027" s="116">
        <v>3474.85</v>
      </c>
      <c r="E1027" s="116">
        <v>3610.05</v>
      </c>
      <c r="F1027" s="116">
        <v>3539.35</v>
      </c>
      <c r="G1027">
        <v>16991</v>
      </c>
      <c r="H1027" s="116"/>
      <c r="I1027" s="116"/>
      <c r="L1027" s="170">
        <v>44916</v>
      </c>
      <c r="M1027" s="116">
        <v>3544.7</v>
      </c>
      <c r="N1027" s="116">
        <v>3673.65</v>
      </c>
      <c r="O1027" s="116">
        <v>3475</v>
      </c>
      <c r="P1027" s="116">
        <v>3619.95</v>
      </c>
      <c r="Q1027" s="116">
        <v>3544.7</v>
      </c>
      <c r="R1027">
        <v>328200</v>
      </c>
    </row>
    <row r="1028" spans="1:18" x14ac:dyDescent="0.25">
      <c r="A1028" s="170">
        <v>44917</v>
      </c>
      <c r="B1028" s="116">
        <v>3580</v>
      </c>
      <c r="C1028" s="116">
        <v>3539.85</v>
      </c>
      <c r="D1028" s="116">
        <v>3410.6</v>
      </c>
      <c r="E1028" s="116">
        <v>3528.05</v>
      </c>
      <c r="F1028" s="116">
        <v>3539.85</v>
      </c>
      <c r="G1028">
        <v>12232</v>
      </c>
      <c r="H1028" s="116"/>
      <c r="I1028" s="116"/>
      <c r="L1028" s="170">
        <v>44917</v>
      </c>
      <c r="M1028" s="116">
        <v>3551.55</v>
      </c>
      <c r="N1028" s="116">
        <v>3584</v>
      </c>
      <c r="O1028" s="116">
        <v>3410.3</v>
      </c>
      <c r="P1028" s="116">
        <v>3545</v>
      </c>
      <c r="Q1028" s="116">
        <v>3551.55</v>
      </c>
      <c r="R1028">
        <v>239705</v>
      </c>
    </row>
    <row r="1029" spans="1:18" x14ac:dyDescent="0.25">
      <c r="A1029" s="170">
        <v>44918</v>
      </c>
      <c r="B1029" s="116">
        <v>3527.4</v>
      </c>
      <c r="C1029" s="116">
        <v>3232.9</v>
      </c>
      <c r="D1029" s="116">
        <v>3178.3</v>
      </c>
      <c r="E1029" s="116">
        <v>3481.05</v>
      </c>
      <c r="F1029" s="116">
        <v>3232.9</v>
      </c>
      <c r="G1029">
        <v>19413</v>
      </c>
      <c r="H1029" s="116"/>
      <c r="I1029" s="116"/>
      <c r="L1029" s="170">
        <v>44918</v>
      </c>
      <c r="M1029" s="116">
        <v>3232.6</v>
      </c>
      <c r="N1029" s="116">
        <v>3551</v>
      </c>
      <c r="O1029" s="116">
        <v>3176</v>
      </c>
      <c r="P1029" s="116">
        <v>3503.5</v>
      </c>
      <c r="Q1029" s="116">
        <v>3232.6</v>
      </c>
      <c r="R1029">
        <v>417221</v>
      </c>
    </row>
    <row r="1030" spans="1:18" x14ac:dyDescent="0.25">
      <c r="A1030" s="170">
        <v>44921</v>
      </c>
      <c r="B1030" s="116">
        <v>3361.2</v>
      </c>
      <c r="C1030" s="116">
        <v>3310.65</v>
      </c>
      <c r="D1030" s="116">
        <v>3103</v>
      </c>
      <c r="E1030" s="116">
        <v>3210</v>
      </c>
      <c r="F1030" s="116">
        <v>3310.65</v>
      </c>
      <c r="G1030">
        <v>24297</v>
      </c>
      <c r="H1030" s="116"/>
      <c r="I1030" s="116"/>
      <c r="L1030" s="170">
        <v>44921</v>
      </c>
      <c r="M1030" s="116">
        <v>3311.7</v>
      </c>
      <c r="N1030" s="116">
        <v>3359.7</v>
      </c>
      <c r="O1030" s="116">
        <v>3100.1</v>
      </c>
      <c r="P1030" s="116">
        <v>3239.95</v>
      </c>
      <c r="Q1030" s="116">
        <v>3311.7</v>
      </c>
      <c r="R1030">
        <v>230869</v>
      </c>
    </row>
    <row r="1031" spans="1:18" x14ac:dyDescent="0.25">
      <c r="A1031" s="170">
        <v>44922</v>
      </c>
      <c r="B1031" s="116">
        <v>3376.3</v>
      </c>
      <c r="C1031" s="116">
        <v>3352.25</v>
      </c>
      <c r="D1031" s="116">
        <v>3288</v>
      </c>
      <c r="E1031" s="116">
        <v>3344.95</v>
      </c>
      <c r="F1031" s="116">
        <v>3352.25</v>
      </c>
      <c r="G1031">
        <v>8032</v>
      </c>
      <c r="H1031" s="116"/>
      <c r="I1031" s="116"/>
      <c r="L1031" s="170">
        <v>44922</v>
      </c>
      <c r="M1031" s="116">
        <v>3352.9</v>
      </c>
      <c r="N1031" s="116">
        <v>3374.7</v>
      </c>
      <c r="O1031" s="116">
        <v>3286.95</v>
      </c>
      <c r="P1031" s="116">
        <v>3328</v>
      </c>
      <c r="Q1031" s="116">
        <v>3352.9</v>
      </c>
      <c r="R1031">
        <v>131985</v>
      </c>
    </row>
    <row r="1032" spans="1:18" x14ac:dyDescent="0.25">
      <c r="A1032" s="170">
        <v>44923</v>
      </c>
      <c r="B1032" s="116">
        <v>3630</v>
      </c>
      <c r="C1032" s="116">
        <v>3607.2</v>
      </c>
      <c r="D1032" s="116">
        <v>3333</v>
      </c>
      <c r="E1032" s="116">
        <v>3333.05</v>
      </c>
      <c r="F1032" s="116">
        <v>3607.2</v>
      </c>
      <c r="G1032">
        <v>33659</v>
      </c>
      <c r="H1032" s="116"/>
      <c r="I1032" s="116"/>
      <c r="L1032" s="170">
        <v>44923</v>
      </c>
      <c r="M1032" s="116">
        <v>3605.8</v>
      </c>
      <c r="N1032" s="116">
        <v>3629.95</v>
      </c>
      <c r="O1032" s="116">
        <v>3328</v>
      </c>
      <c r="P1032" s="116">
        <v>3335</v>
      </c>
      <c r="Q1032" s="116">
        <v>3605.8</v>
      </c>
      <c r="R1032">
        <v>768728</v>
      </c>
    </row>
    <row r="1033" spans="1:18" x14ac:dyDescent="0.25">
      <c r="A1033" s="170">
        <v>44924</v>
      </c>
      <c r="B1033" s="116">
        <v>3995</v>
      </c>
      <c r="C1033" s="116">
        <v>3811.55</v>
      </c>
      <c r="D1033" s="116">
        <v>3506.15</v>
      </c>
      <c r="E1033" s="116">
        <v>3580</v>
      </c>
      <c r="F1033" s="116">
        <v>3811.55</v>
      </c>
      <c r="G1033">
        <v>54078</v>
      </c>
      <c r="H1033" s="116"/>
      <c r="I1033" s="116"/>
      <c r="L1033" s="170">
        <v>44924</v>
      </c>
      <c r="M1033" s="116">
        <v>3793</v>
      </c>
      <c r="N1033" s="116">
        <v>3999</v>
      </c>
      <c r="O1033" s="116">
        <v>3508</v>
      </c>
      <c r="P1033" s="116">
        <v>3560</v>
      </c>
      <c r="Q1033" s="116">
        <v>3793</v>
      </c>
      <c r="R1033">
        <v>768731</v>
      </c>
    </row>
    <row r="1034" spans="1:18" x14ac:dyDescent="0.25">
      <c r="A1034" s="170">
        <v>44925</v>
      </c>
      <c r="B1034" s="116">
        <v>3885.95</v>
      </c>
      <c r="C1034" s="116">
        <v>3695.25</v>
      </c>
      <c r="D1034" s="116">
        <v>3645.05</v>
      </c>
      <c r="E1034" s="116">
        <v>3851</v>
      </c>
      <c r="F1034" s="116">
        <v>3695.25</v>
      </c>
      <c r="G1034">
        <v>37652</v>
      </c>
      <c r="H1034" s="116"/>
      <c r="I1034" s="116"/>
      <c r="L1034" s="170">
        <v>44925</v>
      </c>
      <c r="M1034" s="116">
        <v>3692.85</v>
      </c>
      <c r="N1034" s="116">
        <v>3887.8</v>
      </c>
      <c r="O1034" s="116">
        <v>3646</v>
      </c>
      <c r="P1034" s="116">
        <v>3861.95</v>
      </c>
      <c r="Q1034" s="116">
        <v>3692.85</v>
      </c>
      <c r="R1034">
        <v>686265</v>
      </c>
    </row>
    <row r="1035" spans="1:18" x14ac:dyDescent="0.25">
      <c r="A1035" s="170">
        <v>44928</v>
      </c>
      <c r="B1035" s="116">
        <v>3729.95</v>
      </c>
      <c r="C1035" s="116">
        <v>3549.05</v>
      </c>
      <c r="D1035" s="116">
        <v>3528.05</v>
      </c>
      <c r="E1035" s="116">
        <v>3695.25</v>
      </c>
      <c r="F1035" s="116">
        <v>3549.05</v>
      </c>
      <c r="G1035">
        <v>22425</v>
      </c>
      <c r="H1035" s="116"/>
      <c r="I1035" s="116"/>
      <c r="L1035" s="170">
        <v>44928</v>
      </c>
      <c r="M1035" s="116">
        <v>3550.6</v>
      </c>
      <c r="N1035" s="116">
        <v>3730</v>
      </c>
      <c r="O1035" s="116">
        <v>3530</v>
      </c>
      <c r="P1035" s="116">
        <v>3700</v>
      </c>
      <c r="Q1035" s="116">
        <v>3550.6</v>
      </c>
      <c r="R1035">
        <v>332645</v>
      </c>
    </row>
    <row r="1036" spans="1:18" x14ac:dyDescent="0.25">
      <c r="A1036" s="170">
        <v>44929</v>
      </c>
      <c r="B1036" s="116">
        <v>3649.9</v>
      </c>
      <c r="C1036" s="116">
        <v>3597.1</v>
      </c>
      <c r="D1036" s="116">
        <v>3503.35</v>
      </c>
      <c r="E1036" s="116">
        <v>3580</v>
      </c>
      <c r="F1036" s="116">
        <v>3597.1</v>
      </c>
      <c r="G1036">
        <v>28917</v>
      </c>
      <c r="H1036" s="116"/>
      <c r="I1036" s="116"/>
      <c r="L1036" s="170">
        <v>44929</v>
      </c>
      <c r="M1036" s="116">
        <v>3598.65</v>
      </c>
      <c r="N1036" s="116">
        <v>3650</v>
      </c>
      <c r="O1036" s="116">
        <v>3502</v>
      </c>
      <c r="P1036" s="116">
        <v>3568</v>
      </c>
      <c r="Q1036" s="116">
        <v>3598.65</v>
      </c>
      <c r="R1036">
        <v>307015</v>
      </c>
    </row>
    <row r="1037" spans="1:18" x14ac:dyDescent="0.25">
      <c r="A1037" s="170">
        <v>44930</v>
      </c>
      <c r="B1037" s="116">
        <v>3597.75</v>
      </c>
      <c r="C1037" s="116">
        <v>3479.75</v>
      </c>
      <c r="D1037" s="116">
        <v>3455</v>
      </c>
      <c r="E1037" s="116">
        <v>3570.05</v>
      </c>
      <c r="F1037" s="116">
        <v>3479.75</v>
      </c>
      <c r="G1037">
        <v>12769</v>
      </c>
      <c r="H1037" s="116"/>
      <c r="I1037" s="116"/>
      <c r="L1037" s="170">
        <v>44930</v>
      </c>
      <c r="M1037" s="116">
        <v>3477.3</v>
      </c>
      <c r="N1037" s="116">
        <v>3599.95</v>
      </c>
      <c r="O1037" s="116">
        <v>3450</v>
      </c>
      <c r="P1037" s="116">
        <v>3584.95</v>
      </c>
      <c r="Q1037" s="116">
        <v>3477.3</v>
      </c>
      <c r="R1037">
        <v>365884</v>
      </c>
    </row>
    <row r="1038" spans="1:18" x14ac:dyDescent="0.25">
      <c r="A1038" s="170">
        <v>44931</v>
      </c>
      <c r="B1038" s="116">
        <v>3668</v>
      </c>
      <c r="C1038" s="116">
        <v>3634</v>
      </c>
      <c r="D1038" s="116">
        <v>3470.1</v>
      </c>
      <c r="E1038" s="116">
        <v>3510</v>
      </c>
      <c r="F1038" s="116">
        <v>3634</v>
      </c>
      <c r="G1038">
        <v>37610</v>
      </c>
      <c r="H1038" s="116"/>
      <c r="I1038" s="116"/>
      <c r="L1038" s="170">
        <v>44931</v>
      </c>
      <c r="M1038" s="116">
        <v>3633.7</v>
      </c>
      <c r="N1038" s="116">
        <v>3669.95</v>
      </c>
      <c r="O1038" s="116">
        <v>3472.05</v>
      </c>
      <c r="P1038" s="116">
        <v>3509.9</v>
      </c>
      <c r="Q1038" s="116">
        <v>3633.7</v>
      </c>
      <c r="R1038">
        <v>468166</v>
      </c>
    </row>
    <row r="1039" spans="1:18" x14ac:dyDescent="0.25">
      <c r="A1039" s="170">
        <v>44932</v>
      </c>
      <c r="B1039" s="116">
        <v>3637.95</v>
      </c>
      <c r="C1039" s="116">
        <v>3552.35</v>
      </c>
      <c r="D1039" s="116">
        <v>3520</v>
      </c>
      <c r="E1039" s="116">
        <v>3637.95</v>
      </c>
      <c r="F1039" s="116">
        <v>3552.35</v>
      </c>
      <c r="G1039">
        <v>15123</v>
      </c>
      <c r="H1039" s="116"/>
      <c r="I1039" s="116"/>
      <c r="L1039" s="170">
        <v>44932</v>
      </c>
      <c r="M1039" s="116">
        <v>3555.4</v>
      </c>
      <c r="N1039" s="116">
        <v>3629.95</v>
      </c>
      <c r="O1039" s="116">
        <v>3521</v>
      </c>
      <c r="P1039" s="116">
        <v>3626</v>
      </c>
      <c r="Q1039" s="116">
        <v>3555.4</v>
      </c>
      <c r="R1039">
        <v>283873</v>
      </c>
    </row>
    <row r="1040" spans="1:18" x14ac:dyDescent="0.25">
      <c r="A1040" s="170">
        <v>44935</v>
      </c>
      <c r="B1040" s="116">
        <v>3663</v>
      </c>
      <c r="C1040" s="116">
        <v>3629.35</v>
      </c>
      <c r="D1040" s="116">
        <v>3577.55</v>
      </c>
      <c r="E1040" s="116">
        <v>3599.95</v>
      </c>
      <c r="F1040" s="116">
        <v>3629.35</v>
      </c>
      <c r="G1040">
        <v>9363</v>
      </c>
      <c r="H1040" s="116"/>
      <c r="I1040" s="116"/>
      <c r="L1040" s="170">
        <v>44935</v>
      </c>
      <c r="M1040" s="116">
        <v>3629</v>
      </c>
      <c r="N1040" s="116">
        <v>3666</v>
      </c>
      <c r="O1040" s="116">
        <v>3576.6</v>
      </c>
      <c r="P1040" s="116">
        <v>3591</v>
      </c>
      <c r="Q1040" s="116">
        <v>3629</v>
      </c>
      <c r="R1040">
        <v>471678</v>
      </c>
    </row>
    <row r="1041" spans="1:18" x14ac:dyDescent="0.25">
      <c r="A1041" s="170">
        <v>44936</v>
      </c>
      <c r="B1041" s="116">
        <v>3699.55</v>
      </c>
      <c r="C1041" s="116">
        <v>3650.55</v>
      </c>
      <c r="D1041" s="116">
        <v>3490.7</v>
      </c>
      <c r="E1041" s="116">
        <v>3629.35</v>
      </c>
      <c r="F1041" s="116">
        <v>3650.55</v>
      </c>
      <c r="G1041">
        <v>21343</v>
      </c>
      <c r="H1041" s="116"/>
      <c r="I1041" s="116"/>
      <c r="L1041" s="170">
        <v>44936</v>
      </c>
      <c r="M1041" s="116">
        <v>3656.4</v>
      </c>
      <c r="N1041" s="116">
        <v>3699</v>
      </c>
      <c r="O1041" s="116">
        <v>3490</v>
      </c>
      <c r="P1041" s="116">
        <v>3630</v>
      </c>
      <c r="Q1041" s="116">
        <v>3656.4</v>
      </c>
      <c r="R1041">
        <v>445188</v>
      </c>
    </row>
    <row r="1042" spans="1:18" x14ac:dyDescent="0.25">
      <c r="A1042" s="170">
        <v>44937</v>
      </c>
      <c r="B1042" s="116">
        <v>3663.95</v>
      </c>
      <c r="C1042" s="116">
        <v>3620.05</v>
      </c>
      <c r="D1042" s="116">
        <v>3570.9</v>
      </c>
      <c r="E1042" s="116">
        <v>3663.9</v>
      </c>
      <c r="F1042" s="116">
        <v>3620.05</v>
      </c>
      <c r="G1042">
        <v>10155</v>
      </c>
      <c r="H1042" s="116"/>
      <c r="I1042" s="116"/>
      <c r="L1042" s="170">
        <v>44937</v>
      </c>
      <c r="M1042" s="116">
        <v>3616.5</v>
      </c>
      <c r="N1042" s="116">
        <v>3668</v>
      </c>
      <c r="O1042" s="116">
        <v>3572.55</v>
      </c>
      <c r="P1042" s="116">
        <v>3656.4</v>
      </c>
      <c r="Q1042" s="116">
        <v>3616.5</v>
      </c>
      <c r="R1042">
        <v>302285</v>
      </c>
    </row>
    <row r="1043" spans="1:18" x14ac:dyDescent="0.25">
      <c r="A1043" s="170">
        <v>44938</v>
      </c>
      <c r="B1043" s="116">
        <v>3674.15</v>
      </c>
      <c r="C1043" s="116">
        <v>3650.85</v>
      </c>
      <c r="D1043" s="116">
        <v>3551.65</v>
      </c>
      <c r="E1043" s="116">
        <v>3600</v>
      </c>
      <c r="F1043" s="116">
        <v>3650.85</v>
      </c>
      <c r="G1043">
        <v>18142</v>
      </c>
      <c r="H1043" s="116"/>
      <c r="I1043" s="116"/>
      <c r="L1043" s="170">
        <v>44938</v>
      </c>
      <c r="M1043" s="116">
        <v>3649.05</v>
      </c>
      <c r="N1043" s="116">
        <v>3675</v>
      </c>
      <c r="O1043" s="116">
        <v>3552</v>
      </c>
      <c r="P1043" s="116">
        <v>3599</v>
      </c>
      <c r="Q1043" s="116">
        <v>3649.05</v>
      </c>
      <c r="R1043">
        <v>453399</v>
      </c>
    </row>
    <row r="1044" spans="1:18" x14ac:dyDescent="0.25">
      <c r="A1044" s="170">
        <v>44939</v>
      </c>
      <c r="B1044" s="116">
        <v>3740</v>
      </c>
      <c r="C1044" s="116">
        <v>3712.15</v>
      </c>
      <c r="D1044" s="116">
        <v>3617</v>
      </c>
      <c r="E1044" s="116">
        <v>3625.05</v>
      </c>
      <c r="F1044" s="116">
        <v>3712.15</v>
      </c>
      <c r="G1044">
        <v>24241</v>
      </c>
      <c r="H1044" s="116"/>
      <c r="I1044" s="116"/>
      <c r="L1044" s="170">
        <v>44939</v>
      </c>
      <c r="M1044" s="116">
        <v>3715.1</v>
      </c>
      <c r="N1044" s="116">
        <v>3742</v>
      </c>
      <c r="O1044" s="116">
        <v>3615.6</v>
      </c>
      <c r="P1044" s="116">
        <v>3649.95</v>
      </c>
      <c r="Q1044" s="116">
        <v>3715.1</v>
      </c>
      <c r="R1044">
        <v>566844</v>
      </c>
    </row>
    <row r="1045" spans="1:18" x14ac:dyDescent="0.25">
      <c r="A1045" s="170">
        <v>44942</v>
      </c>
      <c r="B1045" s="116">
        <v>3739.8</v>
      </c>
      <c r="C1045" s="116">
        <v>3728.3</v>
      </c>
      <c r="D1045" s="116">
        <v>3654.35</v>
      </c>
      <c r="E1045" s="116">
        <v>3685.05</v>
      </c>
      <c r="F1045" s="116">
        <v>3728.3</v>
      </c>
      <c r="G1045">
        <v>6292</v>
      </c>
      <c r="H1045" s="116"/>
      <c r="I1045" s="116"/>
      <c r="L1045" s="170">
        <v>44942</v>
      </c>
      <c r="M1045" s="116">
        <v>3730.7</v>
      </c>
      <c r="N1045" s="116">
        <v>3739.9</v>
      </c>
      <c r="O1045" s="116">
        <v>3652</v>
      </c>
      <c r="P1045" s="116">
        <v>3693.7</v>
      </c>
      <c r="Q1045" s="116">
        <v>3730.7</v>
      </c>
      <c r="R1045">
        <v>180696</v>
      </c>
    </row>
    <row r="1046" spans="1:18" x14ac:dyDescent="0.25">
      <c r="A1046" s="170">
        <v>44943</v>
      </c>
      <c r="B1046" s="116">
        <v>3900.45</v>
      </c>
      <c r="C1046" s="116">
        <v>3847.8</v>
      </c>
      <c r="D1046" s="116">
        <v>3696.1</v>
      </c>
      <c r="E1046" s="116">
        <v>3707.05</v>
      </c>
      <c r="F1046" s="116">
        <v>3847.8</v>
      </c>
      <c r="G1046">
        <v>20437</v>
      </c>
      <c r="H1046" s="116"/>
      <c r="I1046" s="116"/>
      <c r="L1046" s="170">
        <v>44943</v>
      </c>
      <c r="M1046" s="116">
        <v>3850</v>
      </c>
      <c r="N1046" s="116">
        <v>3899</v>
      </c>
      <c r="O1046" s="116">
        <v>3695.05</v>
      </c>
      <c r="P1046" s="116">
        <v>3727.7</v>
      </c>
      <c r="Q1046" s="116">
        <v>3850</v>
      </c>
      <c r="R1046">
        <v>732003</v>
      </c>
    </row>
    <row r="1047" spans="1:18" x14ac:dyDescent="0.25">
      <c r="A1047" s="170">
        <v>44944</v>
      </c>
      <c r="B1047" s="116">
        <v>3882.3</v>
      </c>
      <c r="C1047" s="116">
        <v>3804.65</v>
      </c>
      <c r="D1047" s="116">
        <v>3775</v>
      </c>
      <c r="E1047" s="116">
        <v>3855.05</v>
      </c>
      <c r="F1047" s="116">
        <v>3804.65</v>
      </c>
      <c r="G1047">
        <v>14055</v>
      </c>
      <c r="H1047" s="116"/>
      <c r="I1047" s="116"/>
      <c r="L1047" s="170">
        <v>44944</v>
      </c>
      <c r="M1047" s="116">
        <v>3805.45</v>
      </c>
      <c r="N1047" s="116">
        <v>3884</v>
      </c>
      <c r="O1047" s="116">
        <v>3776</v>
      </c>
      <c r="P1047" s="116">
        <v>3862.15</v>
      </c>
      <c r="Q1047" s="116">
        <v>3805.45</v>
      </c>
      <c r="R1047">
        <v>487214</v>
      </c>
    </row>
    <row r="1048" spans="1:18" x14ac:dyDescent="0.25">
      <c r="A1048" s="170">
        <v>44945</v>
      </c>
      <c r="B1048" s="116">
        <v>3875</v>
      </c>
      <c r="C1048" s="116">
        <v>3848.7</v>
      </c>
      <c r="D1048" s="116">
        <v>3737.1</v>
      </c>
      <c r="E1048" s="116">
        <v>3799.9</v>
      </c>
      <c r="F1048" s="116">
        <v>3848.7</v>
      </c>
      <c r="G1048">
        <v>16868</v>
      </c>
      <c r="H1048" s="116"/>
      <c r="I1048" s="116"/>
      <c r="L1048" s="170">
        <v>44945</v>
      </c>
      <c r="M1048" s="116">
        <v>3835.55</v>
      </c>
      <c r="N1048" s="116">
        <v>3879</v>
      </c>
      <c r="O1048" s="116">
        <v>3735</v>
      </c>
      <c r="P1048" s="116">
        <v>3785</v>
      </c>
      <c r="Q1048" s="116">
        <v>3835.55</v>
      </c>
      <c r="R1048">
        <v>461226</v>
      </c>
    </row>
    <row r="1049" spans="1:18" x14ac:dyDescent="0.25">
      <c r="A1049" s="170">
        <v>44946</v>
      </c>
      <c r="B1049" s="116">
        <v>3935</v>
      </c>
      <c r="C1049" s="116">
        <v>3918.25</v>
      </c>
      <c r="D1049" s="116">
        <v>3801.05</v>
      </c>
      <c r="E1049" s="116">
        <v>3848.65</v>
      </c>
      <c r="F1049" s="116">
        <v>3918.25</v>
      </c>
      <c r="G1049">
        <v>21121</v>
      </c>
      <c r="H1049" s="116"/>
      <c r="I1049" s="116"/>
      <c r="L1049" s="170">
        <v>44946</v>
      </c>
      <c r="M1049" s="116">
        <v>3918.9</v>
      </c>
      <c r="N1049" s="116">
        <v>3935</v>
      </c>
      <c r="O1049" s="116">
        <v>3802</v>
      </c>
      <c r="P1049" s="116">
        <v>3835.55</v>
      </c>
      <c r="Q1049" s="116">
        <v>3918.9</v>
      </c>
      <c r="R1049">
        <v>447521</v>
      </c>
    </row>
    <row r="1050" spans="1:18" x14ac:dyDescent="0.25">
      <c r="A1050" s="170">
        <v>44949</v>
      </c>
      <c r="B1050" s="116">
        <v>3998.35</v>
      </c>
      <c r="C1050" s="116">
        <v>3892.5</v>
      </c>
      <c r="D1050" s="116">
        <v>3861.6</v>
      </c>
      <c r="E1050" s="116">
        <v>3946.95</v>
      </c>
      <c r="F1050" s="116">
        <v>3892.5</v>
      </c>
      <c r="G1050">
        <v>12671</v>
      </c>
      <c r="H1050" s="116"/>
      <c r="I1050" s="116"/>
      <c r="L1050" s="170">
        <v>44949</v>
      </c>
      <c r="M1050" s="116">
        <v>3901.1</v>
      </c>
      <c r="N1050" s="116">
        <v>4000</v>
      </c>
      <c r="O1050" s="116">
        <v>3865.15</v>
      </c>
      <c r="P1050" s="116">
        <v>3939</v>
      </c>
      <c r="Q1050" s="116">
        <v>3901.1</v>
      </c>
      <c r="R1050">
        <v>564577</v>
      </c>
    </row>
    <row r="1051" spans="1:18" x14ac:dyDescent="0.25">
      <c r="A1051" s="170">
        <v>44950</v>
      </c>
      <c r="B1051" s="116">
        <v>3944.95</v>
      </c>
      <c r="C1051" s="116">
        <v>3885.45</v>
      </c>
      <c r="D1051" s="116">
        <v>3850.15</v>
      </c>
      <c r="E1051" s="116">
        <v>3944.95</v>
      </c>
      <c r="F1051" s="116">
        <v>3885.45</v>
      </c>
      <c r="G1051">
        <v>6898</v>
      </c>
      <c r="H1051" s="116"/>
      <c r="I1051" s="116"/>
      <c r="L1051" s="170">
        <v>44950</v>
      </c>
      <c r="M1051" s="116">
        <v>3891.75</v>
      </c>
      <c r="N1051" s="116">
        <v>3940</v>
      </c>
      <c r="O1051" s="116">
        <v>3851</v>
      </c>
      <c r="P1051" s="116">
        <v>3936</v>
      </c>
      <c r="Q1051" s="116">
        <v>3891.75</v>
      </c>
      <c r="R1051">
        <v>350178</v>
      </c>
    </row>
    <row r="1052" spans="1:18" x14ac:dyDescent="0.25">
      <c r="A1052" s="170">
        <v>44951</v>
      </c>
      <c r="B1052" s="116">
        <v>3878.3</v>
      </c>
      <c r="C1052" s="116">
        <v>3668.15</v>
      </c>
      <c r="D1052" s="116">
        <v>3602.65</v>
      </c>
      <c r="E1052" s="116">
        <v>3860.05</v>
      </c>
      <c r="F1052" s="116">
        <v>3668.15</v>
      </c>
      <c r="G1052">
        <v>31922</v>
      </c>
      <c r="H1052" s="116"/>
      <c r="I1052" s="116"/>
      <c r="L1052" s="170">
        <v>44951</v>
      </c>
      <c r="M1052" s="116">
        <v>3660</v>
      </c>
      <c r="N1052" s="116">
        <v>3884.85</v>
      </c>
      <c r="O1052" s="116">
        <v>3600</v>
      </c>
      <c r="P1052" s="116">
        <v>3870</v>
      </c>
      <c r="Q1052" s="116">
        <v>3660</v>
      </c>
      <c r="R1052">
        <v>515358</v>
      </c>
    </row>
    <row r="1053" spans="1:18" x14ac:dyDescent="0.25">
      <c r="A1053" s="170">
        <v>44953</v>
      </c>
      <c r="B1053" s="116">
        <v>3453.95</v>
      </c>
      <c r="C1053" s="116">
        <v>2934.55</v>
      </c>
      <c r="D1053" s="116">
        <v>2934.55</v>
      </c>
      <c r="E1053" s="116">
        <v>3300.05</v>
      </c>
      <c r="F1053" s="116">
        <v>2934.55</v>
      </c>
      <c r="G1053">
        <v>96506</v>
      </c>
      <c r="H1053" s="116"/>
      <c r="I1053" s="116"/>
      <c r="L1053" s="170">
        <v>44953</v>
      </c>
      <c r="M1053" s="116">
        <v>2928</v>
      </c>
      <c r="N1053" s="116">
        <v>3477</v>
      </c>
      <c r="O1053" s="116">
        <v>2928</v>
      </c>
      <c r="P1053" s="116">
        <v>3477</v>
      </c>
      <c r="Q1053" s="116">
        <v>2928</v>
      </c>
      <c r="R1053">
        <v>1237800</v>
      </c>
    </row>
    <row r="1054" spans="1:18" x14ac:dyDescent="0.25">
      <c r="A1054" s="170">
        <v>44956</v>
      </c>
      <c r="B1054" s="116">
        <v>2601.25</v>
      </c>
      <c r="C1054" s="116">
        <v>2347.65</v>
      </c>
      <c r="D1054" s="116">
        <v>2347.65</v>
      </c>
      <c r="E1054" s="116">
        <v>2455</v>
      </c>
      <c r="F1054" s="116">
        <v>2347.65</v>
      </c>
      <c r="G1054">
        <v>135199</v>
      </c>
      <c r="H1054" s="116"/>
      <c r="I1054" s="116"/>
      <c r="L1054" s="170">
        <v>44956</v>
      </c>
      <c r="M1054" s="116">
        <v>2342.4</v>
      </c>
      <c r="N1054" s="116">
        <v>2538</v>
      </c>
      <c r="O1054" s="116">
        <v>2342.4</v>
      </c>
      <c r="P1054" s="116">
        <v>2501</v>
      </c>
      <c r="Q1054" s="116">
        <v>2342.4</v>
      </c>
      <c r="R1054">
        <v>1888555</v>
      </c>
    </row>
    <row r="1055" spans="1:18" x14ac:dyDescent="0.25">
      <c r="A1055" s="170">
        <v>44957</v>
      </c>
      <c r="B1055" s="116">
        <v>2150.0500000000002</v>
      </c>
      <c r="C1055" s="116">
        <v>2112.9</v>
      </c>
      <c r="D1055" s="116">
        <v>2112.9</v>
      </c>
      <c r="E1055" s="116">
        <v>2131</v>
      </c>
      <c r="F1055" s="116">
        <v>2112.9</v>
      </c>
      <c r="G1055">
        <v>55635</v>
      </c>
      <c r="H1055" s="116"/>
      <c r="I1055" s="116"/>
      <c r="L1055" s="170">
        <v>44957</v>
      </c>
      <c r="M1055" s="116">
        <v>2108.1999999999998</v>
      </c>
      <c r="N1055" s="116">
        <v>2155</v>
      </c>
      <c r="O1055" s="116">
        <v>2108.1999999999998</v>
      </c>
      <c r="P1055" s="116">
        <v>2145</v>
      </c>
      <c r="Q1055" s="116">
        <v>2108.1999999999998</v>
      </c>
      <c r="R1055">
        <v>531326</v>
      </c>
    </row>
    <row r="1056" spans="1:18" x14ac:dyDescent="0.25">
      <c r="A1056" s="170">
        <v>44958</v>
      </c>
      <c r="B1056" s="116">
        <v>2005.25</v>
      </c>
      <c r="C1056" s="116">
        <v>1901.65</v>
      </c>
      <c r="D1056" s="116">
        <v>1901.65</v>
      </c>
      <c r="E1056" s="116">
        <v>1925</v>
      </c>
      <c r="F1056" s="116">
        <v>1901.65</v>
      </c>
      <c r="G1056">
        <v>97355</v>
      </c>
      <c r="H1056" s="116"/>
      <c r="I1056" s="116"/>
      <c r="L1056" s="170">
        <v>44958</v>
      </c>
      <c r="M1056" s="116">
        <v>1897.4</v>
      </c>
      <c r="N1056" s="116">
        <v>1998.8</v>
      </c>
      <c r="O1056" s="116">
        <v>1897.4</v>
      </c>
      <c r="P1056" s="116">
        <v>1951</v>
      </c>
      <c r="Q1056" s="116">
        <v>1897.4</v>
      </c>
      <c r="R1056">
        <v>1570400</v>
      </c>
    </row>
    <row r="1057" spans="1:18" x14ac:dyDescent="0.25">
      <c r="A1057" s="170">
        <v>44959</v>
      </c>
      <c r="B1057" s="116">
        <v>1711.5</v>
      </c>
      <c r="C1057" s="116">
        <v>1711.5</v>
      </c>
      <c r="D1057" s="116">
        <v>1711.5</v>
      </c>
      <c r="E1057" s="116">
        <v>1711.5</v>
      </c>
      <c r="F1057" s="116">
        <v>1711.5</v>
      </c>
      <c r="G1057">
        <v>7099</v>
      </c>
      <c r="H1057" s="116"/>
      <c r="I1057" s="116"/>
      <c r="L1057" s="170">
        <v>44959</v>
      </c>
      <c r="M1057" s="116">
        <v>1707.7</v>
      </c>
      <c r="N1057" s="116">
        <v>1707.7</v>
      </c>
      <c r="O1057" s="116">
        <v>1707.7</v>
      </c>
      <c r="P1057" s="116">
        <v>1707.7</v>
      </c>
      <c r="Q1057" s="116">
        <v>1707.7</v>
      </c>
      <c r="R1057">
        <v>64276</v>
      </c>
    </row>
    <row r="1058" spans="1:18" x14ac:dyDescent="0.25">
      <c r="A1058" s="170">
        <v>44960</v>
      </c>
      <c r="B1058" s="116">
        <v>1625.95</v>
      </c>
      <c r="C1058" s="116">
        <v>1625.95</v>
      </c>
      <c r="D1058" s="116">
        <v>1625.95</v>
      </c>
      <c r="E1058" s="116">
        <v>1625.95</v>
      </c>
      <c r="F1058" s="116">
        <v>1625.95</v>
      </c>
      <c r="G1058">
        <v>10444</v>
      </c>
      <c r="H1058" s="116"/>
      <c r="I1058" s="116"/>
      <c r="L1058" s="170">
        <v>44960</v>
      </c>
      <c r="M1058" s="116">
        <v>1622.35</v>
      </c>
      <c r="N1058" s="116">
        <v>1622.35</v>
      </c>
      <c r="O1058" s="116">
        <v>1622.35</v>
      </c>
      <c r="P1058" s="116">
        <v>1622.35</v>
      </c>
      <c r="Q1058" s="116">
        <v>1622.35</v>
      </c>
      <c r="R1058">
        <v>62458</v>
      </c>
    </row>
    <row r="1059" spans="1:18" x14ac:dyDescent="0.25">
      <c r="A1059" s="170">
        <v>44963</v>
      </c>
      <c r="B1059" s="116">
        <v>1544.7</v>
      </c>
      <c r="C1059" s="116">
        <v>1544.7</v>
      </c>
      <c r="D1059" s="116">
        <v>1544.7</v>
      </c>
      <c r="E1059" s="116">
        <v>1544.7</v>
      </c>
      <c r="F1059" s="116">
        <v>1544.7</v>
      </c>
      <c r="G1059">
        <v>5053</v>
      </c>
      <c r="H1059" s="116"/>
      <c r="I1059" s="116"/>
      <c r="L1059" s="170">
        <v>44963</v>
      </c>
      <c r="M1059" s="116">
        <v>1541.25</v>
      </c>
      <c r="N1059" s="116">
        <v>1541.25</v>
      </c>
      <c r="O1059" s="116">
        <v>1541.25</v>
      </c>
      <c r="P1059" s="116">
        <v>1541.25</v>
      </c>
      <c r="Q1059" s="116">
        <v>1541.25</v>
      </c>
      <c r="R1059">
        <v>77660</v>
      </c>
    </row>
    <row r="1060" spans="1:18" x14ac:dyDescent="0.25">
      <c r="A1060" s="170">
        <v>44964</v>
      </c>
      <c r="B1060" s="116">
        <v>1499.8</v>
      </c>
      <c r="C1060" s="116">
        <v>1467.5</v>
      </c>
      <c r="D1060" s="116">
        <v>1467.5</v>
      </c>
      <c r="E1060" s="116">
        <v>1467.5</v>
      </c>
      <c r="F1060" s="116">
        <v>1467.5</v>
      </c>
      <c r="G1060">
        <v>190312</v>
      </c>
      <c r="H1060" s="116"/>
      <c r="I1060" s="116"/>
      <c r="L1060" s="170">
        <v>44964</v>
      </c>
      <c r="M1060" s="116">
        <v>1464.2</v>
      </c>
      <c r="N1060" s="116">
        <v>1519</v>
      </c>
      <c r="O1060" s="116">
        <v>1464.2</v>
      </c>
      <c r="P1060" s="116">
        <v>1464.2</v>
      </c>
      <c r="Q1060" s="116">
        <v>1464.2</v>
      </c>
      <c r="R1060">
        <v>3561024</v>
      </c>
    </row>
    <row r="1061" spans="1:18" x14ac:dyDescent="0.25">
      <c r="A1061" s="170">
        <v>44965</v>
      </c>
      <c r="B1061" s="116">
        <v>1394.15</v>
      </c>
      <c r="C1061" s="116">
        <v>1394.15</v>
      </c>
      <c r="D1061" s="116">
        <v>1394.15</v>
      </c>
      <c r="E1061" s="116">
        <v>1394.15</v>
      </c>
      <c r="F1061" s="116">
        <v>1394.15</v>
      </c>
      <c r="G1061">
        <v>39568</v>
      </c>
      <c r="H1061" s="116"/>
      <c r="I1061" s="116"/>
      <c r="L1061" s="170">
        <v>44965</v>
      </c>
      <c r="M1061" s="116">
        <v>1391</v>
      </c>
      <c r="N1061" s="116">
        <v>1391</v>
      </c>
      <c r="O1061" s="116">
        <v>1391</v>
      </c>
      <c r="P1061" s="116">
        <v>1391</v>
      </c>
      <c r="Q1061" s="116">
        <v>1391</v>
      </c>
      <c r="R1061">
        <v>420769</v>
      </c>
    </row>
    <row r="1062" spans="1:18" x14ac:dyDescent="0.25">
      <c r="A1062" s="170">
        <v>44966</v>
      </c>
      <c r="B1062" s="116">
        <v>1324.45</v>
      </c>
      <c r="C1062" s="116">
        <v>1324.45</v>
      </c>
      <c r="D1062" s="116">
        <v>1324.45</v>
      </c>
      <c r="E1062" s="116">
        <v>1324.45</v>
      </c>
      <c r="F1062" s="116">
        <v>1324.45</v>
      </c>
      <c r="G1062">
        <v>14903</v>
      </c>
      <c r="H1062" s="116"/>
      <c r="I1062" s="116"/>
      <c r="L1062" s="170">
        <v>44966</v>
      </c>
      <c r="M1062" s="116">
        <v>1321.45</v>
      </c>
      <c r="N1062" s="116">
        <v>1321.45</v>
      </c>
      <c r="O1062" s="116">
        <v>1321.45</v>
      </c>
      <c r="P1062" s="116">
        <v>1321.45</v>
      </c>
      <c r="Q1062" s="116">
        <v>1321.45</v>
      </c>
      <c r="R1062">
        <v>200127</v>
      </c>
    </row>
    <row r="1063" spans="1:18" x14ac:dyDescent="0.25">
      <c r="A1063" s="170">
        <v>44967</v>
      </c>
      <c r="B1063" s="116">
        <v>1258.25</v>
      </c>
      <c r="C1063" s="116">
        <v>1258.25</v>
      </c>
      <c r="D1063" s="116">
        <v>1258.25</v>
      </c>
      <c r="E1063" s="116">
        <v>1258.25</v>
      </c>
      <c r="F1063" s="116">
        <v>1258.25</v>
      </c>
      <c r="G1063">
        <v>8828</v>
      </c>
      <c r="H1063" s="116"/>
      <c r="I1063" s="116"/>
      <c r="L1063" s="170">
        <v>44967</v>
      </c>
      <c r="M1063" s="116">
        <v>1255.4000000000001</v>
      </c>
      <c r="N1063" s="116">
        <v>1255.4000000000001</v>
      </c>
      <c r="O1063" s="116">
        <v>1255.4000000000001</v>
      </c>
      <c r="P1063" s="116">
        <v>1255.4000000000001</v>
      </c>
      <c r="Q1063" s="116">
        <v>1255.4000000000001</v>
      </c>
      <c r="R1063">
        <v>51732</v>
      </c>
    </row>
    <row r="1064" spans="1:18" x14ac:dyDescent="0.25">
      <c r="A1064" s="170">
        <v>44970</v>
      </c>
      <c r="B1064" s="116">
        <v>1195.3499999999999</v>
      </c>
      <c r="C1064" s="116">
        <v>1195.3499999999999</v>
      </c>
      <c r="D1064" s="116">
        <v>1195.3499999999999</v>
      </c>
      <c r="E1064" s="116">
        <v>1195.3499999999999</v>
      </c>
      <c r="F1064" s="116">
        <v>1195.3499999999999</v>
      </c>
      <c r="G1064">
        <v>5547</v>
      </c>
      <c r="H1064" s="116"/>
      <c r="I1064" s="116"/>
      <c r="L1064" s="170">
        <v>44970</v>
      </c>
      <c r="M1064" s="116">
        <v>1192.6500000000001</v>
      </c>
      <c r="N1064" s="116">
        <v>1192.6500000000001</v>
      </c>
      <c r="O1064" s="116">
        <v>1192.6500000000001</v>
      </c>
      <c r="P1064" s="116">
        <v>1192.6500000000001</v>
      </c>
      <c r="Q1064" s="116">
        <v>1192.6500000000001</v>
      </c>
      <c r="R1064">
        <v>44997</v>
      </c>
    </row>
    <row r="1065" spans="1:18" x14ac:dyDescent="0.25">
      <c r="A1065" s="170">
        <v>44971</v>
      </c>
      <c r="B1065" s="116">
        <v>1135.5999999999999</v>
      </c>
      <c r="C1065" s="116">
        <v>1135.5999999999999</v>
      </c>
      <c r="D1065" s="116">
        <v>1135.5999999999999</v>
      </c>
      <c r="E1065" s="116">
        <v>1135.5999999999999</v>
      </c>
      <c r="F1065" s="116">
        <v>1135.5999999999999</v>
      </c>
      <c r="G1065">
        <v>3975</v>
      </c>
      <c r="H1065" s="116"/>
      <c r="I1065" s="116"/>
      <c r="L1065" s="170">
        <v>44971</v>
      </c>
      <c r="M1065" s="116">
        <v>1133.05</v>
      </c>
      <c r="N1065" s="116">
        <v>1133.05</v>
      </c>
      <c r="O1065" s="116">
        <v>1133.05</v>
      </c>
      <c r="P1065" s="116">
        <v>1133.05</v>
      </c>
      <c r="Q1065" s="116">
        <v>1133.05</v>
      </c>
      <c r="R1065">
        <v>52107</v>
      </c>
    </row>
    <row r="1066" spans="1:18" x14ac:dyDescent="0.25">
      <c r="A1066" s="170">
        <v>44972</v>
      </c>
      <c r="B1066" s="116">
        <v>1078.8499999999999</v>
      </c>
      <c r="C1066" s="116">
        <v>1078.8499999999999</v>
      </c>
      <c r="D1066" s="116">
        <v>1078.8499999999999</v>
      </c>
      <c r="E1066" s="116">
        <v>1078.8499999999999</v>
      </c>
      <c r="F1066" s="116">
        <v>1078.8499999999999</v>
      </c>
      <c r="G1066">
        <v>5281</v>
      </c>
      <c r="H1066" s="116"/>
      <c r="I1066" s="116"/>
      <c r="L1066" s="170">
        <v>44972</v>
      </c>
      <c r="M1066" s="116">
        <v>1076.4000000000001</v>
      </c>
      <c r="N1066" s="116">
        <v>1076.4000000000001</v>
      </c>
      <c r="O1066" s="116">
        <v>1076.4000000000001</v>
      </c>
      <c r="P1066" s="116">
        <v>1076.4000000000001</v>
      </c>
      <c r="Q1066" s="116">
        <v>1076.4000000000001</v>
      </c>
      <c r="R1066">
        <v>74780</v>
      </c>
    </row>
    <row r="1067" spans="1:18" x14ac:dyDescent="0.25">
      <c r="A1067" s="170">
        <v>44973</v>
      </c>
      <c r="B1067" s="116">
        <v>1132.75</v>
      </c>
      <c r="C1067" s="116">
        <v>1024.95</v>
      </c>
      <c r="D1067" s="116">
        <v>1024.95</v>
      </c>
      <c r="E1067" s="116">
        <v>1024.95</v>
      </c>
      <c r="F1067" s="116">
        <v>1024.95</v>
      </c>
      <c r="G1067">
        <v>577875</v>
      </c>
      <c r="H1067" s="116"/>
      <c r="I1067" s="116"/>
      <c r="L1067" s="170">
        <v>44973</v>
      </c>
      <c r="M1067" s="116">
        <v>1022.6</v>
      </c>
      <c r="N1067" s="116">
        <v>1130.2</v>
      </c>
      <c r="O1067" s="116">
        <v>1022.6</v>
      </c>
      <c r="P1067" s="116">
        <v>1022.6</v>
      </c>
      <c r="Q1067" s="116">
        <v>1022.6</v>
      </c>
      <c r="R1067">
        <v>5922981</v>
      </c>
    </row>
    <row r="1068" spans="1:18" x14ac:dyDescent="0.25">
      <c r="A1068" s="170">
        <v>44974</v>
      </c>
      <c r="B1068" s="116">
        <v>1016</v>
      </c>
      <c r="C1068" s="116">
        <v>973.75</v>
      </c>
      <c r="D1068" s="116">
        <v>973.75</v>
      </c>
      <c r="E1068" s="116">
        <v>986.15</v>
      </c>
      <c r="F1068" s="116">
        <v>973.75</v>
      </c>
      <c r="G1068">
        <v>134944</v>
      </c>
      <c r="H1068" s="116"/>
      <c r="I1068" s="116"/>
      <c r="L1068" s="170">
        <v>44974</v>
      </c>
      <c r="M1068" s="116">
        <v>971.5</v>
      </c>
      <c r="N1068" s="116">
        <v>1015.4</v>
      </c>
      <c r="O1068" s="116">
        <v>971.5</v>
      </c>
      <c r="P1068" s="116">
        <v>992.3</v>
      </c>
      <c r="Q1068" s="116">
        <v>971.5</v>
      </c>
      <c r="R1068">
        <v>1300386</v>
      </c>
    </row>
    <row r="1069" spans="1:18" x14ac:dyDescent="0.25">
      <c r="A1069" s="170">
        <v>44977</v>
      </c>
      <c r="B1069" s="116">
        <v>925.1</v>
      </c>
      <c r="C1069" s="116">
        <v>925.1</v>
      </c>
      <c r="D1069" s="116">
        <v>925.1</v>
      </c>
      <c r="E1069" s="116">
        <v>925.1</v>
      </c>
      <c r="F1069" s="116">
        <v>925.1</v>
      </c>
      <c r="G1069">
        <v>8617</v>
      </c>
      <c r="H1069" s="116"/>
      <c r="I1069" s="116"/>
      <c r="L1069" s="170">
        <v>44977</v>
      </c>
      <c r="M1069" s="116">
        <v>922.95</v>
      </c>
      <c r="N1069" s="116">
        <v>922.95</v>
      </c>
      <c r="O1069" s="116">
        <v>922.95</v>
      </c>
      <c r="P1069" s="116">
        <v>922.95</v>
      </c>
      <c r="Q1069" s="116">
        <v>922.95</v>
      </c>
      <c r="R1069">
        <v>68313</v>
      </c>
    </row>
    <row r="1070" spans="1:18" x14ac:dyDescent="0.25">
      <c r="A1070" s="170">
        <v>44978</v>
      </c>
      <c r="B1070" s="116">
        <v>878.85</v>
      </c>
      <c r="C1070" s="116">
        <v>878.85</v>
      </c>
      <c r="D1070" s="116">
        <v>878.85</v>
      </c>
      <c r="E1070" s="116">
        <v>878.85</v>
      </c>
      <c r="F1070" s="116">
        <v>878.85</v>
      </c>
      <c r="G1070">
        <v>8338</v>
      </c>
      <c r="H1070" s="116"/>
      <c r="I1070" s="116"/>
      <c r="L1070" s="170">
        <v>44978</v>
      </c>
      <c r="M1070" s="116">
        <v>876.8</v>
      </c>
      <c r="N1070" s="116">
        <v>876.8</v>
      </c>
      <c r="O1070" s="116">
        <v>876.8</v>
      </c>
      <c r="P1070" s="116">
        <v>876.8</v>
      </c>
      <c r="Q1070" s="116">
        <v>876.8</v>
      </c>
      <c r="R1070">
        <v>124311</v>
      </c>
    </row>
    <row r="1071" spans="1:18" x14ac:dyDescent="0.25">
      <c r="A1071" s="170">
        <v>44979</v>
      </c>
      <c r="B1071" s="116">
        <v>834.95</v>
      </c>
      <c r="C1071" s="116">
        <v>834.95</v>
      </c>
      <c r="D1071" s="116">
        <v>834.95</v>
      </c>
      <c r="E1071" s="116">
        <v>834.95</v>
      </c>
      <c r="F1071" s="116">
        <v>834.95</v>
      </c>
      <c r="G1071">
        <v>6550</v>
      </c>
      <c r="H1071" s="116"/>
      <c r="I1071" s="116"/>
      <c r="L1071" s="170">
        <v>44979</v>
      </c>
      <c r="M1071" s="116">
        <v>833</v>
      </c>
      <c r="N1071" s="116">
        <v>833</v>
      </c>
      <c r="O1071" s="116">
        <v>833</v>
      </c>
      <c r="P1071" s="116">
        <v>833</v>
      </c>
      <c r="Q1071" s="116">
        <v>833</v>
      </c>
      <c r="R1071">
        <v>61103</v>
      </c>
    </row>
    <row r="1072" spans="1:18" x14ac:dyDescent="0.25">
      <c r="A1072" s="170">
        <v>44980</v>
      </c>
      <c r="B1072" s="116">
        <v>793.25</v>
      </c>
      <c r="C1072" s="116">
        <v>793.25</v>
      </c>
      <c r="D1072" s="116">
        <v>793.25</v>
      </c>
      <c r="E1072" s="116">
        <v>793.25</v>
      </c>
      <c r="F1072" s="116">
        <v>793.25</v>
      </c>
      <c r="G1072">
        <v>5483</v>
      </c>
      <c r="H1072" s="116"/>
      <c r="I1072" s="116"/>
      <c r="L1072" s="170">
        <v>44980</v>
      </c>
      <c r="M1072" s="116">
        <v>791.35</v>
      </c>
      <c r="N1072" s="116">
        <v>791.35</v>
      </c>
      <c r="O1072" s="116">
        <v>791.35</v>
      </c>
      <c r="P1072" s="116">
        <v>791.35</v>
      </c>
      <c r="Q1072" s="116">
        <v>791.35</v>
      </c>
      <c r="R1072">
        <v>52041</v>
      </c>
    </row>
    <row r="1073" spans="1:18" x14ac:dyDescent="0.25">
      <c r="A1073" s="170">
        <v>44981</v>
      </c>
      <c r="B1073" s="116">
        <v>753.6</v>
      </c>
      <c r="C1073" s="116">
        <v>753.6</v>
      </c>
      <c r="D1073" s="116">
        <v>753.6</v>
      </c>
      <c r="E1073" s="116">
        <v>753.6</v>
      </c>
      <c r="F1073" s="116">
        <v>753.6</v>
      </c>
      <c r="G1073">
        <v>7276</v>
      </c>
      <c r="H1073" s="116"/>
      <c r="I1073" s="116"/>
      <c r="L1073" s="170">
        <v>44981</v>
      </c>
      <c r="M1073" s="116">
        <v>751.8</v>
      </c>
      <c r="N1073" s="116">
        <v>751.8</v>
      </c>
      <c r="O1073" s="116">
        <v>751.8</v>
      </c>
      <c r="P1073" s="116">
        <v>751.8</v>
      </c>
      <c r="Q1073" s="116">
        <v>751.8</v>
      </c>
      <c r="R1073">
        <v>141442</v>
      </c>
    </row>
    <row r="1074" spans="1:18" x14ac:dyDescent="0.25">
      <c r="A1074" s="170">
        <v>44984</v>
      </c>
      <c r="B1074" s="116">
        <v>715.95</v>
      </c>
      <c r="C1074" s="116">
        <v>715.95</v>
      </c>
      <c r="D1074" s="116">
        <v>715.95</v>
      </c>
      <c r="E1074" s="116">
        <v>715.95</v>
      </c>
      <c r="F1074" s="116">
        <v>715.95</v>
      </c>
      <c r="G1074">
        <v>7019</v>
      </c>
      <c r="H1074" s="116"/>
      <c r="I1074" s="116"/>
      <c r="L1074" s="170">
        <v>44984</v>
      </c>
      <c r="M1074" s="116">
        <v>714.25</v>
      </c>
      <c r="N1074" s="116">
        <v>714.25</v>
      </c>
      <c r="O1074" s="116">
        <v>714.25</v>
      </c>
      <c r="P1074" s="116">
        <v>714.25</v>
      </c>
      <c r="Q1074" s="116">
        <v>714.25</v>
      </c>
      <c r="R1074">
        <v>174885</v>
      </c>
    </row>
    <row r="1075" spans="1:18" x14ac:dyDescent="0.25">
      <c r="A1075" s="170">
        <v>44985</v>
      </c>
      <c r="B1075" s="116">
        <v>680.2</v>
      </c>
      <c r="C1075" s="116">
        <v>680.2</v>
      </c>
      <c r="D1075" s="116">
        <v>680.2</v>
      </c>
      <c r="E1075" s="116">
        <v>680.2</v>
      </c>
      <c r="F1075" s="116">
        <v>680.2</v>
      </c>
      <c r="G1075">
        <v>34677</v>
      </c>
      <c r="H1075" s="116"/>
      <c r="I1075" s="116"/>
      <c r="L1075" s="170">
        <v>44985</v>
      </c>
      <c r="M1075" s="116">
        <v>678.55</v>
      </c>
      <c r="N1075" s="116">
        <v>678.55</v>
      </c>
      <c r="O1075" s="116">
        <v>678.55</v>
      </c>
      <c r="P1075" s="116">
        <v>678.55</v>
      </c>
      <c r="Q1075" s="116">
        <v>678.55</v>
      </c>
      <c r="R1075">
        <v>908341</v>
      </c>
    </row>
    <row r="1076" spans="1:18" x14ac:dyDescent="0.25">
      <c r="A1076" s="170">
        <v>44986</v>
      </c>
      <c r="B1076" s="116">
        <v>714.2</v>
      </c>
      <c r="C1076" s="116">
        <v>713.2</v>
      </c>
      <c r="D1076" s="116">
        <v>655</v>
      </c>
      <c r="E1076" s="116">
        <v>655</v>
      </c>
      <c r="F1076" s="116">
        <v>713.2</v>
      </c>
      <c r="G1076">
        <v>823139</v>
      </c>
      <c r="H1076" s="116"/>
      <c r="I1076" s="116"/>
      <c r="L1076" s="170">
        <v>44986</v>
      </c>
      <c r="M1076" s="116">
        <v>711.65</v>
      </c>
      <c r="N1076" s="116">
        <v>712.45</v>
      </c>
      <c r="O1076" s="116">
        <v>650</v>
      </c>
      <c r="P1076" s="116">
        <v>650</v>
      </c>
      <c r="Q1076" s="116">
        <v>711.65</v>
      </c>
      <c r="R1076">
        <v>7387370</v>
      </c>
    </row>
    <row r="1077" spans="1:18" x14ac:dyDescent="0.25">
      <c r="A1077" s="170">
        <v>44987</v>
      </c>
      <c r="B1077" s="116">
        <v>748.85</v>
      </c>
      <c r="C1077" s="116">
        <v>744.65</v>
      </c>
      <c r="D1077" s="116">
        <v>680.55</v>
      </c>
      <c r="E1077" s="116">
        <v>722</v>
      </c>
      <c r="F1077" s="116">
        <v>744.65</v>
      </c>
      <c r="G1077">
        <v>429092</v>
      </c>
      <c r="H1077" s="116"/>
      <c r="I1077" s="116"/>
      <c r="L1077" s="170">
        <v>44987</v>
      </c>
      <c r="M1077" s="116">
        <v>744.1</v>
      </c>
      <c r="N1077" s="116">
        <v>747.2</v>
      </c>
      <c r="O1077" s="116">
        <v>681.15</v>
      </c>
      <c r="P1077" s="116">
        <v>712</v>
      </c>
      <c r="Q1077" s="116">
        <v>744.1</v>
      </c>
      <c r="R1077">
        <v>4153555</v>
      </c>
    </row>
    <row r="1078" spans="1:18" x14ac:dyDescent="0.25">
      <c r="A1078" s="170">
        <v>44988</v>
      </c>
      <c r="B1078" s="116">
        <v>781.85</v>
      </c>
      <c r="C1078" s="116">
        <v>781.85</v>
      </c>
      <c r="D1078" s="116">
        <v>756</v>
      </c>
      <c r="E1078" s="116">
        <v>770.65</v>
      </c>
      <c r="F1078" s="116">
        <v>781.85</v>
      </c>
      <c r="G1078">
        <v>563255</v>
      </c>
      <c r="H1078" s="116"/>
      <c r="I1078" s="116"/>
      <c r="L1078" s="170">
        <v>44988</v>
      </c>
      <c r="M1078" s="116">
        <v>781.3</v>
      </c>
      <c r="N1078" s="116">
        <v>781.3</v>
      </c>
      <c r="O1078" s="116">
        <v>755.3</v>
      </c>
      <c r="P1078" s="116">
        <v>773</v>
      </c>
      <c r="Q1078" s="116">
        <v>781.3</v>
      </c>
      <c r="R1078">
        <v>3487589</v>
      </c>
    </row>
    <row r="1079" spans="1:18" x14ac:dyDescent="0.25">
      <c r="A1079" s="170">
        <v>44991</v>
      </c>
      <c r="B1079" s="116">
        <v>820.9</v>
      </c>
      <c r="C1079" s="116">
        <v>820.9</v>
      </c>
      <c r="D1079" s="116">
        <v>798.55</v>
      </c>
      <c r="E1079" s="116">
        <v>806</v>
      </c>
      <c r="F1079" s="116">
        <v>820.9</v>
      </c>
      <c r="G1079">
        <v>677688</v>
      </c>
      <c r="H1079" s="116"/>
      <c r="I1079" s="116"/>
      <c r="L1079" s="170">
        <v>44991</v>
      </c>
      <c r="M1079" s="116">
        <v>820.35</v>
      </c>
      <c r="N1079" s="116">
        <v>820.35</v>
      </c>
      <c r="O1079" s="116">
        <v>796.95</v>
      </c>
      <c r="P1079" s="116">
        <v>802.8</v>
      </c>
      <c r="Q1079" s="116">
        <v>820.35</v>
      </c>
      <c r="R1079">
        <v>3148255</v>
      </c>
    </row>
    <row r="1080" spans="1:18" x14ac:dyDescent="0.25">
      <c r="A1080" s="170">
        <v>44993</v>
      </c>
      <c r="B1080" s="116">
        <v>861.9</v>
      </c>
      <c r="C1080" s="116">
        <v>861.9</v>
      </c>
      <c r="D1080" s="116">
        <v>836.8</v>
      </c>
      <c r="E1080" s="116">
        <v>846</v>
      </c>
      <c r="F1080" s="116">
        <v>861.9</v>
      </c>
      <c r="G1080">
        <v>148020</v>
      </c>
      <c r="H1080" s="116"/>
      <c r="I1080" s="116"/>
      <c r="L1080" s="170">
        <v>44993</v>
      </c>
      <c r="M1080" s="116">
        <v>861.35</v>
      </c>
      <c r="N1080" s="116">
        <v>861.35</v>
      </c>
      <c r="O1080" s="116">
        <v>836.8</v>
      </c>
      <c r="P1080" s="116">
        <v>848</v>
      </c>
      <c r="Q1080" s="116">
        <v>861.35</v>
      </c>
      <c r="R1080">
        <v>1438542</v>
      </c>
    </row>
    <row r="1081" spans="1:18" x14ac:dyDescent="0.25">
      <c r="A1081" s="170">
        <v>44994</v>
      </c>
      <c r="B1081" s="116">
        <v>904.95</v>
      </c>
      <c r="C1081" s="116">
        <v>904.95</v>
      </c>
      <c r="D1081" s="116">
        <v>883.45</v>
      </c>
      <c r="E1081" s="116">
        <v>904.95</v>
      </c>
      <c r="F1081" s="116">
        <v>904.95</v>
      </c>
      <c r="G1081">
        <v>160457</v>
      </c>
      <c r="H1081" s="116"/>
      <c r="I1081" s="116"/>
      <c r="L1081" s="170">
        <v>44994</v>
      </c>
      <c r="M1081" s="116">
        <v>904.4</v>
      </c>
      <c r="N1081" s="116">
        <v>904.4</v>
      </c>
      <c r="O1081" s="116">
        <v>883.2</v>
      </c>
      <c r="P1081" s="116">
        <v>904.4</v>
      </c>
      <c r="Q1081" s="116">
        <v>904.4</v>
      </c>
      <c r="R1081">
        <v>1261116</v>
      </c>
    </row>
    <row r="1082" spans="1:18" x14ac:dyDescent="0.25">
      <c r="A1082" s="170">
        <v>44995</v>
      </c>
      <c r="B1082" s="116">
        <v>950.15</v>
      </c>
      <c r="C1082" s="116">
        <v>950.15</v>
      </c>
      <c r="D1082" s="116">
        <v>865.55</v>
      </c>
      <c r="E1082" s="116">
        <v>916.95</v>
      </c>
      <c r="F1082" s="116">
        <v>950.15</v>
      </c>
      <c r="G1082">
        <v>314150</v>
      </c>
      <c r="H1082" s="116"/>
      <c r="I1082" s="116"/>
      <c r="L1082" s="170">
        <v>44995</v>
      </c>
      <c r="M1082" s="116">
        <v>949.6</v>
      </c>
      <c r="N1082" s="116">
        <v>949.6</v>
      </c>
      <c r="O1082" s="116">
        <v>865.55</v>
      </c>
      <c r="P1082" s="116">
        <v>910</v>
      </c>
      <c r="Q1082" s="116">
        <v>949.6</v>
      </c>
      <c r="R1082">
        <v>2504584</v>
      </c>
    </row>
    <row r="1083" spans="1:18" x14ac:dyDescent="0.25">
      <c r="A1083" s="170">
        <v>44998</v>
      </c>
      <c r="B1083" s="116">
        <v>997.65</v>
      </c>
      <c r="C1083" s="116">
        <v>997.65</v>
      </c>
      <c r="D1083" s="116">
        <v>997.65</v>
      </c>
      <c r="E1083" s="116">
        <v>997.65</v>
      </c>
      <c r="F1083" s="116">
        <v>997.65</v>
      </c>
      <c r="G1083">
        <v>106990</v>
      </c>
      <c r="H1083" s="116"/>
      <c r="I1083" s="116"/>
      <c r="L1083" s="170">
        <v>44998</v>
      </c>
      <c r="M1083" s="116">
        <v>997.05</v>
      </c>
      <c r="N1083" s="116">
        <v>997.05</v>
      </c>
      <c r="O1083" s="116">
        <v>997.05</v>
      </c>
      <c r="P1083" s="116">
        <v>997.05</v>
      </c>
      <c r="Q1083" s="116">
        <v>997.05</v>
      </c>
      <c r="R1083">
        <v>467738</v>
      </c>
    </row>
    <row r="1084" spans="1:18" x14ac:dyDescent="0.25">
      <c r="A1084" s="170">
        <v>44999</v>
      </c>
      <c r="B1084" s="116">
        <v>988</v>
      </c>
      <c r="C1084" s="116">
        <v>947.8</v>
      </c>
      <c r="D1084" s="116">
        <v>947.8</v>
      </c>
      <c r="E1084" s="116">
        <v>951.1</v>
      </c>
      <c r="F1084" s="116">
        <v>947.8</v>
      </c>
      <c r="G1084">
        <v>203605</v>
      </c>
      <c r="H1084" s="116"/>
      <c r="I1084" s="116"/>
      <c r="L1084" s="170">
        <v>44999</v>
      </c>
      <c r="M1084" s="116">
        <v>947.2</v>
      </c>
      <c r="N1084" s="116">
        <v>995</v>
      </c>
      <c r="O1084" s="116">
        <v>947.2</v>
      </c>
      <c r="P1084" s="116">
        <v>947.2</v>
      </c>
      <c r="Q1084" s="116">
        <v>947.2</v>
      </c>
      <c r="R1084">
        <v>873555</v>
      </c>
    </row>
    <row r="1085" spans="1:18" x14ac:dyDescent="0.25">
      <c r="A1085" s="170">
        <v>45000</v>
      </c>
      <c r="B1085" s="116">
        <v>989</v>
      </c>
      <c r="C1085" s="116">
        <v>918.85</v>
      </c>
      <c r="D1085" s="116">
        <v>900.45</v>
      </c>
      <c r="E1085" s="116">
        <v>900.45</v>
      </c>
      <c r="F1085" s="116">
        <v>918.85</v>
      </c>
      <c r="G1085">
        <v>802275</v>
      </c>
      <c r="H1085" s="116"/>
      <c r="I1085" s="116"/>
      <c r="L1085" s="170">
        <v>45000</v>
      </c>
      <c r="M1085" s="116">
        <v>919.85</v>
      </c>
      <c r="N1085" s="116">
        <v>989</v>
      </c>
      <c r="O1085" s="116">
        <v>899.85</v>
      </c>
      <c r="P1085" s="116">
        <v>899.85</v>
      </c>
      <c r="Q1085" s="116">
        <v>919.85</v>
      </c>
      <c r="R1085">
        <v>6326072</v>
      </c>
    </row>
    <row r="1086" spans="1:18" x14ac:dyDescent="0.25">
      <c r="A1086" s="170">
        <v>45001</v>
      </c>
      <c r="B1086" s="116">
        <v>937.05</v>
      </c>
      <c r="C1086" s="116">
        <v>888.45</v>
      </c>
      <c r="D1086" s="116">
        <v>880.05</v>
      </c>
      <c r="E1086" s="116">
        <v>900.45</v>
      </c>
      <c r="F1086" s="116">
        <v>888.45</v>
      </c>
      <c r="G1086">
        <v>180486</v>
      </c>
      <c r="H1086" s="116"/>
      <c r="I1086" s="116"/>
      <c r="L1086" s="170">
        <v>45001</v>
      </c>
      <c r="M1086" s="116">
        <v>888.4</v>
      </c>
      <c r="N1086" s="116">
        <v>936</v>
      </c>
      <c r="O1086" s="116">
        <v>880</v>
      </c>
      <c r="P1086" s="116">
        <v>899</v>
      </c>
      <c r="Q1086" s="116">
        <v>888.4</v>
      </c>
      <c r="R1086">
        <v>2559661</v>
      </c>
    </row>
    <row r="1087" spans="1:18" x14ac:dyDescent="0.25">
      <c r="A1087" s="170">
        <v>45002</v>
      </c>
      <c r="B1087" s="116">
        <v>920</v>
      </c>
      <c r="C1087" s="116">
        <v>897.95</v>
      </c>
      <c r="D1087" s="116">
        <v>890</v>
      </c>
      <c r="E1087" s="116">
        <v>911</v>
      </c>
      <c r="F1087" s="116">
        <v>897.95</v>
      </c>
      <c r="G1087">
        <v>193938</v>
      </c>
      <c r="H1087" s="116"/>
      <c r="I1087" s="116"/>
      <c r="L1087" s="170">
        <v>45002</v>
      </c>
      <c r="M1087" s="116">
        <v>897.75</v>
      </c>
      <c r="N1087" s="116">
        <v>925</v>
      </c>
      <c r="O1087" s="116">
        <v>890</v>
      </c>
      <c r="P1087" s="116">
        <v>911.8</v>
      </c>
      <c r="Q1087" s="116">
        <v>897.75</v>
      </c>
      <c r="R1087">
        <v>1412300</v>
      </c>
    </row>
    <row r="1088" spans="1:18" x14ac:dyDescent="0.25">
      <c r="A1088" s="170">
        <v>45005</v>
      </c>
      <c r="B1088" s="116">
        <v>879</v>
      </c>
      <c r="C1088" s="116">
        <v>853.1</v>
      </c>
      <c r="D1088" s="116">
        <v>853.1</v>
      </c>
      <c r="E1088" s="116">
        <v>875.05</v>
      </c>
      <c r="F1088" s="116">
        <v>853.1</v>
      </c>
      <c r="G1088">
        <v>177239</v>
      </c>
      <c r="H1088" s="116"/>
      <c r="I1088" s="116"/>
      <c r="L1088" s="170">
        <v>45005</v>
      </c>
      <c r="M1088" s="116">
        <v>852.9</v>
      </c>
      <c r="N1088" s="116">
        <v>879</v>
      </c>
      <c r="O1088" s="116">
        <v>852.9</v>
      </c>
      <c r="P1088" s="116">
        <v>879</v>
      </c>
      <c r="Q1088" s="116">
        <v>852.9</v>
      </c>
      <c r="R1088">
        <v>1126835</v>
      </c>
    </row>
    <row r="1089" spans="1:18" x14ac:dyDescent="0.25">
      <c r="A1089" s="170">
        <v>45006</v>
      </c>
      <c r="B1089" s="116">
        <v>895.75</v>
      </c>
      <c r="C1089" s="116">
        <v>891.95</v>
      </c>
      <c r="D1089" s="116">
        <v>817.05</v>
      </c>
      <c r="E1089" s="116">
        <v>851.15</v>
      </c>
      <c r="F1089" s="116">
        <v>891.95</v>
      </c>
      <c r="G1089">
        <v>258157</v>
      </c>
      <c r="H1089" s="116"/>
      <c r="I1089" s="116"/>
      <c r="L1089" s="170">
        <v>45006</v>
      </c>
      <c r="M1089" s="116">
        <v>890.8</v>
      </c>
      <c r="N1089" s="116">
        <v>895.5</v>
      </c>
      <c r="O1089" s="116">
        <v>816.75</v>
      </c>
      <c r="P1089" s="116">
        <v>853</v>
      </c>
      <c r="Q1089" s="116">
        <v>890.8</v>
      </c>
      <c r="R1089">
        <v>2290508</v>
      </c>
    </row>
    <row r="1090" spans="1:18" x14ac:dyDescent="0.25">
      <c r="A1090" s="170">
        <v>45007</v>
      </c>
      <c r="B1090" s="116">
        <v>936.5</v>
      </c>
      <c r="C1090" s="116">
        <v>936.5</v>
      </c>
      <c r="D1090" s="116">
        <v>906.2</v>
      </c>
      <c r="E1090" s="116">
        <v>908.3</v>
      </c>
      <c r="F1090" s="116">
        <v>936.5</v>
      </c>
      <c r="G1090">
        <v>272359</v>
      </c>
      <c r="H1090" s="116"/>
      <c r="I1090" s="116"/>
      <c r="L1090" s="170">
        <v>45007</v>
      </c>
      <c r="M1090" s="116">
        <v>935.3</v>
      </c>
      <c r="N1090" s="116">
        <v>935.3</v>
      </c>
      <c r="O1090" s="116">
        <v>905</v>
      </c>
      <c r="P1090" s="116">
        <v>906.7</v>
      </c>
      <c r="Q1090" s="116">
        <v>935.3</v>
      </c>
      <c r="R1090">
        <v>1938364</v>
      </c>
    </row>
    <row r="1091" spans="1:18" x14ac:dyDescent="0.25">
      <c r="A1091" s="170">
        <v>45008</v>
      </c>
      <c r="B1091" s="116">
        <v>983.3</v>
      </c>
      <c r="C1091" s="116">
        <v>983.3</v>
      </c>
      <c r="D1091" s="116">
        <v>953.35</v>
      </c>
      <c r="E1091" s="116">
        <v>961.5</v>
      </c>
      <c r="F1091" s="116">
        <v>983.3</v>
      </c>
      <c r="G1091">
        <v>260769</v>
      </c>
      <c r="H1091" s="116"/>
      <c r="I1091" s="116"/>
      <c r="L1091" s="170">
        <v>45008</v>
      </c>
      <c r="M1091" s="116">
        <v>982.05</v>
      </c>
      <c r="N1091" s="116">
        <v>982.05</v>
      </c>
      <c r="O1091" s="116">
        <v>954.05</v>
      </c>
      <c r="P1091" s="116">
        <v>955</v>
      </c>
      <c r="Q1091" s="116">
        <v>982.05</v>
      </c>
      <c r="R1091">
        <v>1440643</v>
      </c>
    </row>
    <row r="1092" spans="1:18" x14ac:dyDescent="0.25">
      <c r="A1092" s="170">
        <v>45009</v>
      </c>
      <c r="B1092" s="116">
        <v>1032.45</v>
      </c>
      <c r="C1092" s="116">
        <v>1007.8</v>
      </c>
      <c r="D1092" s="116">
        <v>942.25</v>
      </c>
      <c r="E1092" s="116">
        <v>1012.05</v>
      </c>
      <c r="F1092" s="116">
        <v>1007.8</v>
      </c>
      <c r="G1092">
        <v>737960</v>
      </c>
      <c r="H1092" s="116"/>
      <c r="I1092" s="116"/>
      <c r="L1092" s="170">
        <v>45009</v>
      </c>
      <c r="M1092" s="116">
        <v>1007.45</v>
      </c>
      <c r="N1092" s="116">
        <v>1031.1500000000001</v>
      </c>
      <c r="O1092" s="116">
        <v>944</v>
      </c>
      <c r="P1092" s="116">
        <v>1018</v>
      </c>
      <c r="Q1092" s="116">
        <v>1007.45</v>
      </c>
      <c r="R1092">
        <v>5023306</v>
      </c>
    </row>
    <row r="1093" spans="1:18" x14ac:dyDescent="0.25">
      <c r="A1093" s="170">
        <v>45012</v>
      </c>
      <c r="B1093" s="116">
        <v>1038.75</v>
      </c>
      <c r="C1093" s="116">
        <v>958.35</v>
      </c>
      <c r="D1093" s="116">
        <v>957.45</v>
      </c>
      <c r="E1093" s="116">
        <v>1020</v>
      </c>
      <c r="F1093" s="116">
        <v>958.35</v>
      </c>
      <c r="G1093">
        <v>339590</v>
      </c>
      <c r="H1093" s="116"/>
      <c r="I1093" s="116"/>
      <c r="L1093" s="170">
        <v>45012</v>
      </c>
      <c r="M1093" s="116">
        <v>957.85</v>
      </c>
      <c r="N1093" s="116">
        <v>1040</v>
      </c>
      <c r="O1093" s="116">
        <v>957.1</v>
      </c>
      <c r="P1093" s="116">
        <v>1027.5999999999999</v>
      </c>
      <c r="Q1093" s="116">
        <v>957.85</v>
      </c>
      <c r="R1093">
        <v>2103482</v>
      </c>
    </row>
    <row r="1094" spans="1:18" x14ac:dyDescent="0.25">
      <c r="A1094" s="170">
        <v>45013</v>
      </c>
      <c r="B1094" s="116">
        <v>930.1</v>
      </c>
      <c r="C1094" s="116">
        <v>910.45</v>
      </c>
      <c r="D1094" s="116">
        <v>910.45</v>
      </c>
      <c r="E1094" s="116">
        <v>916</v>
      </c>
      <c r="F1094" s="116">
        <v>910.45</v>
      </c>
      <c r="G1094">
        <v>41672</v>
      </c>
      <c r="H1094" s="116"/>
      <c r="I1094" s="116"/>
      <c r="L1094" s="170">
        <v>45013</v>
      </c>
      <c r="M1094" s="116">
        <v>909.95</v>
      </c>
      <c r="N1094" s="116">
        <v>928.95</v>
      </c>
      <c r="O1094" s="116">
        <v>909.95</v>
      </c>
      <c r="P1094" s="116">
        <v>925</v>
      </c>
      <c r="Q1094" s="116">
        <v>909.95</v>
      </c>
      <c r="R1094">
        <v>267731</v>
      </c>
    </row>
    <row r="1095" spans="1:18" x14ac:dyDescent="0.25">
      <c r="A1095" s="170">
        <v>45014</v>
      </c>
      <c r="B1095" s="116">
        <v>929</v>
      </c>
      <c r="C1095" s="116">
        <v>871.45</v>
      </c>
      <c r="D1095" s="116">
        <v>864.95</v>
      </c>
      <c r="E1095" s="116">
        <v>864.95</v>
      </c>
      <c r="F1095" s="116">
        <v>871.45</v>
      </c>
      <c r="G1095">
        <v>337683</v>
      </c>
      <c r="H1095" s="116"/>
      <c r="I1095" s="116"/>
      <c r="L1095" s="170">
        <v>45014</v>
      </c>
      <c r="M1095" s="116">
        <v>871.7</v>
      </c>
      <c r="N1095" s="116">
        <v>929.95</v>
      </c>
      <c r="O1095" s="116">
        <v>864.45</v>
      </c>
      <c r="P1095" s="116">
        <v>864.45</v>
      </c>
      <c r="Q1095" s="116">
        <v>871.7</v>
      </c>
      <c r="R1095">
        <v>2997429</v>
      </c>
    </row>
    <row r="1096" spans="1:18" x14ac:dyDescent="0.25">
      <c r="A1096" s="170">
        <v>45016</v>
      </c>
      <c r="B1096" s="116">
        <v>909.95</v>
      </c>
      <c r="C1096" s="116">
        <v>867.2</v>
      </c>
      <c r="D1096" s="116">
        <v>859.6</v>
      </c>
      <c r="E1096" s="116">
        <v>890</v>
      </c>
      <c r="F1096" s="116">
        <v>867.2</v>
      </c>
      <c r="G1096">
        <v>65921</v>
      </c>
      <c r="H1096" s="116"/>
      <c r="I1096" s="116"/>
      <c r="L1096" s="170">
        <v>45016</v>
      </c>
      <c r="M1096" s="116">
        <v>867.75</v>
      </c>
      <c r="N1096" s="116">
        <v>910</v>
      </c>
      <c r="O1096" s="116">
        <v>858.55</v>
      </c>
      <c r="P1096" s="116">
        <v>888</v>
      </c>
      <c r="Q1096" s="116">
        <v>867.75</v>
      </c>
      <c r="R1096">
        <v>1196845</v>
      </c>
    </row>
    <row r="1097" spans="1:18" x14ac:dyDescent="0.25">
      <c r="A1097" s="170">
        <v>45019</v>
      </c>
      <c r="B1097" s="116">
        <v>883.95</v>
      </c>
      <c r="C1097" s="116">
        <v>846.65</v>
      </c>
      <c r="D1097" s="116">
        <v>836.6</v>
      </c>
      <c r="E1097" s="116">
        <v>865.25</v>
      </c>
      <c r="F1097" s="116">
        <v>846.65</v>
      </c>
      <c r="G1097">
        <v>76510</v>
      </c>
      <c r="H1097" s="116"/>
      <c r="I1097" s="116"/>
      <c r="L1097" s="170">
        <v>45019</v>
      </c>
      <c r="M1097" s="116">
        <v>845.35</v>
      </c>
      <c r="N1097" s="116">
        <v>884.2</v>
      </c>
      <c r="O1097" s="116">
        <v>837.1</v>
      </c>
      <c r="P1097" s="116">
        <v>872.95</v>
      </c>
      <c r="Q1097" s="116">
        <v>845.35</v>
      </c>
      <c r="R1097">
        <v>973799</v>
      </c>
    </row>
    <row r="1098" spans="1:18" x14ac:dyDescent="0.25">
      <c r="A1098" s="170">
        <v>45021</v>
      </c>
      <c r="B1098" s="116">
        <v>858</v>
      </c>
      <c r="C1098" s="116">
        <v>823.2</v>
      </c>
      <c r="D1098" s="116">
        <v>805</v>
      </c>
      <c r="E1098" s="116">
        <v>842</v>
      </c>
      <c r="F1098" s="116">
        <v>823.2</v>
      </c>
      <c r="G1098">
        <v>155112</v>
      </c>
      <c r="H1098" s="116"/>
      <c r="I1098" s="116"/>
      <c r="L1098" s="170">
        <v>45021</v>
      </c>
      <c r="M1098" s="116">
        <v>821.95</v>
      </c>
      <c r="N1098" s="116">
        <v>858.8</v>
      </c>
      <c r="O1098" s="116">
        <v>805</v>
      </c>
      <c r="P1098" s="116">
        <v>844.2</v>
      </c>
      <c r="Q1098" s="116">
        <v>821.95</v>
      </c>
      <c r="R1098">
        <v>1020119</v>
      </c>
    </row>
    <row r="1099" spans="1:18" x14ac:dyDescent="0.25">
      <c r="A1099" s="170">
        <v>45022</v>
      </c>
      <c r="B1099" s="116">
        <v>864.35</v>
      </c>
      <c r="C1099" s="116">
        <v>864.35</v>
      </c>
      <c r="D1099" s="116">
        <v>813.15</v>
      </c>
      <c r="E1099" s="116">
        <v>835.1</v>
      </c>
      <c r="F1099" s="116">
        <v>864.35</v>
      </c>
      <c r="G1099">
        <v>146591</v>
      </c>
      <c r="H1099" s="116"/>
      <c r="I1099" s="116"/>
      <c r="L1099" s="170">
        <v>45022</v>
      </c>
      <c r="M1099" s="116">
        <v>863</v>
      </c>
      <c r="N1099" s="116">
        <v>863</v>
      </c>
      <c r="O1099" s="116">
        <v>812.45</v>
      </c>
      <c r="P1099" s="116">
        <v>840</v>
      </c>
      <c r="Q1099" s="116">
        <v>863</v>
      </c>
      <c r="R1099">
        <v>909084</v>
      </c>
    </row>
    <row r="1100" spans="1:18" x14ac:dyDescent="0.25">
      <c r="A1100" s="170">
        <v>45026</v>
      </c>
      <c r="B1100" s="116">
        <v>907.55</v>
      </c>
      <c r="C1100" s="116">
        <v>907.55</v>
      </c>
      <c r="D1100" s="116">
        <v>869.9</v>
      </c>
      <c r="E1100" s="116">
        <v>869.9</v>
      </c>
      <c r="F1100" s="116">
        <v>907.55</v>
      </c>
      <c r="G1100">
        <v>212129</v>
      </c>
      <c r="H1100" s="116"/>
      <c r="I1100" s="116"/>
      <c r="L1100" s="170">
        <v>45026</v>
      </c>
      <c r="M1100" s="116">
        <v>906.15</v>
      </c>
      <c r="N1100" s="116">
        <v>906.15</v>
      </c>
      <c r="O1100" s="116">
        <v>869.4</v>
      </c>
      <c r="P1100" s="116">
        <v>869.4</v>
      </c>
      <c r="Q1100" s="116">
        <v>906.15</v>
      </c>
      <c r="R1100">
        <v>1170526</v>
      </c>
    </row>
    <row r="1101" spans="1:18" x14ac:dyDescent="0.25">
      <c r="A1101" s="170">
        <v>45027</v>
      </c>
      <c r="B1101" s="116">
        <v>952.9</v>
      </c>
      <c r="C1101" s="116">
        <v>952.9</v>
      </c>
      <c r="D1101" s="116">
        <v>922.25</v>
      </c>
      <c r="E1101" s="116">
        <v>928.8</v>
      </c>
      <c r="F1101" s="116">
        <v>952.9</v>
      </c>
      <c r="G1101">
        <v>76866</v>
      </c>
      <c r="H1101" s="116"/>
      <c r="I1101" s="116"/>
      <c r="L1101" s="170">
        <v>45027</v>
      </c>
      <c r="M1101" s="116">
        <v>951.45</v>
      </c>
      <c r="N1101" s="116">
        <v>951.45</v>
      </c>
      <c r="O1101" s="116">
        <v>920</v>
      </c>
      <c r="P1101" s="116">
        <v>924.3</v>
      </c>
      <c r="Q1101" s="116">
        <v>951.45</v>
      </c>
      <c r="R1101">
        <v>378154</v>
      </c>
    </row>
    <row r="1102" spans="1:18" x14ac:dyDescent="0.25">
      <c r="A1102" s="170">
        <v>45028</v>
      </c>
      <c r="B1102" s="116">
        <v>995</v>
      </c>
      <c r="C1102" s="116">
        <v>938</v>
      </c>
      <c r="D1102" s="116">
        <v>925.2</v>
      </c>
      <c r="E1102" s="116">
        <v>991</v>
      </c>
      <c r="F1102" s="116">
        <v>938</v>
      </c>
      <c r="G1102">
        <v>406049</v>
      </c>
      <c r="H1102" s="116"/>
      <c r="I1102" s="116"/>
      <c r="L1102" s="170">
        <v>45028</v>
      </c>
      <c r="M1102" s="116">
        <v>938.85</v>
      </c>
      <c r="N1102" s="116">
        <v>994</v>
      </c>
      <c r="O1102" s="116">
        <v>926.05</v>
      </c>
      <c r="P1102" s="116">
        <v>994</v>
      </c>
      <c r="Q1102" s="116">
        <v>938.85</v>
      </c>
      <c r="R1102">
        <v>2780423</v>
      </c>
    </row>
    <row r="1103" spans="1:18" x14ac:dyDescent="0.25">
      <c r="A1103" s="170">
        <v>45029</v>
      </c>
      <c r="B1103" s="116">
        <v>946.85</v>
      </c>
      <c r="C1103" s="116">
        <v>914.3</v>
      </c>
      <c r="D1103" s="116">
        <v>903</v>
      </c>
      <c r="E1103" s="116">
        <v>937.2</v>
      </c>
      <c r="F1103" s="116">
        <v>914.3</v>
      </c>
      <c r="G1103">
        <v>89368</v>
      </c>
      <c r="H1103" s="116"/>
      <c r="I1103" s="116"/>
      <c r="L1103" s="170">
        <v>45029</v>
      </c>
      <c r="M1103" s="116">
        <v>914.15</v>
      </c>
      <c r="N1103" s="116">
        <v>946</v>
      </c>
      <c r="O1103" s="116">
        <v>903</v>
      </c>
      <c r="P1103" s="116">
        <v>937.75</v>
      </c>
      <c r="Q1103" s="116">
        <v>914.15</v>
      </c>
      <c r="R1103">
        <v>1339083</v>
      </c>
    </row>
    <row r="1104" spans="1:18" x14ac:dyDescent="0.25">
      <c r="A1104" s="170">
        <v>45033</v>
      </c>
      <c r="B1104" s="116">
        <v>959</v>
      </c>
      <c r="C1104" s="116">
        <v>946.4</v>
      </c>
      <c r="D1104" s="116">
        <v>908.1</v>
      </c>
      <c r="E1104" s="116">
        <v>922.05</v>
      </c>
      <c r="F1104" s="116">
        <v>946.4</v>
      </c>
      <c r="G1104">
        <v>156536</v>
      </c>
      <c r="H1104" s="116"/>
      <c r="I1104" s="116"/>
      <c r="L1104" s="170">
        <v>45033</v>
      </c>
      <c r="M1104" s="116">
        <v>946.8</v>
      </c>
      <c r="N1104" s="116">
        <v>959</v>
      </c>
      <c r="O1104" s="116">
        <v>908.35</v>
      </c>
      <c r="P1104" s="116">
        <v>926.6</v>
      </c>
      <c r="Q1104" s="116">
        <v>946.8</v>
      </c>
      <c r="R1104">
        <v>999923</v>
      </c>
    </row>
    <row r="1105" spans="1:18" x14ac:dyDescent="0.25">
      <c r="A1105" s="170">
        <v>45034</v>
      </c>
      <c r="B1105" s="116">
        <v>971.9</v>
      </c>
      <c r="C1105" s="116">
        <v>947.4</v>
      </c>
      <c r="D1105" s="116">
        <v>937.65</v>
      </c>
      <c r="E1105" s="116">
        <v>948.05</v>
      </c>
      <c r="F1105" s="116">
        <v>947.4</v>
      </c>
      <c r="G1105">
        <v>63069</v>
      </c>
      <c r="H1105" s="116"/>
      <c r="I1105" s="116"/>
      <c r="L1105" s="170">
        <v>45034</v>
      </c>
      <c r="M1105" s="116">
        <v>948.05</v>
      </c>
      <c r="N1105" s="116">
        <v>972</v>
      </c>
      <c r="O1105" s="116">
        <v>938</v>
      </c>
      <c r="P1105" s="116">
        <v>954</v>
      </c>
      <c r="Q1105" s="116">
        <v>948.05</v>
      </c>
      <c r="R1105">
        <v>762628</v>
      </c>
    </row>
    <row r="1106" spans="1:18" x14ac:dyDescent="0.25">
      <c r="A1106" s="170">
        <v>45035</v>
      </c>
      <c r="B1106" s="116">
        <v>951.05</v>
      </c>
      <c r="C1106" s="116">
        <v>930.55</v>
      </c>
      <c r="D1106" s="116">
        <v>924.15</v>
      </c>
      <c r="E1106" s="116">
        <v>950.05</v>
      </c>
      <c r="F1106" s="116">
        <v>930.55</v>
      </c>
      <c r="G1106">
        <v>40010</v>
      </c>
      <c r="H1106" s="116"/>
      <c r="I1106" s="116"/>
      <c r="L1106" s="170">
        <v>45035</v>
      </c>
      <c r="M1106" s="116">
        <v>930.35</v>
      </c>
      <c r="N1106" s="116">
        <v>954.4</v>
      </c>
      <c r="O1106" s="116">
        <v>924</v>
      </c>
      <c r="P1106" s="116">
        <v>954.4</v>
      </c>
      <c r="Q1106" s="116">
        <v>930.35</v>
      </c>
      <c r="R1106">
        <v>531461</v>
      </c>
    </row>
    <row r="1107" spans="1:18" x14ac:dyDescent="0.25">
      <c r="A1107" s="170">
        <v>45036</v>
      </c>
      <c r="B1107" s="116">
        <v>939</v>
      </c>
      <c r="C1107" s="116">
        <v>928.1</v>
      </c>
      <c r="D1107" s="116">
        <v>921</v>
      </c>
      <c r="E1107" s="116">
        <v>929</v>
      </c>
      <c r="F1107" s="116">
        <v>928.1</v>
      </c>
      <c r="G1107">
        <v>62443</v>
      </c>
      <c r="H1107" s="116"/>
      <c r="I1107" s="116"/>
      <c r="L1107" s="170">
        <v>45036</v>
      </c>
      <c r="M1107" s="116">
        <v>928.2</v>
      </c>
      <c r="N1107" s="116">
        <v>939</v>
      </c>
      <c r="O1107" s="116">
        <v>920.7</v>
      </c>
      <c r="P1107" s="116">
        <v>932</v>
      </c>
      <c r="Q1107" s="116">
        <v>928.2</v>
      </c>
      <c r="R1107">
        <v>346506</v>
      </c>
    </row>
    <row r="1108" spans="1:18" x14ac:dyDescent="0.25">
      <c r="A1108" s="170">
        <v>45037</v>
      </c>
      <c r="B1108" s="116">
        <v>932.35</v>
      </c>
      <c r="C1108" s="116">
        <v>917.85</v>
      </c>
      <c r="D1108" s="116">
        <v>908.25</v>
      </c>
      <c r="E1108" s="116">
        <v>928.2</v>
      </c>
      <c r="F1108" s="116">
        <v>917.85</v>
      </c>
      <c r="G1108">
        <v>21792</v>
      </c>
      <c r="H1108" s="116"/>
      <c r="I1108" s="116"/>
      <c r="L1108" s="170">
        <v>45037</v>
      </c>
      <c r="M1108" s="116">
        <v>917.8</v>
      </c>
      <c r="N1108" s="116">
        <v>932</v>
      </c>
      <c r="O1108" s="116">
        <v>908</v>
      </c>
      <c r="P1108" s="116">
        <v>931.8</v>
      </c>
      <c r="Q1108" s="116">
        <v>917.8</v>
      </c>
      <c r="R1108">
        <v>314017</v>
      </c>
    </row>
    <row r="1109" spans="1:18" x14ac:dyDescent="0.25">
      <c r="A1109" s="170">
        <v>45040</v>
      </c>
      <c r="B1109" s="116">
        <v>921.45</v>
      </c>
      <c r="C1109" s="116">
        <v>890.85</v>
      </c>
      <c r="D1109" s="116">
        <v>888.2</v>
      </c>
      <c r="E1109" s="116">
        <v>917.85</v>
      </c>
      <c r="F1109" s="116">
        <v>890.85</v>
      </c>
      <c r="G1109">
        <v>74562</v>
      </c>
      <c r="H1109" s="116"/>
      <c r="I1109" s="116"/>
      <c r="L1109" s="170">
        <v>45040</v>
      </c>
      <c r="M1109" s="116">
        <v>891.15</v>
      </c>
      <c r="N1109" s="116">
        <v>922.85</v>
      </c>
      <c r="O1109" s="116">
        <v>889</v>
      </c>
      <c r="P1109" s="116">
        <v>919</v>
      </c>
      <c r="Q1109" s="116">
        <v>891.15</v>
      </c>
      <c r="R1109">
        <v>384326</v>
      </c>
    </row>
    <row r="1110" spans="1:18" x14ac:dyDescent="0.25">
      <c r="A1110" s="170">
        <v>45041</v>
      </c>
      <c r="B1110" s="116">
        <v>935.35</v>
      </c>
      <c r="C1110" s="116">
        <v>935.1</v>
      </c>
      <c r="D1110" s="116">
        <v>890.5</v>
      </c>
      <c r="E1110" s="116">
        <v>892.2</v>
      </c>
      <c r="F1110" s="116">
        <v>935.1</v>
      </c>
      <c r="G1110">
        <v>53066</v>
      </c>
      <c r="H1110" s="116"/>
      <c r="I1110" s="116"/>
      <c r="L1110" s="170">
        <v>45041</v>
      </c>
      <c r="M1110" s="116">
        <v>935.25</v>
      </c>
      <c r="N1110" s="116">
        <v>935.7</v>
      </c>
      <c r="O1110" s="116">
        <v>890</v>
      </c>
      <c r="P1110" s="116">
        <v>895</v>
      </c>
      <c r="Q1110" s="116">
        <v>935.25</v>
      </c>
      <c r="R1110">
        <v>730197</v>
      </c>
    </row>
    <row r="1111" spans="1:18" x14ac:dyDescent="0.25">
      <c r="A1111" s="170">
        <v>45042</v>
      </c>
      <c r="B1111" s="116">
        <v>945.25</v>
      </c>
      <c r="C1111" s="116">
        <v>920.25</v>
      </c>
      <c r="D1111" s="116">
        <v>916</v>
      </c>
      <c r="E1111" s="116">
        <v>944.4</v>
      </c>
      <c r="F1111" s="116">
        <v>920.25</v>
      </c>
      <c r="G1111">
        <v>46242</v>
      </c>
      <c r="H1111" s="116"/>
      <c r="I1111" s="116"/>
      <c r="L1111" s="170">
        <v>45042</v>
      </c>
      <c r="M1111" s="116">
        <v>920.05</v>
      </c>
      <c r="N1111" s="116">
        <v>946.85</v>
      </c>
      <c r="O1111" s="116">
        <v>915.4</v>
      </c>
      <c r="P1111" s="116">
        <v>945</v>
      </c>
      <c r="Q1111" s="116">
        <v>920.05</v>
      </c>
      <c r="R1111">
        <v>507582</v>
      </c>
    </row>
    <row r="1112" spans="1:18" x14ac:dyDescent="0.25">
      <c r="A1112" s="170">
        <v>45043</v>
      </c>
      <c r="B1112" s="116">
        <v>926.35</v>
      </c>
      <c r="C1112" s="116">
        <v>916.2</v>
      </c>
      <c r="D1112" s="116">
        <v>903.7</v>
      </c>
      <c r="E1112" s="116">
        <v>911.05</v>
      </c>
      <c r="F1112" s="116">
        <v>916.2</v>
      </c>
      <c r="G1112">
        <v>50476</v>
      </c>
      <c r="H1112" s="116"/>
      <c r="I1112" s="116"/>
      <c r="L1112" s="170">
        <v>45043</v>
      </c>
      <c r="M1112" s="116">
        <v>917.1</v>
      </c>
      <c r="N1112" s="116">
        <v>925</v>
      </c>
      <c r="O1112" s="116">
        <v>910</v>
      </c>
      <c r="P1112" s="116">
        <v>915</v>
      </c>
      <c r="Q1112" s="116">
        <v>917.1</v>
      </c>
      <c r="R1112">
        <v>231717</v>
      </c>
    </row>
    <row r="1113" spans="1:18" x14ac:dyDescent="0.25">
      <c r="A1113" s="170">
        <v>45044</v>
      </c>
      <c r="B1113" s="116">
        <v>952</v>
      </c>
      <c r="C1113" s="116">
        <v>944.7</v>
      </c>
      <c r="D1113" s="116">
        <v>917.9</v>
      </c>
      <c r="E1113" s="116">
        <v>923.05</v>
      </c>
      <c r="F1113" s="116">
        <v>944.7</v>
      </c>
      <c r="G1113">
        <v>80482</v>
      </c>
      <c r="H1113" s="116"/>
      <c r="I1113" s="116"/>
      <c r="L1113" s="170">
        <v>45044</v>
      </c>
      <c r="M1113" s="116">
        <v>945</v>
      </c>
      <c r="N1113" s="116">
        <v>952.85</v>
      </c>
      <c r="O1113" s="116">
        <v>917.35</v>
      </c>
      <c r="P1113" s="116">
        <v>925</v>
      </c>
      <c r="Q1113" s="116">
        <v>945</v>
      </c>
      <c r="R1113">
        <v>1123964</v>
      </c>
    </row>
    <row r="1114" spans="1:18" x14ac:dyDescent="0.25">
      <c r="A1114" s="170">
        <v>45048</v>
      </c>
      <c r="B1114" s="116">
        <v>990</v>
      </c>
      <c r="C1114" s="116">
        <v>958.65</v>
      </c>
      <c r="D1114" s="116">
        <v>937.5</v>
      </c>
      <c r="E1114" s="116">
        <v>959.95</v>
      </c>
      <c r="F1114" s="116">
        <v>958.65</v>
      </c>
      <c r="G1114">
        <v>84607</v>
      </c>
      <c r="H1114" s="116"/>
      <c r="I1114" s="116"/>
      <c r="L1114" s="170">
        <v>45048</v>
      </c>
      <c r="M1114" s="116">
        <v>959.05</v>
      </c>
      <c r="N1114" s="116">
        <v>990</v>
      </c>
      <c r="O1114" s="116">
        <v>941.2</v>
      </c>
      <c r="P1114" s="116">
        <v>950</v>
      </c>
      <c r="Q1114" s="116">
        <v>959.05</v>
      </c>
      <c r="R1114">
        <v>1279904</v>
      </c>
    </row>
    <row r="1115" spans="1:18" x14ac:dyDescent="0.25">
      <c r="A1115" s="170">
        <v>45049</v>
      </c>
      <c r="B1115" s="116">
        <v>958.65</v>
      </c>
      <c r="C1115" s="116">
        <v>922.1</v>
      </c>
      <c r="D1115" s="116">
        <v>916.45</v>
      </c>
      <c r="E1115" s="116">
        <v>958.65</v>
      </c>
      <c r="F1115" s="116">
        <v>922.1</v>
      </c>
      <c r="G1115">
        <v>59096</v>
      </c>
      <c r="H1115" s="116"/>
      <c r="I1115" s="116"/>
      <c r="L1115" s="170">
        <v>45049</v>
      </c>
      <c r="M1115" s="116">
        <v>922.95</v>
      </c>
      <c r="N1115" s="116">
        <v>958</v>
      </c>
      <c r="O1115" s="116">
        <v>915.85</v>
      </c>
      <c r="P1115" s="116">
        <v>958</v>
      </c>
      <c r="Q1115" s="116">
        <v>922.95</v>
      </c>
      <c r="R1115">
        <v>716246</v>
      </c>
    </row>
    <row r="1116" spans="1:18" x14ac:dyDescent="0.25">
      <c r="A1116" s="170">
        <v>45050</v>
      </c>
      <c r="B1116" s="116">
        <v>935.7</v>
      </c>
      <c r="C1116" s="116">
        <v>930.25</v>
      </c>
      <c r="D1116" s="116">
        <v>912.5</v>
      </c>
      <c r="E1116" s="116">
        <v>915</v>
      </c>
      <c r="F1116" s="116">
        <v>930.25</v>
      </c>
      <c r="G1116">
        <v>27708</v>
      </c>
      <c r="H1116" s="116"/>
      <c r="I1116" s="116"/>
      <c r="L1116" s="170">
        <v>45050</v>
      </c>
      <c r="M1116" s="116">
        <v>930.2</v>
      </c>
      <c r="N1116" s="116">
        <v>935</v>
      </c>
      <c r="O1116" s="116">
        <v>911.7</v>
      </c>
      <c r="P1116" s="116">
        <v>916</v>
      </c>
      <c r="Q1116" s="116">
        <v>930.2</v>
      </c>
      <c r="R1116">
        <v>335815</v>
      </c>
    </row>
    <row r="1117" spans="1:18" x14ac:dyDescent="0.25">
      <c r="A1117" s="170">
        <v>45051</v>
      </c>
      <c r="B1117" s="116">
        <v>940</v>
      </c>
      <c r="C1117" s="116">
        <v>918.25</v>
      </c>
      <c r="D1117" s="116">
        <v>915</v>
      </c>
      <c r="E1117" s="116">
        <v>940</v>
      </c>
      <c r="F1117" s="116">
        <v>918.25</v>
      </c>
      <c r="G1117">
        <v>50579</v>
      </c>
      <c r="H1117" s="116"/>
      <c r="I1117" s="116"/>
      <c r="L1117" s="170">
        <v>45051</v>
      </c>
      <c r="M1117" s="116">
        <v>918.8</v>
      </c>
      <c r="N1117" s="116">
        <v>939</v>
      </c>
      <c r="O1117" s="116">
        <v>915.4</v>
      </c>
      <c r="P1117" s="116">
        <v>938</v>
      </c>
      <c r="Q1117" s="116">
        <v>918.8</v>
      </c>
      <c r="R1117">
        <v>288689</v>
      </c>
    </row>
    <row r="1118" spans="1:18" x14ac:dyDescent="0.25">
      <c r="A1118" s="170">
        <v>45054</v>
      </c>
      <c r="B1118" s="116">
        <v>889.75</v>
      </c>
      <c r="C1118" s="116">
        <v>872.4</v>
      </c>
      <c r="D1118" s="116">
        <v>872.35</v>
      </c>
      <c r="E1118" s="116">
        <v>872.35</v>
      </c>
      <c r="F1118" s="116">
        <v>872.4</v>
      </c>
      <c r="G1118">
        <v>139271</v>
      </c>
      <c r="H1118" s="116"/>
      <c r="I1118" s="116"/>
      <c r="L1118" s="170">
        <v>45054</v>
      </c>
      <c r="M1118" s="116">
        <v>872.9</v>
      </c>
      <c r="N1118" s="116">
        <v>887.8</v>
      </c>
      <c r="O1118" s="116">
        <v>872.9</v>
      </c>
      <c r="P1118" s="116">
        <v>880</v>
      </c>
      <c r="Q1118" s="116">
        <v>872.9</v>
      </c>
      <c r="R1118">
        <v>1276025</v>
      </c>
    </row>
    <row r="1119" spans="1:18" x14ac:dyDescent="0.25">
      <c r="A1119" s="170">
        <v>45055</v>
      </c>
      <c r="B1119" s="116">
        <v>882.75</v>
      </c>
      <c r="C1119" s="116">
        <v>844.9</v>
      </c>
      <c r="D1119" s="116">
        <v>839.2</v>
      </c>
      <c r="E1119" s="116">
        <v>839.9</v>
      </c>
      <c r="F1119" s="116">
        <v>844.9</v>
      </c>
      <c r="G1119">
        <v>77238</v>
      </c>
      <c r="H1119" s="116"/>
      <c r="I1119" s="116"/>
      <c r="L1119" s="170">
        <v>45055</v>
      </c>
      <c r="M1119" s="116">
        <v>845.1</v>
      </c>
      <c r="N1119" s="116">
        <v>883.35</v>
      </c>
      <c r="O1119" s="116">
        <v>839</v>
      </c>
      <c r="P1119" s="116">
        <v>839</v>
      </c>
      <c r="Q1119" s="116">
        <v>845.1</v>
      </c>
      <c r="R1119">
        <v>1024558</v>
      </c>
    </row>
    <row r="1120" spans="1:18" x14ac:dyDescent="0.25">
      <c r="A1120" s="170">
        <v>45056</v>
      </c>
      <c r="B1120" s="116">
        <v>855.4</v>
      </c>
      <c r="C1120" s="116">
        <v>836.1</v>
      </c>
      <c r="D1120" s="116">
        <v>834.5</v>
      </c>
      <c r="E1120" s="116">
        <v>844.9</v>
      </c>
      <c r="F1120" s="116">
        <v>836.1</v>
      </c>
      <c r="G1120">
        <v>36005</v>
      </c>
      <c r="H1120" s="116"/>
      <c r="I1120" s="116"/>
      <c r="L1120" s="170">
        <v>45056</v>
      </c>
      <c r="M1120" s="116">
        <v>836.1</v>
      </c>
      <c r="N1120" s="116">
        <v>858.95</v>
      </c>
      <c r="O1120" s="116">
        <v>835</v>
      </c>
      <c r="P1120" s="116">
        <v>846.6</v>
      </c>
      <c r="Q1120" s="116">
        <v>836.1</v>
      </c>
      <c r="R1120">
        <v>565081</v>
      </c>
    </row>
    <row r="1121" spans="1:18" x14ac:dyDescent="0.25">
      <c r="A1121" s="170">
        <v>45057</v>
      </c>
      <c r="B1121" s="116">
        <v>859.15</v>
      </c>
      <c r="C1121" s="116">
        <v>855.35</v>
      </c>
      <c r="D1121" s="116">
        <v>837.6</v>
      </c>
      <c r="E1121" s="116">
        <v>840.05</v>
      </c>
      <c r="F1121" s="116">
        <v>855.35</v>
      </c>
      <c r="G1121">
        <v>67582</v>
      </c>
      <c r="H1121" s="116"/>
      <c r="I1121" s="116"/>
      <c r="L1121" s="170">
        <v>45057</v>
      </c>
      <c r="M1121" s="116">
        <v>855.05</v>
      </c>
      <c r="N1121" s="116">
        <v>859.3</v>
      </c>
      <c r="O1121" s="116">
        <v>837.6</v>
      </c>
      <c r="P1121" s="116">
        <v>845.85</v>
      </c>
      <c r="Q1121" s="116">
        <v>855.05</v>
      </c>
      <c r="R1121">
        <v>609709</v>
      </c>
    </row>
    <row r="1122" spans="1:18" x14ac:dyDescent="0.25">
      <c r="A1122" s="170">
        <v>45058</v>
      </c>
      <c r="B1122" s="116">
        <v>854.3</v>
      </c>
      <c r="C1122" s="116">
        <v>818.35</v>
      </c>
      <c r="D1122" s="116">
        <v>812.6</v>
      </c>
      <c r="E1122" s="116">
        <v>814</v>
      </c>
      <c r="F1122" s="116">
        <v>818.35</v>
      </c>
      <c r="G1122">
        <v>243840</v>
      </c>
      <c r="H1122" s="116"/>
      <c r="I1122" s="116"/>
      <c r="L1122" s="170">
        <v>45058</v>
      </c>
      <c r="M1122" s="116">
        <v>818.35</v>
      </c>
      <c r="N1122" s="116">
        <v>860</v>
      </c>
      <c r="O1122" s="116">
        <v>812.3</v>
      </c>
      <c r="P1122" s="116">
        <v>812.3</v>
      </c>
      <c r="Q1122" s="116">
        <v>818.35</v>
      </c>
      <c r="R1122">
        <v>2633802</v>
      </c>
    </row>
    <row r="1123" spans="1:18" x14ac:dyDescent="0.25">
      <c r="A1123" s="170">
        <v>45061</v>
      </c>
      <c r="B1123" s="116">
        <v>838</v>
      </c>
      <c r="C1123" s="116">
        <v>777.45</v>
      </c>
      <c r="D1123" s="116">
        <v>777.45</v>
      </c>
      <c r="E1123" s="116">
        <v>827.05</v>
      </c>
      <c r="F1123" s="116">
        <v>777.45</v>
      </c>
      <c r="G1123">
        <v>213214</v>
      </c>
      <c r="H1123" s="116"/>
      <c r="I1123" s="116"/>
      <c r="L1123" s="170">
        <v>45061</v>
      </c>
      <c r="M1123" s="116">
        <v>777.45</v>
      </c>
      <c r="N1123" s="116">
        <v>837.25</v>
      </c>
      <c r="O1123" s="116">
        <v>777.45</v>
      </c>
      <c r="P1123" s="116">
        <v>832.05</v>
      </c>
      <c r="Q1123" s="116">
        <v>777.45</v>
      </c>
      <c r="R1123">
        <v>1709838</v>
      </c>
    </row>
    <row r="1124" spans="1:18" x14ac:dyDescent="0.25">
      <c r="A1124" s="170">
        <v>45062</v>
      </c>
      <c r="B1124" s="116">
        <v>778.9</v>
      </c>
      <c r="C1124" s="116">
        <v>738.6</v>
      </c>
      <c r="D1124" s="116">
        <v>738.6</v>
      </c>
      <c r="E1124" s="116">
        <v>748.1</v>
      </c>
      <c r="F1124" s="116">
        <v>738.6</v>
      </c>
      <c r="G1124">
        <v>171270</v>
      </c>
      <c r="H1124" s="116"/>
      <c r="I1124" s="116"/>
      <c r="L1124" s="170">
        <v>45062</v>
      </c>
      <c r="M1124" s="116">
        <v>738.6</v>
      </c>
      <c r="N1124" s="116">
        <v>777.45</v>
      </c>
      <c r="O1124" s="116">
        <v>738.6</v>
      </c>
      <c r="P1124" s="116">
        <v>752.25</v>
      </c>
      <c r="Q1124" s="116">
        <v>738.6</v>
      </c>
      <c r="R1124">
        <v>1876603</v>
      </c>
    </row>
    <row r="1125" spans="1:18" x14ac:dyDescent="0.25">
      <c r="A1125" s="170">
        <v>45063</v>
      </c>
      <c r="B1125" s="116">
        <v>722</v>
      </c>
      <c r="C1125" s="116">
        <v>701.7</v>
      </c>
      <c r="D1125" s="116">
        <v>701.7</v>
      </c>
      <c r="E1125" s="116">
        <v>713.8</v>
      </c>
      <c r="F1125" s="116">
        <v>701.7</v>
      </c>
      <c r="G1125">
        <v>137675</v>
      </c>
      <c r="H1125" s="116"/>
      <c r="I1125" s="116"/>
      <c r="L1125" s="170">
        <v>45063</v>
      </c>
      <c r="M1125" s="116">
        <v>701.7</v>
      </c>
      <c r="N1125" s="116">
        <v>722.9</v>
      </c>
      <c r="O1125" s="116">
        <v>701.7</v>
      </c>
      <c r="P1125" s="116">
        <v>711.7</v>
      </c>
      <c r="Q1125" s="116">
        <v>701.7</v>
      </c>
      <c r="R1125">
        <v>1677460</v>
      </c>
    </row>
    <row r="1126" spans="1:18" x14ac:dyDescent="0.25">
      <c r="A1126" s="170">
        <v>45064</v>
      </c>
      <c r="B1126" s="116">
        <v>682.8</v>
      </c>
      <c r="C1126" s="116">
        <v>666.65</v>
      </c>
      <c r="D1126" s="116">
        <v>666.65</v>
      </c>
      <c r="E1126" s="116">
        <v>671</v>
      </c>
      <c r="F1126" s="116">
        <v>666.65</v>
      </c>
      <c r="G1126">
        <v>260219</v>
      </c>
      <c r="H1126" s="116"/>
      <c r="I1126" s="116"/>
      <c r="L1126" s="170">
        <v>45064</v>
      </c>
      <c r="M1126" s="116">
        <v>666.65</v>
      </c>
      <c r="N1126" s="116">
        <v>682.7</v>
      </c>
      <c r="O1126" s="116">
        <v>666.65</v>
      </c>
      <c r="P1126" s="116">
        <v>671</v>
      </c>
      <c r="Q1126" s="116">
        <v>666.65</v>
      </c>
      <c r="R1126">
        <v>2968685</v>
      </c>
    </row>
    <row r="1127" spans="1:18" x14ac:dyDescent="0.25">
      <c r="A1127" s="170">
        <v>45065</v>
      </c>
      <c r="B1127" s="116">
        <v>699.95</v>
      </c>
      <c r="C1127" s="116">
        <v>687</v>
      </c>
      <c r="D1127" s="116">
        <v>633.35</v>
      </c>
      <c r="E1127" s="116">
        <v>633.35</v>
      </c>
      <c r="F1127" s="116">
        <v>687</v>
      </c>
      <c r="G1127">
        <v>965578</v>
      </c>
      <c r="H1127" s="116"/>
      <c r="I1127" s="116"/>
      <c r="L1127" s="170">
        <v>45065</v>
      </c>
      <c r="M1127" s="116">
        <v>688.1</v>
      </c>
      <c r="N1127" s="116">
        <v>699.95</v>
      </c>
      <c r="O1127" s="116">
        <v>633.35</v>
      </c>
      <c r="P1127" s="116">
        <v>633.35</v>
      </c>
      <c r="Q1127" s="116">
        <v>688.1</v>
      </c>
      <c r="R1127">
        <v>11382817</v>
      </c>
    </row>
    <row r="1128" spans="1:18" x14ac:dyDescent="0.25">
      <c r="A1128" s="170">
        <v>45068</v>
      </c>
      <c r="B1128" s="116">
        <v>721.35</v>
      </c>
      <c r="C1128" s="116">
        <v>721.35</v>
      </c>
      <c r="D1128" s="116">
        <v>717.95</v>
      </c>
      <c r="E1128" s="116">
        <v>719.8</v>
      </c>
      <c r="F1128" s="116">
        <v>721.35</v>
      </c>
      <c r="G1128">
        <v>28831</v>
      </c>
      <c r="H1128" s="116"/>
      <c r="I1128" s="116"/>
      <c r="L1128" s="170">
        <v>45068</v>
      </c>
      <c r="M1128" s="116">
        <v>722.5</v>
      </c>
      <c r="N1128" s="116">
        <v>722.5</v>
      </c>
      <c r="O1128" s="116">
        <v>711.6</v>
      </c>
      <c r="P1128" s="116">
        <v>722.45</v>
      </c>
      <c r="Q1128" s="116">
        <v>722.5</v>
      </c>
      <c r="R1128">
        <v>701988</v>
      </c>
    </row>
    <row r="1129" spans="1:18" x14ac:dyDescent="0.25">
      <c r="A1129" s="170">
        <v>45069</v>
      </c>
      <c r="B1129" s="116">
        <v>757.4</v>
      </c>
      <c r="C1129" s="116">
        <v>757.4</v>
      </c>
      <c r="D1129" s="116">
        <v>757.4</v>
      </c>
      <c r="E1129" s="116">
        <v>757.4</v>
      </c>
      <c r="F1129" s="116">
        <v>757.4</v>
      </c>
      <c r="G1129">
        <v>3902</v>
      </c>
      <c r="H1129" s="116"/>
      <c r="I1129" s="116"/>
      <c r="L1129" s="170">
        <v>45069</v>
      </c>
      <c r="M1129" s="116">
        <v>758.6</v>
      </c>
      <c r="N1129" s="116">
        <v>758.6</v>
      </c>
      <c r="O1129" s="116">
        <v>758.6</v>
      </c>
      <c r="P1129" s="116">
        <v>758.6</v>
      </c>
      <c r="Q1129" s="116">
        <v>758.6</v>
      </c>
      <c r="R1129">
        <v>228579</v>
      </c>
    </row>
    <row r="1130" spans="1:18" x14ac:dyDescent="0.25">
      <c r="A1130" s="170">
        <v>45070</v>
      </c>
      <c r="B1130" s="116">
        <v>795.25</v>
      </c>
      <c r="C1130" s="116">
        <v>795.25</v>
      </c>
      <c r="D1130" s="116">
        <v>758.5</v>
      </c>
      <c r="E1130" s="116">
        <v>795.25</v>
      </c>
      <c r="F1130" s="116">
        <v>795.25</v>
      </c>
      <c r="G1130">
        <v>370056</v>
      </c>
      <c r="H1130" s="116"/>
      <c r="I1130" s="116"/>
      <c r="L1130" s="170">
        <v>45070</v>
      </c>
      <c r="M1130" s="116">
        <v>796.5</v>
      </c>
      <c r="N1130" s="116">
        <v>796.5</v>
      </c>
      <c r="O1130" s="116">
        <v>759</v>
      </c>
      <c r="P1130" s="116">
        <v>796.5</v>
      </c>
      <c r="Q1130" s="116">
        <v>796.5</v>
      </c>
      <c r="R1130">
        <v>6317589</v>
      </c>
    </row>
    <row r="1131" spans="1:18" x14ac:dyDescent="0.25">
      <c r="A1131" s="170">
        <v>45071</v>
      </c>
      <c r="B1131" s="116">
        <v>824.05</v>
      </c>
      <c r="C1131" s="116">
        <v>795.9</v>
      </c>
      <c r="D1131" s="116">
        <v>770.05</v>
      </c>
      <c r="E1131" s="116">
        <v>819</v>
      </c>
      <c r="F1131" s="116">
        <v>795.9</v>
      </c>
      <c r="G1131">
        <v>236749</v>
      </c>
      <c r="H1131" s="116"/>
      <c r="I1131" s="116"/>
      <c r="L1131" s="170">
        <v>45071</v>
      </c>
      <c r="M1131" s="116">
        <v>796.4</v>
      </c>
      <c r="N1131" s="116">
        <v>823.4</v>
      </c>
      <c r="O1131" s="116">
        <v>770.05</v>
      </c>
      <c r="P1131" s="116">
        <v>811.4</v>
      </c>
      <c r="Q1131" s="116">
        <v>796.4</v>
      </c>
      <c r="R1131">
        <v>4017123</v>
      </c>
    </row>
    <row r="1132" spans="1:18" x14ac:dyDescent="0.25">
      <c r="A1132" s="170">
        <v>45072</v>
      </c>
      <c r="B1132" s="116">
        <v>805.9</v>
      </c>
      <c r="C1132" s="116">
        <v>760.55</v>
      </c>
      <c r="D1132" s="116">
        <v>756.7</v>
      </c>
      <c r="E1132" s="116">
        <v>801.05</v>
      </c>
      <c r="F1132" s="116">
        <v>760.55</v>
      </c>
      <c r="G1132">
        <v>146170</v>
      </c>
      <c r="H1132" s="116"/>
      <c r="I1132" s="116"/>
      <c r="L1132" s="170">
        <v>45072</v>
      </c>
      <c r="M1132" s="116">
        <v>760.7</v>
      </c>
      <c r="N1132" s="116">
        <v>806.65</v>
      </c>
      <c r="O1132" s="116">
        <v>756.6</v>
      </c>
      <c r="P1132" s="116">
        <v>803.95</v>
      </c>
      <c r="Q1132" s="116">
        <v>760.7</v>
      </c>
      <c r="R1132">
        <v>2595733</v>
      </c>
    </row>
    <row r="1133" spans="1:18" x14ac:dyDescent="0.25">
      <c r="A1133" s="170">
        <v>45075</v>
      </c>
      <c r="B1133" s="116">
        <v>765.7</v>
      </c>
      <c r="C1133" s="116">
        <v>728.75</v>
      </c>
      <c r="D1133" s="116">
        <v>725</v>
      </c>
      <c r="E1133" s="116">
        <v>739.4</v>
      </c>
      <c r="F1133" s="116">
        <v>728.75</v>
      </c>
      <c r="G1133">
        <v>139474</v>
      </c>
      <c r="H1133" s="116"/>
      <c r="I1133" s="116"/>
      <c r="L1133" s="170">
        <v>45075</v>
      </c>
      <c r="M1133" s="116">
        <v>729.2</v>
      </c>
      <c r="N1133" s="116">
        <v>766.45</v>
      </c>
      <c r="O1133" s="116">
        <v>725</v>
      </c>
      <c r="P1133" s="116">
        <v>732.2</v>
      </c>
      <c r="Q1133" s="116">
        <v>729.2</v>
      </c>
      <c r="R1133">
        <v>2630741</v>
      </c>
    </row>
    <row r="1134" spans="1:18" x14ac:dyDescent="0.25">
      <c r="A1134" s="170">
        <v>45076</v>
      </c>
      <c r="B1134" s="116">
        <v>729.15</v>
      </c>
      <c r="C1134" s="116">
        <v>698.4</v>
      </c>
      <c r="D1134" s="116">
        <v>692.9</v>
      </c>
      <c r="E1134" s="116">
        <v>723.05</v>
      </c>
      <c r="F1134" s="116">
        <v>698.4</v>
      </c>
      <c r="G1134">
        <v>143514</v>
      </c>
      <c r="H1134" s="116"/>
      <c r="I1134" s="116"/>
      <c r="L1134" s="170">
        <v>45076</v>
      </c>
      <c r="M1134" s="116">
        <v>698.05</v>
      </c>
      <c r="N1134" s="116">
        <v>728.95</v>
      </c>
      <c r="O1134" s="116">
        <v>692.75</v>
      </c>
      <c r="P1134" s="116">
        <v>728.95</v>
      </c>
      <c r="Q1134" s="116">
        <v>698.05</v>
      </c>
      <c r="R1134">
        <v>3638539</v>
      </c>
    </row>
    <row r="1135" spans="1:18" x14ac:dyDescent="0.25">
      <c r="A1135" s="170">
        <v>45077</v>
      </c>
      <c r="B1135" s="116">
        <v>690.85</v>
      </c>
      <c r="C1135" s="116">
        <v>665.1</v>
      </c>
      <c r="D1135" s="116">
        <v>663.5</v>
      </c>
      <c r="E1135" s="116">
        <v>674.95</v>
      </c>
      <c r="F1135" s="116">
        <v>665.1</v>
      </c>
      <c r="G1135">
        <v>585406</v>
      </c>
      <c r="H1135" s="116"/>
      <c r="I1135" s="116"/>
      <c r="L1135" s="170">
        <v>45077</v>
      </c>
      <c r="M1135" s="116">
        <v>664.15</v>
      </c>
      <c r="N1135" s="116">
        <v>689.9</v>
      </c>
      <c r="O1135" s="116">
        <v>663.15</v>
      </c>
      <c r="P1135" s="116">
        <v>675</v>
      </c>
      <c r="Q1135" s="116">
        <v>664.15</v>
      </c>
      <c r="R1135">
        <v>32048979</v>
      </c>
    </row>
    <row r="1136" spans="1:18" x14ac:dyDescent="0.25">
      <c r="A1136" s="170">
        <v>45078</v>
      </c>
      <c r="B1136" s="116">
        <v>698.35</v>
      </c>
      <c r="C1136" s="116">
        <v>693.9</v>
      </c>
      <c r="D1136" s="116">
        <v>651</v>
      </c>
      <c r="E1136" s="116">
        <v>655.35</v>
      </c>
      <c r="F1136" s="116">
        <v>693.9</v>
      </c>
      <c r="G1136">
        <v>1645350</v>
      </c>
      <c r="H1136" s="116"/>
      <c r="I1136" s="116"/>
      <c r="L1136" s="170">
        <v>45078</v>
      </c>
      <c r="M1136" s="116">
        <v>694.35</v>
      </c>
      <c r="N1136" s="116">
        <v>697.35</v>
      </c>
      <c r="O1136" s="116">
        <v>650.54999999999995</v>
      </c>
      <c r="P1136" s="116">
        <v>653</v>
      </c>
      <c r="Q1136" s="116">
        <v>694.35</v>
      </c>
      <c r="R1136">
        <v>16589982</v>
      </c>
    </row>
    <row r="1137" spans="1:18" x14ac:dyDescent="0.25">
      <c r="A1137" s="170">
        <v>45079</v>
      </c>
      <c r="B1137" s="116">
        <v>702.75</v>
      </c>
      <c r="C1137" s="116">
        <v>674.6</v>
      </c>
      <c r="D1137" s="116">
        <v>668</v>
      </c>
      <c r="E1137" s="116">
        <v>695</v>
      </c>
      <c r="F1137" s="116">
        <v>674.6</v>
      </c>
      <c r="G1137">
        <v>221789</v>
      </c>
      <c r="H1137" s="116"/>
      <c r="I1137" s="116"/>
      <c r="L1137" s="170">
        <v>45079</v>
      </c>
      <c r="M1137" s="116">
        <v>674.4</v>
      </c>
      <c r="N1137" s="116">
        <v>702.4</v>
      </c>
      <c r="O1137" s="116">
        <v>668</v>
      </c>
      <c r="P1137" s="116">
        <v>694.35</v>
      </c>
      <c r="Q1137" s="116">
        <v>674.4</v>
      </c>
      <c r="R1137">
        <v>4373895</v>
      </c>
    </row>
    <row r="1138" spans="1:18" x14ac:dyDescent="0.25">
      <c r="A1138" s="170">
        <v>45082</v>
      </c>
      <c r="B1138" s="116">
        <v>696</v>
      </c>
      <c r="C1138" s="116">
        <v>681.6</v>
      </c>
      <c r="D1138" s="116">
        <v>674.95</v>
      </c>
      <c r="E1138" s="116">
        <v>680</v>
      </c>
      <c r="F1138" s="116">
        <v>681.6</v>
      </c>
      <c r="G1138">
        <v>421906</v>
      </c>
      <c r="H1138" s="116"/>
      <c r="I1138" s="116"/>
      <c r="L1138" s="170">
        <v>45082</v>
      </c>
      <c r="M1138" s="116">
        <v>681.5</v>
      </c>
      <c r="N1138" s="116">
        <v>696.6</v>
      </c>
      <c r="O1138" s="116">
        <v>675.5</v>
      </c>
      <c r="P1138" s="116">
        <v>681.55</v>
      </c>
      <c r="Q1138" s="116">
        <v>681.5</v>
      </c>
      <c r="R1138">
        <v>3119786</v>
      </c>
    </row>
    <row r="1139" spans="1:18" x14ac:dyDescent="0.25">
      <c r="A1139" s="170">
        <v>45083</v>
      </c>
      <c r="B1139" s="116">
        <v>694.25</v>
      </c>
      <c r="C1139" s="116">
        <v>678.55</v>
      </c>
      <c r="D1139" s="116">
        <v>675.35</v>
      </c>
      <c r="E1139" s="116">
        <v>692.4</v>
      </c>
      <c r="F1139" s="116">
        <v>678.55</v>
      </c>
      <c r="G1139">
        <v>225485</v>
      </c>
      <c r="H1139" s="116"/>
      <c r="I1139" s="116"/>
      <c r="L1139" s="170">
        <v>45083</v>
      </c>
      <c r="M1139" s="116">
        <v>678.4</v>
      </c>
      <c r="N1139" s="116">
        <v>698</v>
      </c>
      <c r="O1139" s="116">
        <v>676.2</v>
      </c>
      <c r="P1139" s="116">
        <v>694</v>
      </c>
      <c r="Q1139" s="116">
        <v>678.4</v>
      </c>
      <c r="R1139">
        <v>1602723</v>
      </c>
    </row>
    <row r="1140" spans="1:18" x14ac:dyDescent="0.25">
      <c r="A1140" s="170">
        <v>45084</v>
      </c>
      <c r="B1140" s="116">
        <v>686</v>
      </c>
      <c r="C1140" s="116">
        <v>679.95</v>
      </c>
      <c r="D1140" s="116">
        <v>675</v>
      </c>
      <c r="E1140" s="116">
        <v>681.55</v>
      </c>
      <c r="F1140" s="116">
        <v>679.95</v>
      </c>
      <c r="G1140">
        <v>248078</v>
      </c>
      <c r="H1140" s="116"/>
      <c r="I1140" s="116"/>
      <c r="L1140" s="170">
        <v>45084</v>
      </c>
      <c r="M1140" s="116">
        <v>680.05</v>
      </c>
      <c r="N1140" s="116">
        <v>685.7</v>
      </c>
      <c r="O1140" s="116">
        <v>675</v>
      </c>
      <c r="P1140" s="116">
        <v>684.7</v>
      </c>
      <c r="Q1140" s="116">
        <v>680.05</v>
      </c>
      <c r="R1140">
        <v>1611677</v>
      </c>
    </row>
    <row r="1141" spans="1:18" x14ac:dyDescent="0.25">
      <c r="A1141" s="170">
        <v>45085</v>
      </c>
      <c r="B1141" s="116">
        <v>685</v>
      </c>
      <c r="C1141" s="116">
        <v>670.9</v>
      </c>
      <c r="D1141" s="116">
        <v>668.1</v>
      </c>
      <c r="E1141" s="116">
        <v>679.95</v>
      </c>
      <c r="F1141" s="116">
        <v>670.9</v>
      </c>
      <c r="G1141">
        <v>99366</v>
      </c>
      <c r="H1141" s="116"/>
      <c r="I1141" s="116"/>
      <c r="L1141" s="170">
        <v>45085</v>
      </c>
      <c r="M1141" s="116">
        <v>670.9</v>
      </c>
      <c r="N1141" s="116">
        <v>684.95</v>
      </c>
      <c r="O1141" s="116">
        <v>668</v>
      </c>
      <c r="P1141" s="116">
        <v>680</v>
      </c>
      <c r="Q1141" s="116">
        <v>670.9</v>
      </c>
      <c r="R1141">
        <v>1759734</v>
      </c>
    </row>
    <row r="1142" spans="1:18" x14ac:dyDescent="0.25">
      <c r="A1142" s="170">
        <v>45086</v>
      </c>
      <c r="B1142" s="116">
        <v>675</v>
      </c>
      <c r="C1142" s="116">
        <v>669.25</v>
      </c>
      <c r="D1142" s="116">
        <v>666.35</v>
      </c>
      <c r="E1142" s="116">
        <v>672.05</v>
      </c>
      <c r="F1142" s="116">
        <v>669.25</v>
      </c>
      <c r="G1142">
        <v>156443</v>
      </c>
      <c r="H1142" s="116"/>
      <c r="I1142" s="116"/>
      <c r="L1142" s="170">
        <v>45086</v>
      </c>
      <c r="M1142" s="116">
        <v>669.1</v>
      </c>
      <c r="N1142" s="116">
        <v>675</v>
      </c>
      <c r="O1142" s="116">
        <v>667</v>
      </c>
      <c r="P1142" s="116">
        <v>675</v>
      </c>
      <c r="Q1142" s="116">
        <v>669.1</v>
      </c>
      <c r="R1142">
        <v>710454</v>
      </c>
    </row>
    <row r="1143" spans="1:18" x14ac:dyDescent="0.25">
      <c r="A1143" s="170">
        <v>45089</v>
      </c>
      <c r="B1143" s="116">
        <v>674.95</v>
      </c>
      <c r="C1143" s="116">
        <v>670.3</v>
      </c>
      <c r="D1143" s="116">
        <v>670</v>
      </c>
      <c r="E1143" s="116">
        <v>673.05</v>
      </c>
      <c r="F1143" s="116">
        <v>670.3</v>
      </c>
      <c r="G1143">
        <v>116157</v>
      </c>
      <c r="H1143" s="116"/>
      <c r="I1143" s="116"/>
      <c r="L1143" s="170">
        <v>45089</v>
      </c>
      <c r="M1143" s="116">
        <v>670.2</v>
      </c>
      <c r="N1143" s="116">
        <v>675</v>
      </c>
      <c r="O1143" s="116">
        <v>669</v>
      </c>
      <c r="P1143" s="116">
        <v>674.4</v>
      </c>
      <c r="Q1143" s="116">
        <v>670.2</v>
      </c>
      <c r="R1143">
        <v>659294</v>
      </c>
    </row>
    <row r="1144" spans="1:18" x14ac:dyDescent="0.25">
      <c r="A1144" s="170">
        <v>45090</v>
      </c>
      <c r="B1144" s="116">
        <v>673</v>
      </c>
      <c r="C1144" s="116">
        <v>663.15</v>
      </c>
      <c r="D1144" s="116">
        <v>662</v>
      </c>
      <c r="E1144" s="116">
        <v>667.1</v>
      </c>
      <c r="F1144" s="116">
        <v>663.15</v>
      </c>
      <c r="G1144">
        <v>153103</v>
      </c>
      <c r="H1144" s="116"/>
      <c r="I1144" s="116"/>
      <c r="L1144" s="170">
        <v>45090</v>
      </c>
      <c r="M1144" s="116">
        <v>663.15</v>
      </c>
      <c r="N1144" s="116">
        <v>673</v>
      </c>
      <c r="O1144" s="116">
        <v>662</v>
      </c>
      <c r="P1144" s="116">
        <v>672.85</v>
      </c>
      <c r="Q1144" s="116">
        <v>663.15</v>
      </c>
      <c r="R1144">
        <v>944852</v>
      </c>
    </row>
    <row r="1145" spans="1:18" x14ac:dyDescent="0.25">
      <c r="A1145" s="170">
        <v>45091</v>
      </c>
      <c r="B1145" s="116">
        <v>665.5</v>
      </c>
      <c r="C1145" s="116">
        <v>654.5</v>
      </c>
      <c r="D1145" s="116">
        <v>653.25</v>
      </c>
      <c r="E1145" s="116">
        <v>665.5</v>
      </c>
      <c r="F1145" s="116">
        <v>654.5</v>
      </c>
      <c r="G1145">
        <v>158220</v>
      </c>
      <c r="H1145" s="116"/>
      <c r="I1145" s="116"/>
      <c r="L1145" s="170">
        <v>45091</v>
      </c>
      <c r="M1145" s="116">
        <v>654.35</v>
      </c>
      <c r="N1145" s="116">
        <v>666</v>
      </c>
      <c r="O1145" s="116">
        <v>653.1</v>
      </c>
      <c r="P1145" s="116">
        <v>663.15</v>
      </c>
      <c r="Q1145" s="116">
        <v>654.35</v>
      </c>
      <c r="R1145">
        <v>1048074</v>
      </c>
    </row>
    <row r="1146" spans="1:18" x14ac:dyDescent="0.25">
      <c r="A1146" s="170">
        <v>45092</v>
      </c>
      <c r="B1146" s="116">
        <v>683</v>
      </c>
      <c r="C1146" s="116">
        <v>669.45</v>
      </c>
      <c r="D1146" s="116">
        <v>655.95</v>
      </c>
      <c r="E1146" s="116">
        <v>656.05</v>
      </c>
      <c r="F1146" s="116">
        <v>669.45</v>
      </c>
      <c r="G1146">
        <v>292022</v>
      </c>
      <c r="H1146" s="116"/>
      <c r="I1146" s="116"/>
      <c r="L1146" s="170">
        <v>45092</v>
      </c>
      <c r="M1146" s="116">
        <v>669.1</v>
      </c>
      <c r="N1146" s="116">
        <v>683</v>
      </c>
      <c r="O1146" s="116">
        <v>656.1</v>
      </c>
      <c r="P1146" s="116">
        <v>658.95</v>
      </c>
      <c r="Q1146" s="116">
        <v>669.1</v>
      </c>
      <c r="R1146">
        <v>1888440</v>
      </c>
    </row>
    <row r="1147" spans="1:18" x14ac:dyDescent="0.25">
      <c r="A1147" s="170">
        <v>45093</v>
      </c>
      <c r="B1147" s="116">
        <v>679</v>
      </c>
      <c r="C1147" s="116">
        <v>671.15</v>
      </c>
      <c r="D1147" s="116">
        <v>669.8</v>
      </c>
      <c r="E1147" s="116">
        <v>675.05</v>
      </c>
      <c r="F1147" s="116">
        <v>671.15</v>
      </c>
      <c r="G1147">
        <v>153877</v>
      </c>
      <c r="H1147" s="116"/>
      <c r="I1147" s="116"/>
      <c r="L1147" s="170">
        <v>45093</v>
      </c>
      <c r="M1147" s="116">
        <v>671.25</v>
      </c>
      <c r="N1147" s="116">
        <v>682.2</v>
      </c>
      <c r="O1147" s="116">
        <v>669.55</v>
      </c>
      <c r="P1147" s="116">
        <v>676.4</v>
      </c>
      <c r="Q1147" s="116">
        <v>671.25</v>
      </c>
      <c r="R1147">
        <v>1008270</v>
      </c>
    </row>
    <row r="1148" spans="1:18" x14ac:dyDescent="0.25">
      <c r="A1148" s="170">
        <v>45096</v>
      </c>
      <c r="B1148" s="116">
        <v>674.4</v>
      </c>
      <c r="C1148" s="116">
        <v>657.7</v>
      </c>
      <c r="D1148" s="116">
        <v>655</v>
      </c>
      <c r="E1148" s="116">
        <v>672.05</v>
      </c>
      <c r="F1148" s="116">
        <v>657.7</v>
      </c>
      <c r="G1148">
        <v>77161</v>
      </c>
      <c r="H1148" s="116"/>
      <c r="I1148" s="116"/>
      <c r="L1148" s="170">
        <v>45096</v>
      </c>
      <c r="M1148" s="116">
        <v>657.55</v>
      </c>
      <c r="N1148" s="116">
        <v>675.9</v>
      </c>
      <c r="O1148" s="116">
        <v>655</v>
      </c>
      <c r="P1148" s="116">
        <v>674.05</v>
      </c>
      <c r="Q1148" s="116">
        <v>657.55</v>
      </c>
      <c r="R1148">
        <v>1271532</v>
      </c>
    </row>
    <row r="1149" spans="1:18" x14ac:dyDescent="0.25">
      <c r="A1149" s="170">
        <v>45097</v>
      </c>
      <c r="B1149" s="116">
        <v>664.5</v>
      </c>
      <c r="C1149" s="116">
        <v>658.6</v>
      </c>
      <c r="D1149" s="116">
        <v>653.20000000000005</v>
      </c>
      <c r="E1149" s="116">
        <v>660.05</v>
      </c>
      <c r="F1149" s="116">
        <v>658.6</v>
      </c>
      <c r="G1149">
        <v>103990</v>
      </c>
      <c r="H1149" s="116"/>
      <c r="I1149" s="116"/>
      <c r="L1149" s="170">
        <v>45097</v>
      </c>
      <c r="M1149" s="116">
        <v>658.6</v>
      </c>
      <c r="N1149" s="116">
        <v>664.4</v>
      </c>
      <c r="O1149" s="116">
        <v>654</v>
      </c>
      <c r="P1149" s="116">
        <v>659.7</v>
      </c>
      <c r="Q1149" s="116">
        <v>658.6</v>
      </c>
      <c r="R1149">
        <v>662112</v>
      </c>
    </row>
    <row r="1150" spans="1:18" x14ac:dyDescent="0.25">
      <c r="A1150" s="170">
        <v>45098</v>
      </c>
      <c r="B1150" s="116">
        <v>662.85</v>
      </c>
      <c r="C1150" s="116">
        <v>655.9</v>
      </c>
      <c r="D1150" s="116">
        <v>653</v>
      </c>
      <c r="E1150" s="116">
        <v>658.65</v>
      </c>
      <c r="F1150" s="116">
        <v>655.9</v>
      </c>
      <c r="G1150">
        <v>115015</v>
      </c>
      <c r="H1150" s="116"/>
      <c r="I1150" s="116"/>
      <c r="L1150" s="170">
        <v>45098</v>
      </c>
      <c r="M1150" s="116">
        <v>655.8</v>
      </c>
      <c r="N1150" s="116">
        <v>661.5</v>
      </c>
      <c r="O1150" s="116">
        <v>653</v>
      </c>
      <c r="P1150" s="116">
        <v>659.4</v>
      </c>
      <c r="Q1150" s="116">
        <v>655.8</v>
      </c>
      <c r="R1150">
        <v>801023</v>
      </c>
    </row>
    <row r="1151" spans="1:18" x14ac:dyDescent="0.25">
      <c r="A1151" s="170">
        <v>45099</v>
      </c>
      <c r="B1151" s="116">
        <v>665</v>
      </c>
      <c r="C1151" s="116">
        <v>655.1</v>
      </c>
      <c r="D1151" s="116">
        <v>653.15</v>
      </c>
      <c r="E1151" s="116">
        <v>658.95</v>
      </c>
      <c r="F1151" s="116">
        <v>655.1</v>
      </c>
      <c r="G1151">
        <v>117549</v>
      </c>
      <c r="H1151" s="116"/>
      <c r="I1151" s="116"/>
      <c r="L1151" s="170">
        <v>45099</v>
      </c>
      <c r="M1151" s="116">
        <v>655.15</v>
      </c>
      <c r="N1151" s="116">
        <v>666</v>
      </c>
      <c r="O1151" s="116">
        <v>653.04999999999995</v>
      </c>
      <c r="P1151" s="116">
        <v>659.95</v>
      </c>
      <c r="Q1151" s="116">
        <v>655.15</v>
      </c>
      <c r="R1151">
        <v>712539</v>
      </c>
    </row>
    <row r="1152" spans="1:18" x14ac:dyDescent="0.25">
      <c r="A1152" s="170">
        <v>45100</v>
      </c>
      <c r="B1152" s="116">
        <v>659.85</v>
      </c>
      <c r="C1152" s="116">
        <v>634.04999999999995</v>
      </c>
      <c r="D1152" s="116">
        <v>630</v>
      </c>
      <c r="E1152" s="116">
        <v>659.85</v>
      </c>
      <c r="F1152" s="116">
        <v>634.04999999999995</v>
      </c>
      <c r="G1152">
        <v>126705</v>
      </c>
      <c r="H1152" s="116"/>
      <c r="I1152" s="116"/>
      <c r="L1152" s="170">
        <v>45100</v>
      </c>
      <c r="M1152" s="116">
        <v>634.29999999999995</v>
      </c>
      <c r="N1152" s="116">
        <v>658</v>
      </c>
      <c r="O1152" s="116">
        <v>630</v>
      </c>
      <c r="P1152" s="116">
        <v>658</v>
      </c>
      <c r="Q1152" s="116">
        <v>634.29999999999995</v>
      </c>
      <c r="R1152">
        <v>2019933</v>
      </c>
    </row>
    <row r="1153" spans="1:18" x14ac:dyDescent="0.25">
      <c r="A1153" s="170">
        <v>45103</v>
      </c>
      <c r="B1153" s="116">
        <v>652.04999999999995</v>
      </c>
      <c r="C1153" s="116">
        <v>643.70000000000005</v>
      </c>
      <c r="D1153" s="116">
        <v>620.15</v>
      </c>
      <c r="E1153" s="116">
        <v>632.5</v>
      </c>
      <c r="F1153" s="116">
        <v>643.70000000000005</v>
      </c>
      <c r="G1153">
        <v>76535</v>
      </c>
      <c r="H1153" s="116"/>
      <c r="I1153" s="116"/>
      <c r="L1153" s="170">
        <v>45103</v>
      </c>
      <c r="M1153" s="116">
        <v>644</v>
      </c>
      <c r="N1153" s="116">
        <v>651.95000000000005</v>
      </c>
      <c r="O1153" s="116">
        <v>620.04999999999995</v>
      </c>
      <c r="P1153" s="116">
        <v>632</v>
      </c>
      <c r="Q1153" s="116">
        <v>644</v>
      </c>
      <c r="R1153">
        <v>1100925</v>
      </c>
    </row>
    <row r="1154" spans="1:18" x14ac:dyDescent="0.25">
      <c r="A1154" s="170">
        <v>45104</v>
      </c>
      <c r="B1154" s="116">
        <v>652.15</v>
      </c>
      <c r="C1154" s="116">
        <v>640.70000000000005</v>
      </c>
      <c r="D1154" s="116">
        <v>639.20000000000005</v>
      </c>
      <c r="E1154" s="116">
        <v>645.04999999999995</v>
      </c>
      <c r="F1154" s="116">
        <v>640.70000000000005</v>
      </c>
      <c r="G1154">
        <v>42287</v>
      </c>
      <c r="H1154" s="116"/>
      <c r="I1154" s="116"/>
      <c r="L1154" s="170">
        <v>45104</v>
      </c>
      <c r="M1154" s="116">
        <v>641.5</v>
      </c>
      <c r="N1154" s="116">
        <v>652</v>
      </c>
      <c r="O1154" s="116">
        <v>639</v>
      </c>
      <c r="P1154" s="116">
        <v>647.04999999999995</v>
      </c>
      <c r="Q1154" s="116">
        <v>641.5</v>
      </c>
      <c r="R1154">
        <v>591690</v>
      </c>
    </row>
    <row r="1155" spans="1:18" x14ac:dyDescent="0.25">
      <c r="A1155" s="170">
        <v>45105</v>
      </c>
      <c r="B1155" s="116">
        <v>658.5</v>
      </c>
      <c r="C1155" s="116">
        <v>655.15</v>
      </c>
      <c r="D1155" s="116">
        <v>643.4</v>
      </c>
      <c r="E1155" s="116">
        <v>650</v>
      </c>
      <c r="F1155" s="116">
        <v>655.15</v>
      </c>
      <c r="G1155">
        <v>79252</v>
      </c>
      <c r="H1155" s="116"/>
      <c r="I1155" s="116"/>
      <c r="L1155" s="170">
        <v>45105</v>
      </c>
      <c r="M1155" s="116">
        <v>654.5</v>
      </c>
      <c r="N1155" s="116">
        <v>658.9</v>
      </c>
      <c r="O1155" s="116">
        <v>643</v>
      </c>
      <c r="P1155" s="116">
        <v>651</v>
      </c>
      <c r="Q1155" s="116">
        <v>654.5</v>
      </c>
      <c r="R1155">
        <v>1489233</v>
      </c>
    </row>
    <row r="1156" spans="1:18" x14ac:dyDescent="0.25">
      <c r="A1156" s="170">
        <v>45107</v>
      </c>
      <c r="B1156" s="116">
        <v>668.95</v>
      </c>
      <c r="C1156" s="116">
        <v>653.9</v>
      </c>
      <c r="D1156" s="116">
        <v>650.4</v>
      </c>
      <c r="E1156" s="116">
        <v>668.95</v>
      </c>
      <c r="F1156" s="116">
        <v>653.9</v>
      </c>
      <c r="G1156">
        <v>197000</v>
      </c>
      <c r="H1156" s="116"/>
      <c r="I1156" s="116"/>
      <c r="L1156" s="170">
        <v>45107</v>
      </c>
      <c r="M1156" s="116">
        <v>654.6</v>
      </c>
      <c r="N1156" s="116">
        <v>669.65</v>
      </c>
      <c r="O1156" s="116">
        <v>650.1</v>
      </c>
      <c r="P1156" s="116">
        <v>664.6</v>
      </c>
      <c r="Q1156" s="116">
        <v>654.6</v>
      </c>
      <c r="R1156">
        <v>1164032</v>
      </c>
    </row>
    <row r="1157" spans="1:18" x14ac:dyDescent="0.25">
      <c r="A1157" s="170">
        <v>45110</v>
      </c>
      <c r="B1157" s="116">
        <v>664</v>
      </c>
      <c r="C1157" s="116">
        <v>657.7</v>
      </c>
      <c r="D1157" s="116">
        <v>655.5</v>
      </c>
      <c r="E1157" s="116">
        <v>661.85</v>
      </c>
      <c r="F1157" s="116">
        <v>657.7</v>
      </c>
      <c r="G1157">
        <v>52998</v>
      </c>
      <c r="H1157" s="116"/>
      <c r="I1157" s="116"/>
      <c r="L1157" s="170">
        <v>45110</v>
      </c>
      <c r="M1157" s="116">
        <v>657.7</v>
      </c>
      <c r="N1157" s="116">
        <v>664</v>
      </c>
      <c r="O1157" s="116">
        <v>655</v>
      </c>
      <c r="P1157" s="116">
        <v>664</v>
      </c>
      <c r="Q1157" s="116">
        <v>657.7</v>
      </c>
      <c r="R1157">
        <v>670512</v>
      </c>
    </row>
    <row r="1158" spans="1:18" x14ac:dyDescent="0.25">
      <c r="A1158" s="170">
        <v>45111</v>
      </c>
      <c r="B1158" s="116">
        <v>660</v>
      </c>
      <c r="C1158" s="116">
        <v>649.95000000000005</v>
      </c>
      <c r="D1158" s="116">
        <v>649</v>
      </c>
      <c r="E1158" s="116">
        <v>658</v>
      </c>
      <c r="F1158" s="116">
        <v>649.95000000000005</v>
      </c>
      <c r="G1158">
        <v>33370</v>
      </c>
      <c r="H1158" s="116"/>
      <c r="I1158" s="116"/>
      <c r="L1158" s="170">
        <v>45111</v>
      </c>
      <c r="M1158" s="116">
        <v>650.15</v>
      </c>
      <c r="N1158" s="116">
        <v>662</v>
      </c>
      <c r="O1158" s="116">
        <v>648.70000000000005</v>
      </c>
      <c r="P1158" s="116">
        <v>658</v>
      </c>
      <c r="Q1158" s="116">
        <v>650.15</v>
      </c>
      <c r="R1158">
        <v>587024</v>
      </c>
    </row>
    <row r="1159" spans="1:18" x14ac:dyDescent="0.25">
      <c r="A1159" s="170">
        <v>45112</v>
      </c>
      <c r="B1159" s="116">
        <v>652</v>
      </c>
      <c r="C1159" s="116">
        <v>649.5</v>
      </c>
      <c r="D1159" s="116">
        <v>645.29999999999995</v>
      </c>
      <c r="E1159" s="116">
        <v>650</v>
      </c>
      <c r="F1159" s="116">
        <v>649.5</v>
      </c>
      <c r="G1159">
        <v>34049</v>
      </c>
      <c r="H1159" s="116"/>
      <c r="I1159" s="116"/>
      <c r="L1159" s="170">
        <v>45112</v>
      </c>
      <c r="M1159" s="116">
        <v>649.9</v>
      </c>
      <c r="N1159" s="116">
        <v>653</v>
      </c>
      <c r="O1159" s="116">
        <v>645.04999999999995</v>
      </c>
      <c r="P1159" s="116">
        <v>650.15</v>
      </c>
      <c r="Q1159" s="116">
        <v>649.9</v>
      </c>
      <c r="R1159">
        <v>510284</v>
      </c>
    </row>
    <row r="1160" spans="1:18" x14ac:dyDescent="0.25">
      <c r="A1160" s="170">
        <v>45113</v>
      </c>
      <c r="B1160" s="116">
        <v>653.79999999999995</v>
      </c>
      <c r="C1160" s="116">
        <v>648.6</v>
      </c>
      <c r="D1160" s="116">
        <v>646.1</v>
      </c>
      <c r="E1160" s="116">
        <v>649.6</v>
      </c>
      <c r="F1160" s="116">
        <v>648.6</v>
      </c>
      <c r="G1160">
        <v>31080</v>
      </c>
      <c r="H1160" s="116"/>
      <c r="I1160" s="116"/>
      <c r="L1160" s="170">
        <v>45113</v>
      </c>
      <c r="M1160" s="116">
        <v>648.75</v>
      </c>
      <c r="N1160" s="116">
        <v>653.20000000000005</v>
      </c>
      <c r="O1160" s="116">
        <v>646.15</v>
      </c>
      <c r="P1160" s="116">
        <v>648</v>
      </c>
      <c r="Q1160" s="116">
        <v>648.75</v>
      </c>
      <c r="R1160">
        <v>433427</v>
      </c>
    </row>
    <row r="1161" spans="1:18" x14ac:dyDescent="0.25">
      <c r="A1161" s="170">
        <v>45114</v>
      </c>
      <c r="B1161" s="116">
        <v>647.4</v>
      </c>
      <c r="C1161" s="116">
        <v>642.9</v>
      </c>
      <c r="D1161" s="116">
        <v>642</v>
      </c>
      <c r="E1161" s="116">
        <v>645</v>
      </c>
      <c r="F1161" s="116">
        <v>642.9</v>
      </c>
      <c r="G1161">
        <v>35766</v>
      </c>
      <c r="H1161" s="116"/>
      <c r="I1161" s="116"/>
      <c r="L1161" s="170">
        <v>45114</v>
      </c>
      <c r="M1161" s="116">
        <v>643.25</v>
      </c>
      <c r="N1161" s="116">
        <v>648</v>
      </c>
      <c r="O1161" s="116">
        <v>642</v>
      </c>
      <c r="P1161" s="116">
        <v>642.54999999999995</v>
      </c>
      <c r="Q1161" s="116">
        <v>643.25</v>
      </c>
      <c r="R1161">
        <v>495225</v>
      </c>
    </row>
    <row r="1162" spans="1:18" x14ac:dyDescent="0.25">
      <c r="A1162" s="170">
        <v>45117</v>
      </c>
      <c r="B1162" s="116">
        <v>652</v>
      </c>
      <c r="C1162" s="116">
        <v>639.25</v>
      </c>
      <c r="D1162" s="116">
        <v>635.75</v>
      </c>
      <c r="E1162" s="116">
        <v>643</v>
      </c>
      <c r="F1162" s="116">
        <v>639.25</v>
      </c>
      <c r="G1162">
        <v>45822</v>
      </c>
      <c r="H1162" s="116"/>
      <c r="I1162" s="116"/>
      <c r="L1162" s="170">
        <v>45117</v>
      </c>
      <c r="M1162" s="116">
        <v>639.5</v>
      </c>
      <c r="N1162" s="116">
        <v>651.95000000000005</v>
      </c>
      <c r="O1162" s="116">
        <v>635.54999999999995</v>
      </c>
      <c r="P1162" s="116">
        <v>640</v>
      </c>
      <c r="Q1162" s="116">
        <v>639.5</v>
      </c>
      <c r="R1162">
        <v>683699</v>
      </c>
    </row>
    <row r="1163" spans="1:18" x14ac:dyDescent="0.25">
      <c r="A1163" s="170">
        <v>45118</v>
      </c>
      <c r="B1163" s="116">
        <v>647.9</v>
      </c>
      <c r="C1163" s="116">
        <v>641</v>
      </c>
      <c r="D1163" s="116">
        <v>640</v>
      </c>
      <c r="E1163" s="116">
        <v>647.9</v>
      </c>
      <c r="F1163" s="116">
        <v>641</v>
      </c>
      <c r="G1163">
        <v>22391</v>
      </c>
      <c r="H1163" s="116"/>
      <c r="I1163" s="116"/>
      <c r="L1163" s="170">
        <v>45118</v>
      </c>
      <c r="M1163" s="116">
        <v>640.9</v>
      </c>
      <c r="N1163" s="116">
        <v>646</v>
      </c>
      <c r="O1163" s="116">
        <v>640</v>
      </c>
      <c r="P1163" s="116">
        <v>645.95000000000005</v>
      </c>
      <c r="Q1163" s="116">
        <v>640.9</v>
      </c>
      <c r="R1163">
        <v>432502</v>
      </c>
    </row>
    <row r="1164" spans="1:18" x14ac:dyDescent="0.25">
      <c r="A1164" s="170">
        <v>45119</v>
      </c>
      <c r="B1164" s="116">
        <v>645</v>
      </c>
      <c r="C1164" s="116">
        <v>635.85</v>
      </c>
      <c r="D1164" s="116">
        <v>633.15</v>
      </c>
      <c r="E1164" s="116">
        <v>641.04999999999995</v>
      </c>
      <c r="F1164" s="116">
        <v>635.85</v>
      </c>
      <c r="G1164">
        <v>90850</v>
      </c>
      <c r="H1164" s="116"/>
      <c r="I1164" s="116"/>
      <c r="L1164" s="170">
        <v>45119</v>
      </c>
      <c r="M1164" s="116">
        <v>635.70000000000005</v>
      </c>
      <c r="N1164" s="116">
        <v>645</v>
      </c>
      <c r="O1164" s="116">
        <v>632.29999999999995</v>
      </c>
      <c r="P1164" s="116">
        <v>642.5</v>
      </c>
      <c r="Q1164" s="116">
        <v>635.70000000000005</v>
      </c>
      <c r="R1164">
        <v>575095</v>
      </c>
    </row>
    <row r="1165" spans="1:18" x14ac:dyDescent="0.25">
      <c r="A1165" s="170">
        <v>45120</v>
      </c>
      <c r="B1165" s="116">
        <v>638.4</v>
      </c>
      <c r="C1165" s="116">
        <v>630.20000000000005</v>
      </c>
      <c r="D1165" s="116">
        <v>630</v>
      </c>
      <c r="E1165" s="116">
        <v>636.04999999999995</v>
      </c>
      <c r="F1165" s="116">
        <v>630.20000000000005</v>
      </c>
      <c r="G1165">
        <v>90159</v>
      </c>
      <c r="H1165" s="116"/>
      <c r="I1165" s="116"/>
      <c r="L1165" s="170">
        <v>45120</v>
      </c>
      <c r="M1165" s="116">
        <v>630.25</v>
      </c>
      <c r="N1165" s="116">
        <v>638</v>
      </c>
      <c r="O1165" s="116">
        <v>630</v>
      </c>
      <c r="P1165" s="116">
        <v>638</v>
      </c>
      <c r="Q1165" s="116">
        <v>630.25</v>
      </c>
      <c r="R1165">
        <v>583021</v>
      </c>
    </row>
    <row r="1166" spans="1:18" x14ac:dyDescent="0.25">
      <c r="A1166" s="170">
        <v>45121</v>
      </c>
      <c r="B1166" s="116">
        <v>638.79999999999995</v>
      </c>
      <c r="C1166" s="116">
        <v>634.25</v>
      </c>
      <c r="D1166" s="116">
        <v>625.04999999999995</v>
      </c>
      <c r="E1166" s="116">
        <v>630</v>
      </c>
      <c r="F1166" s="116">
        <v>634.25</v>
      </c>
      <c r="G1166">
        <v>34652</v>
      </c>
      <c r="H1166" s="116"/>
      <c r="I1166" s="116"/>
      <c r="L1166" s="170">
        <v>45121</v>
      </c>
      <c r="M1166" s="116">
        <v>633.9</v>
      </c>
      <c r="N1166" s="116">
        <v>638</v>
      </c>
      <c r="O1166" s="116">
        <v>625</v>
      </c>
      <c r="P1166" s="116">
        <v>630</v>
      </c>
      <c r="Q1166" s="116">
        <v>633.9</v>
      </c>
      <c r="R1166">
        <v>681426</v>
      </c>
    </row>
    <row r="1167" spans="1:18" x14ac:dyDescent="0.25">
      <c r="A1167" s="170">
        <v>45124</v>
      </c>
      <c r="B1167" s="116">
        <v>655.6</v>
      </c>
      <c r="C1167" s="116">
        <v>647.04999999999995</v>
      </c>
      <c r="D1167" s="116">
        <v>638.79999999999995</v>
      </c>
      <c r="E1167" s="116">
        <v>640</v>
      </c>
      <c r="F1167" s="116">
        <v>647.04999999999995</v>
      </c>
      <c r="G1167">
        <v>117370</v>
      </c>
      <c r="H1167" s="116"/>
      <c r="I1167" s="116"/>
      <c r="L1167" s="170">
        <v>45124</v>
      </c>
      <c r="M1167" s="116">
        <v>647</v>
      </c>
      <c r="N1167" s="116">
        <v>656</v>
      </c>
      <c r="O1167" s="116">
        <v>639</v>
      </c>
      <c r="P1167" s="116">
        <v>643.5</v>
      </c>
      <c r="Q1167" s="116">
        <v>647</v>
      </c>
      <c r="R1167">
        <v>637297</v>
      </c>
    </row>
    <row r="1168" spans="1:18" x14ac:dyDescent="0.25">
      <c r="A1168" s="170">
        <v>45125</v>
      </c>
      <c r="B1168" s="116">
        <v>660</v>
      </c>
      <c r="C1168" s="116">
        <v>645.70000000000005</v>
      </c>
      <c r="D1168" s="116">
        <v>643</v>
      </c>
      <c r="E1168" s="116">
        <v>650</v>
      </c>
      <c r="F1168" s="116">
        <v>645.70000000000005</v>
      </c>
      <c r="G1168">
        <v>193705</v>
      </c>
      <c r="H1168" s="116"/>
      <c r="I1168" s="116"/>
      <c r="L1168" s="170">
        <v>45125</v>
      </c>
      <c r="M1168" s="116">
        <v>645.75</v>
      </c>
      <c r="N1168" s="116">
        <v>660.95</v>
      </c>
      <c r="O1168" s="116">
        <v>642.1</v>
      </c>
      <c r="P1168" s="116">
        <v>649.79999999999995</v>
      </c>
      <c r="Q1168" s="116">
        <v>645.75</v>
      </c>
      <c r="R1168">
        <v>1246839</v>
      </c>
    </row>
    <row r="1169" spans="1:18" x14ac:dyDescent="0.25">
      <c r="A1169" s="170">
        <v>45126</v>
      </c>
      <c r="B1169" s="116">
        <v>649.65</v>
      </c>
      <c r="C1169" s="116">
        <v>641.35</v>
      </c>
      <c r="D1169" s="116">
        <v>640.25</v>
      </c>
      <c r="E1169" s="116">
        <v>646.25</v>
      </c>
      <c r="F1169" s="116">
        <v>641.35</v>
      </c>
      <c r="G1169">
        <v>25335</v>
      </c>
      <c r="H1169" s="116"/>
      <c r="I1169" s="116"/>
      <c r="L1169" s="170">
        <v>45126</v>
      </c>
      <c r="M1169" s="116">
        <v>641.15</v>
      </c>
      <c r="N1169" s="116">
        <v>649.70000000000005</v>
      </c>
      <c r="O1169" s="116">
        <v>640</v>
      </c>
      <c r="P1169" s="116">
        <v>649</v>
      </c>
      <c r="Q1169" s="116">
        <v>641.15</v>
      </c>
      <c r="R1169">
        <v>391334</v>
      </c>
    </row>
    <row r="1170" spans="1:18" x14ac:dyDescent="0.25">
      <c r="A1170" s="170">
        <v>45127</v>
      </c>
      <c r="B1170" s="116">
        <v>644</v>
      </c>
      <c r="C1170" s="116">
        <v>639.85</v>
      </c>
      <c r="D1170" s="116">
        <v>638.15</v>
      </c>
      <c r="E1170" s="116">
        <v>641.15</v>
      </c>
      <c r="F1170" s="116">
        <v>639.85</v>
      </c>
      <c r="G1170">
        <v>73271</v>
      </c>
      <c r="H1170" s="116"/>
      <c r="I1170" s="116"/>
      <c r="L1170" s="170">
        <v>45127</v>
      </c>
      <c r="M1170" s="116">
        <v>640.04999999999995</v>
      </c>
      <c r="N1170" s="116">
        <v>644.79999999999995</v>
      </c>
      <c r="O1170" s="116">
        <v>638.5</v>
      </c>
      <c r="P1170" s="116">
        <v>641.15</v>
      </c>
      <c r="Q1170" s="116">
        <v>640.04999999999995</v>
      </c>
      <c r="R1170">
        <v>350264</v>
      </c>
    </row>
    <row r="1171" spans="1:18" x14ac:dyDescent="0.25">
      <c r="A1171" s="170">
        <v>45128</v>
      </c>
      <c r="B1171" s="116">
        <v>641.54999999999995</v>
      </c>
      <c r="C1171" s="116">
        <v>636.1</v>
      </c>
      <c r="D1171" s="116">
        <v>635.04999999999995</v>
      </c>
      <c r="E1171" s="116">
        <v>639.85</v>
      </c>
      <c r="F1171" s="116">
        <v>636.1</v>
      </c>
      <c r="G1171">
        <v>27936</v>
      </c>
      <c r="H1171" s="116"/>
      <c r="I1171" s="116"/>
      <c r="L1171" s="170">
        <v>45128</v>
      </c>
      <c r="M1171" s="116">
        <v>636.20000000000005</v>
      </c>
      <c r="N1171" s="116">
        <v>641.65</v>
      </c>
      <c r="O1171" s="116">
        <v>635</v>
      </c>
      <c r="P1171" s="116">
        <v>639.85</v>
      </c>
      <c r="Q1171" s="116">
        <v>636.20000000000005</v>
      </c>
      <c r="R1171">
        <v>367867</v>
      </c>
    </row>
    <row r="1172" spans="1:18" x14ac:dyDescent="0.25">
      <c r="A1172" s="170">
        <v>45131</v>
      </c>
      <c r="B1172" s="116">
        <v>641.54999999999995</v>
      </c>
      <c r="C1172" s="116">
        <v>630.95000000000005</v>
      </c>
      <c r="D1172" s="116">
        <v>629</v>
      </c>
      <c r="E1172" s="116">
        <v>638.6</v>
      </c>
      <c r="F1172" s="116">
        <v>630.95000000000005</v>
      </c>
      <c r="G1172">
        <v>28474</v>
      </c>
      <c r="H1172" s="116"/>
      <c r="I1172" s="116"/>
      <c r="L1172" s="170">
        <v>45131</v>
      </c>
      <c r="M1172" s="116">
        <v>631.1</v>
      </c>
      <c r="N1172" s="116">
        <v>642</v>
      </c>
      <c r="O1172" s="116">
        <v>629.1</v>
      </c>
      <c r="P1172" s="116">
        <v>640.95000000000005</v>
      </c>
      <c r="Q1172" s="116">
        <v>631.1</v>
      </c>
      <c r="R1172">
        <v>431948</v>
      </c>
    </row>
    <row r="1173" spans="1:18" x14ac:dyDescent="0.25">
      <c r="A1173" s="170">
        <v>45132</v>
      </c>
      <c r="B1173" s="116">
        <v>662.45</v>
      </c>
      <c r="C1173" s="116">
        <v>662.45</v>
      </c>
      <c r="D1173" s="116">
        <v>628.29999999999995</v>
      </c>
      <c r="E1173" s="116">
        <v>630.04999999999995</v>
      </c>
      <c r="F1173" s="116">
        <v>662.45</v>
      </c>
      <c r="G1173">
        <v>75092</v>
      </c>
      <c r="H1173" s="116"/>
      <c r="I1173" s="116"/>
      <c r="L1173" s="170">
        <v>45132</v>
      </c>
      <c r="M1173" s="116">
        <v>662.65</v>
      </c>
      <c r="N1173" s="116">
        <v>662.65</v>
      </c>
      <c r="O1173" s="116">
        <v>628</v>
      </c>
      <c r="P1173" s="116">
        <v>631.15</v>
      </c>
      <c r="Q1173" s="116">
        <v>662.65</v>
      </c>
      <c r="R1173">
        <v>1552281</v>
      </c>
    </row>
    <row r="1174" spans="1:18" x14ac:dyDescent="0.25">
      <c r="A1174" s="170">
        <v>45133</v>
      </c>
      <c r="B1174" s="116">
        <v>678</v>
      </c>
      <c r="C1174" s="116">
        <v>663.75</v>
      </c>
      <c r="D1174" s="116">
        <v>653.9</v>
      </c>
      <c r="E1174" s="116">
        <v>674</v>
      </c>
      <c r="F1174" s="116">
        <v>663.75</v>
      </c>
      <c r="G1174">
        <v>164826</v>
      </c>
      <c r="H1174" s="116"/>
      <c r="I1174" s="116"/>
      <c r="L1174" s="170">
        <v>45133</v>
      </c>
      <c r="M1174" s="116">
        <v>663.85</v>
      </c>
      <c r="N1174" s="116">
        <v>678.4</v>
      </c>
      <c r="O1174" s="116">
        <v>652.65</v>
      </c>
      <c r="P1174" s="116">
        <v>673.1</v>
      </c>
      <c r="Q1174" s="116">
        <v>663.85</v>
      </c>
      <c r="R1174">
        <v>2615188</v>
      </c>
    </row>
    <row r="1175" spans="1:18" x14ac:dyDescent="0.25">
      <c r="A1175" s="170">
        <v>45134</v>
      </c>
      <c r="B1175" s="116">
        <v>665.55</v>
      </c>
      <c r="C1175" s="116">
        <v>654.6</v>
      </c>
      <c r="D1175" s="116">
        <v>652.35</v>
      </c>
      <c r="E1175" s="116">
        <v>663.8</v>
      </c>
      <c r="F1175" s="116">
        <v>654.6</v>
      </c>
      <c r="G1175">
        <v>41225</v>
      </c>
      <c r="H1175" s="116"/>
      <c r="I1175" s="116"/>
      <c r="L1175" s="170">
        <v>45134</v>
      </c>
      <c r="M1175" s="116">
        <v>654.45000000000005</v>
      </c>
      <c r="N1175" s="116">
        <v>666</v>
      </c>
      <c r="O1175" s="116">
        <v>652.5</v>
      </c>
      <c r="P1175" s="116">
        <v>664.65</v>
      </c>
      <c r="Q1175" s="116">
        <v>654.45000000000005</v>
      </c>
      <c r="R1175">
        <v>617875</v>
      </c>
    </row>
    <row r="1176" spans="1:18" x14ac:dyDescent="0.25">
      <c r="A1176" s="170">
        <v>45135</v>
      </c>
      <c r="B1176" s="116">
        <v>662</v>
      </c>
      <c r="C1176" s="116">
        <v>658</v>
      </c>
      <c r="D1176" s="116">
        <v>653.29999999999995</v>
      </c>
      <c r="E1176" s="116">
        <v>659.9</v>
      </c>
      <c r="F1176" s="116">
        <v>658</v>
      </c>
      <c r="G1176">
        <v>79581</v>
      </c>
      <c r="H1176" s="116"/>
      <c r="I1176" s="116"/>
      <c r="L1176" s="170">
        <v>45135</v>
      </c>
      <c r="M1176" s="116">
        <v>657.85</v>
      </c>
      <c r="N1176" s="116">
        <v>662</v>
      </c>
      <c r="O1176" s="116">
        <v>654</v>
      </c>
      <c r="P1176" s="116">
        <v>661</v>
      </c>
      <c r="Q1176" s="116">
        <v>657.85</v>
      </c>
      <c r="R1176">
        <v>441296</v>
      </c>
    </row>
    <row r="1177" spans="1:18" x14ac:dyDescent="0.25">
      <c r="A1177" s="170">
        <v>45138</v>
      </c>
      <c r="B1177" s="116">
        <v>667.95</v>
      </c>
      <c r="C1177" s="116">
        <v>663.4</v>
      </c>
      <c r="D1177" s="116">
        <v>660.95</v>
      </c>
      <c r="E1177" s="116">
        <v>664.6</v>
      </c>
      <c r="F1177" s="116">
        <v>663.4</v>
      </c>
      <c r="G1177">
        <v>130443</v>
      </c>
      <c r="H1177" s="116"/>
      <c r="I1177" s="116"/>
      <c r="L1177" s="170">
        <v>45138</v>
      </c>
      <c r="M1177" s="116">
        <v>663.7</v>
      </c>
      <c r="N1177" s="116">
        <v>668.85</v>
      </c>
      <c r="O1177" s="116">
        <v>660.05</v>
      </c>
      <c r="P1177" s="116">
        <v>665</v>
      </c>
      <c r="Q1177" s="116">
        <v>663.7</v>
      </c>
      <c r="R1177">
        <v>665841</v>
      </c>
    </row>
    <row r="1178" spans="1:18" x14ac:dyDescent="0.25">
      <c r="A1178" s="170">
        <v>45139</v>
      </c>
      <c r="B1178" s="116">
        <v>670.15</v>
      </c>
      <c r="C1178" s="116">
        <v>661.45</v>
      </c>
      <c r="D1178" s="116">
        <v>659.8</v>
      </c>
      <c r="E1178" s="116">
        <v>668</v>
      </c>
      <c r="F1178" s="116">
        <v>661.45</v>
      </c>
      <c r="G1178">
        <v>44524</v>
      </c>
      <c r="H1178" s="116"/>
      <c r="I1178" s="116"/>
      <c r="L1178" s="170">
        <v>45139</v>
      </c>
      <c r="M1178" s="116">
        <v>661.65</v>
      </c>
      <c r="N1178" s="116">
        <v>670.8</v>
      </c>
      <c r="O1178" s="116">
        <v>658</v>
      </c>
      <c r="P1178" s="116">
        <v>667.95</v>
      </c>
      <c r="Q1178" s="116">
        <v>661.65</v>
      </c>
      <c r="R1178">
        <v>792301</v>
      </c>
    </row>
    <row r="1179" spans="1:18" x14ac:dyDescent="0.25">
      <c r="A1179" s="170">
        <v>45140</v>
      </c>
      <c r="B1179" s="116">
        <v>669.15</v>
      </c>
      <c r="C1179" s="116">
        <v>652.15</v>
      </c>
      <c r="D1179" s="116">
        <v>645.75</v>
      </c>
      <c r="E1179" s="116">
        <v>665.05</v>
      </c>
      <c r="F1179" s="116">
        <v>652.15</v>
      </c>
      <c r="G1179">
        <v>38115</v>
      </c>
      <c r="H1179" s="116"/>
      <c r="I1179" s="116"/>
      <c r="L1179" s="170">
        <v>45140</v>
      </c>
      <c r="M1179" s="116">
        <v>652</v>
      </c>
      <c r="N1179" s="116">
        <v>669</v>
      </c>
      <c r="O1179" s="116">
        <v>645.54999999999995</v>
      </c>
      <c r="P1179" s="116">
        <v>667</v>
      </c>
      <c r="Q1179" s="116">
        <v>652</v>
      </c>
      <c r="R1179">
        <v>728085</v>
      </c>
    </row>
    <row r="1180" spans="1:18" x14ac:dyDescent="0.25">
      <c r="A1180" s="170">
        <v>45141</v>
      </c>
      <c r="B1180" s="116">
        <v>663.55</v>
      </c>
      <c r="C1180" s="116">
        <v>655.55</v>
      </c>
      <c r="D1180" s="116">
        <v>644.35</v>
      </c>
      <c r="E1180" s="116">
        <v>652.15</v>
      </c>
      <c r="F1180" s="116">
        <v>655.55</v>
      </c>
      <c r="G1180">
        <v>93479</v>
      </c>
      <c r="H1180" s="116"/>
      <c r="I1180" s="116"/>
      <c r="L1180" s="170">
        <v>45141</v>
      </c>
      <c r="M1180" s="116">
        <v>655.5</v>
      </c>
      <c r="N1180" s="116">
        <v>663.65</v>
      </c>
      <c r="O1180" s="116">
        <v>644</v>
      </c>
      <c r="P1180" s="116">
        <v>653.54999999999995</v>
      </c>
      <c r="Q1180" s="116">
        <v>655.5</v>
      </c>
      <c r="R1180">
        <v>528706</v>
      </c>
    </row>
    <row r="1181" spans="1:18" x14ac:dyDescent="0.25">
      <c r="A1181" s="170">
        <v>45142</v>
      </c>
      <c r="B1181" s="116">
        <v>661.25</v>
      </c>
      <c r="C1181" s="116">
        <v>650.70000000000005</v>
      </c>
      <c r="D1181" s="116">
        <v>642.54999999999995</v>
      </c>
      <c r="E1181" s="116">
        <v>660</v>
      </c>
      <c r="F1181" s="116">
        <v>650.70000000000005</v>
      </c>
      <c r="G1181">
        <v>101920</v>
      </c>
      <c r="H1181" s="116"/>
      <c r="I1181" s="116"/>
      <c r="L1181" s="170">
        <v>45142</v>
      </c>
      <c r="M1181" s="116">
        <v>649.65</v>
      </c>
      <c r="N1181" s="116">
        <v>661.95</v>
      </c>
      <c r="O1181" s="116">
        <v>644</v>
      </c>
      <c r="P1181" s="116">
        <v>661.95</v>
      </c>
      <c r="Q1181" s="116">
        <v>649.65</v>
      </c>
      <c r="R1181">
        <v>447631</v>
      </c>
    </row>
    <row r="1182" spans="1:18" x14ac:dyDescent="0.25">
      <c r="A1182" s="170">
        <v>45145</v>
      </c>
      <c r="B1182" s="116">
        <v>655.35</v>
      </c>
      <c r="C1182" s="116">
        <v>651.15</v>
      </c>
      <c r="D1182" s="116">
        <v>644.95000000000005</v>
      </c>
      <c r="E1182" s="116">
        <v>652.04999999999995</v>
      </c>
      <c r="F1182" s="116">
        <v>651.15</v>
      </c>
      <c r="G1182">
        <v>122635</v>
      </c>
      <c r="H1182" s="116"/>
      <c r="I1182" s="116"/>
      <c r="L1182" s="170">
        <v>45145</v>
      </c>
      <c r="M1182" s="116">
        <v>650.70000000000005</v>
      </c>
      <c r="N1182" s="116">
        <v>655.4</v>
      </c>
      <c r="O1182" s="116">
        <v>644.1</v>
      </c>
      <c r="P1182" s="116">
        <v>655</v>
      </c>
      <c r="Q1182" s="116">
        <v>650.70000000000005</v>
      </c>
      <c r="R1182">
        <v>770232</v>
      </c>
    </row>
    <row r="1183" spans="1:18" x14ac:dyDescent="0.25">
      <c r="A1183" s="170">
        <v>45146</v>
      </c>
      <c r="B1183" s="116">
        <v>664</v>
      </c>
      <c r="C1183" s="116">
        <v>652.1</v>
      </c>
      <c r="D1183" s="116">
        <v>646.04999999999995</v>
      </c>
      <c r="E1183" s="116">
        <v>650</v>
      </c>
      <c r="F1183" s="116">
        <v>652.1</v>
      </c>
      <c r="G1183">
        <v>120269</v>
      </c>
      <c r="H1183" s="116"/>
      <c r="I1183" s="116"/>
      <c r="L1183" s="170">
        <v>45146</v>
      </c>
      <c r="M1183" s="116">
        <v>652.35</v>
      </c>
      <c r="N1183" s="116">
        <v>664</v>
      </c>
      <c r="O1183" s="116">
        <v>650</v>
      </c>
      <c r="P1183" s="116">
        <v>650.9</v>
      </c>
      <c r="Q1183" s="116">
        <v>652.35</v>
      </c>
      <c r="R1183">
        <v>678200</v>
      </c>
    </row>
    <row r="1184" spans="1:18" x14ac:dyDescent="0.25">
      <c r="A1184" s="170">
        <v>45147</v>
      </c>
      <c r="B1184" s="116">
        <v>656.25</v>
      </c>
      <c r="C1184" s="116">
        <v>647.15</v>
      </c>
      <c r="D1184" s="116">
        <v>644.5</v>
      </c>
      <c r="E1184" s="116">
        <v>652.4</v>
      </c>
      <c r="F1184" s="116">
        <v>647.15</v>
      </c>
      <c r="G1184">
        <v>30988</v>
      </c>
      <c r="H1184" s="116"/>
      <c r="I1184" s="116"/>
      <c r="L1184" s="170">
        <v>45147</v>
      </c>
      <c r="M1184" s="116">
        <v>646.85</v>
      </c>
      <c r="N1184" s="116">
        <v>657.85</v>
      </c>
      <c r="O1184" s="116">
        <v>643.85</v>
      </c>
      <c r="P1184" s="116">
        <v>653.9</v>
      </c>
      <c r="Q1184" s="116">
        <v>646.85</v>
      </c>
      <c r="R1184">
        <v>471298</v>
      </c>
    </row>
    <row r="1185" spans="1:18" x14ac:dyDescent="0.25">
      <c r="A1185" s="170">
        <v>45148</v>
      </c>
      <c r="B1185" s="116">
        <v>653</v>
      </c>
      <c r="C1185" s="116">
        <v>647</v>
      </c>
      <c r="D1185" s="116">
        <v>644.79999999999995</v>
      </c>
      <c r="E1185" s="116">
        <v>647.75</v>
      </c>
      <c r="F1185" s="116">
        <v>647</v>
      </c>
      <c r="G1185">
        <v>94280</v>
      </c>
      <c r="H1185" s="116"/>
      <c r="I1185" s="116"/>
      <c r="L1185" s="170">
        <v>45148</v>
      </c>
      <c r="M1185" s="116">
        <v>646.85</v>
      </c>
      <c r="N1185" s="116">
        <v>653.20000000000005</v>
      </c>
      <c r="O1185" s="116">
        <v>644.29999999999995</v>
      </c>
      <c r="P1185" s="116">
        <v>649</v>
      </c>
      <c r="Q1185" s="116">
        <v>646.85</v>
      </c>
      <c r="R1185">
        <v>418730</v>
      </c>
    </row>
    <row r="1186" spans="1:18" x14ac:dyDescent="0.25">
      <c r="A1186" s="170">
        <v>45149</v>
      </c>
      <c r="B1186" s="116">
        <v>655</v>
      </c>
      <c r="C1186" s="116">
        <v>649</v>
      </c>
      <c r="D1186" s="116">
        <v>647.65</v>
      </c>
      <c r="E1186" s="116">
        <v>653</v>
      </c>
      <c r="F1186" s="116">
        <v>649</v>
      </c>
      <c r="G1186">
        <v>74015</v>
      </c>
      <c r="H1186" s="116"/>
      <c r="I1186" s="116"/>
      <c r="L1186" s="170">
        <v>45149</v>
      </c>
      <c r="M1186" s="116">
        <v>649.04999999999995</v>
      </c>
      <c r="N1186" s="116">
        <v>655</v>
      </c>
      <c r="O1186" s="116">
        <v>647</v>
      </c>
      <c r="P1186" s="116">
        <v>655</v>
      </c>
      <c r="Q1186" s="116">
        <v>649.04999999999995</v>
      </c>
      <c r="R1186">
        <v>331064</v>
      </c>
    </row>
    <row r="1187" spans="1:18" x14ac:dyDescent="0.25">
      <c r="A1187" s="170">
        <v>45152</v>
      </c>
      <c r="B1187" s="116">
        <v>648</v>
      </c>
      <c r="C1187" s="116">
        <v>635.54999999999995</v>
      </c>
      <c r="D1187" s="116">
        <v>628.9</v>
      </c>
      <c r="E1187" s="116">
        <v>636.54999999999995</v>
      </c>
      <c r="F1187" s="116">
        <v>635.54999999999995</v>
      </c>
      <c r="G1187">
        <v>43704</v>
      </c>
      <c r="H1187" s="116"/>
      <c r="I1187" s="116"/>
      <c r="L1187" s="170">
        <v>45152</v>
      </c>
      <c r="M1187" s="116">
        <v>635.6</v>
      </c>
      <c r="N1187" s="116">
        <v>647.95000000000005</v>
      </c>
      <c r="O1187" s="116">
        <v>628.79999999999995</v>
      </c>
      <c r="P1187" s="116">
        <v>643.5</v>
      </c>
      <c r="Q1187" s="116">
        <v>635.6</v>
      </c>
      <c r="R1187">
        <v>746617</v>
      </c>
    </row>
    <row r="1188" spans="1:18" x14ac:dyDescent="0.25">
      <c r="A1188" s="170">
        <v>45154</v>
      </c>
      <c r="B1188" s="116">
        <v>640</v>
      </c>
      <c r="C1188" s="116">
        <v>635.9</v>
      </c>
      <c r="D1188" s="116">
        <v>631.6</v>
      </c>
      <c r="E1188" s="116">
        <v>634</v>
      </c>
      <c r="F1188" s="116">
        <v>635.9</v>
      </c>
      <c r="G1188">
        <v>28904</v>
      </c>
      <c r="H1188" s="116"/>
      <c r="I1188" s="116"/>
      <c r="L1188" s="170">
        <v>45154</v>
      </c>
      <c r="M1188" s="116">
        <v>635.54999999999995</v>
      </c>
      <c r="N1188" s="116">
        <v>642</v>
      </c>
      <c r="O1188" s="116">
        <v>631.5</v>
      </c>
      <c r="P1188" s="116">
        <v>635</v>
      </c>
      <c r="Q1188" s="116">
        <v>635.54999999999995</v>
      </c>
      <c r="R1188">
        <v>461284</v>
      </c>
    </row>
    <row r="1189" spans="1:18" x14ac:dyDescent="0.25">
      <c r="A1189" s="170">
        <v>45155</v>
      </c>
      <c r="B1189" s="116">
        <v>639.25</v>
      </c>
      <c r="C1189" s="116">
        <v>633.75</v>
      </c>
      <c r="D1189" s="116">
        <v>632.5</v>
      </c>
      <c r="E1189" s="116">
        <v>636.04999999999995</v>
      </c>
      <c r="F1189" s="116">
        <v>633.75</v>
      </c>
      <c r="G1189">
        <v>70362</v>
      </c>
      <c r="H1189" s="116"/>
      <c r="I1189" s="116"/>
      <c r="L1189" s="170">
        <v>45155</v>
      </c>
      <c r="M1189" s="116">
        <v>633.70000000000005</v>
      </c>
      <c r="N1189" s="116">
        <v>639.9</v>
      </c>
      <c r="O1189" s="116">
        <v>633</v>
      </c>
      <c r="P1189" s="116">
        <v>639.79999999999995</v>
      </c>
      <c r="Q1189" s="116">
        <v>633.70000000000005</v>
      </c>
      <c r="R1189">
        <v>362303</v>
      </c>
    </row>
    <row r="1190" spans="1:18" x14ac:dyDescent="0.25">
      <c r="A1190" s="170">
        <v>45156</v>
      </c>
      <c r="B1190" s="116">
        <v>676.7</v>
      </c>
      <c r="C1190" s="116">
        <v>654.15</v>
      </c>
      <c r="D1190" s="116">
        <v>631.04999999999995</v>
      </c>
      <c r="E1190" s="116">
        <v>631.04999999999995</v>
      </c>
      <c r="F1190" s="116">
        <v>654.15</v>
      </c>
      <c r="G1190">
        <v>414052</v>
      </c>
      <c r="H1190" s="116"/>
      <c r="I1190" s="116"/>
      <c r="L1190" s="170">
        <v>45156</v>
      </c>
      <c r="M1190" s="116">
        <v>654.5</v>
      </c>
      <c r="N1190" s="116">
        <v>676.8</v>
      </c>
      <c r="O1190" s="116">
        <v>632.5</v>
      </c>
      <c r="P1190" s="116">
        <v>633</v>
      </c>
      <c r="Q1190" s="116">
        <v>654.5</v>
      </c>
      <c r="R1190">
        <v>2738493</v>
      </c>
    </row>
    <row r="1191" spans="1:18" x14ac:dyDescent="0.25">
      <c r="A1191" s="170">
        <v>45159</v>
      </c>
      <c r="B1191" s="116">
        <v>673.55</v>
      </c>
      <c r="C1191" s="116">
        <v>664.8</v>
      </c>
      <c r="D1191" s="116">
        <v>655.04999999999995</v>
      </c>
      <c r="E1191" s="116">
        <v>655.04999999999995</v>
      </c>
      <c r="F1191" s="116">
        <v>664.8</v>
      </c>
      <c r="G1191">
        <v>99135</v>
      </c>
      <c r="H1191" s="116"/>
      <c r="I1191" s="116"/>
      <c r="L1191" s="170">
        <v>45159</v>
      </c>
      <c r="M1191" s="116">
        <v>664.5</v>
      </c>
      <c r="N1191" s="116">
        <v>673.65</v>
      </c>
      <c r="O1191" s="116">
        <v>656</v>
      </c>
      <c r="P1191" s="116">
        <v>659</v>
      </c>
      <c r="Q1191" s="116">
        <v>664.5</v>
      </c>
      <c r="R1191">
        <v>1528172</v>
      </c>
    </row>
    <row r="1192" spans="1:18" x14ac:dyDescent="0.25">
      <c r="A1192" s="170">
        <v>45160</v>
      </c>
      <c r="B1192" s="116">
        <v>680</v>
      </c>
      <c r="C1192" s="116">
        <v>672.3</v>
      </c>
      <c r="D1192" s="116">
        <v>667</v>
      </c>
      <c r="E1192" s="116">
        <v>670.05</v>
      </c>
      <c r="F1192" s="116">
        <v>672.3</v>
      </c>
      <c r="G1192">
        <v>269348</v>
      </c>
      <c r="H1192" s="116"/>
      <c r="I1192" s="116"/>
      <c r="L1192" s="170">
        <v>45160</v>
      </c>
      <c r="M1192" s="116">
        <v>672.55</v>
      </c>
      <c r="N1192" s="116">
        <v>680</v>
      </c>
      <c r="O1192" s="116">
        <v>667</v>
      </c>
      <c r="P1192" s="116">
        <v>669.95</v>
      </c>
      <c r="Q1192" s="116">
        <v>672.55</v>
      </c>
      <c r="R1192">
        <v>1484767</v>
      </c>
    </row>
    <row r="1193" spans="1:18" x14ac:dyDescent="0.25">
      <c r="A1193" s="170">
        <v>45161</v>
      </c>
      <c r="B1193" s="116">
        <v>685</v>
      </c>
      <c r="C1193" s="116">
        <v>653.45000000000005</v>
      </c>
      <c r="D1193" s="116">
        <v>647.15</v>
      </c>
      <c r="E1193" s="116">
        <v>680.6</v>
      </c>
      <c r="F1193" s="116">
        <v>653.45000000000005</v>
      </c>
      <c r="G1193">
        <v>103620</v>
      </c>
      <c r="H1193" s="116"/>
      <c r="I1193" s="116"/>
      <c r="L1193" s="170">
        <v>45161</v>
      </c>
      <c r="M1193" s="116">
        <v>654.20000000000005</v>
      </c>
      <c r="N1193" s="116">
        <v>686</v>
      </c>
      <c r="O1193" s="116">
        <v>647.04999999999995</v>
      </c>
      <c r="P1193" s="116">
        <v>680</v>
      </c>
      <c r="Q1193" s="116">
        <v>654.20000000000005</v>
      </c>
      <c r="R1193">
        <v>1475566</v>
      </c>
    </row>
    <row r="1194" spans="1:18" x14ac:dyDescent="0.25">
      <c r="A1194" s="170">
        <v>45162</v>
      </c>
      <c r="B1194" s="116">
        <v>668.55</v>
      </c>
      <c r="C1194" s="116">
        <v>661.8</v>
      </c>
      <c r="D1194" s="116">
        <v>659.05</v>
      </c>
      <c r="E1194" s="116">
        <v>664.4</v>
      </c>
      <c r="F1194" s="116">
        <v>661.8</v>
      </c>
      <c r="G1194">
        <v>37640</v>
      </c>
      <c r="H1194" s="116"/>
      <c r="I1194" s="116"/>
      <c r="L1194" s="170">
        <v>45162</v>
      </c>
      <c r="M1194" s="116">
        <v>661.9</v>
      </c>
      <c r="N1194" s="116">
        <v>668.55</v>
      </c>
      <c r="O1194" s="116">
        <v>658.55</v>
      </c>
      <c r="P1194" s="116">
        <v>664.85</v>
      </c>
      <c r="Q1194" s="116">
        <v>661.9</v>
      </c>
      <c r="R1194">
        <v>668549</v>
      </c>
    </row>
    <row r="1195" spans="1:18" x14ac:dyDescent="0.25">
      <c r="A1195" s="170">
        <v>45163</v>
      </c>
      <c r="B1195" s="116">
        <v>665.25</v>
      </c>
      <c r="C1195" s="116">
        <v>653.65</v>
      </c>
      <c r="D1195" s="116">
        <v>650</v>
      </c>
      <c r="E1195" s="116">
        <v>661.85</v>
      </c>
      <c r="F1195" s="116">
        <v>653.65</v>
      </c>
      <c r="G1195">
        <v>28671</v>
      </c>
      <c r="H1195" s="116"/>
      <c r="I1195" s="116"/>
      <c r="L1195" s="170">
        <v>45163</v>
      </c>
      <c r="M1195" s="116">
        <v>653.75</v>
      </c>
      <c r="N1195" s="116">
        <v>665.8</v>
      </c>
      <c r="O1195" s="116">
        <v>650</v>
      </c>
      <c r="P1195" s="116">
        <v>665</v>
      </c>
      <c r="Q1195" s="116">
        <v>653.75</v>
      </c>
      <c r="R1195">
        <v>554511</v>
      </c>
    </row>
    <row r="1196" spans="1:18" x14ac:dyDescent="0.25">
      <c r="A1196" s="170">
        <v>45166</v>
      </c>
      <c r="B1196" s="116">
        <v>664.85</v>
      </c>
      <c r="C1196" s="116">
        <v>655.75</v>
      </c>
      <c r="D1196" s="116">
        <v>648.4</v>
      </c>
      <c r="E1196" s="116">
        <v>648.4</v>
      </c>
      <c r="F1196" s="116">
        <v>655.75</v>
      </c>
      <c r="G1196">
        <v>38648</v>
      </c>
      <c r="H1196" s="116"/>
      <c r="I1196" s="116"/>
      <c r="L1196" s="170">
        <v>45166</v>
      </c>
      <c r="M1196" s="116">
        <v>655.6</v>
      </c>
      <c r="N1196" s="116">
        <v>664.5</v>
      </c>
      <c r="O1196" s="116">
        <v>650.20000000000005</v>
      </c>
      <c r="P1196" s="116">
        <v>657.9</v>
      </c>
      <c r="Q1196" s="116">
        <v>655.6</v>
      </c>
      <c r="R1196">
        <v>519225</v>
      </c>
    </row>
    <row r="1197" spans="1:18" x14ac:dyDescent="0.25">
      <c r="A1197" s="170">
        <v>45167</v>
      </c>
      <c r="B1197" s="116">
        <v>663</v>
      </c>
      <c r="C1197" s="116">
        <v>657</v>
      </c>
      <c r="D1197" s="116">
        <v>651.1</v>
      </c>
      <c r="E1197" s="116">
        <v>660.3</v>
      </c>
      <c r="F1197" s="116">
        <v>657</v>
      </c>
      <c r="G1197">
        <v>100530</v>
      </c>
      <c r="H1197" s="116"/>
      <c r="I1197" s="116"/>
      <c r="L1197" s="170">
        <v>45167</v>
      </c>
      <c r="M1197" s="116">
        <v>656.8</v>
      </c>
      <c r="N1197" s="116">
        <v>663.45</v>
      </c>
      <c r="O1197" s="116">
        <v>651.35</v>
      </c>
      <c r="P1197" s="116">
        <v>663.45</v>
      </c>
      <c r="Q1197" s="116">
        <v>656.8</v>
      </c>
      <c r="R1197">
        <v>533823</v>
      </c>
    </row>
    <row r="1198" spans="1:18" x14ac:dyDescent="0.25">
      <c r="A1198" s="170">
        <v>45168</v>
      </c>
      <c r="B1198" s="116">
        <v>662</v>
      </c>
      <c r="C1198" s="116">
        <v>652.5</v>
      </c>
      <c r="D1198" s="116">
        <v>651</v>
      </c>
      <c r="E1198" s="116">
        <v>659.05</v>
      </c>
      <c r="F1198" s="116">
        <v>652.5</v>
      </c>
      <c r="G1198">
        <v>85522</v>
      </c>
      <c r="H1198" s="116"/>
      <c r="I1198" s="116"/>
      <c r="L1198" s="170">
        <v>45168</v>
      </c>
      <c r="M1198" s="116">
        <v>652.45000000000005</v>
      </c>
      <c r="N1198" s="116">
        <v>662.5</v>
      </c>
      <c r="O1198" s="116">
        <v>651</v>
      </c>
      <c r="P1198" s="116">
        <v>662.5</v>
      </c>
      <c r="Q1198" s="116">
        <v>652.45000000000005</v>
      </c>
      <c r="R1198">
        <v>441869</v>
      </c>
    </row>
    <row r="1199" spans="1:18" x14ac:dyDescent="0.25">
      <c r="A1199" s="170">
        <v>45169</v>
      </c>
      <c r="B1199" s="116">
        <v>645.85</v>
      </c>
      <c r="C1199" s="116">
        <v>635.6</v>
      </c>
      <c r="D1199" s="116">
        <v>626.4</v>
      </c>
      <c r="E1199" s="116">
        <v>630</v>
      </c>
      <c r="F1199" s="116">
        <v>635.6</v>
      </c>
      <c r="G1199">
        <v>177809</v>
      </c>
      <c r="H1199" s="116"/>
      <c r="I1199" s="116"/>
      <c r="L1199" s="170">
        <v>45169</v>
      </c>
      <c r="M1199" s="116">
        <v>635.79999999999995</v>
      </c>
      <c r="N1199" s="116">
        <v>644.9</v>
      </c>
      <c r="O1199" s="116">
        <v>626</v>
      </c>
      <c r="P1199" s="116">
        <v>626</v>
      </c>
      <c r="Q1199" s="116">
        <v>635.79999999999995</v>
      </c>
      <c r="R1199">
        <v>939856</v>
      </c>
    </row>
    <row r="1200" spans="1:18" x14ac:dyDescent="0.25">
      <c r="A1200" s="170">
        <v>45170</v>
      </c>
      <c r="B1200" s="116">
        <v>639.25</v>
      </c>
      <c r="C1200" s="116">
        <v>633.75</v>
      </c>
      <c r="D1200" s="116">
        <v>623.5</v>
      </c>
      <c r="E1200" s="116">
        <v>623.5</v>
      </c>
      <c r="F1200" s="116">
        <v>633.75</v>
      </c>
      <c r="G1200">
        <v>76162</v>
      </c>
      <c r="H1200" s="116"/>
      <c r="I1200" s="116"/>
      <c r="L1200" s="170">
        <v>45170</v>
      </c>
      <c r="M1200" s="116">
        <v>633.85</v>
      </c>
      <c r="N1200" s="116">
        <v>639</v>
      </c>
      <c r="O1200" s="116">
        <v>621</v>
      </c>
      <c r="P1200" s="116">
        <v>625.15</v>
      </c>
      <c r="Q1200" s="116">
        <v>633.85</v>
      </c>
      <c r="R1200">
        <v>987407</v>
      </c>
    </row>
    <row r="1201" spans="1:18" x14ac:dyDescent="0.25">
      <c r="A1201" s="170">
        <v>45173</v>
      </c>
      <c r="B1201" s="116">
        <v>641.04999999999995</v>
      </c>
      <c r="C1201" s="116">
        <v>632.65</v>
      </c>
      <c r="D1201" s="116">
        <v>630.45000000000005</v>
      </c>
      <c r="E1201" s="116">
        <v>640.04999999999995</v>
      </c>
      <c r="F1201" s="116">
        <v>632.65</v>
      </c>
      <c r="G1201">
        <v>48515</v>
      </c>
      <c r="H1201" s="116"/>
      <c r="I1201" s="116"/>
      <c r="L1201" s="170">
        <v>45173</v>
      </c>
      <c r="M1201" s="116">
        <v>632.45000000000005</v>
      </c>
      <c r="N1201" s="116">
        <v>640.9</v>
      </c>
      <c r="O1201" s="116">
        <v>630.15</v>
      </c>
      <c r="P1201" s="116">
        <v>640</v>
      </c>
      <c r="Q1201" s="116">
        <v>632.45000000000005</v>
      </c>
      <c r="R1201">
        <v>675853</v>
      </c>
    </row>
    <row r="1202" spans="1:18" x14ac:dyDescent="0.25">
      <c r="A1202" s="170">
        <v>45174</v>
      </c>
      <c r="B1202" s="116">
        <v>639.5</v>
      </c>
      <c r="C1202" s="116">
        <v>633.6</v>
      </c>
      <c r="D1202" s="116">
        <v>631.5</v>
      </c>
      <c r="E1202" s="116">
        <v>633.04999999999995</v>
      </c>
      <c r="F1202" s="116">
        <v>633.6</v>
      </c>
      <c r="G1202">
        <v>92147</v>
      </c>
      <c r="H1202" s="116"/>
      <c r="I1202" s="116"/>
      <c r="L1202" s="170">
        <v>45174</v>
      </c>
      <c r="M1202" s="116">
        <v>633.4</v>
      </c>
      <c r="N1202" s="116">
        <v>639.45000000000005</v>
      </c>
      <c r="O1202" s="116">
        <v>632.1</v>
      </c>
      <c r="P1202" s="116">
        <v>636.79999999999995</v>
      </c>
      <c r="Q1202" s="116">
        <v>633.4</v>
      </c>
      <c r="R1202">
        <v>379503</v>
      </c>
    </row>
    <row r="1203" spans="1:18" x14ac:dyDescent="0.25">
      <c r="A1203" s="170">
        <v>45175</v>
      </c>
      <c r="B1203" s="116">
        <v>649.79999999999995</v>
      </c>
      <c r="C1203" s="116">
        <v>644.70000000000005</v>
      </c>
      <c r="D1203" s="116">
        <v>632.75</v>
      </c>
      <c r="E1203" s="116">
        <v>637</v>
      </c>
      <c r="F1203" s="116">
        <v>644.70000000000005</v>
      </c>
      <c r="G1203">
        <v>143827</v>
      </c>
      <c r="H1203" s="116"/>
      <c r="I1203" s="116"/>
      <c r="L1203" s="170">
        <v>45175</v>
      </c>
      <c r="M1203" s="116">
        <v>644.70000000000005</v>
      </c>
      <c r="N1203" s="116">
        <v>650</v>
      </c>
      <c r="O1203" s="116">
        <v>633</v>
      </c>
      <c r="P1203" s="116">
        <v>637.95000000000005</v>
      </c>
      <c r="Q1203" s="116">
        <v>644.70000000000005</v>
      </c>
      <c r="R1203">
        <v>868086</v>
      </c>
    </row>
    <row r="1204" spans="1:18" x14ac:dyDescent="0.25">
      <c r="A1204" s="170">
        <v>45176</v>
      </c>
      <c r="B1204" s="116">
        <v>655</v>
      </c>
      <c r="C1204" s="116">
        <v>646.79999999999995</v>
      </c>
      <c r="D1204" s="116">
        <v>645</v>
      </c>
      <c r="E1204" s="116">
        <v>650.04999999999995</v>
      </c>
      <c r="F1204" s="116">
        <v>646.79999999999995</v>
      </c>
      <c r="G1204">
        <v>122281</v>
      </c>
      <c r="H1204" s="116"/>
      <c r="I1204" s="116"/>
      <c r="L1204" s="170">
        <v>45176</v>
      </c>
      <c r="M1204" s="116">
        <v>646.85</v>
      </c>
      <c r="N1204" s="116">
        <v>655.35</v>
      </c>
      <c r="O1204" s="116">
        <v>645.20000000000005</v>
      </c>
      <c r="P1204" s="116">
        <v>651</v>
      </c>
      <c r="Q1204" s="116">
        <v>646.85</v>
      </c>
      <c r="R1204">
        <v>622697</v>
      </c>
    </row>
    <row r="1205" spans="1:18" x14ac:dyDescent="0.25">
      <c r="A1205" s="170">
        <v>45177</v>
      </c>
      <c r="B1205" s="116">
        <v>653.9</v>
      </c>
      <c r="C1205" s="116">
        <v>644.75</v>
      </c>
      <c r="D1205" s="116">
        <v>643.20000000000005</v>
      </c>
      <c r="E1205" s="116">
        <v>651</v>
      </c>
      <c r="F1205" s="116">
        <v>644.75</v>
      </c>
      <c r="G1205">
        <v>36100</v>
      </c>
      <c r="H1205" s="116"/>
      <c r="I1205" s="116"/>
      <c r="L1205" s="170">
        <v>45177</v>
      </c>
      <c r="M1205" s="116">
        <v>644.79999999999995</v>
      </c>
      <c r="N1205" s="116">
        <v>653.5</v>
      </c>
      <c r="O1205" s="116">
        <v>643.04999999999995</v>
      </c>
      <c r="P1205" s="116">
        <v>651.20000000000005</v>
      </c>
      <c r="Q1205" s="116">
        <v>644.79999999999995</v>
      </c>
      <c r="R1205">
        <v>562257</v>
      </c>
    </row>
    <row r="1206" spans="1:18" x14ac:dyDescent="0.25">
      <c r="A1206" s="170">
        <v>45180</v>
      </c>
      <c r="B1206" s="116">
        <v>672.6</v>
      </c>
      <c r="C1206" s="116">
        <v>659.1</v>
      </c>
      <c r="D1206" s="116">
        <v>645.75</v>
      </c>
      <c r="E1206" s="116">
        <v>646.5</v>
      </c>
      <c r="F1206" s="116">
        <v>659.1</v>
      </c>
      <c r="G1206">
        <v>96121</v>
      </c>
      <c r="H1206" s="116"/>
      <c r="I1206" s="116"/>
      <c r="L1206" s="170">
        <v>45180</v>
      </c>
      <c r="M1206" s="116">
        <v>658.9</v>
      </c>
      <c r="N1206" s="116">
        <v>673.05</v>
      </c>
      <c r="O1206" s="116">
        <v>645.29999999999995</v>
      </c>
      <c r="P1206" s="116">
        <v>649.95000000000005</v>
      </c>
      <c r="Q1206" s="116">
        <v>658.9</v>
      </c>
      <c r="R1206">
        <v>1609395</v>
      </c>
    </row>
    <row r="1207" spans="1:18" x14ac:dyDescent="0.25">
      <c r="A1207" s="170">
        <v>45181</v>
      </c>
      <c r="B1207" s="116">
        <v>669</v>
      </c>
      <c r="C1207" s="116">
        <v>642.75</v>
      </c>
      <c r="D1207" s="116">
        <v>640.45000000000005</v>
      </c>
      <c r="E1207" s="116">
        <v>668</v>
      </c>
      <c r="F1207" s="116">
        <v>642.75</v>
      </c>
      <c r="G1207">
        <v>145935</v>
      </c>
      <c r="H1207" s="116"/>
      <c r="I1207" s="116"/>
      <c r="L1207" s="170">
        <v>45181</v>
      </c>
      <c r="M1207" s="116">
        <v>642.75</v>
      </c>
      <c r="N1207" s="116">
        <v>668.7</v>
      </c>
      <c r="O1207" s="116">
        <v>641.20000000000005</v>
      </c>
      <c r="P1207" s="116">
        <v>668.7</v>
      </c>
      <c r="Q1207" s="116">
        <v>642.75</v>
      </c>
      <c r="R1207">
        <v>716599</v>
      </c>
    </row>
    <row r="1208" spans="1:18" x14ac:dyDescent="0.25">
      <c r="A1208" s="170">
        <v>45182</v>
      </c>
      <c r="B1208" s="116">
        <v>645</v>
      </c>
      <c r="C1208" s="116">
        <v>636.29999999999995</v>
      </c>
      <c r="D1208" s="116">
        <v>632.25</v>
      </c>
      <c r="E1208" s="116">
        <v>637.20000000000005</v>
      </c>
      <c r="F1208" s="116">
        <v>636.29999999999995</v>
      </c>
      <c r="G1208">
        <v>100375</v>
      </c>
      <c r="H1208" s="116"/>
      <c r="I1208" s="116"/>
      <c r="L1208" s="170">
        <v>45182</v>
      </c>
      <c r="M1208" s="116">
        <v>636.54999999999995</v>
      </c>
      <c r="N1208" s="116">
        <v>646.85</v>
      </c>
      <c r="O1208" s="116">
        <v>632.35</v>
      </c>
      <c r="P1208" s="116">
        <v>643.54999999999995</v>
      </c>
      <c r="Q1208" s="116">
        <v>636.54999999999995</v>
      </c>
      <c r="R1208">
        <v>505983</v>
      </c>
    </row>
    <row r="1209" spans="1:18" x14ac:dyDescent="0.25">
      <c r="A1209" s="170">
        <v>45183</v>
      </c>
      <c r="B1209" s="116">
        <v>647.29999999999995</v>
      </c>
      <c r="C1209" s="116">
        <v>642.75</v>
      </c>
      <c r="D1209" s="116">
        <v>638</v>
      </c>
      <c r="E1209" s="116">
        <v>643</v>
      </c>
      <c r="F1209" s="116">
        <v>642.75</v>
      </c>
      <c r="G1209">
        <v>25652</v>
      </c>
      <c r="H1209" s="116"/>
      <c r="I1209" s="116"/>
      <c r="L1209" s="170">
        <v>45183</v>
      </c>
      <c r="M1209" s="116">
        <v>641.9</v>
      </c>
      <c r="N1209" s="116">
        <v>647.70000000000005</v>
      </c>
      <c r="O1209" s="116">
        <v>638.04999999999995</v>
      </c>
      <c r="P1209" s="116">
        <v>644</v>
      </c>
      <c r="Q1209" s="116">
        <v>641.9</v>
      </c>
      <c r="R1209">
        <v>371077</v>
      </c>
    </row>
    <row r="1210" spans="1:18" x14ac:dyDescent="0.25">
      <c r="A1210" s="170">
        <v>45184</v>
      </c>
      <c r="B1210" s="116">
        <v>645</v>
      </c>
      <c r="C1210" s="116">
        <v>636.85</v>
      </c>
      <c r="D1210" s="116">
        <v>635.1</v>
      </c>
      <c r="E1210" s="116">
        <v>644</v>
      </c>
      <c r="F1210" s="116">
        <v>636.85</v>
      </c>
      <c r="G1210">
        <v>74396</v>
      </c>
      <c r="H1210" s="116"/>
      <c r="I1210" s="116"/>
      <c r="L1210" s="170">
        <v>45184</v>
      </c>
      <c r="M1210" s="116">
        <v>636.35</v>
      </c>
      <c r="N1210" s="116">
        <v>645.04999999999995</v>
      </c>
      <c r="O1210" s="116">
        <v>635</v>
      </c>
      <c r="P1210" s="116">
        <v>644.45000000000005</v>
      </c>
      <c r="Q1210" s="116">
        <v>636.35</v>
      </c>
      <c r="R1210">
        <v>433760</v>
      </c>
    </row>
    <row r="1211" spans="1:18" x14ac:dyDescent="0.25">
      <c r="A1211" s="170">
        <v>45187</v>
      </c>
      <c r="B1211" s="116">
        <v>648</v>
      </c>
      <c r="C1211" s="116">
        <v>638.9</v>
      </c>
      <c r="D1211" s="116">
        <v>637.04999999999995</v>
      </c>
      <c r="E1211" s="116">
        <v>637.04999999999995</v>
      </c>
      <c r="F1211" s="116">
        <v>638.9</v>
      </c>
      <c r="G1211">
        <v>77780</v>
      </c>
      <c r="H1211" s="116"/>
      <c r="I1211" s="116"/>
      <c r="L1211" s="170">
        <v>45187</v>
      </c>
      <c r="M1211" s="116">
        <v>639.15</v>
      </c>
      <c r="N1211" s="116">
        <v>648.45000000000005</v>
      </c>
      <c r="O1211" s="116">
        <v>637</v>
      </c>
      <c r="P1211" s="116">
        <v>648.45000000000005</v>
      </c>
      <c r="Q1211" s="116">
        <v>639.15</v>
      </c>
      <c r="R1211">
        <v>411581</v>
      </c>
    </row>
    <row r="1212" spans="1:18" x14ac:dyDescent="0.25">
      <c r="A1212" s="170">
        <v>45189</v>
      </c>
      <c r="B1212" s="116">
        <v>641.95000000000005</v>
      </c>
      <c r="C1212" s="116">
        <v>636.85</v>
      </c>
      <c r="D1212" s="116">
        <v>635</v>
      </c>
      <c r="E1212" s="116">
        <v>641.4</v>
      </c>
      <c r="F1212" s="116">
        <v>636.85</v>
      </c>
      <c r="G1212">
        <v>25466</v>
      </c>
      <c r="H1212" s="116"/>
      <c r="I1212" s="116"/>
      <c r="L1212" s="170">
        <v>45189</v>
      </c>
      <c r="M1212" s="116">
        <v>636.79999999999995</v>
      </c>
      <c r="N1212" s="116">
        <v>641.35</v>
      </c>
      <c r="O1212" s="116">
        <v>635</v>
      </c>
      <c r="P1212" s="116">
        <v>641</v>
      </c>
      <c r="Q1212" s="116">
        <v>636.79999999999995</v>
      </c>
      <c r="R1212">
        <v>428173</v>
      </c>
    </row>
    <row r="1213" spans="1:18" x14ac:dyDescent="0.25">
      <c r="A1213" s="170">
        <v>45190</v>
      </c>
      <c r="B1213" s="116">
        <v>648.75</v>
      </c>
      <c r="C1213" s="116">
        <v>639.75</v>
      </c>
      <c r="D1213" s="116">
        <v>636.15</v>
      </c>
      <c r="E1213" s="116">
        <v>636.15</v>
      </c>
      <c r="F1213" s="116">
        <v>639.75</v>
      </c>
      <c r="G1213">
        <v>116116</v>
      </c>
      <c r="H1213" s="116"/>
      <c r="I1213" s="116"/>
      <c r="L1213" s="170">
        <v>45190</v>
      </c>
      <c r="M1213" s="116">
        <v>639.6</v>
      </c>
      <c r="N1213" s="116">
        <v>649.04999999999995</v>
      </c>
      <c r="O1213" s="116">
        <v>638</v>
      </c>
      <c r="P1213" s="116">
        <v>638.85</v>
      </c>
      <c r="Q1213" s="116">
        <v>639.6</v>
      </c>
      <c r="R1213">
        <v>544368</v>
      </c>
    </row>
    <row r="1214" spans="1:18" x14ac:dyDescent="0.25">
      <c r="A1214" s="170">
        <v>45191</v>
      </c>
      <c r="B1214" s="116">
        <v>644.6</v>
      </c>
      <c r="C1214" s="116">
        <v>636.70000000000005</v>
      </c>
      <c r="D1214" s="116">
        <v>636</v>
      </c>
      <c r="E1214" s="116">
        <v>641.35</v>
      </c>
      <c r="F1214" s="116">
        <v>636.70000000000005</v>
      </c>
      <c r="G1214">
        <v>50069</v>
      </c>
      <c r="H1214" s="116"/>
      <c r="I1214" s="116"/>
      <c r="L1214" s="170">
        <v>45191</v>
      </c>
      <c r="M1214" s="116">
        <v>636.65</v>
      </c>
      <c r="N1214" s="116">
        <v>644.79999999999995</v>
      </c>
      <c r="O1214" s="116">
        <v>636</v>
      </c>
      <c r="P1214" s="116">
        <v>644.79999999999995</v>
      </c>
      <c r="Q1214" s="116">
        <v>636.65</v>
      </c>
      <c r="R1214">
        <v>244252</v>
      </c>
    </row>
    <row r="1215" spans="1:18" x14ac:dyDescent="0.25">
      <c r="A1215" s="170">
        <v>45194</v>
      </c>
      <c r="B1215" s="116">
        <v>638.9</v>
      </c>
      <c r="C1215" s="116">
        <v>634.20000000000005</v>
      </c>
      <c r="D1215" s="116">
        <v>633.5</v>
      </c>
      <c r="E1215" s="116">
        <v>638</v>
      </c>
      <c r="F1215" s="116">
        <v>634.20000000000005</v>
      </c>
      <c r="G1215">
        <v>50793</v>
      </c>
      <c r="H1215" s="116"/>
      <c r="I1215" s="116"/>
      <c r="L1215" s="170">
        <v>45194</v>
      </c>
      <c r="M1215" s="116">
        <v>634.29999999999995</v>
      </c>
      <c r="N1215" s="116">
        <v>639.9</v>
      </c>
      <c r="O1215" s="116">
        <v>634</v>
      </c>
      <c r="P1215" s="116">
        <v>639.9</v>
      </c>
      <c r="Q1215" s="116">
        <v>634.29999999999995</v>
      </c>
      <c r="R1215">
        <v>239696</v>
      </c>
    </row>
    <row r="1216" spans="1:18" x14ac:dyDescent="0.25">
      <c r="A1216" s="170">
        <v>45195</v>
      </c>
      <c r="B1216" s="116">
        <v>636.35</v>
      </c>
      <c r="C1216" s="116">
        <v>633.85</v>
      </c>
      <c r="D1216" s="116">
        <v>632</v>
      </c>
      <c r="E1216" s="116">
        <v>636.29999999999995</v>
      </c>
      <c r="F1216" s="116">
        <v>633.85</v>
      </c>
      <c r="G1216">
        <v>24613</v>
      </c>
      <c r="H1216" s="116"/>
      <c r="I1216" s="116"/>
      <c r="L1216" s="170">
        <v>45195</v>
      </c>
      <c r="M1216" s="116">
        <v>634.1</v>
      </c>
      <c r="N1216" s="116">
        <v>637.6</v>
      </c>
      <c r="O1216" s="116">
        <v>632.4</v>
      </c>
      <c r="P1216" s="116">
        <v>637.6</v>
      </c>
      <c r="Q1216" s="116">
        <v>634.1</v>
      </c>
      <c r="R1216">
        <v>241601</v>
      </c>
    </row>
    <row r="1217" spans="1:18" x14ac:dyDescent="0.25">
      <c r="A1217" s="170">
        <v>45196</v>
      </c>
      <c r="B1217" s="116">
        <v>636</v>
      </c>
      <c r="C1217" s="116">
        <v>628.1</v>
      </c>
      <c r="D1217" s="116">
        <v>626.75</v>
      </c>
      <c r="E1217" s="116">
        <v>631.15</v>
      </c>
      <c r="F1217" s="116">
        <v>628.1</v>
      </c>
      <c r="G1217">
        <v>26312</v>
      </c>
      <c r="H1217" s="116"/>
      <c r="I1217" s="116"/>
      <c r="L1217" s="170">
        <v>45196</v>
      </c>
      <c r="M1217" s="116">
        <v>627.65</v>
      </c>
      <c r="N1217" s="116">
        <v>635.9</v>
      </c>
      <c r="O1217" s="116">
        <v>626.45000000000005</v>
      </c>
      <c r="P1217" s="116">
        <v>632</v>
      </c>
      <c r="Q1217" s="116">
        <v>627.65</v>
      </c>
      <c r="R1217">
        <v>509378</v>
      </c>
    </row>
    <row r="1218" spans="1:18" x14ac:dyDescent="0.25">
      <c r="A1218" s="170">
        <v>45197</v>
      </c>
      <c r="B1218" s="116">
        <v>631.70000000000005</v>
      </c>
      <c r="C1218" s="116">
        <v>622.5</v>
      </c>
      <c r="D1218" s="116">
        <v>621.5</v>
      </c>
      <c r="E1218" s="116">
        <v>628.15</v>
      </c>
      <c r="F1218" s="116">
        <v>622.5</v>
      </c>
      <c r="G1218">
        <v>81162</v>
      </c>
      <c r="H1218" s="116"/>
      <c r="I1218" s="116"/>
      <c r="L1218" s="170">
        <v>45197</v>
      </c>
      <c r="M1218" s="116">
        <v>622.15</v>
      </c>
      <c r="N1218" s="116">
        <v>631.45000000000005</v>
      </c>
      <c r="O1218" s="116">
        <v>621.20000000000005</v>
      </c>
      <c r="P1218" s="116">
        <v>629.79999999999995</v>
      </c>
      <c r="Q1218" s="116">
        <v>622.15</v>
      </c>
      <c r="R1218">
        <v>377764</v>
      </c>
    </row>
    <row r="1219" spans="1:18" x14ac:dyDescent="0.25">
      <c r="A1219" s="170">
        <v>45198</v>
      </c>
      <c r="B1219" s="116">
        <v>628.95000000000005</v>
      </c>
      <c r="C1219" s="116">
        <v>613.5</v>
      </c>
      <c r="D1219" s="116">
        <v>610</v>
      </c>
      <c r="E1219" s="116">
        <v>628.95000000000005</v>
      </c>
      <c r="F1219" s="116">
        <v>613.5</v>
      </c>
      <c r="G1219">
        <v>133800</v>
      </c>
      <c r="H1219" s="116"/>
      <c r="I1219" s="116"/>
      <c r="L1219" s="170">
        <v>45198</v>
      </c>
      <c r="M1219" s="116">
        <v>613.25</v>
      </c>
      <c r="N1219" s="116">
        <v>627.5</v>
      </c>
      <c r="O1219" s="116">
        <v>611.04999999999995</v>
      </c>
      <c r="P1219" s="116">
        <v>627.5</v>
      </c>
      <c r="Q1219" s="116">
        <v>613.25</v>
      </c>
      <c r="R1219">
        <v>792596</v>
      </c>
    </row>
    <row r="1220" spans="1:18" x14ac:dyDescent="0.25">
      <c r="A1220" s="170">
        <v>45202</v>
      </c>
      <c r="B1220" s="116">
        <v>619</v>
      </c>
      <c r="C1220" s="116">
        <v>610.6</v>
      </c>
      <c r="D1220" s="116">
        <v>610</v>
      </c>
      <c r="E1220" s="116">
        <v>615.04999999999995</v>
      </c>
      <c r="F1220" s="116">
        <v>610.6</v>
      </c>
      <c r="G1220">
        <v>85268</v>
      </c>
      <c r="H1220" s="116"/>
      <c r="I1220" s="116"/>
      <c r="L1220" s="170">
        <v>45202</v>
      </c>
      <c r="M1220" s="116">
        <v>610.75</v>
      </c>
      <c r="N1220" s="116">
        <v>619.85</v>
      </c>
      <c r="O1220" s="116">
        <v>609.1</v>
      </c>
      <c r="P1220" s="116">
        <v>619.85</v>
      </c>
      <c r="Q1220" s="116">
        <v>610.75</v>
      </c>
      <c r="R1220">
        <v>491826</v>
      </c>
    </row>
    <row r="1221" spans="1:18" x14ac:dyDescent="0.25">
      <c r="A1221" s="170">
        <v>45203</v>
      </c>
      <c r="B1221" s="116">
        <v>629.4</v>
      </c>
      <c r="C1221" s="116">
        <v>611</v>
      </c>
      <c r="D1221" s="116">
        <v>605</v>
      </c>
      <c r="E1221" s="116">
        <v>610.6</v>
      </c>
      <c r="F1221" s="116">
        <v>611</v>
      </c>
      <c r="G1221">
        <v>68966</v>
      </c>
      <c r="H1221" s="116"/>
      <c r="I1221" s="116"/>
      <c r="L1221" s="170">
        <v>45203</v>
      </c>
      <c r="M1221" s="116">
        <v>610.70000000000005</v>
      </c>
      <c r="N1221" s="116">
        <v>629.75</v>
      </c>
      <c r="O1221" s="116">
        <v>604.35</v>
      </c>
      <c r="P1221" s="116">
        <v>610.54999999999995</v>
      </c>
      <c r="Q1221" s="116">
        <v>610.70000000000005</v>
      </c>
      <c r="R1221">
        <v>1347949</v>
      </c>
    </row>
    <row r="1222" spans="1:18" x14ac:dyDescent="0.25">
      <c r="A1222" s="170">
        <v>45204</v>
      </c>
      <c r="B1222" s="116">
        <v>617</v>
      </c>
      <c r="C1222" s="116">
        <v>602.9</v>
      </c>
      <c r="D1222" s="116">
        <v>601.20000000000005</v>
      </c>
      <c r="E1222" s="116">
        <v>615.04999999999995</v>
      </c>
      <c r="F1222" s="116">
        <v>602.9</v>
      </c>
      <c r="G1222">
        <v>103918</v>
      </c>
      <c r="H1222" s="116"/>
      <c r="I1222" s="116"/>
      <c r="L1222" s="170">
        <v>45204</v>
      </c>
      <c r="M1222" s="116">
        <v>602.9</v>
      </c>
      <c r="N1222" s="116">
        <v>616.9</v>
      </c>
      <c r="O1222" s="116">
        <v>600.54999999999995</v>
      </c>
      <c r="P1222" s="116">
        <v>616.85</v>
      </c>
      <c r="Q1222" s="116">
        <v>602.9</v>
      </c>
      <c r="R1222">
        <v>669666</v>
      </c>
    </row>
    <row r="1223" spans="1:18" x14ac:dyDescent="0.25">
      <c r="A1223" s="170">
        <v>45205</v>
      </c>
      <c r="B1223" s="116">
        <v>609.5</v>
      </c>
      <c r="C1223" s="116">
        <v>604.65</v>
      </c>
      <c r="D1223" s="116">
        <v>604</v>
      </c>
      <c r="E1223" s="116">
        <v>605.75</v>
      </c>
      <c r="F1223" s="116">
        <v>604.65</v>
      </c>
      <c r="G1223">
        <v>60133</v>
      </c>
      <c r="H1223" s="116"/>
      <c r="I1223" s="116"/>
      <c r="L1223" s="170">
        <v>45205</v>
      </c>
      <c r="M1223" s="116">
        <v>604.6</v>
      </c>
      <c r="N1223" s="116">
        <v>609.70000000000005</v>
      </c>
      <c r="O1223" s="116">
        <v>603.5</v>
      </c>
      <c r="P1223" s="116">
        <v>605.04999999999995</v>
      </c>
      <c r="Q1223" s="116">
        <v>604.6</v>
      </c>
      <c r="R1223">
        <v>326953</v>
      </c>
    </row>
    <row r="1224" spans="1:18" x14ac:dyDescent="0.25">
      <c r="A1224" s="170">
        <v>45208</v>
      </c>
      <c r="B1224" s="116">
        <v>600.1</v>
      </c>
      <c r="C1224" s="116">
        <v>590.65</v>
      </c>
      <c r="D1224" s="116">
        <v>588</v>
      </c>
      <c r="E1224" s="116">
        <v>600</v>
      </c>
      <c r="F1224" s="116">
        <v>590.65</v>
      </c>
      <c r="G1224">
        <v>149542</v>
      </c>
      <c r="H1224" s="116"/>
      <c r="I1224" s="116"/>
      <c r="L1224" s="170">
        <v>45208</v>
      </c>
      <c r="M1224" s="116">
        <v>590.29999999999995</v>
      </c>
      <c r="N1224" s="116">
        <v>600.04999999999995</v>
      </c>
      <c r="O1224" s="116">
        <v>587.75</v>
      </c>
      <c r="P1224" s="116">
        <v>600</v>
      </c>
      <c r="Q1224" s="116">
        <v>590.29999999999995</v>
      </c>
      <c r="R1224">
        <v>572730</v>
      </c>
    </row>
    <row r="1225" spans="1:18" x14ac:dyDescent="0.25">
      <c r="A1225" s="170">
        <v>45209</v>
      </c>
      <c r="B1225" s="116">
        <v>625</v>
      </c>
      <c r="C1225" s="116">
        <v>610.70000000000005</v>
      </c>
      <c r="D1225" s="116">
        <v>587.04999999999995</v>
      </c>
      <c r="E1225" s="116">
        <v>587.04999999999995</v>
      </c>
      <c r="F1225" s="116">
        <v>610.70000000000005</v>
      </c>
      <c r="G1225">
        <v>120813</v>
      </c>
      <c r="H1225" s="116"/>
      <c r="I1225" s="116"/>
      <c r="L1225" s="170">
        <v>45209</v>
      </c>
      <c r="M1225" s="116">
        <v>607.79999999999995</v>
      </c>
      <c r="N1225" s="116">
        <v>626</v>
      </c>
      <c r="O1225" s="116">
        <v>588.5</v>
      </c>
      <c r="P1225" s="116">
        <v>588.5</v>
      </c>
      <c r="Q1225" s="116">
        <v>607.79999999999995</v>
      </c>
      <c r="R1225">
        <v>2808380</v>
      </c>
    </row>
    <row r="1226" spans="1:18" x14ac:dyDescent="0.25">
      <c r="A1226" s="170">
        <v>45210</v>
      </c>
      <c r="B1226" s="116">
        <v>620</v>
      </c>
      <c r="C1226" s="116">
        <v>610.9</v>
      </c>
      <c r="D1226" s="116">
        <v>606.4</v>
      </c>
      <c r="E1226" s="116">
        <v>615</v>
      </c>
      <c r="F1226" s="116">
        <v>610.9</v>
      </c>
      <c r="G1226">
        <v>104390</v>
      </c>
      <c r="H1226" s="116"/>
      <c r="I1226" s="116"/>
      <c r="L1226" s="170">
        <v>45210</v>
      </c>
      <c r="M1226" s="116">
        <v>611.35</v>
      </c>
      <c r="N1226" s="116">
        <v>619.9</v>
      </c>
      <c r="O1226" s="116">
        <v>606.25</v>
      </c>
      <c r="P1226" s="116">
        <v>615.04999999999995</v>
      </c>
      <c r="Q1226" s="116">
        <v>611.35</v>
      </c>
      <c r="R1226">
        <v>606346</v>
      </c>
    </row>
    <row r="1227" spans="1:18" x14ac:dyDescent="0.25">
      <c r="A1227" s="170">
        <v>45211</v>
      </c>
      <c r="B1227" s="116">
        <v>617.85</v>
      </c>
      <c r="C1227" s="116">
        <v>609.15</v>
      </c>
      <c r="D1227" s="116">
        <v>608.1</v>
      </c>
      <c r="E1227" s="116">
        <v>617.85</v>
      </c>
      <c r="F1227" s="116">
        <v>609.15</v>
      </c>
      <c r="G1227">
        <v>15611</v>
      </c>
      <c r="H1227" s="116"/>
      <c r="I1227" s="116"/>
      <c r="L1227" s="170">
        <v>45211</v>
      </c>
      <c r="M1227" s="116">
        <v>609.45000000000005</v>
      </c>
      <c r="N1227" s="116">
        <v>616.35</v>
      </c>
      <c r="O1227" s="116">
        <v>608</v>
      </c>
      <c r="P1227" s="116">
        <v>614.79999999999995</v>
      </c>
      <c r="Q1227" s="116">
        <v>609.45000000000005</v>
      </c>
      <c r="R1227">
        <v>252296</v>
      </c>
    </row>
    <row r="1228" spans="1:18" x14ac:dyDescent="0.25">
      <c r="A1228" s="170">
        <v>45212</v>
      </c>
      <c r="B1228" s="116">
        <v>608.5</v>
      </c>
      <c r="C1228" s="116">
        <v>601.85</v>
      </c>
      <c r="D1228" s="116">
        <v>600.79999999999995</v>
      </c>
      <c r="E1228" s="116">
        <v>608.5</v>
      </c>
      <c r="F1228" s="116">
        <v>601.85</v>
      </c>
      <c r="G1228">
        <v>20627</v>
      </c>
      <c r="H1228" s="116"/>
      <c r="I1228" s="116"/>
      <c r="L1228" s="170">
        <v>45212</v>
      </c>
      <c r="M1228" s="116">
        <v>601.65</v>
      </c>
      <c r="N1228" s="116">
        <v>607.95000000000005</v>
      </c>
      <c r="O1228" s="116">
        <v>600.20000000000005</v>
      </c>
      <c r="P1228" s="116">
        <v>607.95000000000005</v>
      </c>
      <c r="Q1228" s="116">
        <v>601.65</v>
      </c>
      <c r="R1228">
        <v>367972</v>
      </c>
    </row>
    <row r="1229" spans="1:18" x14ac:dyDescent="0.25">
      <c r="A1229" s="170">
        <v>45215</v>
      </c>
      <c r="B1229" s="116">
        <v>603.85</v>
      </c>
      <c r="C1229" s="116">
        <v>595.20000000000005</v>
      </c>
      <c r="D1229" s="116">
        <v>594.9</v>
      </c>
      <c r="E1229" s="116">
        <v>602</v>
      </c>
      <c r="F1229" s="116">
        <v>595.20000000000005</v>
      </c>
      <c r="G1229">
        <v>63541</v>
      </c>
      <c r="H1229" s="116"/>
      <c r="I1229" s="116"/>
      <c r="L1229" s="170">
        <v>45215</v>
      </c>
      <c r="M1229" s="116">
        <v>595.20000000000005</v>
      </c>
      <c r="N1229" s="116">
        <v>604.5</v>
      </c>
      <c r="O1229" s="116">
        <v>595</v>
      </c>
      <c r="P1229" s="116">
        <v>602</v>
      </c>
      <c r="Q1229" s="116">
        <v>595.20000000000005</v>
      </c>
      <c r="R1229">
        <v>327251</v>
      </c>
    </row>
    <row r="1230" spans="1:18" x14ac:dyDescent="0.25">
      <c r="A1230" s="170">
        <v>45216</v>
      </c>
      <c r="B1230" s="116">
        <v>602.5</v>
      </c>
      <c r="C1230" s="116">
        <v>595.70000000000005</v>
      </c>
      <c r="D1230" s="116">
        <v>595</v>
      </c>
      <c r="E1230" s="116">
        <v>596.25</v>
      </c>
      <c r="F1230" s="116">
        <v>595.70000000000005</v>
      </c>
      <c r="G1230">
        <v>61606</v>
      </c>
      <c r="H1230" s="116"/>
      <c r="I1230" s="116"/>
      <c r="L1230" s="170">
        <v>45216</v>
      </c>
      <c r="M1230" s="116">
        <v>595.54999999999995</v>
      </c>
      <c r="N1230" s="116">
        <v>602</v>
      </c>
      <c r="O1230" s="116">
        <v>595</v>
      </c>
      <c r="P1230" s="116">
        <v>597.95000000000005</v>
      </c>
      <c r="Q1230" s="116">
        <v>595.54999999999995</v>
      </c>
      <c r="R1230">
        <v>259223</v>
      </c>
    </row>
    <row r="1231" spans="1:18" x14ac:dyDescent="0.25">
      <c r="A1231" s="170">
        <v>45217</v>
      </c>
      <c r="B1231" s="116">
        <v>601</v>
      </c>
      <c r="C1231" s="116">
        <v>592.6</v>
      </c>
      <c r="D1231" s="116">
        <v>590.85</v>
      </c>
      <c r="E1231" s="116">
        <v>601</v>
      </c>
      <c r="F1231" s="116">
        <v>592.6</v>
      </c>
      <c r="G1231">
        <v>60159</v>
      </c>
      <c r="H1231" s="116"/>
      <c r="I1231" s="116"/>
      <c r="L1231" s="170">
        <v>45217</v>
      </c>
      <c r="M1231" s="116">
        <v>593.04999999999995</v>
      </c>
      <c r="N1231" s="116">
        <v>598.79999999999995</v>
      </c>
      <c r="O1231" s="116">
        <v>592</v>
      </c>
      <c r="P1231" s="116">
        <v>598.45000000000005</v>
      </c>
      <c r="Q1231" s="116">
        <v>593.04999999999995</v>
      </c>
      <c r="R1231">
        <v>266362</v>
      </c>
    </row>
    <row r="1232" spans="1:18" x14ac:dyDescent="0.25">
      <c r="A1232" s="170">
        <v>45218</v>
      </c>
      <c r="B1232" s="116">
        <v>594.5</v>
      </c>
      <c r="C1232" s="116">
        <v>592</v>
      </c>
      <c r="D1232" s="116">
        <v>586.04999999999995</v>
      </c>
      <c r="E1232" s="116">
        <v>594.5</v>
      </c>
      <c r="F1232" s="116">
        <v>592</v>
      </c>
      <c r="G1232">
        <v>21051</v>
      </c>
      <c r="H1232" s="116"/>
      <c r="I1232" s="116"/>
      <c r="L1232" s="170">
        <v>45218</v>
      </c>
      <c r="M1232" s="116">
        <v>591.95000000000005</v>
      </c>
      <c r="N1232" s="116">
        <v>594</v>
      </c>
      <c r="O1232" s="116">
        <v>586</v>
      </c>
      <c r="P1232" s="116">
        <v>591.45000000000005</v>
      </c>
      <c r="Q1232" s="116">
        <v>591.95000000000005</v>
      </c>
      <c r="R1232">
        <v>1654142</v>
      </c>
    </row>
    <row r="1233" spans="1:18" x14ac:dyDescent="0.25">
      <c r="A1233" s="170">
        <v>45219</v>
      </c>
      <c r="B1233" s="116">
        <v>599.75</v>
      </c>
      <c r="C1233" s="116">
        <v>590.9</v>
      </c>
      <c r="D1233" s="116">
        <v>588.95000000000005</v>
      </c>
      <c r="E1233" s="116">
        <v>593.54999999999995</v>
      </c>
      <c r="F1233" s="116">
        <v>590.9</v>
      </c>
      <c r="G1233">
        <v>69640</v>
      </c>
      <c r="H1233" s="116"/>
      <c r="I1233" s="116"/>
      <c r="L1233" s="170">
        <v>45219</v>
      </c>
      <c r="M1233" s="116">
        <v>590.79999999999995</v>
      </c>
      <c r="N1233" s="116">
        <v>599.79999999999995</v>
      </c>
      <c r="O1233" s="116">
        <v>589</v>
      </c>
      <c r="P1233" s="116">
        <v>595</v>
      </c>
      <c r="Q1233" s="116">
        <v>590.79999999999995</v>
      </c>
      <c r="R1233">
        <v>2119632</v>
      </c>
    </row>
    <row r="1234" spans="1:18" x14ac:dyDescent="0.25">
      <c r="A1234" s="170">
        <v>45222</v>
      </c>
      <c r="B1234" s="116">
        <v>594.54999999999995</v>
      </c>
      <c r="C1234" s="116">
        <v>573.35</v>
      </c>
      <c r="D1234" s="116">
        <v>571</v>
      </c>
      <c r="E1234" s="116">
        <v>590.85</v>
      </c>
      <c r="F1234" s="116">
        <v>573.35</v>
      </c>
      <c r="G1234">
        <v>130769</v>
      </c>
      <c r="H1234" s="116"/>
      <c r="I1234" s="116"/>
      <c r="L1234" s="170">
        <v>45222</v>
      </c>
      <c r="M1234" s="116">
        <v>573.15</v>
      </c>
      <c r="N1234" s="116">
        <v>594</v>
      </c>
      <c r="O1234" s="116">
        <v>570.70000000000005</v>
      </c>
      <c r="P1234" s="116">
        <v>590.04999999999995</v>
      </c>
      <c r="Q1234" s="116">
        <v>573.15</v>
      </c>
      <c r="R1234">
        <v>1653095</v>
      </c>
    </row>
    <row r="1235" spans="1:18" x14ac:dyDescent="0.25">
      <c r="A1235" s="170">
        <v>45224</v>
      </c>
      <c r="B1235" s="116">
        <v>579.54999999999995</v>
      </c>
      <c r="C1235" s="116">
        <v>550.29999999999995</v>
      </c>
      <c r="D1235" s="116">
        <v>547.29999999999995</v>
      </c>
      <c r="E1235" s="116">
        <v>573.35</v>
      </c>
      <c r="F1235" s="116">
        <v>550.29999999999995</v>
      </c>
      <c r="G1235">
        <v>192983</v>
      </c>
      <c r="H1235" s="116"/>
      <c r="I1235" s="116"/>
      <c r="L1235" s="170">
        <v>45224</v>
      </c>
      <c r="M1235" s="116">
        <v>550.45000000000005</v>
      </c>
      <c r="N1235" s="116">
        <v>579.4</v>
      </c>
      <c r="O1235" s="116">
        <v>548.15</v>
      </c>
      <c r="P1235" s="116">
        <v>573</v>
      </c>
      <c r="Q1235" s="116">
        <v>550.45000000000005</v>
      </c>
      <c r="R1235">
        <v>2129935</v>
      </c>
    </row>
    <row r="1236" spans="1:18" x14ac:dyDescent="0.25">
      <c r="A1236" s="170">
        <v>45225</v>
      </c>
      <c r="B1236" s="116">
        <v>549</v>
      </c>
      <c r="C1236" s="116">
        <v>533.70000000000005</v>
      </c>
      <c r="D1236" s="116">
        <v>521.95000000000005</v>
      </c>
      <c r="E1236" s="116">
        <v>548.04999999999995</v>
      </c>
      <c r="F1236" s="116">
        <v>533.70000000000005</v>
      </c>
      <c r="G1236">
        <v>73703</v>
      </c>
      <c r="H1236" s="116"/>
      <c r="I1236" s="116"/>
      <c r="L1236" s="170">
        <v>45225</v>
      </c>
      <c r="M1236" s="116">
        <v>533.75</v>
      </c>
      <c r="N1236" s="116">
        <v>550</v>
      </c>
      <c r="O1236" s="116">
        <v>522</v>
      </c>
      <c r="P1236" s="116">
        <v>550</v>
      </c>
      <c r="Q1236" s="116">
        <v>533.75</v>
      </c>
      <c r="R1236">
        <v>1111655</v>
      </c>
    </row>
    <row r="1237" spans="1:18" x14ac:dyDescent="0.25">
      <c r="A1237" s="170">
        <v>45226</v>
      </c>
      <c r="B1237" s="116">
        <v>565</v>
      </c>
      <c r="C1237" s="116">
        <v>559.70000000000005</v>
      </c>
      <c r="D1237" s="116">
        <v>540</v>
      </c>
      <c r="E1237" s="116">
        <v>542.95000000000005</v>
      </c>
      <c r="F1237" s="116">
        <v>559.70000000000005</v>
      </c>
      <c r="G1237">
        <v>71850</v>
      </c>
      <c r="H1237" s="116"/>
      <c r="I1237" s="116"/>
      <c r="L1237" s="170">
        <v>45226</v>
      </c>
      <c r="M1237" s="116">
        <v>560.25</v>
      </c>
      <c r="N1237" s="116">
        <v>565</v>
      </c>
      <c r="O1237" s="116">
        <v>540</v>
      </c>
      <c r="P1237" s="116">
        <v>541</v>
      </c>
      <c r="Q1237" s="116">
        <v>560.25</v>
      </c>
      <c r="R1237">
        <v>2354557</v>
      </c>
    </row>
    <row r="1238" spans="1:18" x14ac:dyDescent="0.25">
      <c r="A1238" s="170">
        <v>45229</v>
      </c>
      <c r="B1238" s="116">
        <v>571.95000000000005</v>
      </c>
      <c r="C1238" s="116">
        <v>563.70000000000005</v>
      </c>
      <c r="D1238" s="116">
        <v>556</v>
      </c>
      <c r="E1238" s="116">
        <v>569.70000000000005</v>
      </c>
      <c r="F1238" s="116">
        <v>563.70000000000005</v>
      </c>
      <c r="G1238">
        <v>37290</v>
      </c>
      <c r="H1238" s="116"/>
      <c r="I1238" s="116"/>
      <c r="L1238" s="170">
        <v>45229</v>
      </c>
      <c r="M1238" s="116">
        <v>563.70000000000005</v>
      </c>
      <c r="N1238" s="116">
        <v>571.85</v>
      </c>
      <c r="O1238" s="116">
        <v>555.45000000000005</v>
      </c>
      <c r="P1238" s="116">
        <v>568</v>
      </c>
      <c r="Q1238" s="116">
        <v>563.70000000000005</v>
      </c>
      <c r="R1238">
        <v>1062861</v>
      </c>
    </row>
    <row r="1239" spans="1:18" x14ac:dyDescent="0.25">
      <c r="A1239" s="170">
        <v>45230</v>
      </c>
      <c r="B1239" s="116">
        <v>575.95000000000005</v>
      </c>
      <c r="C1239" s="116">
        <v>564.79999999999995</v>
      </c>
      <c r="D1239" s="116">
        <v>561.15</v>
      </c>
      <c r="E1239" s="116">
        <v>572.1</v>
      </c>
      <c r="F1239" s="116">
        <v>564.79999999999995</v>
      </c>
      <c r="G1239">
        <v>79085</v>
      </c>
      <c r="H1239" s="116"/>
      <c r="I1239" s="116"/>
      <c r="L1239" s="170">
        <v>45230</v>
      </c>
      <c r="M1239" s="116">
        <v>564.29999999999995</v>
      </c>
      <c r="N1239" s="116">
        <v>575.54999999999995</v>
      </c>
      <c r="O1239" s="116">
        <v>559.9</v>
      </c>
      <c r="P1239" s="116">
        <v>570</v>
      </c>
      <c r="Q1239" s="116">
        <v>564.29999999999995</v>
      </c>
      <c r="R1239">
        <v>465372</v>
      </c>
    </row>
    <row r="1240" spans="1:18" x14ac:dyDescent="0.25">
      <c r="A1240" s="170">
        <v>45231</v>
      </c>
      <c r="B1240" s="116">
        <v>570.65</v>
      </c>
      <c r="C1240" s="116">
        <v>551.54999999999995</v>
      </c>
      <c r="D1240" s="116">
        <v>550.54999999999995</v>
      </c>
      <c r="E1240" s="116">
        <v>570.1</v>
      </c>
      <c r="F1240" s="116">
        <v>551.54999999999995</v>
      </c>
      <c r="G1240">
        <v>84255</v>
      </c>
      <c r="H1240" s="116"/>
      <c r="I1240" s="116"/>
      <c r="L1240" s="170">
        <v>45231</v>
      </c>
      <c r="M1240" s="116">
        <v>551.79999999999995</v>
      </c>
      <c r="N1240" s="116">
        <v>570.75</v>
      </c>
      <c r="O1240" s="116">
        <v>551</v>
      </c>
      <c r="P1240" s="116">
        <v>570</v>
      </c>
      <c r="Q1240" s="116">
        <v>551.79999999999995</v>
      </c>
      <c r="R1240">
        <v>539277</v>
      </c>
    </row>
    <row r="1241" spans="1:18" x14ac:dyDescent="0.25">
      <c r="A1241" s="170">
        <v>45232</v>
      </c>
      <c r="B1241" s="116">
        <v>567</v>
      </c>
      <c r="C1241" s="116">
        <v>554.5</v>
      </c>
      <c r="D1241" s="116">
        <v>552.20000000000005</v>
      </c>
      <c r="E1241" s="116">
        <v>559.5</v>
      </c>
      <c r="F1241" s="116">
        <v>554.5</v>
      </c>
      <c r="G1241">
        <v>30232</v>
      </c>
      <c r="H1241" s="116"/>
      <c r="I1241" s="116"/>
      <c r="L1241" s="170">
        <v>45232</v>
      </c>
      <c r="M1241" s="116">
        <v>553.79999999999995</v>
      </c>
      <c r="N1241" s="116">
        <v>567.29999999999995</v>
      </c>
      <c r="O1241" s="116">
        <v>551.9</v>
      </c>
      <c r="P1241" s="116">
        <v>558.35</v>
      </c>
      <c r="Q1241" s="116">
        <v>553.79999999999995</v>
      </c>
      <c r="R1241">
        <v>402265</v>
      </c>
    </row>
    <row r="1242" spans="1:18" x14ac:dyDescent="0.25">
      <c r="A1242" s="170">
        <v>45233</v>
      </c>
      <c r="B1242" s="116">
        <v>561.9</v>
      </c>
      <c r="C1242" s="116">
        <v>553.29999999999995</v>
      </c>
      <c r="D1242" s="116">
        <v>552.5</v>
      </c>
      <c r="E1242" s="116">
        <v>557.35</v>
      </c>
      <c r="F1242" s="116">
        <v>553.29999999999995</v>
      </c>
      <c r="G1242">
        <v>65547</v>
      </c>
      <c r="H1242" s="116"/>
      <c r="I1242" s="116"/>
      <c r="L1242" s="170">
        <v>45233</v>
      </c>
      <c r="M1242" s="116">
        <v>553.20000000000005</v>
      </c>
      <c r="N1242" s="116">
        <v>561.85</v>
      </c>
      <c r="O1242" s="116">
        <v>552</v>
      </c>
      <c r="P1242" s="116">
        <v>558</v>
      </c>
      <c r="Q1242" s="116">
        <v>553.20000000000005</v>
      </c>
      <c r="R1242">
        <v>295170</v>
      </c>
    </row>
    <row r="1243" spans="1:18" x14ac:dyDescent="0.25">
      <c r="A1243" s="170">
        <v>45236</v>
      </c>
      <c r="B1243" s="116">
        <v>559.95000000000005</v>
      </c>
      <c r="C1243" s="116">
        <v>551.04999999999995</v>
      </c>
      <c r="D1243" s="116">
        <v>549.15</v>
      </c>
      <c r="E1243" s="116">
        <v>559.95000000000005</v>
      </c>
      <c r="F1243" s="116">
        <v>551.04999999999995</v>
      </c>
      <c r="G1243">
        <v>59708</v>
      </c>
      <c r="H1243" s="116"/>
      <c r="I1243" s="116"/>
      <c r="L1243" s="170">
        <v>45236</v>
      </c>
      <c r="M1243" s="116">
        <v>550.95000000000005</v>
      </c>
      <c r="N1243" s="116">
        <v>559.79999999999995</v>
      </c>
      <c r="O1243" s="116">
        <v>548.79999999999995</v>
      </c>
      <c r="P1243" s="116">
        <v>554.79999999999995</v>
      </c>
      <c r="Q1243" s="116">
        <v>550.95000000000005</v>
      </c>
      <c r="R1243">
        <v>337716</v>
      </c>
    </row>
    <row r="1244" spans="1:18" x14ac:dyDescent="0.25">
      <c r="A1244" s="170">
        <v>45237</v>
      </c>
      <c r="B1244" s="116">
        <v>553</v>
      </c>
      <c r="C1244" s="116">
        <v>542.70000000000005</v>
      </c>
      <c r="D1244" s="116">
        <v>540.45000000000005</v>
      </c>
      <c r="E1244" s="116">
        <v>551.15</v>
      </c>
      <c r="F1244" s="116">
        <v>542.70000000000005</v>
      </c>
      <c r="G1244">
        <v>70256</v>
      </c>
      <c r="H1244" s="116"/>
      <c r="I1244" s="116"/>
      <c r="L1244" s="170">
        <v>45237</v>
      </c>
      <c r="M1244" s="116">
        <v>542.70000000000005</v>
      </c>
      <c r="N1244" s="116">
        <v>553.95000000000005</v>
      </c>
      <c r="O1244" s="116">
        <v>540</v>
      </c>
      <c r="P1244" s="116">
        <v>553.95000000000005</v>
      </c>
      <c r="Q1244" s="116">
        <v>542.70000000000005</v>
      </c>
      <c r="R1244">
        <v>484208</v>
      </c>
    </row>
    <row r="1245" spans="1:18" x14ac:dyDescent="0.25">
      <c r="A1245" s="170">
        <v>45238</v>
      </c>
      <c r="B1245" s="116">
        <v>546</v>
      </c>
      <c r="C1245" s="116">
        <v>542.95000000000005</v>
      </c>
      <c r="D1245" s="116">
        <v>541</v>
      </c>
      <c r="E1245" s="116">
        <v>542.70000000000005</v>
      </c>
      <c r="F1245" s="116">
        <v>542.95000000000005</v>
      </c>
      <c r="G1245">
        <v>72756</v>
      </c>
      <c r="H1245" s="116"/>
      <c r="I1245" s="116"/>
      <c r="L1245" s="170">
        <v>45238</v>
      </c>
      <c r="M1245" s="116">
        <v>542.75</v>
      </c>
      <c r="N1245" s="116">
        <v>546.95000000000005</v>
      </c>
      <c r="O1245" s="116">
        <v>541</v>
      </c>
      <c r="P1245" s="116">
        <v>542.70000000000005</v>
      </c>
      <c r="Q1245" s="116">
        <v>542.75</v>
      </c>
      <c r="R1245">
        <v>370025</v>
      </c>
    </row>
    <row r="1246" spans="1:18" x14ac:dyDescent="0.25">
      <c r="A1246" s="170">
        <v>45239</v>
      </c>
      <c r="B1246" s="116">
        <v>544.70000000000005</v>
      </c>
      <c r="C1246" s="116">
        <v>535.1</v>
      </c>
      <c r="D1246" s="116">
        <v>534</v>
      </c>
      <c r="E1246" s="116">
        <v>543.04999999999995</v>
      </c>
      <c r="F1246" s="116">
        <v>535.1</v>
      </c>
      <c r="G1246">
        <v>109143</v>
      </c>
      <c r="H1246" s="116"/>
      <c r="I1246" s="116"/>
      <c r="L1246" s="170">
        <v>45239</v>
      </c>
      <c r="M1246" s="116">
        <v>535</v>
      </c>
      <c r="N1246" s="116">
        <v>544.20000000000005</v>
      </c>
      <c r="O1246" s="116">
        <v>534</v>
      </c>
      <c r="P1246" s="116">
        <v>544.20000000000005</v>
      </c>
      <c r="Q1246" s="116">
        <v>535</v>
      </c>
      <c r="R1246">
        <v>457780</v>
      </c>
    </row>
    <row r="1247" spans="1:18" x14ac:dyDescent="0.25">
      <c r="A1247" s="170">
        <v>45240</v>
      </c>
      <c r="B1247" s="116">
        <v>542</v>
      </c>
      <c r="C1247" s="116">
        <v>539.5</v>
      </c>
      <c r="D1247" s="116">
        <v>532.79999999999995</v>
      </c>
      <c r="E1247" s="116">
        <v>535.75</v>
      </c>
      <c r="F1247" s="116">
        <v>539.5</v>
      </c>
      <c r="G1247">
        <v>60900</v>
      </c>
      <c r="H1247" s="116"/>
      <c r="I1247" s="116"/>
      <c r="L1247" s="170">
        <v>45240</v>
      </c>
      <c r="M1247" s="116">
        <v>539.5</v>
      </c>
      <c r="N1247" s="116">
        <v>542.20000000000005</v>
      </c>
      <c r="O1247" s="116">
        <v>532</v>
      </c>
      <c r="P1247" s="116">
        <v>535</v>
      </c>
      <c r="Q1247" s="116">
        <v>539.5</v>
      </c>
      <c r="R1247">
        <v>292745</v>
      </c>
    </row>
    <row r="1248" spans="1:18" x14ac:dyDescent="0.25">
      <c r="A1248" s="170">
        <v>45242</v>
      </c>
      <c r="B1248" s="116">
        <v>549.9</v>
      </c>
      <c r="C1248" s="116">
        <v>546.9</v>
      </c>
      <c r="D1248" s="116">
        <v>545</v>
      </c>
      <c r="E1248" s="116">
        <v>549.9</v>
      </c>
      <c r="F1248" s="116">
        <v>546.9</v>
      </c>
      <c r="G1248">
        <v>25177</v>
      </c>
      <c r="H1248" s="116"/>
      <c r="I1248" s="116"/>
      <c r="L1248" s="170">
        <v>45242</v>
      </c>
      <c r="M1248" s="116">
        <v>546.75</v>
      </c>
      <c r="N1248" s="116">
        <v>549.5</v>
      </c>
      <c r="O1248" s="116">
        <v>544.65</v>
      </c>
      <c r="P1248" s="116">
        <v>549.5</v>
      </c>
      <c r="Q1248" s="116">
        <v>546.75</v>
      </c>
      <c r="R1248">
        <v>93526</v>
      </c>
    </row>
    <row r="1249" spans="1:18" x14ac:dyDescent="0.25">
      <c r="A1249" s="170">
        <v>45243</v>
      </c>
      <c r="B1249" s="116">
        <v>547.29999999999995</v>
      </c>
      <c r="C1249" s="116">
        <v>542.15</v>
      </c>
      <c r="D1249" s="116">
        <v>539.4</v>
      </c>
      <c r="E1249" s="116">
        <v>547.29999999999995</v>
      </c>
      <c r="F1249" s="116">
        <v>542.15</v>
      </c>
      <c r="G1249">
        <v>46549</v>
      </c>
      <c r="H1249" s="116"/>
      <c r="I1249" s="116"/>
      <c r="L1249" s="170">
        <v>45243</v>
      </c>
      <c r="M1249" s="116">
        <v>542</v>
      </c>
      <c r="N1249" s="116">
        <v>549.79999999999995</v>
      </c>
      <c r="O1249" s="116">
        <v>539.65</v>
      </c>
      <c r="P1249" s="116">
        <v>546.75</v>
      </c>
      <c r="Q1249" s="116">
        <v>542</v>
      </c>
      <c r="R1249">
        <v>221120</v>
      </c>
    </row>
    <row r="1250" spans="1:18" x14ac:dyDescent="0.25">
      <c r="A1250" s="170">
        <v>45245</v>
      </c>
      <c r="B1250" s="116">
        <v>548.29999999999995</v>
      </c>
      <c r="C1250" s="116">
        <v>539.85</v>
      </c>
      <c r="D1250" s="116">
        <v>538.1</v>
      </c>
      <c r="E1250" s="116">
        <v>544.04999999999995</v>
      </c>
      <c r="F1250" s="116">
        <v>539.85</v>
      </c>
      <c r="G1250">
        <v>66289</v>
      </c>
      <c r="H1250" s="116"/>
      <c r="I1250" s="116"/>
      <c r="L1250" s="170">
        <v>45245</v>
      </c>
      <c r="M1250" s="116">
        <v>539.75</v>
      </c>
      <c r="N1250" s="116">
        <v>549.79999999999995</v>
      </c>
      <c r="O1250" s="116">
        <v>538</v>
      </c>
      <c r="P1250" s="116">
        <v>549.79999999999995</v>
      </c>
      <c r="Q1250" s="116">
        <v>539.75</v>
      </c>
      <c r="R1250">
        <v>305793</v>
      </c>
    </row>
    <row r="1251" spans="1:18" x14ac:dyDescent="0.25">
      <c r="A1251" s="170">
        <v>45246</v>
      </c>
      <c r="B1251" s="116">
        <v>543</v>
      </c>
      <c r="C1251" s="116">
        <v>536.54999999999995</v>
      </c>
      <c r="D1251" s="116">
        <v>535.70000000000005</v>
      </c>
      <c r="E1251" s="116">
        <v>543</v>
      </c>
      <c r="F1251" s="116">
        <v>536.54999999999995</v>
      </c>
      <c r="G1251">
        <v>59803</v>
      </c>
      <c r="H1251" s="116"/>
      <c r="I1251" s="116"/>
      <c r="L1251" s="170">
        <v>45246</v>
      </c>
      <c r="M1251" s="116">
        <v>536.45000000000005</v>
      </c>
      <c r="N1251" s="116">
        <v>542.9</v>
      </c>
      <c r="O1251" s="116">
        <v>535.5</v>
      </c>
      <c r="P1251" s="116">
        <v>542.9</v>
      </c>
      <c r="Q1251" s="116">
        <v>536.45000000000005</v>
      </c>
      <c r="R1251">
        <v>299925</v>
      </c>
    </row>
    <row r="1252" spans="1:18" x14ac:dyDescent="0.25">
      <c r="A1252" s="170">
        <v>45247</v>
      </c>
      <c r="B1252" s="116">
        <v>537.9</v>
      </c>
      <c r="C1252" s="116">
        <v>533.75</v>
      </c>
      <c r="D1252" s="116">
        <v>532.1</v>
      </c>
      <c r="E1252" s="116">
        <v>535.54999999999995</v>
      </c>
      <c r="F1252" s="116">
        <v>533.75</v>
      </c>
      <c r="G1252">
        <v>77885</v>
      </c>
      <c r="H1252" s="116"/>
      <c r="I1252" s="116"/>
      <c r="L1252" s="170">
        <v>45247</v>
      </c>
      <c r="M1252" s="116">
        <v>534.04999999999995</v>
      </c>
      <c r="N1252" s="116">
        <v>537.70000000000005</v>
      </c>
      <c r="O1252" s="116">
        <v>532.04999999999995</v>
      </c>
      <c r="P1252" s="116">
        <v>536.5</v>
      </c>
      <c r="Q1252" s="116">
        <v>534.04999999999995</v>
      </c>
      <c r="R1252">
        <v>346869</v>
      </c>
    </row>
    <row r="1253" spans="1:18" x14ac:dyDescent="0.25">
      <c r="A1253" s="170">
        <v>45250</v>
      </c>
      <c r="B1253" s="116">
        <v>536.95000000000005</v>
      </c>
      <c r="C1253" s="116">
        <v>531.20000000000005</v>
      </c>
      <c r="D1253" s="116">
        <v>527</v>
      </c>
      <c r="E1253" s="116">
        <v>535</v>
      </c>
      <c r="F1253" s="116">
        <v>531.20000000000005</v>
      </c>
      <c r="G1253">
        <v>28201</v>
      </c>
      <c r="H1253" s="116"/>
      <c r="I1253" s="116"/>
      <c r="L1253" s="170">
        <v>45250</v>
      </c>
      <c r="M1253" s="116">
        <v>531.04999999999995</v>
      </c>
      <c r="N1253" s="116">
        <v>537</v>
      </c>
      <c r="O1253" s="116">
        <v>527</v>
      </c>
      <c r="P1253" s="116">
        <v>535.1</v>
      </c>
      <c r="Q1253" s="116">
        <v>531.04999999999995</v>
      </c>
      <c r="R1253">
        <v>425124</v>
      </c>
    </row>
    <row r="1254" spans="1:18" x14ac:dyDescent="0.25">
      <c r="A1254" s="170">
        <v>45251</v>
      </c>
      <c r="B1254" s="116">
        <v>548.95000000000005</v>
      </c>
      <c r="C1254" s="116">
        <v>540.70000000000005</v>
      </c>
      <c r="D1254" s="116">
        <v>532.45000000000005</v>
      </c>
      <c r="E1254" s="116">
        <v>535.04999999999995</v>
      </c>
      <c r="F1254" s="116">
        <v>540.70000000000005</v>
      </c>
      <c r="G1254">
        <v>91381</v>
      </c>
      <c r="H1254" s="116"/>
      <c r="I1254" s="116"/>
      <c r="L1254" s="170">
        <v>45251</v>
      </c>
      <c r="M1254" s="116">
        <v>540.54999999999995</v>
      </c>
      <c r="N1254" s="116">
        <v>549</v>
      </c>
      <c r="O1254" s="116">
        <v>533.1</v>
      </c>
      <c r="P1254" s="116">
        <v>536</v>
      </c>
      <c r="Q1254" s="116">
        <v>540.54999999999995</v>
      </c>
      <c r="R1254">
        <v>628363</v>
      </c>
    </row>
    <row r="1255" spans="1:18" x14ac:dyDescent="0.25">
      <c r="A1255" s="170">
        <v>45252</v>
      </c>
      <c r="B1255" s="116">
        <v>544.95000000000005</v>
      </c>
      <c r="C1255" s="116">
        <v>531.9</v>
      </c>
      <c r="D1255" s="116">
        <v>528.04999999999995</v>
      </c>
      <c r="E1255" s="116">
        <v>544.95000000000005</v>
      </c>
      <c r="F1255" s="116">
        <v>531.9</v>
      </c>
      <c r="G1255">
        <v>55311</v>
      </c>
      <c r="H1255" s="116"/>
      <c r="I1255" s="116"/>
      <c r="L1255" s="170">
        <v>45252</v>
      </c>
      <c r="M1255" s="116">
        <v>531.65</v>
      </c>
      <c r="N1255" s="116">
        <v>544.75</v>
      </c>
      <c r="O1255" s="116">
        <v>527.95000000000005</v>
      </c>
      <c r="P1255" s="116">
        <v>544.15</v>
      </c>
      <c r="Q1255" s="116">
        <v>531.65</v>
      </c>
      <c r="R1255">
        <v>311802</v>
      </c>
    </row>
    <row r="1256" spans="1:18" x14ac:dyDescent="0.25">
      <c r="A1256" s="170">
        <v>45253</v>
      </c>
      <c r="B1256" s="116">
        <v>538.95000000000005</v>
      </c>
      <c r="C1256" s="116">
        <v>530.75</v>
      </c>
      <c r="D1256" s="116">
        <v>530</v>
      </c>
      <c r="E1256" s="116">
        <v>538.95000000000005</v>
      </c>
      <c r="F1256" s="116">
        <v>530.75</v>
      </c>
      <c r="G1256">
        <v>55740</v>
      </c>
      <c r="H1256" s="116"/>
      <c r="I1256" s="116"/>
      <c r="L1256" s="170">
        <v>45253</v>
      </c>
      <c r="M1256" s="116">
        <v>530.6</v>
      </c>
      <c r="N1256" s="116">
        <v>535.65</v>
      </c>
      <c r="O1256" s="116">
        <v>530</v>
      </c>
      <c r="P1256" s="116">
        <v>535.65</v>
      </c>
      <c r="Q1256" s="116">
        <v>530.6</v>
      </c>
      <c r="R1256">
        <v>245027</v>
      </c>
    </row>
    <row r="1257" spans="1:18" x14ac:dyDescent="0.25">
      <c r="A1257" s="170">
        <v>45254</v>
      </c>
      <c r="B1257" s="116">
        <v>543</v>
      </c>
      <c r="C1257" s="116">
        <v>536.79999999999995</v>
      </c>
      <c r="D1257" s="116">
        <v>529</v>
      </c>
      <c r="E1257" s="116">
        <v>530.95000000000005</v>
      </c>
      <c r="F1257" s="116">
        <v>536.79999999999995</v>
      </c>
      <c r="G1257">
        <v>89706</v>
      </c>
      <c r="H1257" s="116"/>
      <c r="I1257" s="116"/>
      <c r="L1257" s="170">
        <v>45254</v>
      </c>
      <c r="M1257" s="116">
        <v>536.95000000000005</v>
      </c>
      <c r="N1257" s="116">
        <v>543.9</v>
      </c>
      <c r="O1257" s="116">
        <v>529</v>
      </c>
      <c r="P1257" s="116">
        <v>530.6</v>
      </c>
      <c r="Q1257" s="116">
        <v>536.95000000000005</v>
      </c>
      <c r="R1257">
        <v>645918</v>
      </c>
    </row>
    <row r="1258" spans="1:18" x14ac:dyDescent="0.25">
      <c r="A1258" s="170">
        <v>45258</v>
      </c>
      <c r="B1258" s="116">
        <v>644.15</v>
      </c>
      <c r="C1258" s="116">
        <v>644.15</v>
      </c>
      <c r="D1258" s="116">
        <v>548.79999999999995</v>
      </c>
      <c r="E1258" s="116">
        <v>549.95000000000005</v>
      </c>
      <c r="F1258" s="116">
        <v>644.15</v>
      </c>
      <c r="G1258">
        <v>904791</v>
      </c>
      <c r="H1258" s="116"/>
      <c r="I1258" s="116"/>
      <c r="L1258" s="170">
        <v>45258</v>
      </c>
      <c r="M1258" s="116">
        <v>644.20000000000005</v>
      </c>
      <c r="N1258" s="116">
        <v>644.29999999999995</v>
      </c>
      <c r="O1258" s="116">
        <v>549</v>
      </c>
      <c r="P1258" s="116">
        <v>550</v>
      </c>
      <c r="Q1258" s="116">
        <v>644.20000000000005</v>
      </c>
      <c r="R1258">
        <v>13383917</v>
      </c>
    </row>
    <row r="1259" spans="1:18" x14ac:dyDescent="0.25">
      <c r="A1259" s="170">
        <v>45259</v>
      </c>
      <c r="B1259" s="116">
        <v>760</v>
      </c>
      <c r="C1259" s="116">
        <v>732.7</v>
      </c>
      <c r="D1259" s="116">
        <v>691.85</v>
      </c>
      <c r="E1259" s="116">
        <v>701</v>
      </c>
      <c r="F1259" s="116">
        <v>732.7</v>
      </c>
      <c r="G1259">
        <v>951397</v>
      </c>
      <c r="H1259" s="116"/>
      <c r="I1259" s="116"/>
      <c r="L1259" s="170">
        <v>45259</v>
      </c>
      <c r="M1259" s="116">
        <v>732.55</v>
      </c>
      <c r="N1259" s="116">
        <v>760</v>
      </c>
      <c r="O1259" s="116">
        <v>690</v>
      </c>
      <c r="P1259" s="116">
        <v>700</v>
      </c>
      <c r="Q1259" s="116">
        <v>732.55</v>
      </c>
      <c r="R1259">
        <v>15476039</v>
      </c>
    </row>
    <row r="1260" spans="1:18" x14ac:dyDescent="0.25">
      <c r="A1260" s="170">
        <v>45260</v>
      </c>
      <c r="B1260" s="116">
        <v>752.4</v>
      </c>
      <c r="C1260" s="116">
        <v>708.5</v>
      </c>
      <c r="D1260" s="116">
        <v>691.65</v>
      </c>
      <c r="E1260" s="116">
        <v>748.45</v>
      </c>
      <c r="F1260" s="116">
        <v>708.5</v>
      </c>
      <c r="G1260">
        <v>869207</v>
      </c>
      <c r="H1260" s="116"/>
      <c r="I1260" s="116"/>
      <c r="L1260" s="170">
        <v>45260</v>
      </c>
      <c r="M1260" s="116">
        <v>708.8</v>
      </c>
      <c r="N1260" s="116">
        <v>753</v>
      </c>
      <c r="O1260" s="116">
        <v>692</v>
      </c>
      <c r="P1260" s="116">
        <v>747</v>
      </c>
      <c r="Q1260" s="116">
        <v>708.8</v>
      </c>
      <c r="R1260">
        <v>6181309</v>
      </c>
    </row>
    <row r="1261" spans="1:18" x14ac:dyDescent="0.25">
      <c r="A1261" s="170">
        <v>45261</v>
      </c>
      <c r="B1261" s="116">
        <v>723.65</v>
      </c>
      <c r="C1261" s="116">
        <v>701.25</v>
      </c>
      <c r="D1261" s="116">
        <v>697.05</v>
      </c>
      <c r="E1261" s="116">
        <v>718.75</v>
      </c>
      <c r="F1261" s="116">
        <v>701.25</v>
      </c>
      <c r="G1261">
        <v>169730</v>
      </c>
      <c r="H1261" s="116"/>
      <c r="I1261" s="116"/>
      <c r="L1261" s="170">
        <v>45261</v>
      </c>
      <c r="M1261" s="116">
        <v>701.45</v>
      </c>
      <c r="N1261" s="116">
        <v>723</v>
      </c>
      <c r="O1261" s="116">
        <v>697.05</v>
      </c>
      <c r="P1261" s="116">
        <v>716.7</v>
      </c>
      <c r="Q1261" s="116">
        <v>701.45</v>
      </c>
      <c r="R1261">
        <v>2295605</v>
      </c>
    </row>
    <row r="1262" spans="1:18" x14ac:dyDescent="0.25">
      <c r="A1262" s="170">
        <v>45264</v>
      </c>
      <c r="B1262" s="116">
        <v>800</v>
      </c>
      <c r="C1262" s="116">
        <v>732.15</v>
      </c>
      <c r="D1262" s="116">
        <v>729.45</v>
      </c>
      <c r="E1262" s="116">
        <v>760.45</v>
      </c>
      <c r="F1262" s="116">
        <v>732.15</v>
      </c>
      <c r="G1262">
        <v>272458</v>
      </c>
      <c r="H1262" s="116"/>
      <c r="I1262" s="116"/>
      <c r="L1262" s="170">
        <v>45264</v>
      </c>
      <c r="M1262" s="116">
        <v>732.25</v>
      </c>
      <c r="N1262" s="116">
        <v>800</v>
      </c>
      <c r="O1262" s="116">
        <v>728.8</v>
      </c>
      <c r="P1262" s="116">
        <v>770</v>
      </c>
      <c r="Q1262" s="116">
        <v>732.25</v>
      </c>
      <c r="R1262">
        <v>3797072</v>
      </c>
    </row>
    <row r="1263" spans="1:18" x14ac:dyDescent="0.25">
      <c r="A1263" s="170">
        <v>45265</v>
      </c>
      <c r="B1263" s="116">
        <v>878.55</v>
      </c>
      <c r="C1263" s="116">
        <v>878.2</v>
      </c>
      <c r="D1263" s="116">
        <v>714</v>
      </c>
      <c r="E1263" s="116">
        <v>734</v>
      </c>
      <c r="F1263" s="116">
        <v>878.2</v>
      </c>
      <c r="G1263">
        <v>1305094</v>
      </c>
      <c r="H1263" s="116"/>
      <c r="I1263" s="116"/>
      <c r="L1263" s="170">
        <v>45265</v>
      </c>
      <c r="M1263" s="116">
        <v>877.85</v>
      </c>
      <c r="N1263" s="116">
        <v>878.7</v>
      </c>
      <c r="O1263" s="116">
        <v>712</v>
      </c>
      <c r="P1263" s="116">
        <v>732.3</v>
      </c>
      <c r="Q1263" s="116">
        <v>877.85</v>
      </c>
      <c r="R1263">
        <v>25680410</v>
      </c>
    </row>
    <row r="1264" spans="1:18" x14ac:dyDescent="0.25">
      <c r="A1264" s="170">
        <v>45266</v>
      </c>
      <c r="B1264" s="116">
        <v>1053.8</v>
      </c>
      <c r="C1264" s="116">
        <v>1053.6500000000001</v>
      </c>
      <c r="D1264" s="116">
        <v>907</v>
      </c>
      <c r="E1264" s="116">
        <v>917.75</v>
      </c>
      <c r="F1264" s="116">
        <v>1053.6500000000001</v>
      </c>
      <c r="G1264">
        <v>3230437</v>
      </c>
      <c r="H1264" s="116"/>
      <c r="I1264" s="116"/>
      <c r="L1264" s="170">
        <v>45266</v>
      </c>
      <c r="M1264" s="116">
        <v>1053.3</v>
      </c>
      <c r="N1264" s="116">
        <v>1053.4000000000001</v>
      </c>
      <c r="O1264" s="116">
        <v>906.5</v>
      </c>
      <c r="P1264" s="116">
        <v>915</v>
      </c>
      <c r="Q1264" s="116">
        <v>1053.3</v>
      </c>
      <c r="R1264">
        <v>25868267</v>
      </c>
    </row>
    <row r="1265" spans="1:18" x14ac:dyDescent="0.25">
      <c r="A1265" s="170">
        <v>45267</v>
      </c>
      <c r="B1265" s="116">
        <v>1159</v>
      </c>
      <c r="C1265" s="116">
        <v>1159</v>
      </c>
      <c r="D1265" s="116">
        <v>1101.55</v>
      </c>
      <c r="E1265" s="116">
        <v>1104</v>
      </c>
      <c r="F1265" s="116">
        <v>1159</v>
      </c>
      <c r="G1265">
        <v>1834448</v>
      </c>
      <c r="H1265" s="116"/>
      <c r="I1265" s="116"/>
      <c r="L1265" s="170">
        <v>45267</v>
      </c>
      <c r="M1265" s="116">
        <v>1158.5999999999999</v>
      </c>
      <c r="N1265" s="116">
        <v>1158.5999999999999</v>
      </c>
      <c r="O1265" s="116">
        <v>1102</v>
      </c>
      <c r="P1265" s="116">
        <v>1102</v>
      </c>
      <c r="Q1265" s="116">
        <v>1158.5999999999999</v>
      </c>
      <c r="R1265">
        <v>13942558</v>
      </c>
    </row>
    <row r="1266" spans="1:18" x14ac:dyDescent="0.25">
      <c r="A1266" s="170">
        <v>45268</v>
      </c>
      <c r="B1266" s="116">
        <v>1259.9000000000001</v>
      </c>
      <c r="C1266" s="116">
        <v>1155.8</v>
      </c>
      <c r="D1266" s="116">
        <v>1100</v>
      </c>
      <c r="E1266" s="116">
        <v>1230.05</v>
      </c>
      <c r="F1266" s="116">
        <v>1155.8</v>
      </c>
      <c r="G1266">
        <v>2529701</v>
      </c>
      <c r="H1266" s="116"/>
      <c r="I1266" s="116"/>
      <c r="L1266" s="170">
        <v>45268</v>
      </c>
      <c r="M1266" s="116">
        <v>1156.8</v>
      </c>
      <c r="N1266" s="116">
        <v>1259.4000000000001</v>
      </c>
      <c r="O1266" s="116">
        <v>1100</v>
      </c>
      <c r="P1266" s="116">
        <v>1230</v>
      </c>
      <c r="Q1266" s="116">
        <v>1156.8</v>
      </c>
      <c r="R1266">
        <v>17553553</v>
      </c>
    </row>
    <row r="1267" spans="1:18" x14ac:dyDescent="0.25">
      <c r="A1267" s="170">
        <v>45271</v>
      </c>
      <c r="B1267" s="116">
        <v>1225</v>
      </c>
      <c r="C1267" s="116">
        <v>1171.75</v>
      </c>
      <c r="D1267" s="116">
        <v>1131.0999999999999</v>
      </c>
      <c r="E1267" s="116">
        <v>1178.95</v>
      </c>
      <c r="F1267" s="116">
        <v>1171.75</v>
      </c>
      <c r="G1267">
        <v>437566</v>
      </c>
      <c r="H1267" s="116"/>
      <c r="I1267" s="116"/>
      <c r="L1267" s="170">
        <v>45271</v>
      </c>
      <c r="M1267" s="116">
        <v>1172.1500000000001</v>
      </c>
      <c r="N1267" s="116">
        <v>1225</v>
      </c>
      <c r="O1267" s="116">
        <v>1130.3</v>
      </c>
      <c r="P1267" s="116">
        <v>1179.95</v>
      </c>
      <c r="Q1267" s="116">
        <v>1172.1500000000001</v>
      </c>
      <c r="R1267">
        <v>6202921</v>
      </c>
    </row>
    <row r="1268" spans="1:18" x14ac:dyDescent="0.25">
      <c r="A1268" s="170">
        <v>45272</v>
      </c>
      <c r="B1268" s="116">
        <v>1188.3499999999999</v>
      </c>
      <c r="C1268" s="116">
        <v>1113.25</v>
      </c>
      <c r="D1268" s="116">
        <v>1101.25</v>
      </c>
      <c r="E1268" s="116">
        <v>1180</v>
      </c>
      <c r="F1268" s="116">
        <v>1113.25</v>
      </c>
      <c r="G1268">
        <v>297150</v>
      </c>
      <c r="H1268" s="116"/>
      <c r="I1268" s="116"/>
      <c r="L1268" s="170">
        <v>45272</v>
      </c>
      <c r="M1268" s="116">
        <v>1114.2</v>
      </c>
      <c r="N1268" s="116">
        <v>1184.8</v>
      </c>
      <c r="O1268" s="116">
        <v>1101.0999999999999</v>
      </c>
      <c r="P1268" s="116">
        <v>1180</v>
      </c>
      <c r="Q1268" s="116">
        <v>1114.2</v>
      </c>
      <c r="R1268">
        <v>6185074</v>
      </c>
    </row>
    <row r="1269" spans="1:18" x14ac:dyDescent="0.25">
      <c r="A1269" s="170">
        <v>45273</v>
      </c>
      <c r="B1269" s="116">
        <v>1110.7</v>
      </c>
      <c r="C1269" s="116">
        <v>1003.8</v>
      </c>
      <c r="D1269" s="116">
        <v>1001.95</v>
      </c>
      <c r="E1269" s="116">
        <v>1110.05</v>
      </c>
      <c r="F1269" s="116">
        <v>1003.8</v>
      </c>
      <c r="G1269">
        <v>527929</v>
      </c>
      <c r="H1269" s="116"/>
      <c r="I1269" s="116"/>
      <c r="L1269" s="170">
        <v>45273</v>
      </c>
      <c r="M1269" s="116">
        <v>1004.55</v>
      </c>
      <c r="N1269" s="116">
        <v>1110.05</v>
      </c>
      <c r="O1269" s="116">
        <v>1002.8</v>
      </c>
      <c r="P1269" s="116">
        <v>1110</v>
      </c>
      <c r="Q1269" s="116">
        <v>1004.55</v>
      </c>
      <c r="R1269">
        <v>8702879</v>
      </c>
    </row>
    <row r="1270" spans="1:18" x14ac:dyDescent="0.25">
      <c r="A1270" s="170">
        <v>45274</v>
      </c>
      <c r="B1270" s="116">
        <v>1080</v>
      </c>
      <c r="C1270" s="116">
        <v>1051.3</v>
      </c>
      <c r="D1270" s="116">
        <v>1003.15</v>
      </c>
      <c r="E1270" s="116">
        <v>1003.15</v>
      </c>
      <c r="F1270" s="116">
        <v>1051.3</v>
      </c>
      <c r="G1270">
        <v>303646</v>
      </c>
      <c r="H1270" s="116"/>
      <c r="I1270" s="116"/>
      <c r="L1270" s="170">
        <v>45274</v>
      </c>
      <c r="M1270" s="116">
        <v>1051.55</v>
      </c>
      <c r="N1270" s="116">
        <v>1080</v>
      </c>
      <c r="O1270" s="116">
        <v>1005</v>
      </c>
      <c r="P1270" s="116">
        <v>1005</v>
      </c>
      <c r="Q1270" s="116">
        <v>1051.55</v>
      </c>
      <c r="R1270">
        <v>7505312</v>
      </c>
    </row>
    <row r="1271" spans="1:18" x14ac:dyDescent="0.25">
      <c r="A1271" s="170">
        <v>45275</v>
      </c>
      <c r="B1271" s="116">
        <v>1085.55</v>
      </c>
      <c r="C1271" s="116">
        <v>1046.9000000000001</v>
      </c>
      <c r="D1271" s="116">
        <v>1035</v>
      </c>
      <c r="E1271" s="116">
        <v>1067.95</v>
      </c>
      <c r="F1271" s="116">
        <v>1046.9000000000001</v>
      </c>
      <c r="G1271">
        <v>166091</v>
      </c>
      <c r="H1271" s="116"/>
      <c r="I1271" s="116"/>
      <c r="L1271" s="170">
        <v>45275</v>
      </c>
      <c r="M1271" s="116">
        <v>1046.95</v>
      </c>
      <c r="N1271" s="116">
        <v>1085</v>
      </c>
      <c r="O1271" s="116">
        <v>1035.05</v>
      </c>
      <c r="P1271" s="116">
        <v>1070</v>
      </c>
      <c r="Q1271" s="116">
        <v>1046.95</v>
      </c>
      <c r="R1271">
        <v>5567847</v>
      </c>
    </row>
    <row r="1272" spans="1:18" x14ac:dyDescent="0.25">
      <c r="A1272" s="170">
        <v>45278</v>
      </c>
      <c r="B1272" s="116">
        <v>1052.75</v>
      </c>
      <c r="C1272" s="116">
        <v>1030.8499999999999</v>
      </c>
      <c r="D1272" s="116">
        <v>1017.7</v>
      </c>
      <c r="E1272" s="116">
        <v>1052.75</v>
      </c>
      <c r="F1272" s="116">
        <v>1030.8499999999999</v>
      </c>
      <c r="G1272">
        <v>119677</v>
      </c>
      <c r="H1272" s="116"/>
      <c r="I1272" s="116"/>
      <c r="L1272" s="170">
        <v>45278</v>
      </c>
      <c r="M1272" s="116">
        <v>1030.55</v>
      </c>
      <c r="N1272" s="116">
        <v>1049.25</v>
      </c>
      <c r="O1272" s="116">
        <v>1020</v>
      </c>
      <c r="P1272" s="116">
        <v>1047</v>
      </c>
      <c r="Q1272" s="116">
        <v>1030.55</v>
      </c>
      <c r="R1272">
        <v>4836390</v>
      </c>
    </row>
    <row r="1273" spans="1:18" x14ac:dyDescent="0.25">
      <c r="A1273" s="170">
        <v>45279</v>
      </c>
      <c r="B1273" s="116">
        <v>1042.5</v>
      </c>
      <c r="C1273" s="116">
        <v>1025.9000000000001</v>
      </c>
      <c r="D1273" s="116">
        <v>1010</v>
      </c>
      <c r="E1273" s="116">
        <v>1038.9000000000001</v>
      </c>
      <c r="F1273" s="116">
        <v>1025.9000000000001</v>
      </c>
      <c r="G1273">
        <v>306662</v>
      </c>
      <c r="H1273" s="116"/>
      <c r="I1273" s="116"/>
      <c r="L1273" s="170">
        <v>45279</v>
      </c>
      <c r="M1273" s="116">
        <v>1026.25</v>
      </c>
      <c r="N1273" s="116">
        <v>1042.8</v>
      </c>
      <c r="O1273" s="116">
        <v>1010</v>
      </c>
      <c r="P1273" s="116">
        <v>1039.7</v>
      </c>
      <c r="Q1273" s="116">
        <v>1026.25</v>
      </c>
      <c r="R1273">
        <v>4049083</v>
      </c>
    </row>
    <row r="1274" spans="1:18" x14ac:dyDescent="0.25">
      <c r="A1274" s="170">
        <v>45280</v>
      </c>
      <c r="B1274" s="116">
        <v>1059</v>
      </c>
      <c r="C1274" s="116">
        <v>960.8</v>
      </c>
      <c r="D1274" s="116">
        <v>928.5</v>
      </c>
      <c r="E1274" s="116">
        <v>1033.7</v>
      </c>
      <c r="F1274" s="116">
        <v>960.8</v>
      </c>
      <c r="G1274">
        <v>208546</v>
      </c>
      <c r="H1274" s="116"/>
      <c r="I1274" s="116"/>
      <c r="L1274" s="170">
        <v>45280</v>
      </c>
      <c r="M1274" s="116">
        <v>960.7</v>
      </c>
      <c r="N1274" s="116">
        <v>1059.5</v>
      </c>
      <c r="O1274" s="116">
        <v>926.75</v>
      </c>
      <c r="P1274" s="116">
        <v>1025.5</v>
      </c>
      <c r="Q1274" s="116">
        <v>960.7</v>
      </c>
      <c r="R1274">
        <v>3827565</v>
      </c>
    </row>
    <row r="1275" spans="1:18" x14ac:dyDescent="0.25">
      <c r="A1275" s="170">
        <v>45281</v>
      </c>
      <c r="B1275" s="116">
        <v>995</v>
      </c>
      <c r="C1275" s="116">
        <v>984.55</v>
      </c>
      <c r="D1275" s="116">
        <v>921</v>
      </c>
      <c r="E1275" s="116">
        <v>921</v>
      </c>
      <c r="F1275" s="116">
        <v>984.55</v>
      </c>
      <c r="G1275">
        <v>461617</v>
      </c>
      <c r="H1275" s="116"/>
      <c r="I1275" s="116"/>
      <c r="L1275" s="170">
        <v>45281</v>
      </c>
      <c r="M1275" s="116">
        <v>985</v>
      </c>
      <c r="N1275" s="116">
        <v>995.95</v>
      </c>
      <c r="O1275" s="116">
        <v>923</v>
      </c>
      <c r="P1275" s="116">
        <v>924</v>
      </c>
      <c r="Q1275" s="116">
        <v>985</v>
      </c>
      <c r="R1275">
        <v>2578772</v>
      </c>
    </row>
    <row r="1276" spans="1:18" x14ac:dyDescent="0.25">
      <c r="A1276" s="170">
        <v>45282</v>
      </c>
      <c r="B1276" s="116">
        <v>1020</v>
      </c>
      <c r="C1276" s="116">
        <v>1000.3</v>
      </c>
      <c r="D1276" s="116">
        <v>985.45</v>
      </c>
      <c r="E1276" s="116">
        <v>1005</v>
      </c>
      <c r="F1276" s="116">
        <v>1000.3</v>
      </c>
      <c r="G1276">
        <v>93727</v>
      </c>
      <c r="H1276" s="116"/>
      <c r="I1276" s="116"/>
      <c r="L1276" s="170">
        <v>45282</v>
      </c>
      <c r="M1276" s="116">
        <v>996.3</v>
      </c>
      <c r="N1276" s="116">
        <v>1018.9</v>
      </c>
      <c r="O1276" s="116">
        <v>985</v>
      </c>
      <c r="P1276" s="116">
        <v>1004</v>
      </c>
      <c r="Q1276" s="116">
        <v>996.3</v>
      </c>
      <c r="R1276">
        <v>1390011</v>
      </c>
    </row>
    <row r="1277" spans="1:18" x14ac:dyDescent="0.25">
      <c r="A1277" s="170">
        <v>45286</v>
      </c>
      <c r="B1277" s="116">
        <v>1009.35</v>
      </c>
      <c r="C1277" s="116">
        <v>995.3</v>
      </c>
      <c r="D1277" s="116">
        <v>985.1</v>
      </c>
      <c r="E1277" s="116">
        <v>1000.35</v>
      </c>
      <c r="F1277" s="116">
        <v>995.3</v>
      </c>
      <c r="G1277">
        <v>208949</v>
      </c>
      <c r="H1277" s="116"/>
      <c r="I1277" s="116"/>
      <c r="L1277" s="170">
        <v>45286</v>
      </c>
      <c r="M1277" s="116">
        <v>995.05</v>
      </c>
      <c r="N1277" s="116">
        <v>1008</v>
      </c>
      <c r="O1277" s="116">
        <v>987</v>
      </c>
      <c r="P1277" s="116">
        <v>1001.45</v>
      </c>
      <c r="Q1277" s="116">
        <v>995.05</v>
      </c>
      <c r="R1277">
        <v>1187517</v>
      </c>
    </row>
    <row r="1278" spans="1:18" x14ac:dyDescent="0.25">
      <c r="A1278" s="170">
        <v>45287</v>
      </c>
      <c r="B1278" s="116">
        <v>1020</v>
      </c>
      <c r="C1278" s="116">
        <v>999.35</v>
      </c>
      <c r="D1278" s="116">
        <v>990.25</v>
      </c>
      <c r="E1278" s="116">
        <v>1012.1</v>
      </c>
      <c r="F1278" s="116">
        <v>999.35</v>
      </c>
      <c r="G1278">
        <v>161964</v>
      </c>
      <c r="H1278" s="116"/>
      <c r="I1278" s="116"/>
      <c r="L1278" s="170">
        <v>45287</v>
      </c>
      <c r="M1278" s="116">
        <v>999.1</v>
      </c>
      <c r="N1278" s="116">
        <v>1020</v>
      </c>
      <c r="O1278" s="116">
        <v>991</v>
      </c>
      <c r="P1278" s="116">
        <v>1012</v>
      </c>
      <c r="Q1278" s="116">
        <v>999.1</v>
      </c>
      <c r="R1278">
        <v>941495</v>
      </c>
    </row>
    <row r="1279" spans="1:18" x14ac:dyDescent="0.25">
      <c r="A1279" s="170">
        <v>45288</v>
      </c>
      <c r="B1279" s="116">
        <v>1013.75</v>
      </c>
      <c r="C1279" s="116">
        <v>980.05</v>
      </c>
      <c r="D1279" s="116">
        <v>975.15</v>
      </c>
      <c r="E1279" s="116">
        <v>1013.75</v>
      </c>
      <c r="F1279" s="116">
        <v>980.05</v>
      </c>
      <c r="G1279">
        <v>237699</v>
      </c>
      <c r="H1279" s="116"/>
      <c r="I1279" s="116"/>
      <c r="L1279" s="170">
        <v>45288</v>
      </c>
      <c r="M1279" s="116">
        <v>980.35</v>
      </c>
      <c r="N1279" s="116">
        <v>1011.85</v>
      </c>
      <c r="O1279" s="116">
        <v>976</v>
      </c>
      <c r="P1279" s="116">
        <v>1006.4</v>
      </c>
      <c r="Q1279" s="116">
        <v>980.35</v>
      </c>
      <c r="R1279">
        <v>2406672</v>
      </c>
    </row>
    <row r="1280" spans="1:18" x14ac:dyDescent="0.25">
      <c r="A1280" s="170">
        <v>45289</v>
      </c>
      <c r="B1280" s="116">
        <v>995</v>
      </c>
      <c r="C1280" s="116">
        <v>988.65</v>
      </c>
      <c r="D1280" s="116">
        <v>968.1</v>
      </c>
      <c r="E1280" s="116">
        <v>980</v>
      </c>
      <c r="F1280" s="116">
        <v>988.65</v>
      </c>
      <c r="G1280">
        <v>73686</v>
      </c>
      <c r="H1280" s="116"/>
      <c r="I1280" s="116"/>
      <c r="L1280" s="170">
        <v>45289</v>
      </c>
      <c r="M1280" s="116">
        <v>987.95</v>
      </c>
      <c r="N1280" s="116">
        <v>995</v>
      </c>
      <c r="O1280" s="116">
        <v>968</v>
      </c>
      <c r="P1280" s="116">
        <v>982</v>
      </c>
      <c r="Q1280" s="116">
        <v>987.95</v>
      </c>
      <c r="R1280">
        <v>2495693</v>
      </c>
    </row>
    <row r="1281" spans="1:18" x14ac:dyDescent="0.25">
      <c r="A1281" s="170">
        <v>45292</v>
      </c>
      <c r="B1281" s="116">
        <v>1013</v>
      </c>
      <c r="C1281" s="116">
        <v>1001</v>
      </c>
      <c r="D1281" s="116">
        <v>982.85</v>
      </c>
      <c r="E1281" s="116">
        <v>997.95</v>
      </c>
      <c r="F1281" s="116">
        <v>1001</v>
      </c>
      <c r="G1281">
        <v>279031</v>
      </c>
      <c r="H1281" s="116"/>
      <c r="I1281" s="116"/>
      <c r="L1281" s="170">
        <v>45292</v>
      </c>
      <c r="M1281" s="116">
        <v>1000.95</v>
      </c>
      <c r="N1281" s="116">
        <v>1013.9</v>
      </c>
      <c r="O1281" s="116">
        <v>983.5</v>
      </c>
      <c r="P1281" s="116">
        <v>992.4</v>
      </c>
      <c r="Q1281" s="116">
        <v>1000.95</v>
      </c>
      <c r="R1281">
        <v>1726490</v>
      </c>
    </row>
    <row r="1282" spans="1:18" x14ac:dyDescent="0.25">
      <c r="A1282" s="170">
        <v>45293</v>
      </c>
      <c r="B1282" s="116">
        <v>1015</v>
      </c>
      <c r="C1282" s="116">
        <v>1000.6</v>
      </c>
      <c r="D1282" s="116">
        <v>985</v>
      </c>
      <c r="E1282" s="116">
        <v>1001.2</v>
      </c>
      <c r="F1282" s="116">
        <v>1000.6</v>
      </c>
      <c r="G1282">
        <v>276784</v>
      </c>
      <c r="H1282" s="116"/>
      <c r="I1282" s="116"/>
      <c r="L1282" s="170">
        <v>45293</v>
      </c>
      <c r="M1282" s="116">
        <v>1000.9</v>
      </c>
      <c r="N1282" s="116">
        <v>1014.9</v>
      </c>
      <c r="O1282" s="116">
        <v>985.2</v>
      </c>
      <c r="P1282" s="116">
        <v>1005.05</v>
      </c>
      <c r="Q1282" s="116">
        <v>1000.9</v>
      </c>
      <c r="R1282">
        <v>2907798</v>
      </c>
    </row>
    <row r="1283" spans="1:18" x14ac:dyDescent="0.25">
      <c r="A1283" s="170">
        <v>45294</v>
      </c>
      <c r="B1283" s="116">
        <v>1100.6500000000001</v>
      </c>
      <c r="C1283" s="116">
        <v>1099.05</v>
      </c>
      <c r="D1283" s="116">
        <v>1025.9000000000001</v>
      </c>
      <c r="E1283" s="116">
        <v>1075.05</v>
      </c>
      <c r="F1283" s="116">
        <v>1099.05</v>
      </c>
      <c r="G1283">
        <v>1293466</v>
      </c>
      <c r="H1283" s="116"/>
      <c r="I1283" s="116"/>
      <c r="L1283" s="170">
        <v>45294</v>
      </c>
      <c r="M1283" s="116">
        <v>1099.3</v>
      </c>
      <c r="N1283" s="116">
        <v>1100.95</v>
      </c>
      <c r="O1283" s="116">
        <v>1032.2</v>
      </c>
      <c r="P1283" s="116">
        <v>1078.95</v>
      </c>
      <c r="Q1283" s="116">
        <v>1099.3</v>
      </c>
      <c r="R1283">
        <v>17295243</v>
      </c>
    </row>
    <row r="1284" spans="1:18" x14ac:dyDescent="0.25">
      <c r="A1284" s="170">
        <v>45295</v>
      </c>
      <c r="B1284" s="116">
        <v>1160</v>
      </c>
      <c r="C1284" s="116">
        <v>1115.8499999999999</v>
      </c>
      <c r="D1284" s="116">
        <v>1095.5999999999999</v>
      </c>
      <c r="E1284" s="116">
        <v>1147</v>
      </c>
      <c r="F1284" s="116">
        <v>1115.8499999999999</v>
      </c>
      <c r="G1284">
        <v>410768</v>
      </c>
      <c r="H1284" s="116"/>
      <c r="I1284" s="116"/>
      <c r="L1284" s="170">
        <v>45295</v>
      </c>
      <c r="M1284" s="116">
        <v>1115.0999999999999</v>
      </c>
      <c r="N1284" s="116">
        <v>1159.8</v>
      </c>
      <c r="O1284" s="116">
        <v>1094.0999999999999</v>
      </c>
      <c r="P1284" s="116">
        <v>1140</v>
      </c>
      <c r="Q1284" s="116">
        <v>1115.0999999999999</v>
      </c>
      <c r="R1284">
        <v>6280871</v>
      </c>
    </row>
    <row r="1285" spans="1:18" x14ac:dyDescent="0.25">
      <c r="A1285" s="170">
        <v>45296</v>
      </c>
      <c r="B1285" s="116">
        <v>1116.4000000000001</v>
      </c>
      <c r="C1285" s="116">
        <v>1090.3499999999999</v>
      </c>
      <c r="D1285" s="116">
        <v>1079.6500000000001</v>
      </c>
      <c r="E1285" s="116">
        <v>1116</v>
      </c>
      <c r="F1285" s="116">
        <v>1090.3499999999999</v>
      </c>
      <c r="G1285">
        <v>524674</v>
      </c>
      <c r="H1285" s="116"/>
      <c r="I1285" s="116"/>
      <c r="L1285" s="170">
        <v>45296</v>
      </c>
      <c r="M1285" s="116">
        <v>1090.55</v>
      </c>
      <c r="N1285" s="116">
        <v>1117</v>
      </c>
      <c r="O1285" s="116">
        <v>1080</v>
      </c>
      <c r="P1285" s="116">
        <v>1115.4000000000001</v>
      </c>
      <c r="Q1285" s="116">
        <v>1090.55</v>
      </c>
      <c r="R1285">
        <v>2558514</v>
      </c>
    </row>
    <row r="1286" spans="1:18" x14ac:dyDescent="0.25">
      <c r="A1286" s="170">
        <v>45299</v>
      </c>
      <c r="B1286" s="116">
        <v>1095</v>
      </c>
      <c r="C1286" s="116">
        <v>1067.75</v>
      </c>
      <c r="D1286" s="116">
        <v>1062.5</v>
      </c>
      <c r="E1286" s="116">
        <v>1094.0999999999999</v>
      </c>
      <c r="F1286" s="116">
        <v>1067.75</v>
      </c>
      <c r="G1286">
        <v>110826</v>
      </c>
      <c r="H1286" s="116"/>
      <c r="I1286" s="116"/>
      <c r="L1286" s="170">
        <v>45299</v>
      </c>
      <c r="M1286" s="116">
        <v>1068.25</v>
      </c>
      <c r="N1286" s="116">
        <v>1096</v>
      </c>
      <c r="O1286" s="116">
        <v>1062.05</v>
      </c>
      <c r="P1286" s="116">
        <v>1092.9000000000001</v>
      </c>
      <c r="Q1286" s="116">
        <v>1068.25</v>
      </c>
      <c r="R1286">
        <v>2060675</v>
      </c>
    </row>
    <row r="1287" spans="1:18" x14ac:dyDescent="0.25">
      <c r="A1287" s="170">
        <v>45300</v>
      </c>
      <c r="B1287" s="116">
        <v>1099.9000000000001</v>
      </c>
      <c r="C1287" s="116">
        <v>1066.45</v>
      </c>
      <c r="D1287" s="116">
        <v>1064</v>
      </c>
      <c r="E1287" s="116">
        <v>1069.8</v>
      </c>
      <c r="F1287" s="116">
        <v>1066.45</v>
      </c>
      <c r="G1287">
        <v>109351</v>
      </c>
      <c r="H1287" s="116"/>
      <c r="I1287" s="116"/>
      <c r="L1287" s="170">
        <v>45300</v>
      </c>
      <c r="M1287" s="116">
        <v>1067.3499999999999</v>
      </c>
      <c r="N1287" s="116">
        <v>1100</v>
      </c>
      <c r="O1287" s="116">
        <v>1064.3499999999999</v>
      </c>
      <c r="P1287" s="116">
        <v>1070.95</v>
      </c>
      <c r="Q1287" s="116">
        <v>1067.3499999999999</v>
      </c>
      <c r="R1287">
        <v>2151595</v>
      </c>
    </row>
    <row r="1288" spans="1:18" x14ac:dyDescent="0.25">
      <c r="A1288" s="170">
        <v>45301</v>
      </c>
      <c r="B1288" s="116">
        <v>1082.4000000000001</v>
      </c>
      <c r="C1288" s="116">
        <v>1069.0999999999999</v>
      </c>
      <c r="D1288" s="116">
        <v>1060</v>
      </c>
      <c r="E1288" s="116">
        <v>1070.1500000000001</v>
      </c>
      <c r="F1288" s="116">
        <v>1069.0999999999999</v>
      </c>
      <c r="G1288">
        <v>90401</v>
      </c>
      <c r="H1288" s="116"/>
      <c r="I1288" s="116"/>
      <c r="L1288" s="170">
        <v>45301</v>
      </c>
      <c r="M1288" s="116">
        <v>1068.95</v>
      </c>
      <c r="N1288" s="116">
        <v>1082.55</v>
      </c>
      <c r="O1288" s="116">
        <v>1060</v>
      </c>
      <c r="P1288" s="116">
        <v>1073.55</v>
      </c>
      <c r="Q1288" s="116">
        <v>1068.95</v>
      </c>
      <c r="R1288">
        <v>1731962</v>
      </c>
    </row>
    <row r="1289" spans="1:18" x14ac:dyDescent="0.25">
      <c r="A1289" s="170">
        <v>45302</v>
      </c>
      <c r="B1289" s="116">
        <v>1078.1500000000001</v>
      </c>
      <c r="C1289" s="116">
        <v>1061.8499999999999</v>
      </c>
      <c r="D1289" s="116">
        <v>1058.0999999999999</v>
      </c>
      <c r="E1289" s="116">
        <v>1077</v>
      </c>
      <c r="F1289" s="116">
        <v>1061.8499999999999</v>
      </c>
      <c r="G1289">
        <v>208733</v>
      </c>
      <c r="H1289" s="116"/>
      <c r="I1289" s="116"/>
      <c r="L1289" s="170">
        <v>45302</v>
      </c>
      <c r="M1289" s="116">
        <v>1062.25</v>
      </c>
      <c r="N1289" s="116">
        <v>1080</v>
      </c>
      <c r="O1289" s="116">
        <v>1060</v>
      </c>
      <c r="P1289" s="116">
        <v>1077</v>
      </c>
      <c r="Q1289" s="116">
        <v>1062.25</v>
      </c>
      <c r="R1289">
        <v>854630</v>
      </c>
    </row>
    <row r="1290" spans="1:18" x14ac:dyDescent="0.25">
      <c r="A1290" s="170">
        <v>45303</v>
      </c>
      <c r="B1290" s="116">
        <v>1070.05</v>
      </c>
      <c r="C1290" s="116">
        <v>1058.5</v>
      </c>
      <c r="D1290" s="116">
        <v>1055.5</v>
      </c>
      <c r="E1290" s="116">
        <v>1062.25</v>
      </c>
      <c r="F1290" s="116">
        <v>1058.5</v>
      </c>
      <c r="G1290">
        <v>54540</v>
      </c>
      <c r="H1290" s="116"/>
      <c r="I1290" s="116"/>
      <c r="L1290" s="170">
        <v>45303</v>
      </c>
      <c r="M1290" s="116">
        <v>1058.5</v>
      </c>
      <c r="N1290" s="116">
        <v>1070.7</v>
      </c>
      <c r="O1290" s="116">
        <v>1055.0999999999999</v>
      </c>
      <c r="P1290" s="116">
        <v>1064.95</v>
      </c>
      <c r="Q1290" s="116">
        <v>1058.5</v>
      </c>
      <c r="R1290">
        <v>946547</v>
      </c>
    </row>
    <row r="1291" spans="1:18" x14ac:dyDescent="0.25">
      <c r="A1291" s="170">
        <v>45306</v>
      </c>
      <c r="B1291" s="116">
        <v>1064</v>
      </c>
      <c r="C1291" s="116">
        <v>1039.25</v>
      </c>
      <c r="D1291" s="116">
        <v>1035.0999999999999</v>
      </c>
      <c r="E1291" s="116">
        <v>1064</v>
      </c>
      <c r="F1291" s="116">
        <v>1039.25</v>
      </c>
      <c r="G1291">
        <v>264760</v>
      </c>
      <c r="H1291" s="116"/>
      <c r="I1291" s="116"/>
      <c r="L1291" s="170">
        <v>45306</v>
      </c>
      <c r="M1291" s="116">
        <v>1039.5</v>
      </c>
      <c r="N1291" s="116">
        <v>1064.6500000000001</v>
      </c>
      <c r="O1291" s="116">
        <v>1036</v>
      </c>
      <c r="P1291" s="116">
        <v>1063.9000000000001</v>
      </c>
      <c r="Q1291" s="116">
        <v>1039.5</v>
      </c>
      <c r="R1291">
        <v>1119817</v>
      </c>
    </row>
    <row r="1292" spans="1:18" x14ac:dyDescent="0.25">
      <c r="A1292" s="170">
        <v>45307</v>
      </c>
      <c r="B1292" s="116">
        <v>1041.55</v>
      </c>
      <c r="C1292" s="116">
        <v>1025.75</v>
      </c>
      <c r="D1292" s="116">
        <v>1023.6</v>
      </c>
      <c r="E1292" s="116">
        <v>1040</v>
      </c>
      <c r="F1292" s="116">
        <v>1025.75</v>
      </c>
      <c r="G1292">
        <v>74433</v>
      </c>
      <c r="H1292" s="116"/>
      <c r="I1292" s="116"/>
      <c r="L1292" s="170">
        <v>45307</v>
      </c>
      <c r="M1292" s="116">
        <v>1026.05</v>
      </c>
      <c r="N1292" s="116">
        <v>1041</v>
      </c>
      <c r="O1292" s="116">
        <v>1023.55</v>
      </c>
      <c r="P1292" s="116">
        <v>1041</v>
      </c>
      <c r="Q1292" s="116">
        <v>1026.05</v>
      </c>
      <c r="R1292">
        <v>2307540</v>
      </c>
    </row>
    <row r="1293" spans="1:18" x14ac:dyDescent="0.25">
      <c r="A1293" s="170">
        <v>45308</v>
      </c>
      <c r="B1293" s="116">
        <v>1019.55</v>
      </c>
      <c r="C1293" s="116">
        <v>1003.65</v>
      </c>
      <c r="D1293" s="116">
        <v>1000</v>
      </c>
      <c r="E1293" s="116">
        <v>1005.65</v>
      </c>
      <c r="F1293" s="116">
        <v>1003.65</v>
      </c>
      <c r="G1293">
        <v>83320</v>
      </c>
      <c r="H1293" s="116"/>
      <c r="I1293" s="116"/>
      <c r="L1293" s="170">
        <v>45308</v>
      </c>
      <c r="M1293" s="116">
        <v>1004.1</v>
      </c>
      <c r="N1293" s="116">
        <v>1019.45</v>
      </c>
      <c r="O1293" s="116">
        <v>1000</v>
      </c>
      <c r="P1293" s="116">
        <v>1012.85</v>
      </c>
      <c r="Q1293" s="116">
        <v>1004.1</v>
      </c>
      <c r="R1293">
        <v>1250880</v>
      </c>
    </row>
    <row r="1294" spans="1:18" x14ac:dyDescent="0.25">
      <c r="A1294" s="170">
        <v>45309</v>
      </c>
      <c r="B1294" s="116">
        <v>1014.45</v>
      </c>
      <c r="C1294" s="116">
        <v>983.55</v>
      </c>
      <c r="D1294" s="116">
        <v>973.65</v>
      </c>
      <c r="E1294" s="116">
        <v>1005.05</v>
      </c>
      <c r="F1294" s="116">
        <v>983.55</v>
      </c>
      <c r="G1294">
        <v>102220</v>
      </c>
      <c r="H1294" s="116"/>
      <c r="I1294" s="116"/>
      <c r="L1294" s="170">
        <v>45309</v>
      </c>
      <c r="M1294" s="116">
        <v>983.1</v>
      </c>
      <c r="N1294" s="116">
        <v>1014.7</v>
      </c>
      <c r="O1294" s="116">
        <v>972.45</v>
      </c>
      <c r="P1294" s="116">
        <v>1006.9</v>
      </c>
      <c r="Q1294" s="116">
        <v>983.1</v>
      </c>
      <c r="R1294">
        <v>1849733</v>
      </c>
    </row>
    <row r="1295" spans="1:18" x14ac:dyDescent="0.25">
      <c r="A1295" s="170">
        <v>45310</v>
      </c>
      <c r="B1295" s="116">
        <v>1006</v>
      </c>
      <c r="C1295" s="116">
        <v>990.15</v>
      </c>
      <c r="D1295" s="116">
        <v>985</v>
      </c>
      <c r="E1295" s="116">
        <v>995.05</v>
      </c>
      <c r="F1295" s="116">
        <v>990.15</v>
      </c>
      <c r="G1295">
        <v>191689</v>
      </c>
      <c r="H1295" s="116"/>
      <c r="I1295" s="116"/>
      <c r="L1295" s="170">
        <v>45310</v>
      </c>
      <c r="M1295" s="116">
        <v>990.5</v>
      </c>
      <c r="N1295" s="116">
        <v>1007.95</v>
      </c>
      <c r="O1295" s="116">
        <v>986.05</v>
      </c>
      <c r="P1295" s="116">
        <v>1000</v>
      </c>
      <c r="Q1295" s="116">
        <v>990.5</v>
      </c>
      <c r="R1295">
        <v>852306</v>
      </c>
    </row>
    <row r="1296" spans="1:18" x14ac:dyDescent="0.25">
      <c r="A1296" s="170">
        <v>45311</v>
      </c>
      <c r="B1296" s="116">
        <v>1059</v>
      </c>
      <c r="C1296" s="116">
        <v>1047.9000000000001</v>
      </c>
      <c r="D1296" s="116">
        <v>980.05</v>
      </c>
      <c r="E1296" s="116">
        <v>992.05</v>
      </c>
      <c r="F1296" s="116">
        <v>1047.9000000000001</v>
      </c>
      <c r="G1296">
        <v>135179</v>
      </c>
      <c r="H1296" s="116"/>
      <c r="I1296" s="116"/>
      <c r="L1296" s="170">
        <v>45311</v>
      </c>
      <c r="M1296" s="116">
        <v>1048.0999999999999</v>
      </c>
      <c r="N1296" s="116">
        <v>1059.8499999999999</v>
      </c>
      <c r="O1296" s="116">
        <v>980.5</v>
      </c>
      <c r="P1296" s="116">
        <v>995.25</v>
      </c>
      <c r="Q1296" s="116">
        <v>1048.0999999999999</v>
      </c>
      <c r="R1296">
        <v>2604323</v>
      </c>
    </row>
    <row r="1297" spans="1:18" x14ac:dyDescent="0.25">
      <c r="A1297" s="170">
        <v>45314</v>
      </c>
      <c r="B1297" s="116">
        <v>1067.25</v>
      </c>
      <c r="C1297" s="116">
        <v>995.5</v>
      </c>
      <c r="D1297" s="116">
        <v>990</v>
      </c>
      <c r="E1297" s="116">
        <v>1064.5999999999999</v>
      </c>
      <c r="F1297" s="116">
        <v>995.5</v>
      </c>
      <c r="G1297">
        <v>114089</v>
      </c>
      <c r="H1297" s="116"/>
      <c r="I1297" s="116"/>
      <c r="L1297" s="170">
        <v>45314</v>
      </c>
      <c r="M1297" s="116">
        <v>996.35</v>
      </c>
      <c r="N1297" s="116">
        <v>1068</v>
      </c>
      <c r="O1297" s="116">
        <v>990.1</v>
      </c>
      <c r="P1297" s="116">
        <v>1060</v>
      </c>
      <c r="Q1297" s="116">
        <v>996.35</v>
      </c>
      <c r="R1297">
        <v>1670762</v>
      </c>
    </row>
    <row r="1298" spans="1:18" x14ac:dyDescent="0.25">
      <c r="A1298" s="170">
        <v>45315</v>
      </c>
      <c r="B1298" s="116">
        <v>1018.6</v>
      </c>
      <c r="C1298" s="116">
        <v>1002.55</v>
      </c>
      <c r="D1298" s="116">
        <v>983</v>
      </c>
      <c r="E1298" s="116">
        <v>991.85</v>
      </c>
      <c r="F1298" s="116">
        <v>1002.55</v>
      </c>
      <c r="G1298">
        <v>69739</v>
      </c>
      <c r="H1298" s="116"/>
      <c r="I1298" s="116"/>
      <c r="L1298" s="170">
        <v>45315</v>
      </c>
      <c r="M1298" s="116">
        <v>1002.2</v>
      </c>
      <c r="N1298" s="116">
        <v>1018</v>
      </c>
      <c r="O1298" s="116">
        <v>982</v>
      </c>
      <c r="P1298" s="116">
        <v>990</v>
      </c>
      <c r="Q1298" s="116">
        <v>1002.2</v>
      </c>
      <c r="R1298">
        <v>1122020</v>
      </c>
    </row>
    <row r="1299" spans="1:18" x14ac:dyDescent="0.25">
      <c r="A1299" s="170">
        <v>45316</v>
      </c>
      <c r="B1299" s="116">
        <v>1020</v>
      </c>
      <c r="C1299" s="116">
        <v>1003.35</v>
      </c>
      <c r="D1299" s="116">
        <v>994.45</v>
      </c>
      <c r="E1299" s="116">
        <v>1000.95</v>
      </c>
      <c r="F1299" s="116">
        <v>1003.35</v>
      </c>
      <c r="G1299">
        <v>177493</v>
      </c>
      <c r="H1299" s="116"/>
      <c r="I1299" s="116"/>
      <c r="L1299" s="170">
        <v>45316</v>
      </c>
      <c r="M1299" s="116">
        <v>1002.95</v>
      </c>
      <c r="N1299" s="116">
        <v>1016.9</v>
      </c>
      <c r="O1299" s="116">
        <v>995.2</v>
      </c>
      <c r="P1299" s="116">
        <v>1002.2</v>
      </c>
      <c r="Q1299" s="116">
        <v>1002.95</v>
      </c>
      <c r="R1299">
        <v>824946</v>
      </c>
    </row>
    <row r="1300" spans="1:18" x14ac:dyDescent="0.25">
      <c r="A1300" s="170">
        <v>45320</v>
      </c>
      <c r="B1300" s="116">
        <v>1051</v>
      </c>
      <c r="C1300" s="116">
        <v>1035.6500000000001</v>
      </c>
      <c r="D1300" s="116">
        <v>1005.5</v>
      </c>
      <c r="E1300" s="116">
        <v>1008.25</v>
      </c>
      <c r="F1300" s="116">
        <v>1035.6500000000001</v>
      </c>
      <c r="G1300">
        <v>302797</v>
      </c>
      <c r="H1300" s="116"/>
      <c r="I1300" s="116"/>
      <c r="L1300" s="170">
        <v>45320</v>
      </c>
      <c r="M1300" s="116">
        <v>1035.7</v>
      </c>
      <c r="N1300" s="116">
        <v>1053</v>
      </c>
      <c r="O1300" s="116">
        <v>1005.05</v>
      </c>
      <c r="P1300" s="116">
        <v>1010</v>
      </c>
      <c r="Q1300" s="116">
        <v>1035.7</v>
      </c>
      <c r="R1300">
        <v>1816753</v>
      </c>
    </row>
    <row r="1301" spans="1:18" x14ac:dyDescent="0.25">
      <c r="A1301" s="170">
        <v>45321</v>
      </c>
      <c r="B1301" s="116">
        <v>1050</v>
      </c>
      <c r="C1301" s="116">
        <v>1028.1500000000001</v>
      </c>
      <c r="D1301" s="116">
        <v>1018.3</v>
      </c>
      <c r="E1301" s="116">
        <v>1039</v>
      </c>
      <c r="F1301" s="116">
        <v>1028.1500000000001</v>
      </c>
      <c r="G1301">
        <v>83857</v>
      </c>
      <c r="H1301" s="116"/>
      <c r="I1301" s="116"/>
      <c r="L1301" s="170">
        <v>45321</v>
      </c>
      <c r="M1301" s="116">
        <v>1028.1500000000001</v>
      </c>
      <c r="N1301" s="116">
        <v>1050</v>
      </c>
      <c r="O1301" s="116">
        <v>1018.3</v>
      </c>
      <c r="P1301" s="116">
        <v>1040</v>
      </c>
      <c r="Q1301" s="116">
        <v>1028.1500000000001</v>
      </c>
      <c r="R1301">
        <v>2709758</v>
      </c>
    </row>
    <row r="1302" spans="1:18" x14ac:dyDescent="0.25">
      <c r="A1302" s="170">
        <v>45322</v>
      </c>
      <c r="B1302" s="116">
        <v>1035</v>
      </c>
      <c r="C1302" s="116">
        <v>1012.55</v>
      </c>
      <c r="D1302" s="116">
        <v>1004.15</v>
      </c>
      <c r="E1302" s="116">
        <v>1030</v>
      </c>
      <c r="F1302" s="116">
        <v>1012.55</v>
      </c>
      <c r="G1302">
        <v>275882</v>
      </c>
      <c r="H1302" s="116"/>
      <c r="I1302" s="116"/>
      <c r="L1302" s="170">
        <v>45322</v>
      </c>
      <c r="M1302" s="116">
        <v>1012.35</v>
      </c>
      <c r="N1302" s="116">
        <v>1035.7</v>
      </c>
      <c r="O1302" s="116">
        <v>1006.3</v>
      </c>
      <c r="P1302" s="116">
        <v>1030</v>
      </c>
      <c r="Q1302" s="116">
        <v>1012.35</v>
      </c>
      <c r="R1302">
        <v>2672010</v>
      </c>
    </row>
    <row r="1303" spans="1:18" x14ac:dyDescent="0.25">
      <c r="A1303" s="170">
        <v>45323</v>
      </c>
      <c r="B1303" s="116">
        <v>1029</v>
      </c>
      <c r="C1303" s="116">
        <v>1004.5</v>
      </c>
      <c r="D1303" s="116">
        <v>999.95</v>
      </c>
      <c r="E1303" s="116">
        <v>1015.85</v>
      </c>
      <c r="F1303" s="116">
        <v>1004.5</v>
      </c>
      <c r="G1303">
        <v>256450</v>
      </c>
      <c r="H1303" s="116"/>
      <c r="I1303" s="116"/>
      <c r="L1303" s="170">
        <v>45323</v>
      </c>
      <c r="M1303" s="116">
        <v>1004.1</v>
      </c>
      <c r="N1303" s="116">
        <v>1029.7</v>
      </c>
      <c r="O1303" s="116">
        <v>999.15</v>
      </c>
      <c r="P1303" s="116">
        <v>1018.3</v>
      </c>
      <c r="Q1303" s="116">
        <v>1004.1</v>
      </c>
      <c r="R1303">
        <v>2855495</v>
      </c>
    </row>
    <row r="1304" spans="1:18" x14ac:dyDescent="0.25">
      <c r="A1304" s="170">
        <v>45324</v>
      </c>
      <c r="B1304" s="116">
        <v>1014.25</v>
      </c>
      <c r="C1304" s="116">
        <v>999.1</v>
      </c>
      <c r="D1304" s="116">
        <v>996.25</v>
      </c>
      <c r="E1304" s="116">
        <v>1009.75</v>
      </c>
      <c r="F1304" s="116">
        <v>999.1</v>
      </c>
      <c r="G1304">
        <v>214228</v>
      </c>
      <c r="H1304" s="116"/>
      <c r="I1304" s="116"/>
      <c r="L1304" s="170">
        <v>45324</v>
      </c>
      <c r="M1304" s="116">
        <v>999.25</v>
      </c>
      <c r="N1304" s="116">
        <v>1014.15</v>
      </c>
      <c r="O1304" s="116">
        <v>996</v>
      </c>
      <c r="P1304" s="116">
        <v>1006.05</v>
      </c>
      <c r="Q1304" s="116">
        <v>999.25</v>
      </c>
      <c r="R1304">
        <v>2348536</v>
      </c>
    </row>
    <row r="1305" spans="1:18" x14ac:dyDescent="0.25">
      <c r="A1305" s="170">
        <v>45327</v>
      </c>
      <c r="B1305" s="116">
        <v>1004.95</v>
      </c>
      <c r="C1305" s="116">
        <v>989.75</v>
      </c>
      <c r="D1305" s="116">
        <v>985.35</v>
      </c>
      <c r="E1305" s="116">
        <v>1001.1</v>
      </c>
      <c r="F1305" s="116">
        <v>989.75</v>
      </c>
      <c r="G1305">
        <v>81388</v>
      </c>
      <c r="H1305" s="116"/>
      <c r="I1305" s="116"/>
      <c r="L1305" s="170">
        <v>45327</v>
      </c>
      <c r="M1305" s="116">
        <v>989.05</v>
      </c>
      <c r="N1305" s="116">
        <v>1007</v>
      </c>
      <c r="O1305" s="116">
        <v>985</v>
      </c>
      <c r="P1305" s="116">
        <v>1003</v>
      </c>
      <c r="Q1305" s="116">
        <v>989.05</v>
      </c>
      <c r="R1305">
        <v>2482752</v>
      </c>
    </row>
    <row r="1306" spans="1:18" x14ac:dyDescent="0.25">
      <c r="A1306" s="170">
        <v>45328</v>
      </c>
      <c r="B1306" s="116">
        <v>1017.9</v>
      </c>
      <c r="C1306" s="116">
        <v>994.35</v>
      </c>
      <c r="D1306" s="116">
        <v>987.05</v>
      </c>
      <c r="E1306" s="116">
        <v>1000.15</v>
      </c>
      <c r="F1306" s="116">
        <v>994.35</v>
      </c>
      <c r="G1306">
        <v>242022</v>
      </c>
      <c r="H1306" s="116"/>
      <c r="I1306" s="116"/>
      <c r="L1306" s="170">
        <v>45328</v>
      </c>
      <c r="M1306" s="116">
        <v>994.95</v>
      </c>
      <c r="N1306" s="116">
        <v>1018.55</v>
      </c>
      <c r="O1306" s="116">
        <v>988</v>
      </c>
      <c r="P1306" s="116">
        <v>1005</v>
      </c>
      <c r="Q1306" s="116">
        <v>994.95</v>
      </c>
      <c r="R1306">
        <v>1229019</v>
      </c>
    </row>
    <row r="1307" spans="1:18" x14ac:dyDescent="0.25">
      <c r="A1307" s="170">
        <v>45329</v>
      </c>
      <c r="B1307" s="116">
        <v>1072.05</v>
      </c>
      <c r="C1307" s="116">
        <v>1039.45</v>
      </c>
      <c r="D1307" s="116">
        <v>1001.35</v>
      </c>
      <c r="E1307" s="116">
        <v>1012.75</v>
      </c>
      <c r="F1307" s="116">
        <v>1039.45</v>
      </c>
      <c r="G1307">
        <v>256566</v>
      </c>
      <c r="H1307" s="116"/>
      <c r="I1307" s="116"/>
      <c r="L1307" s="170">
        <v>45329</v>
      </c>
      <c r="M1307" s="116">
        <v>1040.05</v>
      </c>
      <c r="N1307" s="116">
        <v>1072.2</v>
      </c>
      <c r="O1307" s="116">
        <v>1001.05</v>
      </c>
      <c r="P1307" s="116">
        <v>1008.9</v>
      </c>
      <c r="Q1307" s="116">
        <v>1040.05</v>
      </c>
      <c r="R1307">
        <v>6750686</v>
      </c>
    </row>
    <row r="1308" spans="1:18" x14ac:dyDescent="0.25">
      <c r="A1308" s="170">
        <v>45330</v>
      </c>
      <c r="B1308" s="116">
        <v>1065</v>
      </c>
      <c r="C1308" s="116">
        <v>1021.45</v>
      </c>
      <c r="D1308" s="116">
        <v>1016.45</v>
      </c>
      <c r="E1308" s="116">
        <v>1059</v>
      </c>
      <c r="F1308" s="116">
        <v>1021.45</v>
      </c>
      <c r="G1308">
        <v>89388</v>
      </c>
      <c r="H1308" s="116"/>
      <c r="I1308" s="116"/>
      <c r="L1308" s="170">
        <v>45330</v>
      </c>
      <c r="M1308" s="116">
        <v>1023.1</v>
      </c>
      <c r="N1308" s="116">
        <v>1065</v>
      </c>
      <c r="O1308" s="116">
        <v>1016</v>
      </c>
      <c r="P1308" s="116">
        <v>1059</v>
      </c>
      <c r="Q1308" s="116">
        <v>1023.1</v>
      </c>
      <c r="R1308">
        <v>3714348</v>
      </c>
    </row>
    <row r="1309" spans="1:18" x14ac:dyDescent="0.25">
      <c r="A1309" s="170">
        <v>45331</v>
      </c>
      <c r="B1309" s="116">
        <v>1049</v>
      </c>
      <c r="C1309" s="116">
        <v>1023.4</v>
      </c>
      <c r="D1309" s="116">
        <v>1003.9</v>
      </c>
      <c r="E1309" s="116">
        <v>1025.1500000000001</v>
      </c>
      <c r="F1309" s="116">
        <v>1023.4</v>
      </c>
      <c r="G1309">
        <v>89888</v>
      </c>
      <c r="H1309" s="116"/>
      <c r="I1309" s="116"/>
      <c r="L1309" s="170">
        <v>45331</v>
      </c>
      <c r="M1309" s="116">
        <v>1023.75</v>
      </c>
      <c r="N1309" s="116">
        <v>1049.5999999999999</v>
      </c>
      <c r="O1309" s="116">
        <v>1003.2</v>
      </c>
      <c r="P1309" s="116">
        <v>1029</v>
      </c>
      <c r="Q1309" s="116">
        <v>1023.75</v>
      </c>
      <c r="R1309">
        <v>3710884</v>
      </c>
    </row>
    <row r="1310" spans="1:18" x14ac:dyDescent="0.25">
      <c r="A1310" s="170">
        <v>45334</v>
      </c>
      <c r="B1310" s="116">
        <v>1061.25</v>
      </c>
      <c r="C1310" s="116">
        <v>1025.75</v>
      </c>
      <c r="D1310" s="116">
        <v>1014.55</v>
      </c>
      <c r="E1310" s="116">
        <v>1034.75</v>
      </c>
      <c r="F1310" s="116">
        <v>1025.75</v>
      </c>
      <c r="G1310">
        <v>122044</v>
      </c>
      <c r="H1310" s="116"/>
      <c r="I1310" s="116"/>
      <c r="L1310" s="170">
        <v>45334</v>
      </c>
      <c r="M1310" s="116">
        <v>1025.25</v>
      </c>
      <c r="N1310" s="116">
        <v>1061.9000000000001</v>
      </c>
      <c r="O1310" s="116">
        <v>1014</v>
      </c>
      <c r="P1310" s="116">
        <v>1033.7</v>
      </c>
      <c r="Q1310" s="116">
        <v>1025.25</v>
      </c>
      <c r="R1310">
        <v>4800285</v>
      </c>
    </row>
    <row r="1311" spans="1:18" x14ac:dyDescent="0.25">
      <c r="A1311" s="170">
        <v>45335</v>
      </c>
      <c r="B1311" s="116">
        <v>1038</v>
      </c>
      <c r="C1311" s="116">
        <v>1007.25</v>
      </c>
      <c r="D1311" s="116">
        <v>985.65</v>
      </c>
      <c r="E1311" s="116">
        <v>1038</v>
      </c>
      <c r="F1311" s="116">
        <v>1007.25</v>
      </c>
      <c r="G1311">
        <v>271198</v>
      </c>
      <c r="H1311" s="116"/>
      <c r="I1311" s="116"/>
      <c r="L1311" s="170">
        <v>45335</v>
      </c>
      <c r="M1311" s="116">
        <v>1007.8</v>
      </c>
      <c r="N1311" s="116">
        <v>1036.95</v>
      </c>
      <c r="O1311" s="116">
        <v>986.5</v>
      </c>
      <c r="P1311" s="116">
        <v>1035</v>
      </c>
      <c r="Q1311" s="116">
        <v>1007.8</v>
      </c>
      <c r="R1311">
        <v>3440888</v>
      </c>
    </row>
    <row r="1312" spans="1:18" x14ac:dyDescent="0.25">
      <c r="A1312" s="170">
        <v>45336</v>
      </c>
      <c r="B1312" s="116">
        <v>1027</v>
      </c>
      <c r="C1312" s="116">
        <v>1009.45</v>
      </c>
      <c r="D1312" s="116">
        <v>981.7</v>
      </c>
      <c r="E1312" s="116">
        <v>981.7</v>
      </c>
      <c r="F1312" s="116">
        <v>1009.45</v>
      </c>
      <c r="G1312">
        <v>75617</v>
      </c>
      <c r="H1312" s="116"/>
      <c r="I1312" s="116"/>
      <c r="L1312" s="170">
        <v>45336</v>
      </c>
      <c r="M1312" s="116">
        <v>1010.5</v>
      </c>
      <c r="N1312" s="116">
        <v>1027.3</v>
      </c>
      <c r="O1312" s="116">
        <v>983</v>
      </c>
      <c r="P1312" s="116">
        <v>983</v>
      </c>
      <c r="Q1312" s="116">
        <v>1010.5</v>
      </c>
      <c r="R1312">
        <v>2923474</v>
      </c>
    </row>
    <row r="1313" spans="1:18" x14ac:dyDescent="0.25">
      <c r="A1313" s="170">
        <v>45337</v>
      </c>
      <c r="B1313" s="116">
        <v>1033.25</v>
      </c>
      <c r="C1313" s="116">
        <v>1007.2</v>
      </c>
      <c r="D1313" s="116">
        <v>1003.5</v>
      </c>
      <c r="E1313" s="116">
        <v>1010.7</v>
      </c>
      <c r="F1313" s="116">
        <v>1007.2</v>
      </c>
      <c r="G1313">
        <v>59553</v>
      </c>
      <c r="H1313" s="116"/>
      <c r="I1313" s="116"/>
      <c r="L1313" s="170">
        <v>45337</v>
      </c>
      <c r="M1313" s="116">
        <v>1007.45</v>
      </c>
      <c r="N1313" s="116">
        <v>1033.95</v>
      </c>
      <c r="O1313" s="116">
        <v>1005.75</v>
      </c>
      <c r="P1313" s="116">
        <v>1012</v>
      </c>
      <c r="Q1313" s="116">
        <v>1007.45</v>
      </c>
      <c r="R1313">
        <v>1426683</v>
      </c>
    </row>
    <row r="1314" spans="1:18" x14ac:dyDescent="0.25">
      <c r="A1314" s="170">
        <v>45338</v>
      </c>
      <c r="B1314" s="116">
        <v>1018.75</v>
      </c>
      <c r="C1314" s="116">
        <v>1006.55</v>
      </c>
      <c r="D1314" s="116">
        <v>1003.6</v>
      </c>
      <c r="E1314" s="116">
        <v>1010.15</v>
      </c>
      <c r="F1314" s="116">
        <v>1006.55</v>
      </c>
      <c r="G1314">
        <v>50071</v>
      </c>
      <c r="H1314" s="116"/>
      <c r="I1314" s="116"/>
      <c r="L1314" s="170">
        <v>45338</v>
      </c>
      <c r="M1314" s="116">
        <v>1006.2</v>
      </c>
      <c r="N1314" s="116">
        <v>1019.1</v>
      </c>
      <c r="O1314" s="116">
        <v>1003</v>
      </c>
      <c r="P1314" s="116">
        <v>1012.95</v>
      </c>
      <c r="Q1314" s="116">
        <v>1006.2</v>
      </c>
      <c r="R1314">
        <v>910442</v>
      </c>
    </row>
    <row r="1315" spans="1:18" x14ac:dyDescent="0.25">
      <c r="A1315" s="170">
        <v>45341</v>
      </c>
      <c r="B1315" s="116">
        <v>1028.6500000000001</v>
      </c>
      <c r="C1315" s="116">
        <v>1011.5</v>
      </c>
      <c r="D1315" s="116">
        <v>1010</v>
      </c>
      <c r="E1315" s="116">
        <v>1017.95</v>
      </c>
      <c r="F1315" s="116">
        <v>1011.5</v>
      </c>
      <c r="G1315">
        <v>192750</v>
      </c>
      <c r="H1315" s="116"/>
      <c r="I1315" s="116"/>
      <c r="L1315" s="170">
        <v>45341</v>
      </c>
      <c r="M1315" s="116">
        <v>1011.7</v>
      </c>
      <c r="N1315" s="116">
        <v>1029</v>
      </c>
      <c r="O1315" s="116">
        <v>1010</v>
      </c>
      <c r="P1315" s="116">
        <v>1015.55</v>
      </c>
      <c r="Q1315" s="116">
        <v>1011.7</v>
      </c>
      <c r="R1315">
        <v>1021076</v>
      </c>
    </row>
    <row r="1316" spans="1:18" x14ac:dyDescent="0.25">
      <c r="A1316" s="170">
        <v>45342</v>
      </c>
      <c r="B1316" s="116">
        <v>1019</v>
      </c>
      <c r="C1316" s="116">
        <v>1012.45</v>
      </c>
      <c r="D1316" s="116">
        <v>1004.3</v>
      </c>
      <c r="E1316" s="116">
        <v>1014.6</v>
      </c>
      <c r="F1316" s="116">
        <v>1012.45</v>
      </c>
      <c r="G1316">
        <v>47165</v>
      </c>
      <c r="H1316" s="116"/>
      <c r="I1316" s="116"/>
      <c r="L1316" s="170">
        <v>45342</v>
      </c>
      <c r="M1316" s="116">
        <v>1012.05</v>
      </c>
      <c r="N1316" s="116">
        <v>1018</v>
      </c>
      <c r="O1316" s="116">
        <v>1004</v>
      </c>
      <c r="P1316" s="116">
        <v>1017</v>
      </c>
      <c r="Q1316" s="116">
        <v>1012.05</v>
      </c>
      <c r="R1316">
        <v>2592693</v>
      </c>
    </row>
    <row r="1317" spans="1:18" x14ac:dyDescent="0.25">
      <c r="A1317" s="170">
        <v>45343</v>
      </c>
      <c r="B1317" s="116">
        <v>1045.95</v>
      </c>
      <c r="C1317" s="116">
        <v>1020.55</v>
      </c>
      <c r="D1317" s="116">
        <v>1011.55</v>
      </c>
      <c r="E1317" s="116">
        <v>1013.4</v>
      </c>
      <c r="F1317" s="116">
        <v>1020.55</v>
      </c>
      <c r="G1317">
        <v>311367</v>
      </c>
      <c r="H1317" s="116"/>
      <c r="I1317" s="116"/>
      <c r="L1317" s="170">
        <v>45343</v>
      </c>
      <c r="M1317" s="116">
        <v>1021.05</v>
      </c>
      <c r="N1317" s="116">
        <v>1046</v>
      </c>
      <c r="O1317" s="116">
        <v>1011.05</v>
      </c>
      <c r="P1317" s="116">
        <v>1014.95</v>
      </c>
      <c r="Q1317" s="116">
        <v>1021.05</v>
      </c>
      <c r="R1317">
        <v>4637737</v>
      </c>
    </row>
    <row r="1318" spans="1:18" x14ac:dyDescent="0.25">
      <c r="A1318" s="170">
        <v>45344</v>
      </c>
      <c r="B1318" s="116">
        <v>1030</v>
      </c>
      <c r="C1318" s="116">
        <v>1017.3</v>
      </c>
      <c r="D1318" s="116">
        <v>1014</v>
      </c>
      <c r="E1318" s="116">
        <v>1030</v>
      </c>
      <c r="F1318" s="116">
        <v>1017.3</v>
      </c>
      <c r="G1318">
        <v>52352</v>
      </c>
      <c r="H1318" s="116"/>
      <c r="I1318" s="116"/>
      <c r="L1318" s="170">
        <v>45344</v>
      </c>
      <c r="M1318" s="116">
        <v>1018.15</v>
      </c>
      <c r="N1318" s="116">
        <v>1031.8499999999999</v>
      </c>
      <c r="O1318" s="116">
        <v>1013.45</v>
      </c>
      <c r="P1318" s="116">
        <v>1030</v>
      </c>
      <c r="Q1318" s="116">
        <v>1018.15</v>
      </c>
      <c r="R1318">
        <v>3220687</v>
      </c>
    </row>
    <row r="1319" spans="1:18" x14ac:dyDescent="0.25">
      <c r="A1319" s="170">
        <v>45345</v>
      </c>
      <c r="B1319" s="116">
        <v>1035</v>
      </c>
      <c r="C1319" s="116">
        <v>1029.3499999999999</v>
      </c>
      <c r="D1319" s="116">
        <v>1012.05</v>
      </c>
      <c r="E1319" s="116">
        <v>1013.35</v>
      </c>
      <c r="F1319" s="116">
        <v>1029.3499999999999</v>
      </c>
      <c r="G1319">
        <v>74840</v>
      </c>
      <c r="H1319" s="116"/>
      <c r="I1319" s="116"/>
      <c r="L1319" s="170">
        <v>45345</v>
      </c>
      <c r="M1319" s="116">
        <v>1029.4000000000001</v>
      </c>
      <c r="N1319" s="116">
        <v>1035</v>
      </c>
      <c r="O1319" s="116">
        <v>1015.1</v>
      </c>
      <c r="P1319" s="116">
        <v>1018.15</v>
      </c>
      <c r="Q1319" s="116">
        <v>1029.4000000000001</v>
      </c>
      <c r="R1319">
        <v>4203600</v>
      </c>
    </row>
    <row r="1320" spans="1:18" x14ac:dyDescent="0.25">
      <c r="A1320" s="170">
        <v>45348</v>
      </c>
      <c r="B1320" s="116">
        <v>1096.0999999999999</v>
      </c>
      <c r="C1320" s="116">
        <v>1075.8</v>
      </c>
      <c r="D1320" s="116">
        <v>1037.05</v>
      </c>
      <c r="E1320" s="116">
        <v>1040</v>
      </c>
      <c r="F1320" s="116">
        <v>1075.8</v>
      </c>
      <c r="G1320">
        <v>343493</v>
      </c>
      <c r="H1320" s="116"/>
      <c r="I1320" s="116"/>
      <c r="L1320" s="170">
        <v>45348</v>
      </c>
      <c r="M1320" s="116">
        <v>1075.55</v>
      </c>
      <c r="N1320" s="116">
        <v>1095</v>
      </c>
      <c r="O1320" s="116">
        <v>1036.4000000000001</v>
      </c>
      <c r="P1320" s="116">
        <v>1038</v>
      </c>
      <c r="Q1320" s="116">
        <v>1075.55</v>
      </c>
      <c r="R1320">
        <v>10670357</v>
      </c>
    </row>
    <row r="1321" spans="1:18" x14ac:dyDescent="0.25">
      <c r="A1321" s="170">
        <v>45349</v>
      </c>
      <c r="B1321" s="116">
        <v>1094.7</v>
      </c>
      <c r="C1321" s="116">
        <v>1047.4000000000001</v>
      </c>
      <c r="D1321" s="116">
        <v>1042.2</v>
      </c>
      <c r="E1321" s="116">
        <v>1089.1500000000001</v>
      </c>
      <c r="F1321" s="116">
        <v>1047.4000000000001</v>
      </c>
      <c r="G1321">
        <v>421125</v>
      </c>
      <c r="H1321" s="116"/>
      <c r="I1321" s="116"/>
      <c r="L1321" s="170">
        <v>45349</v>
      </c>
      <c r="M1321" s="116">
        <v>1048.3</v>
      </c>
      <c r="N1321" s="116">
        <v>1096</v>
      </c>
      <c r="O1321" s="116">
        <v>1042.2</v>
      </c>
      <c r="P1321" s="116">
        <v>1089</v>
      </c>
      <c r="Q1321" s="116">
        <v>1048.3</v>
      </c>
      <c r="R1321">
        <v>5479415</v>
      </c>
    </row>
    <row r="1322" spans="1:18" x14ac:dyDescent="0.25">
      <c r="A1322" s="170">
        <v>45350</v>
      </c>
      <c r="B1322" s="116">
        <v>1056.8</v>
      </c>
      <c r="C1322" s="116">
        <v>1018.95</v>
      </c>
      <c r="D1322" s="116">
        <v>1005.35</v>
      </c>
      <c r="E1322" s="116">
        <v>1048.0999999999999</v>
      </c>
      <c r="F1322" s="116">
        <v>1018.95</v>
      </c>
      <c r="G1322">
        <v>126508</v>
      </c>
      <c r="H1322" s="116"/>
      <c r="I1322" s="116"/>
      <c r="L1322" s="170">
        <v>45350</v>
      </c>
      <c r="M1322" s="116">
        <v>1018.9</v>
      </c>
      <c r="N1322" s="116">
        <v>1056.8499999999999</v>
      </c>
      <c r="O1322" s="116">
        <v>1005.4</v>
      </c>
      <c r="P1322" s="116">
        <v>1050</v>
      </c>
      <c r="Q1322" s="116">
        <v>1018.9</v>
      </c>
      <c r="R1322">
        <v>3498950</v>
      </c>
    </row>
    <row r="1323" spans="1:18" x14ac:dyDescent="0.25">
      <c r="A1323" s="170">
        <v>45351</v>
      </c>
      <c r="B1323" s="116">
        <v>1033</v>
      </c>
      <c r="C1323" s="116">
        <v>1025.25</v>
      </c>
      <c r="D1323" s="116">
        <v>1005.4</v>
      </c>
      <c r="E1323" s="116">
        <v>1020</v>
      </c>
      <c r="F1323" s="116">
        <v>1025.25</v>
      </c>
      <c r="G1323">
        <v>227096</v>
      </c>
      <c r="H1323" s="116"/>
      <c r="I1323" s="116"/>
      <c r="L1323" s="170">
        <v>45351</v>
      </c>
      <c r="M1323" s="116">
        <v>1025.6500000000001</v>
      </c>
      <c r="N1323" s="116">
        <v>1033.3</v>
      </c>
      <c r="O1323" s="116">
        <v>1005.25</v>
      </c>
      <c r="P1323" s="116">
        <v>1020</v>
      </c>
      <c r="Q1323" s="116">
        <v>1025.6500000000001</v>
      </c>
      <c r="R1323">
        <v>3210358</v>
      </c>
    </row>
    <row r="1324" spans="1:18" x14ac:dyDescent="0.25">
      <c r="A1324" s="170">
        <v>45352</v>
      </c>
      <c r="B1324" s="116">
        <v>1054.75</v>
      </c>
      <c r="C1324" s="116">
        <v>1038.55</v>
      </c>
      <c r="D1324" s="116">
        <v>1027.9000000000001</v>
      </c>
      <c r="E1324" s="116">
        <v>1034.95</v>
      </c>
      <c r="F1324" s="116">
        <v>1038.55</v>
      </c>
      <c r="G1324">
        <v>61939</v>
      </c>
      <c r="H1324" s="116"/>
      <c r="I1324" s="116"/>
      <c r="L1324" s="170">
        <v>45352</v>
      </c>
      <c r="M1324" s="116">
        <v>1039.1500000000001</v>
      </c>
      <c r="N1324" s="116">
        <v>1053.8499999999999</v>
      </c>
      <c r="O1324" s="116">
        <v>1027</v>
      </c>
      <c r="P1324" s="116">
        <v>1033</v>
      </c>
      <c r="Q1324" s="116">
        <v>1039.1500000000001</v>
      </c>
      <c r="R1324">
        <v>3839126</v>
      </c>
    </row>
    <row r="1325" spans="1:18" x14ac:dyDescent="0.25">
      <c r="A1325" s="170">
        <v>45353</v>
      </c>
      <c r="B1325" s="116">
        <v>1049.95</v>
      </c>
      <c r="C1325" s="116">
        <v>1040.25</v>
      </c>
      <c r="D1325" s="116">
        <v>1034.5999999999999</v>
      </c>
      <c r="E1325" s="116">
        <v>1049.95</v>
      </c>
      <c r="F1325" s="116">
        <v>1040.25</v>
      </c>
      <c r="G1325">
        <v>8000</v>
      </c>
      <c r="H1325" s="116"/>
      <c r="I1325" s="116"/>
      <c r="L1325" s="170">
        <v>45353</v>
      </c>
      <c r="M1325" s="116">
        <v>1040.0999999999999</v>
      </c>
      <c r="N1325" s="116">
        <v>1046</v>
      </c>
      <c r="O1325" s="116">
        <v>1026</v>
      </c>
      <c r="P1325" s="116">
        <v>1043</v>
      </c>
      <c r="Q1325" s="116">
        <v>1040.0999999999999</v>
      </c>
      <c r="R1325">
        <v>182084</v>
      </c>
    </row>
    <row r="1326" spans="1:18" x14ac:dyDescent="0.25">
      <c r="A1326" s="170">
        <v>45355</v>
      </c>
      <c r="B1326" s="116">
        <v>1047.05</v>
      </c>
      <c r="C1326" s="116">
        <v>1025.7</v>
      </c>
      <c r="D1326" s="116">
        <v>1019.1</v>
      </c>
      <c r="E1326" s="116">
        <v>1045.25</v>
      </c>
      <c r="F1326" s="116">
        <v>1025.7</v>
      </c>
      <c r="G1326">
        <v>210820</v>
      </c>
      <c r="H1326" s="116"/>
      <c r="I1326" s="116"/>
      <c r="L1326" s="170">
        <v>45355</v>
      </c>
      <c r="M1326" s="116">
        <v>1025.9000000000001</v>
      </c>
      <c r="N1326" s="116">
        <v>1047.7</v>
      </c>
      <c r="O1326" s="116">
        <v>1019.1</v>
      </c>
      <c r="P1326" s="116">
        <v>1047.7</v>
      </c>
      <c r="Q1326" s="116">
        <v>1025.9000000000001</v>
      </c>
      <c r="R1326">
        <v>2290040</v>
      </c>
    </row>
    <row r="1327" spans="1:18" x14ac:dyDescent="0.25">
      <c r="A1327" s="170">
        <v>45356</v>
      </c>
      <c r="B1327" s="116">
        <v>1031.7</v>
      </c>
      <c r="C1327" s="116">
        <v>1019.6</v>
      </c>
      <c r="D1327" s="116">
        <v>1013.15</v>
      </c>
      <c r="E1327" s="116">
        <v>1019.4</v>
      </c>
      <c r="F1327" s="116">
        <v>1019.6</v>
      </c>
      <c r="G1327">
        <v>49343</v>
      </c>
      <c r="H1327" s="116"/>
      <c r="I1327" s="116"/>
      <c r="L1327" s="170">
        <v>45356</v>
      </c>
      <c r="M1327" s="116">
        <v>1020.15</v>
      </c>
      <c r="N1327" s="116">
        <v>1032.25</v>
      </c>
      <c r="O1327" s="116">
        <v>1013.25</v>
      </c>
      <c r="P1327" s="116">
        <v>1026</v>
      </c>
      <c r="Q1327" s="116">
        <v>1020.15</v>
      </c>
      <c r="R1327">
        <v>3237710</v>
      </c>
    </row>
    <row r="1328" spans="1:18" x14ac:dyDescent="0.25">
      <c r="A1328" s="170">
        <v>45357</v>
      </c>
      <c r="B1328" s="116">
        <v>1022.8</v>
      </c>
      <c r="C1328" s="116">
        <v>1007.35</v>
      </c>
      <c r="D1328" s="116">
        <v>996</v>
      </c>
      <c r="E1328" s="116">
        <v>1020</v>
      </c>
      <c r="F1328" s="116">
        <v>1007.35</v>
      </c>
      <c r="G1328">
        <v>70013</v>
      </c>
      <c r="H1328" s="116"/>
      <c r="I1328" s="116"/>
      <c r="L1328" s="170">
        <v>45357</v>
      </c>
      <c r="M1328" s="116">
        <v>1005.85</v>
      </c>
      <c r="N1328" s="116">
        <v>1023.1</v>
      </c>
      <c r="O1328" s="116">
        <v>995.35</v>
      </c>
      <c r="P1328" s="116">
        <v>1021</v>
      </c>
      <c r="Q1328" s="116">
        <v>1005.85</v>
      </c>
      <c r="R1328">
        <v>3592120</v>
      </c>
    </row>
    <row r="1329" spans="1:18" x14ac:dyDescent="0.25">
      <c r="A1329" s="170">
        <v>45358</v>
      </c>
      <c r="B1329" s="116">
        <v>1018.25</v>
      </c>
      <c r="C1329" s="116">
        <v>1008.7</v>
      </c>
      <c r="D1329" s="116">
        <v>1000.85</v>
      </c>
      <c r="E1329" s="116">
        <v>1014</v>
      </c>
      <c r="F1329" s="116">
        <v>1008.7</v>
      </c>
      <c r="G1329">
        <v>149744</v>
      </c>
      <c r="H1329" s="116"/>
      <c r="I1329" s="116"/>
      <c r="L1329" s="170">
        <v>45358</v>
      </c>
      <c r="M1329" s="116">
        <v>1009.2</v>
      </c>
      <c r="N1329" s="116">
        <v>1017.85</v>
      </c>
      <c r="O1329" s="116">
        <v>1001</v>
      </c>
      <c r="P1329" s="116">
        <v>1014</v>
      </c>
      <c r="Q1329" s="116">
        <v>1009.2</v>
      </c>
      <c r="R1329">
        <v>3379167</v>
      </c>
    </row>
    <row r="1330" spans="1:18" x14ac:dyDescent="0.25">
      <c r="A1330" s="170">
        <v>45362</v>
      </c>
      <c r="B1330" s="116">
        <v>1022</v>
      </c>
      <c r="C1330" s="116">
        <v>1000.2</v>
      </c>
      <c r="D1330" s="116">
        <v>998</v>
      </c>
      <c r="E1330" s="116">
        <v>1009</v>
      </c>
      <c r="F1330" s="116">
        <v>1000.2</v>
      </c>
      <c r="G1330">
        <v>55364</v>
      </c>
      <c r="H1330" s="116"/>
      <c r="I1330" s="116"/>
      <c r="L1330" s="170">
        <v>45362</v>
      </c>
      <c r="M1330" s="116">
        <v>1000.15</v>
      </c>
      <c r="N1330" s="116">
        <v>1022.9</v>
      </c>
      <c r="O1330" s="116">
        <v>997.55</v>
      </c>
      <c r="P1330" s="116">
        <v>1010</v>
      </c>
      <c r="Q1330" s="116">
        <v>1000.15</v>
      </c>
      <c r="R1330">
        <v>3607249</v>
      </c>
    </row>
    <row r="1331" spans="1:18" x14ac:dyDescent="0.25">
      <c r="A1331" s="170">
        <v>45363</v>
      </c>
      <c r="B1331" s="116">
        <v>1006.05</v>
      </c>
      <c r="C1331" s="116">
        <v>965.55</v>
      </c>
      <c r="D1331" s="116">
        <v>960</v>
      </c>
      <c r="E1331" s="116">
        <v>1000.45</v>
      </c>
      <c r="F1331" s="116">
        <v>965.55</v>
      </c>
      <c r="G1331">
        <v>303587</v>
      </c>
      <c r="H1331" s="116"/>
      <c r="I1331" s="116"/>
      <c r="L1331" s="170">
        <v>45363</v>
      </c>
      <c r="M1331" s="116">
        <v>965.1</v>
      </c>
      <c r="N1331" s="116">
        <v>1007.8</v>
      </c>
      <c r="O1331" s="116">
        <v>960</v>
      </c>
      <c r="P1331" s="116">
        <v>1004</v>
      </c>
      <c r="Q1331" s="116">
        <v>965.1</v>
      </c>
      <c r="R1331">
        <v>1668717</v>
      </c>
    </row>
    <row r="1332" spans="1:18" x14ac:dyDescent="0.25">
      <c r="A1332" s="170">
        <v>45364</v>
      </c>
      <c r="B1332" s="116">
        <v>976.65</v>
      </c>
      <c r="C1332" s="116">
        <v>873.85</v>
      </c>
      <c r="D1332" s="116">
        <v>862.45</v>
      </c>
      <c r="E1332" s="116">
        <v>968.55</v>
      </c>
      <c r="F1332" s="116">
        <v>873.85</v>
      </c>
      <c r="G1332">
        <v>700186</v>
      </c>
      <c r="H1332" s="116"/>
      <c r="I1332" s="116"/>
      <c r="L1332" s="170">
        <v>45364</v>
      </c>
      <c r="M1332" s="116">
        <v>873</v>
      </c>
      <c r="N1332" s="116">
        <v>976.05</v>
      </c>
      <c r="O1332" s="116">
        <v>862.05</v>
      </c>
      <c r="P1332" s="116">
        <v>966.05</v>
      </c>
      <c r="Q1332" s="116">
        <v>873</v>
      </c>
      <c r="R1332">
        <v>4164593</v>
      </c>
    </row>
    <row r="1333" spans="1:18" x14ac:dyDescent="0.25">
      <c r="A1333" s="170">
        <v>45365</v>
      </c>
      <c r="B1333" s="116">
        <v>980</v>
      </c>
      <c r="C1333" s="116">
        <v>972.95</v>
      </c>
      <c r="D1333" s="116">
        <v>846.7</v>
      </c>
      <c r="E1333" s="116">
        <v>867.05</v>
      </c>
      <c r="F1333" s="116">
        <v>972.95</v>
      </c>
      <c r="G1333">
        <v>593265</v>
      </c>
      <c r="H1333" s="116"/>
      <c r="I1333" s="116"/>
      <c r="L1333" s="170">
        <v>45365</v>
      </c>
      <c r="M1333" s="116">
        <v>973.3</v>
      </c>
      <c r="N1333" s="116">
        <v>981</v>
      </c>
      <c r="O1333" s="116">
        <v>846.55</v>
      </c>
      <c r="P1333" s="116">
        <v>870</v>
      </c>
      <c r="Q1333" s="116">
        <v>973.3</v>
      </c>
      <c r="R1333">
        <v>6561550</v>
      </c>
    </row>
    <row r="1334" spans="1:18" x14ac:dyDescent="0.25">
      <c r="A1334" s="170">
        <v>45366</v>
      </c>
      <c r="B1334" s="116">
        <v>1006</v>
      </c>
      <c r="C1334" s="116">
        <v>990.85</v>
      </c>
      <c r="D1334" s="116">
        <v>945.5</v>
      </c>
      <c r="E1334" s="116">
        <v>972.25</v>
      </c>
      <c r="F1334" s="116">
        <v>990.85</v>
      </c>
      <c r="G1334">
        <v>197466</v>
      </c>
      <c r="H1334" s="116"/>
      <c r="I1334" s="116"/>
      <c r="L1334" s="170">
        <v>45366</v>
      </c>
      <c r="M1334" s="116">
        <v>989</v>
      </c>
      <c r="N1334" s="116">
        <v>1007</v>
      </c>
      <c r="O1334" s="116">
        <v>945.25</v>
      </c>
      <c r="P1334" s="116">
        <v>971</v>
      </c>
      <c r="Q1334" s="116">
        <v>989</v>
      </c>
      <c r="R1334">
        <v>6093587</v>
      </c>
    </row>
    <row r="1335" spans="1:18" x14ac:dyDescent="0.25">
      <c r="A1335" s="170">
        <v>45369</v>
      </c>
      <c r="B1335" s="116">
        <v>966</v>
      </c>
      <c r="C1335" s="116">
        <v>947.7</v>
      </c>
      <c r="D1335" s="116">
        <v>912.8</v>
      </c>
      <c r="E1335" s="116">
        <v>940.75</v>
      </c>
      <c r="F1335" s="116">
        <v>947.7</v>
      </c>
      <c r="G1335">
        <v>437205</v>
      </c>
      <c r="H1335" s="116"/>
      <c r="I1335" s="116"/>
      <c r="L1335" s="170">
        <v>45369</v>
      </c>
      <c r="M1335" s="116">
        <v>947.25</v>
      </c>
      <c r="N1335" s="116">
        <v>966.5</v>
      </c>
      <c r="O1335" s="116">
        <v>912.6</v>
      </c>
      <c r="P1335" s="116">
        <v>947.65</v>
      </c>
      <c r="Q1335" s="116">
        <v>947.25</v>
      </c>
      <c r="R1335">
        <v>3673113</v>
      </c>
    </row>
    <row r="1336" spans="1:18" x14ac:dyDescent="0.25">
      <c r="A1336" s="170">
        <v>45370</v>
      </c>
      <c r="B1336" s="116">
        <v>973.85</v>
      </c>
      <c r="C1336" s="116">
        <v>943.35</v>
      </c>
      <c r="D1336" s="116">
        <v>927.65</v>
      </c>
      <c r="E1336" s="116">
        <v>960</v>
      </c>
      <c r="F1336" s="116">
        <v>943.35</v>
      </c>
      <c r="G1336">
        <v>341162</v>
      </c>
      <c r="H1336" s="116"/>
      <c r="I1336" s="116"/>
      <c r="L1336" s="170">
        <v>45370</v>
      </c>
      <c r="M1336" s="116">
        <v>944.65</v>
      </c>
      <c r="N1336" s="116">
        <v>974.95</v>
      </c>
      <c r="O1336" s="116">
        <v>927.35</v>
      </c>
      <c r="P1336" s="116">
        <v>960</v>
      </c>
      <c r="Q1336" s="116">
        <v>944.65</v>
      </c>
      <c r="R1336">
        <v>4195313</v>
      </c>
    </row>
    <row r="1337" spans="1:18" x14ac:dyDescent="0.25">
      <c r="A1337" s="170">
        <v>45371</v>
      </c>
      <c r="B1337" s="116">
        <v>960.5</v>
      </c>
      <c r="C1337" s="116">
        <v>935.95</v>
      </c>
      <c r="D1337" s="116">
        <v>929.05</v>
      </c>
      <c r="E1337" s="116">
        <v>956.25</v>
      </c>
      <c r="F1337" s="116">
        <v>935.95</v>
      </c>
      <c r="G1337">
        <v>79352</v>
      </c>
      <c r="H1337" s="116"/>
      <c r="I1337" s="116"/>
      <c r="L1337" s="170">
        <v>45371</v>
      </c>
      <c r="M1337" s="116">
        <v>936.1</v>
      </c>
      <c r="N1337" s="116">
        <v>961.45</v>
      </c>
      <c r="O1337" s="116">
        <v>928.25</v>
      </c>
      <c r="P1337" s="116">
        <v>954.5</v>
      </c>
      <c r="Q1337" s="116">
        <v>936.1</v>
      </c>
      <c r="R1337">
        <v>1211071</v>
      </c>
    </row>
    <row r="1338" spans="1:18" x14ac:dyDescent="0.25">
      <c r="A1338" s="170">
        <v>45372</v>
      </c>
      <c r="B1338" s="116">
        <v>954.85</v>
      </c>
      <c r="C1338" s="116">
        <v>936.2</v>
      </c>
      <c r="D1338" s="116">
        <v>931.3</v>
      </c>
      <c r="E1338" s="116">
        <v>953.45</v>
      </c>
      <c r="F1338" s="116">
        <v>936.2</v>
      </c>
      <c r="G1338">
        <v>66146</v>
      </c>
      <c r="H1338" s="116"/>
      <c r="I1338" s="116"/>
      <c r="L1338" s="170">
        <v>45372</v>
      </c>
      <c r="M1338" s="116">
        <v>936.05</v>
      </c>
      <c r="N1338" s="116">
        <v>955</v>
      </c>
      <c r="O1338" s="116">
        <v>930</v>
      </c>
      <c r="P1338" s="116">
        <v>955</v>
      </c>
      <c r="Q1338" s="116">
        <v>936.05</v>
      </c>
      <c r="R1338">
        <v>910394</v>
      </c>
    </row>
    <row r="1339" spans="1:18" x14ac:dyDescent="0.25">
      <c r="A1339" s="170">
        <v>45373</v>
      </c>
      <c r="B1339" s="116">
        <v>948</v>
      </c>
      <c r="C1339" s="116">
        <v>939.15</v>
      </c>
      <c r="D1339" s="116">
        <v>933.6</v>
      </c>
      <c r="E1339" s="116">
        <v>940</v>
      </c>
      <c r="F1339" s="116">
        <v>939.15</v>
      </c>
      <c r="G1339">
        <v>129690</v>
      </c>
      <c r="H1339" s="116"/>
      <c r="I1339" s="116"/>
      <c r="L1339" s="170">
        <v>45373</v>
      </c>
      <c r="M1339" s="116">
        <v>938.85</v>
      </c>
      <c r="N1339" s="116">
        <v>948.65</v>
      </c>
      <c r="O1339" s="116">
        <v>933.1</v>
      </c>
      <c r="P1339" s="116">
        <v>941.95</v>
      </c>
      <c r="Q1339" s="116">
        <v>938.85</v>
      </c>
      <c r="R1339">
        <v>820686</v>
      </c>
    </row>
    <row r="1340" spans="1:18" x14ac:dyDescent="0.25">
      <c r="A1340" s="170">
        <v>45377</v>
      </c>
      <c r="B1340" s="116">
        <v>968</v>
      </c>
      <c r="C1340" s="116">
        <v>949.1</v>
      </c>
      <c r="D1340" s="116">
        <v>936.6</v>
      </c>
      <c r="E1340" s="116">
        <v>936.6</v>
      </c>
      <c r="F1340" s="116">
        <v>949.1</v>
      </c>
      <c r="G1340">
        <v>240928</v>
      </c>
      <c r="H1340" s="116"/>
      <c r="I1340" s="116"/>
      <c r="L1340" s="170">
        <v>45377</v>
      </c>
      <c r="M1340" s="116">
        <v>949.1</v>
      </c>
      <c r="N1340" s="116">
        <v>968.9</v>
      </c>
      <c r="O1340" s="116">
        <v>937.1</v>
      </c>
      <c r="P1340" s="116">
        <v>938.85</v>
      </c>
      <c r="Q1340" s="116">
        <v>949.1</v>
      </c>
      <c r="R1340">
        <v>2996728</v>
      </c>
    </row>
    <row r="1341" spans="1:18" x14ac:dyDescent="0.25">
      <c r="A1341" s="170">
        <v>45378</v>
      </c>
      <c r="B1341" s="116">
        <v>958.7</v>
      </c>
      <c r="C1341" s="116">
        <v>920.6</v>
      </c>
      <c r="D1341" s="116">
        <v>910.15</v>
      </c>
      <c r="E1341" s="116">
        <v>950.05</v>
      </c>
      <c r="F1341" s="116">
        <v>920.6</v>
      </c>
      <c r="G1341">
        <v>233197</v>
      </c>
      <c r="H1341" s="116"/>
      <c r="I1341" s="116"/>
      <c r="L1341" s="170">
        <v>45378</v>
      </c>
      <c r="M1341" s="116">
        <v>919.8</v>
      </c>
      <c r="N1341" s="116">
        <v>959.65</v>
      </c>
      <c r="O1341" s="116">
        <v>910</v>
      </c>
      <c r="P1341" s="116">
        <v>955</v>
      </c>
      <c r="Q1341" s="116">
        <v>919.8</v>
      </c>
      <c r="R1341">
        <v>3942984</v>
      </c>
    </row>
    <row r="1342" spans="1:18" x14ac:dyDescent="0.25">
      <c r="A1342" s="170">
        <v>45379</v>
      </c>
      <c r="B1342" s="116">
        <v>938.95</v>
      </c>
      <c r="C1342" s="116">
        <v>925.45</v>
      </c>
      <c r="D1342" s="116">
        <v>914.1</v>
      </c>
      <c r="E1342" s="116">
        <v>933</v>
      </c>
      <c r="F1342" s="116">
        <v>925.45</v>
      </c>
      <c r="G1342">
        <v>268570</v>
      </c>
      <c r="H1342" s="116"/>
      <c r="I1342" s="116"/>
      <c r="L1342" s="170">
        <v>45379</v>
      </c>
      <c r="M1342" s="116">
        <v>926.55</v>
      </c>
      <c r="N1342" s="116">
        <v>939.1</v>
      </c>
      <c r="O1342" s="116">
        <v>912.75</v>
      </c>
      <c r="P1342" s="116">
        <v>932</v>
      </c>
      <c r="Q1342" s="116">
        <v>926.55</v>
      </c>
      <c r="R1342">
        <v>3467464</v>
      </c>
    </row>
    <row r="1343" spans="1:18" x14ac:dyDescent="0.25">
      <c r="A1343" s="170">
        <v>45383</v>
      </c>
      <c r="B1343" s="116">
        <v>1000</v>
      </c>
      <c r="C1343" s="116">
        <v>969.65</v>
      </c>
      <c r="D1343" s="116">
        <v>944.9</v>
      </c>
      <c r="E1343" s="116">
        <v>947</v>
      </c>
      <c r="F1343" s="116">
        <v>969.65</v>
      </c>
      <c r="G1343">
        <v>108378</v>
      </c>
      <c r="H1343" s="116"/>
      <c r="I1343" s="116"/>
      <c r="L1343" s="170">
        <v>45383</v>
      </c>
      <c r="M1343" s="116">
        <v>969.55</v>
      </c>
      <c r="N1343" s="116">
        <v>1000</v>
      </c>
      <c r="O1343" s="116">
        <v>945</v>
      </c>
      <c r="P1343" s="116">
        <v>947.95</v>
      </c>
      <c r="Q1343" s="116">
        <v>969.55</v>
      </c>
      <c r="R1343">
        <v>2878739</v>
      </c>
    </row>
    <row r="1344" spans="1:18" x14ac:dyDescent="0.25">
      <c r="A1344" s="170">
        <v>45384</v>
      </c>
      <c r="B1344" s="116">
        <v>984.85</v>
      </c>
      <c r="C1344" s="116">
        <v>976</v>
      </c>
      <c r="D1344" s="116">
        <v>964</v>
      </c>
      <c r="E1344" s="116">
        <v>974.15</v>
      </c>
      <c r="F1344" s="116">
        <v>976</v>
      </c>
      <c r="G1344">
        <v>221374</v>
      </c>
      <c r="H1344" s="116"/>
      <c r="I1344" s="116"/>
      <c r="L1344" s="170">
        <v>45384</v>
      </c>
      <c r="M1344" s="116">
        <v>976.25</v>
      </c>
      <c r="N1344" s="116">
        <v>984.95</v>
      </c>
      <c r="O1344" s="116">
        <v>963.65</v>
      </c>
      <c r="P1344" s="116">
        <v>972</v>
      </c>
      <c r="Q1344" s="116">
        <v>976.25</v>
      </c>
      <c r="R1344">
        <v>3304235</v>
      </c>
    </row>
    <row r="1345" spans="1:18" x14ac:dyDescent="0.25">
      <c r="A1345" s="170">
        <v>45385</v>
      </c>
      <c r="B1345" s="116">
        <v>987.6</v>
      </c>
      <c r="C1345" s="116">
        <v>976.1</v>
      </c>
      <c r="D1345" s="116">
        <v>965.65</v>
      </c>
      <c r="E1345" s="116">
        <v>972.6</v>
      </c>
      <c r="F1345" s="116">
        <v>976.1</v>
      </c>
      <c r="G1345">
        <v>61696</v>
      </c>
      <c r="H1345" s="116"/>
      <c r="I1345" s="116"/>
      <c r="L1345" s="170">
        <v>45385</v>
      </c>
      <c r="M1345" s="116">
        <v>975.9</v>
      </c>
      <c r="N1345" s="116">
        <v>987.7</v>
      </c>
      <c r="O1345" s="116">
        <v>965.3</v>
      </c>
      <c r="P1345" s="116">
        <v>974.95</v>
      </c>
      <c r="Q1345" s="116">
        <v>975.9</v>
      </c>
      <c r="R1345">
        <v>3138079</v>
      </c>
    </row>
    <row r="1346" spans="1:18" x14ac:dyDescent="0.25">
      <c r="A1346" s="170">
        <v>45386</v>
      </c>
      <c r="B1346" s="116">
        <v>995.95</v>
      </c>
      <c r="C1346" s="116">
        <v>984.05</v>
      </c>
      <c r="D1346" s="116">
        <v>979.65</v>
      </c>
      <c r="E1346" s="116">
        <v>986.6</v>
      </c>
      <c r="F1346" s="116">
        <v>984.05</v>
      </c>
      <c r="G1346">
        <v>195364</v>
      </c>
      <c r="H1346" s="116"/>
      <c r="I1346" s="116"/>
      <c r="L1346" s="170">
        <v>45386</v>
      </c>
      <c r="M1346" s="116">
        <v>984.2</v>
      </c>
      <c r="N1346" s="116">
        <v>996.4</v>
      </c>
      <c r="O1346" s="116">
        <v>980.1</v>
      </c>
      <c r="P1346" s="116">
        <v>985.9</v>
      </c>
      <c r="Q1346" s="116">
        <v>984.2</v>
      </c>
      <c r="R1346">
        <v>3042493</v>
      </c>
    </row>
    <row r="1347" spans="1:18" x14ac:dyDescent="0.25">
      <c r="A1347" s="170">
        <v>45387</v>
      </c>
      <c r="B1347" s="116">
        <v>988.65</v>
      </c>
      <c r="C1347" s="116">
        <v>978.8</v>
      </c>
      <c r="D1347" s="116">
        <v>971.05</v>
      </c>
      <c r="E1347" s="116">
        <v>984.05</v>
      </c>
      <c r="F1347" s="116">
        <v>978.8</v>
      </c>
      <c r="G1347">
        <v>61602</v>
      </c>
      <c r="H1347" s="116"/>
      <c r="I1347" s="116"/>
      <c r="L1347" s="170">
        <v>45387</v>
      </c>
      <c r="M1347" s="116">
        <v>979</v>
      </c>
      <c r="N1347" s="116">
        <v>989</v>
      </c>
      <c r="O1347" s="116">
        <v>970.55</v>
      </c>
      <c r="P1347" s="116">
        <v>983.95</v>
      </c>
      <c r="Q1347" s="116">
        <v>979</v>
      </c>
      <c r="R1347">
        <v>2992616</v>
      </c>
    </row>
    <row r="1348" spans="1:18" x14ac:dyDescent="0.25">
      <c r="A1348" s="170">
        <v>45390</v>
      </c>
      <c r="B1348" s="116">
        <v>987.75</v>
      </c>
      <c r="C1348" s="116">
        <v>967</v>
      </c>
      <c r="D1348" s="116">
        <v>963.35</v>
      </c>
      <c r="E1348" s="116">
        <v>980.55</v>
      </c>
      <c r="F1348" s="116">
        <v>967</v>
      </c>
      <c r="G1348">
        <v>60239</v>
      </c>
      <c r="H1348" s="116"/>
      <c r="I1348" s="116"/>
      <c r="L1348" s="170">
        <v>45390</v>
      </c>
      <c r="M1348" s="116">
        <v>966.8</v>
      </c>
      <c r="N1348" s="116">
        <v>988</v>
      </c>
      <c r="O1348" s="116">
        <v>963.1</v>
      </c>
      <c r="P1348" s="116">
        <v>986.95</v>
      </c>
      <c r="Q1348" s="116">
        <v>966.8</v>
      </c>
      <c r="R1348">
        <v>1137434</v>
      </c>
    </row>
    <row r="1349" spans="1:18" x14ac:dyDescent="0.25">
      <c r="A1349" s="170">
        <v>45391</v>
      </c>
      <c r="B1349" s="116">
        <v>975.7</v>
      </c>
      <c r="C1349" s="116">
        <v>962.85</v>
      </c>
      <c r="D1349" s="116">
        <v>960.1</v>
      </c>
      <c r="E1349" s="116">
        <v>971</v>
      </c>
      <c r="F1349" s="116">
        <v>962.85</v>
      </c>
      <c r="G1349">
        <v>100186</v>
      </c>
      <c r="H1349" s="116"/>
      <c r="I1349" s="116"/>
      <c r="L1349" s="170">
        <v>45391</v>
      </c>
      <c r="M1349" s="116">
        <v>962.15</v>
      </c>
      <c r="N1349" s="116">
        <v>976</v>
      </c>
      <c r="O1349" s="116">
        <v>960.1</v>
      </c>
      <c r="P1349" s="116">
        <v>970.45</v>
      </c>
      <c r="Q1349" s="116">
        <v>962.15</v>
      </c>
      <c r="R1349">
        <v>692150</v>
      </c>
    </row>
    <row r="1350" spans="1:18" x14ac:dyDescent="0.25">
      <c r="A1350" s="170">
        <v>45392</v>
      </c>
      <c r="B1350" s="116">
        <v>968.15</v>
      </c>
      <c r="C1350" s="116">
        <v>960.95</v>
      </c>
      <c r="D1350" s="116">
        <v>955</v>
      </c>
      <c r="E1350" s="116">
        <v>963.9</v>
      </c>
      <c r="F1350" s="116">
        <v>960.95</v>
      </c>
      <c r="G1350">
        <v>94620</v>
      </c>
      <c r="H1350" s="116"/>
      <c r="I1350" s="116"/>
      <c r="L1350" s="170">
        <v>45392</v>
      </c>
      <c r="M1350" s="116">
        <v>961.3</v>
      </c>
      <c r="N1350" s="116">
        <v>967.3</v>
      </c>
      <c r="O1350" s="116">
        <v>956.5</v>
      </c>
      <c r="P1350" s="116">
        <v>965</v>
      </c>
      <c r="Q1350" s="116">
        <v>961.3</v>
      </c>
      <c r="R1350">
        <v>502070</v>
      </c>
    </row>
    <row r="1351" spans="1:18" x14ac:dyDescent="0.25">
      <c r="A1351" s="170">
        <v>45394</v>
      </c>
      <c r="B1351" s="116">
        <v>969.15</v>
      </c>
      <c r="C1351" s="116">
        <v>948.45</v>
      </c>
      <c r="D1351" s="116">
        <v>944</v>
      </c>
      <c r="E1351" s="116">
        <v>955.95</v>
      </c>
      <c r="F1351" s="116">
        <v>948.45</v>
      </c>
      <c r="G1351">
        <v>36626</v>
      </c>
      <c r="H1351" s="116"/>
      <c r="I1351" s="116"/>
      <c r="L1351" s="170">
        <v>45394</v>
      </c>
      <c r="M1351" s="116">
        <v>948.05</v>
      </c>
      <c r="N1351" s="116">
        <v>970</v>
      </c>
      <c r="O1351" s="116">
        <v>942.85</v>
      </c>
      <c r="P1351" s="116">
        <v>957.1</v>
      </c>
      <c r="Q1351" s="116">
        <v>948.05</v>
      </c>
      <c r="R1351">
        <v>755787</v>
      </c>
    </row>
    <row r="1352" spans="1:18" x14ac:dyDescent="0.25">
      <c r="A1352" s="170">
        <v>45397</v>
      </c>
      <c r="B1352" s="116">
        <v>937.65</v>
      </c>
      <c r="C1352" s="116">
        <v>926.35</v>
      </c>
      <c r="D1352" s="116">
        <v>812.05</v>
      </c>
      <c r="E1352" s="116">
        <v>812.05</v>
      </c>
      <c r="F1352" s="116">
        <v>926.35</v>
      </c>
      <c r="G1352">
        <v>302652</v>
      </c>
      <c r="H1352" s="116"/>
      <c r="I1352" s="116"/>
      <c r="L1352" s="170">
        <v>45397</v>
      </c>
      <c r="M1352" s="116">
        <v>926.25</v>
      </c>
      <c r="N1352" s="116">
        <v>938</v>
      </c>
      <c r="O1352" s="116">
        <v>906.3</v>
      </c>
      <c r="P1352" s="116">
        <v>920</v>
      </c>
      <c r="Q1352" s="116">
        <v>926.25</v>
      </c>
      <c r="R1352">
        <v>1356648</v>
      </c>
    </row>
    <row r="1353" spans="1:18" x14ac:dyDescent="0.25">
      <c r="A1353" s="170">
        <v>45398</v>
      </c>
      <c r="B1353" s="116">
        <v>936</v>
      </c>
      <c r="C1353" s="116">
        <v>927.8</v>
      </c>
      <c r="D1353" s="116">
        <v>920.2</v>
      </c>
      <c r="E1353" s="116">
        <v>920.35</v>
      </c>
      <c r="F1353" s="116">
        <v>927.8</v>
      </c>
      <c r="G1353">
        <v>94025</v>
      </c>
      <c r="H1353" s="116"/>
      <c r="I1353" s="116"/>
      <c r="L1353" s="170">
        <v>45398</v>
      </c>
      <c r="M1353" s="116">
        <v>927.75</v>
      </c>
      <c r="N1353" s="116">
        <v>936.45</v>
      </c>
      <c r="O1353" s="116">
        <v>919.95</v>
      </c>
      <c r="P1353" s="116">
        <v>926.25</v>
      </c>
      <c r="Q1353" s="116">
        <v>927.75</v>
      </c>
      <c r="R1353">
        <v>704150</v>
      </c>
    </row>
    <row r="1354" spans="1:18" x14ac:dyDescent="0.25">
      <c r="A1354" s="170">
        <v>45400</v>
      </c>
      <c r="B1354" s="116">
        <v>955.8</v>
      </c>
      <c r="C1354" s="116">
        <v>919.95</v>
      </c>
      <c r="D1354" s="116">
        <v>916.4</v>
      </c>
      <c r="E1354" s="116">
        <v>936</v>
      </c>
      <c r="F1354" s="116">
        <v>919.95</v>
      </c>
      <c r="G1354">
        <v>139748</v>
      </c>
      <c r="H1354" s="116"/>
      <c r="I1354" s="116"/>
      <c r="L1354" s="170">
        <v>45400</v>
      </c>
      <c r="M1354" s="116">
        <v>920.15</v>
      </c>
      <c r="N1354" s="116">
        <v>955.7</v>
      </c>
      <c r="O1354" s="116">
        <v>917</v>
      </c>
      <c r="P1354" s="116">
        <v>936.2</v>
      </c>
      <c r="Q1354" s="116">
        <v>920.15</v>
      </c>
      <c r="R1354">
        <v>861752</v>
      </c>
    </row>
    <row r="1355" spans="1:18" x14ac:dyDescent="0.25">
      <c r="A1355" s="170">
        <v>45401</v>
      </c>
      <c r="B1355" s="116">
        <v>919.1</v>
      </c>
      <c r="C1355" s="116">
        <v>913.1</v>
      </c>
      <c r="D1355" s="116">
        <v>898.5</v>
      </c>
      <c r="E1355" s="116">
        <v>909.05</v>
      </c>
      <c r="F1355" s="116">
        <v>913.1</v>
      </c>
      <c r="G1355">
        <v>51011</v>
      </c>
      <c r="H1355" s="116"/>
      <c r="I1355" s="116"/>
      <c r="L1355" s="170">
        <v>45401</v>
      </c>
      <c r="M1355" s="116">
        <v>912.4</v>
      </c>
      <c r="N1355" s="116">
        <v>919</v>
      </c>
      <c r="O1355" s="116">
        <v>898</v>
      </c>
      <c r="P1355" s="116">
        <v>910</v>
      </c>
      <c r="Q1355" s="116">
        <v>912.4</v>
      </c>
      <c r="R1355">
        <v>982963</v>
      </c>
    </row>
    <row r="1356" spans="1:18" x14ac:dyDescent="0.25">
      <c r="A1356" s="170">
        <v>45404</v>
      </c>
      <c r="B1356" s="116">
        <v>929</v>
      </c>
      <c r="C1356" s="116">
        <v>918.45</v>
      </c>
      <c r="D1356" s="116">
        <v>916.15</v>
      </c>
      <c r="E1356" s="116">
        <v>927.2</v>
      </c>
      <c r="F1356" s="116">
        <v>918.45</v>
      </c>
      <c r="G1356">
        <v>78871</v>
      </c>
      <c r="H1356" s="116"/>
      <c r="I1356" s="116"/>
      <c r="L1356" s="170">
        <v>45404</v>
      </c>
      <c r="M1356" s="116">
        <v>918.55</v>
      </c>
      <c r="N1356" s="116">
        <v>930</v>
      </c>
      <c r="O1356" s="116">
        <v>916.9</v>
      </c>
      <c r="P1356" s="116">
        <v>930</v>
      </c>
      <c r="Q1356" s="116">
        <v>918.55</v>
      </c>
      <c r="R1356">
        <v>517419</v>
      </c>
    </row>
    <row r="1357" spans="1:18" x14ac:dyDescent="0.25">
      <c r="A1357" s="170">
        <v>45405</v>
      </c>
      <c r="B1357" s="116">
        <v>931</v>
      </c>
      <c r="C1357" s="116">
        <v>922.8</v>
      </c>
      <c r="D1357" s="116">
        <v>919.25</v>
      </c>
      <c r="E1357" s="116">
        <v>920.1</v>
      </c>
      <c r="F1357" s="116">
        <v>922.8</v>
      </c>
      <c r="G1357">
        <v>33129</v>
      </c>
      <c r="H1357" s="116"/>
      <c r="I1357" s="116"/>
      <c r="L1357" s="170">
        <v>45405</v>
      </c>
      <c r="M1357" s="116">
        <v>923.15</v>
      </c>
      <c r="N1357" s="116">
        <v>931.35</v>
      </c>
      <c r="O1357" s="116">
        <v>919.55</v>
      </c>
      <c r="P1357" s="116">
        <v>919.55</v>
      </c>
      <c r="Q1357" s="116">
        <v>923.15</v>
      </c>
      <c r="R1357">
        <v>549191</v>
      </c>
    </row>
    <row r="1358" spans="1:18" x14ac:dyDescent="0.25">
      <c r="A1358" s="170">
        <v>45406</v>
      </c>
      <c r="B1358" s="116">
        <v>929.6</v>
      </c>
      <c r="C1358" s="116">
        <v>918.35</v>
      </c>
      <c r="D1358" s="116">
        <v>913.5</v>
      </c>
      <c r="E1358" s="116">
        <v>929.6</v>
      </c>
      <c r="F1358" s="116">
        <v>918.35</v>
      </c>
      <c r="G1358">
        <v>33368</v>
      </c>
      <c r="H1358" s="116"/>
      <c r="I1358" s="116"/>
      <c r="L1358" s="170">
        <v>45406</v>
      </c>
      <c r="M1358" s="116">
        <v>919.5</v>
      </c>
      <c r="N1358" s="116">
        <v>929.9</v>
      </c>
      <c r="O1358" s="116">
        <v>915.2</v>
      </c>
      <c r="P1358" s="116">
        <v>929.9</v>
      </c>
      <c r="Q1358" s="116">
        <v>919.5</v>
      </c>
      <c r="R1358">
        <v>536974</v>
      </c>
    </row>
    <row r="1359" spans="1:18" x14ac:dyDescent="0.25">
      <c r="A1359" s="170">
        <v>45407</v>
      </c>
      <c r="B1359" s="116">
        <v>921.3</v>
      </c>
      <c r="C1359" s="116">
        <v>917.95</v>
      </c>
      <c r="D1359" s="116">
        <v>914</v>
      </c>
      <c r="E1359" s="116">
        <v>918.45</v>
      </c>
      <c r="F1359" s="116">
        <v>917.95</v>
      </c>
      <c r="G1359">
        <v>28549</v>
      </c>
      <c r="H1359" s="116"/>
      <c r="I1359" s="116"/>
      <c r="L1359" s="170">
        <v>45407</v>
      </c>
      <c r="M1359" s="116">
        <v>918.15</v>
      </c>
      <c r="N1359" s="116">
        <v>921.95</v>
      </c>
      <c r="O1359" s="116">
        <v>912.05</v>
      </c>
      <c r="P1359" s="116">
        <v>919.2</v>
      </c>
      <c r="Q1359" s="116">
        <v>918.15</v>
      </c>
      <c r="R1359">
        <v>573793</v>
      </c>
    </row>
    <row r="1360" spans="1:18" x14ac:dyDescent="0.25">
      <c r="A1360" s="170">
        <v>45408</v>
      </c>
      <c r="B1360" s="116">
        <v>926</v>
      </c>
      <c r="C1360" s="116">
        <v>919.05</v>
      </c>
      <c r="D1360" s="116">
        <v>918</v>
      </c>
      <c r="E1360" s="116">
        <v>919.4</v>
      </c>
      <c r="F1360" s="116">
        <v>919.05</v>
      </c>
      <c r="G1360">
        <v>22715</v>
      </c>
      <c r="H1360" s="116"/>
      <c r="I1360" s="116"/>
      <c r="L1360" s="170">
        <v>45408</v>
      </c>
      <c r="M1360" s="116">
        <v>919.15</v>
      </c>
      <c r="N1360" s="116">
        <v>926.95</v>
      </c>
      <c r="O1360" s="116">
        <v>918</v>
      </c>
      <c r="P1360" s="116">
        <v>920</v>
      </c>
      <c r="Q1360" s="116">
        <v>919.15</v>
      </c>
      <c r="R1360">
        <v>569183</v>
      </c>
    </row>
    <row r="1361" spans="1:18" x14ac:dyDescent="0.25">
      <c r="A1361" s="170">
        <v>45411</v>
      </c>
      <c r="B1361" s="116">
        <v>926.5</v>
      </c>
      <c r="C1361" s="116">
        <v>919.1</v>
      </c>
      <c r="D1361" s="116">
        <v>917.9</v>
      </c>
      <c r="E1361" s="116">
        <v>925.05</v>
      </c>
      <c r="F1361" s="116">
        <v>919.1</v>
      </c>
      <c r="G1361">
        <v>24982</v>
      </c>
      <c r="H1361" s="116"/>
      <c r="I1361" s="116"/>
      <c r="L1361" s="170">
        <v>45411</v>
      </c>
      <c r="M1361" s="116">
        <v>919.05</v>
      </c>
      <c r="N1361" s="116">
        <v>927</v>
      </c>
      <c r="O1361" s="116">
        <v>918</v>
      </c>
      <c r="P1361" s="116">
        <v>926</v>
      </c>
      <c r="Q1361" s="116">
        <v>919.05</v>
      </c>
      <c r="R1361">
        <v>513379</v>
      </c>
    </row>
    <row r="1362" spans="1:18" x14ac:dyDescent="0.25">
      <c r="A1362" s="170">
        <v>45412</v>
      </c>
      <c r="B1362" s="116">
        <v>947.7</v>
      </c>
      <c r="C1362" s="116">
        <v>928.9</v>
      </c>
      <c r="D1362" s="116">
        <v>920.8</v>
      </c>
      <c r="E1362" s="116">
        <v>925.05</v>
      </c>
      <c r="F1362" s="116">
        <v>928.9</v>
      </c>
      <c r="G1362">
        <v>144349</v>
      </c>
      <c r="H1362" s="116"/>
      <c r="I1362" s="116"/>
      <c r="L1362" s="170">
        <v>45412</v>
      </c>
      <c r="M1362" s="116">
        <v>929.1</v>
      </c>
      <c r="N1362" s="116">
        <v>947.65</v>
      </c>
      <c r="O1362" s="116">
        <v>921.3</v>
      </c>
      <c r="P1362" s="116">
        <v>924.1</v>
      </c>
      <c r="Q1362" s="116">
        <v>929.1</v>
      </c>
      <c r="R1362">
        <v>1080983</v>
      </c>
    </row>
    <row r="1363" spans="1:18" x14ac:dyDescent="0.25">
      <c r="A1363" s="170">
        <v>45414</v>
      </c>
      <c r="B1363" s="116">
        <v>969</v>
      </c>
      <c r="C1363" s="116">
        <v>931.95</v>
      </c>
      <c r="D1363" s="116">
        <v>928.05</v>
      </c>
      <c r="E1363" s="116">
        <v>959.35</v>
      </c>
      <c r="F1363" s="116">
        <v>931.95</v>
      </c>
      <c r="G1363">
        <v>114356</v>
      </c>
      <c r="H1363" s="116"/>
      <c r="I1363" s="116"/>
      <c r="L1363" s="170">
        <v>45414</v>
      </c>
      <c r="M1363" s="116">
        <v>932.15</v>
      </c>
      <c r="N1363" s="116">
        <v>969.85</v>
      </c>
      <c r="O1363" s="116">
        <v>925</v>
      </c>
      <c r="P1363" s="116">
        <v>955</v>
      </c>
      <c r="Q1363" s="116">
        <v>932.15</v>
      </c>
      <c r="R1363">
        <v>2505289</v>
      </c>
    </row>
    <row r="1364" spans="1:18" x14ac:dyDescent="0.25">
      <c r="A1364" s="170">
        <v>45415</v>
      </c>
      <c r="B1364" s="116">
        <v>936.75</v>
      </c>
      <c r="C1364" s="116">
        <v>930.35</v>
      </c>
      <c r="D1364" s="116">
        <v>922.6</v>
      </c>
      <c r="E1364" s="116">
        <v>933.5</v>
      </c>
      <c r="F1364" s="116">
        <v>930.35</v>
      </c>
      <c r="G1364">
        <v>61225</v>
      </c>
      <c r="H1364" s="116"/>
      <c r="I1364" s="116"/>
      <c r="L1364" s="170">
        <v>45415</v>
      </c>
      <c r="M1364" s="116">
        <v>930.4</v>
      </c>
      <c r="N1364" s="116">
        <v>936.9</v>
      </c>
      <c r="O1364" s="116">
        <v>922.5</v>
      </c>
      <c r="P1364" s="116">
        <v>932.85</v>
      </c>
      <c r="Q1364" s="116">
        <v>930.4</v>
      </c>
      <c r="R1364">
        <v>2473403</v>
      </c>
    </row>
    <row r="1365" spans="1:18" x14ac:dyDescent="0.25">
      <c r="A1365" s="170">
        <v>45418</v>
      </c>
      <c r="B1365" s="116">
        <v>930.3</v>
      </c>
      <c r="C1365" s="116">
        <v>916.55</v>
      </c>
      <c r="D1365" s="116">
        <v>905</v>
      </c>
      <c r="E1365" s="116">
        <v>930</v>
      </c>
      <c r="F1365" s="116">
        <v>916.55</v>
      </c>
      <c r="G1365">
        <v>54666</v>
      </c>
      <c r="H1365" s="116"/>
      <c r="I1365" s="116"/>
      <c r="L1365" s="170">
        <v>45418</v>
      </c>
      <c r="M1365" s="116">
        <v>917.15</v>
      </c>
      <c r="N1365" s="116">
        <v>930.55</v>
      </c>
      <c r="O1365" s="116">
        <v>905.1</v>
      </c>
      <c r="P1365" s="116">
        <v>930.4</v>
      </c>
      <c r="Q1365" s="116">
        <v>917.15</v>
      </c>
      <c r="R1365">
        <v>2770526</v>
      </c>
    </row>
    <row r="1366" spans="1:18" x14ac:dyDescent="0.25">
      <c r="A1366" s="170">
        <v>45419</v>
      </c>
      <c r="B1366" s="116">
        <v>921.65</v>
      </c>
      <c r="C1366" s="116">
        <v>902.35</v>
      </c>
      <c r="D1366" s="116">
        <v>900.3</v>
      </c>
      <c r="E1366" s="116">
        <v>916.55</v>
      </c>
      <c r="F1366" s="116">
        <v>902.35</v>
      </c>
      <c r="G1366">
        <v>42310</v>
      </c>
      <c r="H1366" s="116"/>
      <c r="I1366" s="116"/>
      <c r="L1366" s="170">
        <v>45419</v>
      </c>
      <c r="M1366" s="116">
        <v>903.1</v>
      </c>
      <c r="N1366" s="116">
        <v>921.95</v>
      </c>
      <c r="O1366" s="116">
        <v>900.45</v>
      </c>
      <c r="P1366" s="116">
        <v>917.5</v>
      </c>
      <c r="Q1366" s="116">
        <v>903.1</v>
      </c>
      <c r="R1366">
        <v>2953294</v>
      </c>
    </row>
    <row r="1367" spans="1:18" x14ac:dyDescent="0.25">
      <c r="A1367" s="170">
        <v>45420</v>
      </c>
      <c r="B1367" s="116">
        <v>904</v>
      </c>
      <c r="C1367" s="116">
        <v>897.15</v>
      </c>
      <c r="D1367" s="116">
        <v>891</v>
      </c>
      <c r="E1367" s="116">
        <v>902.65</v>
      </c>
      <c r="F1367" s="116">
        <v>897.15</v>
      </c>
      <c r="G1367">
        <v>58215</v>
      </c>
      <c r="H1367" s="116"/>
      <c r="I1367" s="116"/>
      <c r="L1367" s="170">
        <v>45420</v>
      </c>
      <c r="M1367" s="116">
        <v>895.6</v>
      </c>
      <c r="N1367" s="116">
        <v>906</v>
      </c>
      <c r="O1367" s="116">
        <v>891</v>
      </c>
      <c r="P1367" s="116">
        <v>903.9</v>
      </c>
      <c r="Q1367" s="116">
        <v>895.6</v>
      </c>
      <c r="R1367">
        <v>2658197</v>
      </c>
    </row>
    <row r="1368" spans="1:18" x14ac:dyDescent="0.25">
      <c r="A1368" s="170">
        <v>45421</v>
      </c>
      <c r="B1368" s="116">
        <v>908</v>
      </c>
      <c r="C1368" s="116">
        <v>879.3</v>
      </c>
      <c r="D1368" s="116">
        <v>873.65</v>
      </c>
      <c r="E1368" s="116">
        <v>893</v>
      </c>
      <c r="F1368" s="116">
        <v>879.3</v>
      </c>
      <c r="G1368">
        <v>160507</v>
      </c>
      <c r="H1368" s="116"/>
      <c r="I1368" s="116"/>
      <c r="L1368" s="170">
        <v>45421</v>
      </c>
      <c r="M1368" s="116">
        <v>878.55</v>
      </c>
      <c r="N1368" s="116">
        <v>908.95</v>
      </c>
      <c r="O1368" s="116">
        <v>874</v>
      </c>
      <c r="P1368" s="116">
        <v>893.65</v>
      </c>
      <c r="Q1368" s="116">
        <v>878.55</v>
      </c>
      <c r="R1368">
        <v>969882</v>
      </c>
    </row>
    <row r="1369" spans="1:18" x14ac:dyDescent="0.25">
      <c r="A1369" s="170">
        <v>45422</v>
      </c>
      <c r="B1369" s="116">
        <v>888</v>
      </c>
      <c r="C1369" s="116">
        <v>867.45</v>
      </c>
      <c r="D1369" s="116">
        <v>858.35</v>
      </c>
      <c r="E1369" s="116">
        <v>878.1</v>
      </c>
      <c r="F1369" s="116">
        <v>867.45</v>
      </c>
      <c r="G1369">
        <v>190595</v>
      </c>
      <c r="H1369" s="116"/>
      <c r="I1369" s="116"/>
      <c r="L1369" s="170">
        <v>45422</v>
      </c>
      <c r="M1369" s="116">
        <v>867.05</v>
      </c>
      <c r="N1369" s="116">
        <v>889</v>
      </c>
      <c r="O1369" s="116">
        <v>858.55</v>
      </c>
      <c r="P1369" s="116">
        <v>879.6</v>
      </c>
      <c r="Q1369" s="116">
        <v>867.05</v>
      </c>
      <c r="R1369">
        <v>887020</v>
      </c>
    </row>
    <row r="1370" spans="1:18" x14ac:dyDescent="0.25">
      <c r="A1370" s="170">
        <v>45425</v>
      </c>
      <c r="B1370" s="116">
        <v>889.95</v>
      </c>
      <c r="C1370" s="116">
        <v>861.35</v>
      </c>
      <c r="D1370" s="116">
        <v>848.05</v>
      </c>
      <c r="E1370" s="116">
        <v>874</v>
      </c>
      <c r="F1370" s="116">
        <v>861.35</v>
      </c>
      <c r="G1370">
        <v>191469</v>
      </c>
      <c r="H1370" s="116"/>
      <c r="I1370" s="116"/>
      <c r="L1370" s="170">
        <v>45425</v>
      </c>
      <c r="M1370" s="116">
        <v>861.85</v>
      </c>
      <c r="N1370" s="116">
        <v>889.95</v>
      </c>
      <c r="O1370" s="116">
        <v>849.1</v>
      </c>
      <c r="P1370" s="116">
        <v>875</v>
      </c>
      <c r="Q1370" s="116">
        <v>861.85</v>
      </c>
      <c r="R1370">
        <v>784492</v>
      </c>
    </row>
    <row r="1371" spans="1:18" x14ac:dyDescent="0.25">
      <c r="A1371" s="170">
        <v>45426</v>
      </c>
      <c r="B1371" s="116">
        <v>932.3</v>
      </c>
      <c r="C1371" s="116">
        <v>908.75</v>
      </c>
      <c r="D1371" s="116">
        <v>862.75</v>
      </c>
      <c r="E1371" s="116">
        <v>868.7</v>
      </c>
      <c r="F1371" s="116">
        <v>908.75</v>
      </c>
      <c r="G1371">
        <v>135163</v>
      </c>
      <c r="H1371" s="116"/>
      <c r="I1371" s="116"/>
      <c r="L1371" s="170">
        <v>45426</v>
      </c>
      <c r="M1371" s="116">
        <v>908.95</v>
      </c>
      <c r="N1371" s="116">
        <v>932.8</v>
      </c>
      <c r="O1371" s="116">
        <v>862.1</v>
      </c>
      <c r="P1371" s="116">
        <v>866.5</v>
      </c>
      <c r="Q1371" s="116">
        <v>908.95</v>
      </c>
      <c r="R1371">
        <v>2934798</v>
      </c>
    </row>
    <row r="1372" spans="1:18" x14ac:dyDescent="0.25">
      <c r="A1372" s="170">
        <v>45427</v>
      </c>
      <c r="B1372" s="116">
        <v>930.15</v>
      </c>
      <c r="C1372" s="116">
        <v>917.55</v>
      </c>
      <c r="D1372" s="116">
        <v>909.6</v>
      </c>
      <c r="E1372" s="116">
        <v>915.9</v>
      </c>
      <c r="F1372" s="116">
        <v>917.55</v>
      </c>
      <c r="G1372">
        <v>74214</v>
      </c>
      <c r="H1372" s="116"/>
      <c r="I1372" s="116"/>
      <c r="L1372" s="170">
        <v>45427</v>
      </c>
      <c r="M1372" s="116">
        <v>916.6</v>
      </c>
      <c r="N1372" s="116">
        <v>930.75</v>
      </c>
      <c r="O1372" s="116">
        <v>909.2</v>
      </c>
      <c r="P1372" s="116">
        <v>914.9</v>
      </c>
      <c r="Q1372" s="116">
        <v>916.6</v>
      </c>
      <c r="R1372">
        <v>1038925</v>
      </c>
    </row>
    <row r="1373" spans="1:18" x14ac:dyDescent="0.25">
      <c r="A1373" s="170">
        <v>45428</v>
      </c>
      <c r="B1373" s="116">
        <v>925.2</v>
      </c>
      <c r="C1373" s="116">
        <v>906.45</v>
      </c>
      <c r="D1373" s="116">
        <v>901.65</v>
      </c>
      <c r="E1373" s="116">
        <v>920.2</v>
      </c>
      <c r="F1373" s="116">
        <v>906.45</v>
      </c>
      <c r="G1373">
        <v>109129</v>
      </c>
      <c r="H1373" s="116"/>
      <c r="I1373" s="116"/>
      <c r="L1373" s="170">
        <v>45428</v>
      </c>
      <c r="M1373" s="116">
        <v>906.8</v>
      </c>
      <c r="N1373" s="116">
        <v>924.15</v>
      </c>
      <c r="O1373" s="116">
        <v>901.25</v>
      </c>
      <c r="P1373" s="116">
        <v>923</v>
      </c>
      <c r="Q1373" s="116">
        <v>906.8</v>
      </c>
      <c r="R1373">
        <v>642361</v>
      </c>
    </row>
    <row r="1374" spans="1:18" x14ac:dyDescent="0.25">
      <c r="A1374" s="170">
        <v>45429</v>
      </c>
      <c r="B1374" s="116">
        <v>917.95</v>
      </c>
      <c r="C1374" s="116">
        <v>913.8</v>
      </c>
      <c r="D1374" s="116">
        <v>902.65</v>
      </c>
      <c r="E1374" s="116">
        <v>912.65</v>
      </c>
      <c r="F1374" s="116">
        <v>913.8</v>
      </c>
      <c r="G1374">
        <v>41649</v>
      </c>
      <c r="H1374" s="116"/>
      <c r="I1374" s="116"/>
      <c r="L1374" s="170">
        <v>45429</v>
      </c>
      <c r="M1374" s="116">
        <v>913.65</v>
      </c>
      <c r="N1374" s="116">
        <v>917.4</v>
      </c>
      <c r="O1374" s="116">
        <v>902.1</v>
      </c>
      <c r="P1374" s="116">
        <v>909.55</v>
      </c>
      <c r="Q1374" s="116">
        <v>913.65</v>
      </c>
      <c r="R1374">
        <v>606702</v>
      </c>
    </row>
    <row r="1375" spans="1:18" x14ac:dyDescent="0.25">
      <c r="A1375" s="170">
        <v>45430</v>
      </c>
      <c r="B1375" s="116">
        <v>918.9</v>
      </c>
      <c r="C1375" s="116">
        <v>912.4</v>
      </c>
      <c r="D1375" s="116">
        <v>910.1</v>
      </c>
      <c r="E1375" s="116">
        <v>915.05</v>
      </c>
      <c r="F1375" s="116">
        <v>912.4</v>
      </c>
      <c r="G1375">
        <v>20888</v>
      </c>
      <c r="H1375" s="116"/>
      <c r="I1375" s="116"/>
      <c r="L1375" s="170">
        <v>45430</v>
      </c>
      <c r="M1375" s="116">
        <v>912.8</v>
      </c>
      <c r="N1375" s="116">
        <v>918.6</v>
      </c>
      <c r="O1375" s="116">
        <v>910</v>
      </c>
      <c r="P1375" s="116">
        <v>917</v>
      </c>
      <c r="Q1375" s="116">
        <v>912.8</v>
      </c>
      <c r="R1375">
        <v>92993</v>
      </c>
    </row>
    <row r="1376" spans="1:18" x14ac:dyDescent="0.25">
      <c r="A1376" s="170">
        <v>45433</v>
      </c>
      <c r="B1376" s="116">
        <v>963.1</v>
      </c>
      <c r="C1376" s="116">
        <v>930.2</v>
      </c>
      <c r="D1376" s="116">
        <v>906.6</v>
      </c>
      <c r="E1376" s="116">
        <v>919.95</v>
      </c>
      <c r="F1376" s="116">
        <v>930.2</v>
      </c>
      <c r="G1376">
        <v>113543</v>
      </c>
      <c r="H1376" s="116"/>
      <c r="I1376" s="116"/>
      <c r="L1376" s="170">
        <v>45433</v>
      </c>
      <c r="M1376" s="116">
        <v>930.05</v>
      </c>
      <c r="N1376" s="116">
        <v>964.1</v>
      </c>
      <c r="O1376" s="116">
        <v>905.15</v>
      </c>
      <c r="P1376" s="116">
        <v>914.8</v>
      </c>
      <c r="Q1376" s="116">
        <v>930.05</v>
      </c>
      <c r="R1376">
        <v>2689899</v>
      </c>
    </row>
    <row r="1377" spans="1:18" x14ac:dyDescent="0.25">
      <c r="A1377" s="170">
        <v>45434</v>
      </c>
      <c r="B1377" s="116">
        <v>946.6</v>
      </c>
      <c r="C1377" s="116">
        <v>934.55</v>
      </c>
      <c r="D1377" s="116">
        <v>929</v>
      </c>
      <c r="E1377" s="116">
        <v>940</v>
      </c>
      <c r="F1377" s="116">
        <v>934.55</v>
      </c>
      <c r="G1377">
        <v>149515</v>
      </c>
      <c r="H1377" s="116"/>
      <c r="I1377" s="116"/>
      <c r="L1377" s="170">
        <v>45434</v>
      </c>
      <c r="M1377" s="116">
        <v>934.85</v>
      </c>
      <c r="N1377" s="116">
        <v>946.45</v>
      </c>
      <c r="O1377" s="116">
        <v>928.5</v>
      </c>
      <c r="P1377" s="116">
        <v>939</v>
      </c>
      <c r="Q1377" s="116">
        <v>934.85</v>
      </c>
      <c r="R1377">
        <v>1075521</v>
      </c>
    </row>
    <row r="1378" spans="1:18" x14ac:dyDescent="0.25">
      <c r="A1378" s="170">
        <v>45435</v>
      </c>
      <c r="B1378" s="116">
        <v>976</v>
      </c>
      <c r="C1378" s="116">
        <v>956.7</v>
      </c>
      <c r="D1378" s="116">
        <v>926.55</v>
      </c>
      <c r="E1378" s="116">
        <v>941</v>
      </c>
      <c r="F1378" s="116">
        <v>956.7</v>
      </c>
      <c r="G1378">
        <v>127580</v>
      </c>
      <c r="H1378" s="116"/>
      <c r="I1378" s="116"/>
      <c r="L1378" s="170">
        <v>45435</v>
      </c>
      <c r="M1378" s="116">
        <v>956.7</v>
      </c>
      <c r="N1378" s="116">
        <v>976</v>
      </c>
      <c r="O1378" s="116">
        <v>926.2</v>
      </c>
      <c r="P1378" s="116">
        <v>941.55</v>
      </c>
      <c r="Q1378" s="116">
        <v>956.7</v>
      </c>
      <c r="R1378">
        <v>2958270</v>
      </c>
    </row>
    <row r="1379" spans="1:18" x14ac:dyDescent="0.25">
      <c r="A1379" s="170">
        <v>45436</v>
      </c>
      <c r="B1379" s="116">
        <v>1002</v>
      </c>
      <c r="C1379" s="116">
        <v>980.05</v>
      </c>
      <c r="D1379" s="116">
        <v>942.1</v>
      </c>
      <c r="E1379" s="116">
        <v>942.1</v>
      </c>
      <c r="F1379" s="116">
        <v>980.05</v>
      </c>
      <c r="G1379">
        <v>555239</v>
      </c>
      <c r="H1379" s="116"/>
      <c r="I1379" s="116"/>
      <c r="L1379" s="170">
        <v>45436</v>
      </c>
      <c r="M1379" s="116">
        <v>979.75</v>
      </c>
      <c r="N1379" s="116">
        <v>1002.7</v>
      </c>
      <c r="O1379" s="116">
        <v>950</v>
      </c>
      <c r="P1379" s="116">
        <v>956.7</v>
      </c>
      <c r="Q1379" s="116">
        <v>979.75</v>
      </c>
      <c r="R1379">
        <v>4025566</v>
      </c>
    </row>
    <row r="1380" spans="1:18" x14ac:dyDescent="0.25">
      <c r="A1380" s="170">
        <v>45439</v>
      </c>
      <c r="B1380" s="116">
        <v>1007.55</v>
      </c>
      <c r="C1380" s="116">
        <v>971.9</v>
      </c>
      <c r="D1380" s="116">
        <v>969.35</v>
      </c>
      <c r="E1380" s="116">
        <v>998</v>
      </c>
      <c r="F1380" s="116">
        <v>971.9</v>
      </c>
      <c r="G1380">
        <v>231495</v>
      </c>
      <c r="H1380" s="116"/>
      <c r="I1380" s="116"/>
      <c r="L1380" s="170">
        <v>45439</v>
      </c>
      <c r="M1380" s="116">
        <v>972.6</v>
      </c>
      <c r="N1380" s="116">
        <v>1008</v>
      </c>
      <c r="O1380" s="116">
        <v>969.55</v>
      </c>
      <c r="P1380" s="116">
        <v>990</v>
      </c>
      <c r="Q1380" s="116">
        <v>972.6</v>
      </c>
      <c r="R1380">
        <v>1822756</v>
      </c>
    </row>
    <row r="1381" spans="1:18" x14ac:dyDescent="0.25">
      <c r="A1381" s="170">
        <v>45440</v>
      </c>
      <c r="B1381" s="116">
        <v>983.95</v>
      </c>
      <c r="C1381" s="116">
        <v>951.85</v>
      </c>
      <c r="D1381" s="116">
        <v>950.1</v>
      </c>
      <c r="E1381" s="116">
        <v>980.95</v>
      </c>
      <c r="F1381" s="116">
        <v>951.85</v>
      </c>
      <c r="G1381">
        <v>63381</v>
      </c>
      <c r="H1381" s="116"/>
      <c r="I1381" s="116"/>
      <c r="L1381" s="170">
        <v>45440</v>
      </c>
      <c r="M1381" s="116">
        <v>951.7</v>
      </c>
      <c r="N1381" s="116">
        <v>983.65</v>
      </c>
      <c r="O1381" s="116">
        <v>950</v>
      </c>
      <c r="P1381" s="116">
        <v>979</v>
      </c>
      <c r="Q1381" s="116">
        <v>951.7</v>
      </c>
      <c r="R1381">
        <v>1375089</v>
      </c>
    </row>
    <row r="1382" spans="1:18" x14ac:dyDescent="0.25">
      <c r="A1382" s="170">
        <v>45441</v>
      </c>
      <c r="B1382" s="116">
        <v>964.9</v>
      </c>
      <c r="C1382" s="116">
        <v>950.65</v>
      </c>
      <c r="D1382" s="116">
        <v>945.45</v>
      </c>
      <c r="E1382" s="116">
        <v>952.05</v>
      </c>
      <c r="F1382" s="116">
        <v>950.65</v>
      </c>
      <c r="G1382">
        <v>137260</v>
      </c>
      <c r="H1382" s="116"/>
      <c r="I1382" s="116"/>
      <c r="L1382" s="170">
        <v>45441</v>
      </c>
      <c r="M1382" s="116">
        <v>950.75</v>
      </c>
      <c r="N1382" s="116">
        <v>965</v>
      </c>
      <c r="O1382" s="116">
        <v>945</v>
      </c>
      <c r="P1382" s="116">
        <v>954.65</v>
      </c>
      <c r="Q1382" s="116">
        <v>950.75</v>
      </c>
      <c r="R1382">
        <v>983879</v>
      </c>
    </row>
    <row r="1383" spans="1:18" x14ac:dyDescent="0.25">
      <c r="A1383" s="170">
        <v>45442</v>
      </c>
      <c r="B1383" s="116">
        <v>965.5</v>
      </c>
      <c r="C1383" s="116">
        <v>955.95</v>
      </c>
      <c r="D1383" s="116">
        <v>946.2</v>
      </c>
      <c r="E1383" s="116">
        <v>952</v>
      </c>
      <c r="F1383" s="116">
        <v>955.95</v>
      </c>
      <c r="G1383">
        <v>80407</v>
      </c>
      <c r="H1383" s="116"/>
      <c r="I1383" s="116"/>
      <c r="L1383" s="170">
        <v>45442</v>
      </c>
      <c r="M1383" s="116">
        <v>955.2</v>
      </c>
      <c r="N1383" s="116">
        <v>966</v>
      </c>
      <c r="O1383" s="116">
        <v>946.05</v>
      </c>
      <c r="P1383" s="116">
        <v>952</v>
      </c>
      <c r="Q1383" s="116">
        <v>955.2</v>
      </c>
      <c r="R1383">
        <v>1022831</v>
      </c>
    </row>
    <row r="1384" spans="1:18" x14ac:dyDescent="0.25">
      <c r="A1384" s="170">
        <v>45443</v>
      </c>
      <c r="B1384" s="116">
        <v>1060</v>
      </c>
      <c r="C1384" s="116">
        <v>1039.1500000000001</v>
      </c>
      <c r="D1384" s="116">
        <v>960.05</v>
      </c>
      <c r="E1384" s="116">
        <v>965.05</v>
      </c>
      <c r="F1384" s="116">
        <v>1039.1500000000001</v>
      </c>
      <c r="G1384">
        <v>1121092</v>
      </c>
      <c r="H1384" s="116"/>
      <c r="I1384" s="116"/>
      <c r="L1384" s="170">
        <v>45443</v>
      </c>
      <c r="M1384" s="116">
        <v>1039.3</v>
      </c>
      <c r="N1384" s="116">
        <v>1060</v>
      </c>
      <c r="O1384" s="116">
        <v>958.15</v>
      </c>
      <c r="P1384" s="116">
        <v>966</v>
      </c>
      <c r="Q1384" s="116">
        <v>1039.3</v>
      </c>
      <c r="R1384">
        <v>8553215</v>
      </c>
    </row>
    <row r="1385" spans="1:18" x14ac:dyDescent="0.25">
      <c r="A1385" s="170">
        <v>45446</v>
      </c>
      <c r="B1385" s="116">
        <v>1197.95</v>
      </c>
      <c r="C1385" s="116">
        <v>1119.8499999999999</v>
      </c>
      <c r="D1385" s="116">
        <v>1102.3499999999999</v>
      </c>
      <c r="E1385" s="116">
        <v>1197.95</v>
      </c>
      <c r="F1385" s="116">
        <v>1119.8499999999999</v>
      </c>
      <c r="G1385">
        <v>698142</v>
      </c>
      <c r="H1385" s="116"/>
      <c r="I1385" s="116"/>
      <c r="L1385" s="170">
        <v>45446</v>
      </c>
      <c r="M1385" s="116">
        <v>1119.4000000000001</v>
      </c>
      <c r="N1385" s="116">
        <v>1190</v>
      </c>
      <c r="O1385" s="116">
        <v>1101.7</v>
      </c>
      <c r="P1385" s="116">
        <v>1190</v>
      </c>
      <c r="Q1385" s="116">
        <v>1119.4000000000001</v>
      </c>
      <c r="R1385">
        <v>10556786</v>
      </c>
    </row>
    <row r="1386" spans="1:18" x14ac:dyDescent="0.25">
      <c r="A1386" s="170">
        <v>45447</v>
      </c>
      <c r="B1386" s="116">
        <v>1120</v>
      </c>
      <c r="C1386" s="116">
        <v>908.45</v>
      </c>
      <c r="D1386" s="116">
        <v>897</v>
      </c>
      <c r="E1386" s="116">
        <v>1120</v>
      </c>
      <c r="F1386" s="116">
        <v>908.45</v>
      </c>
      <c r="G1386">
        <v>2335434</v>
      </c>
      <c r="H1386" s="116"/>
      <c r="I1386" s="116"/>
      <c r="L1386" s="170">
        <v>45447</v>
      </c>
      <c r="M1386" s="116">
        <v>908.7</v>
      </c>
      <c r="N1386" s="116">
        <v>1115</v>
      </c>
      <c r="O1386" s="116">
        <v>901</v>
      </c>
      <c r="P1386" s="116">
        <v>1115</v>
      </c>
      <c r="Q1386" s="116">
        <v>908.7</v>
      </c>
      <c r="R1386">
        <v>12465744</v>
      </c>
    </row>
    <row r="1387" spans="1:18" x14ac:dyDescent="0.25">
      <c r="A1387" s="170">
        <v>45448</v>
      </c>
      <c r="B1387" s="116">
        <v>966.65</v>
      </c>
      <c r="C1387" s="116">
        <v>932.75</v>
      </c>
      <c r="D1387" s="116">
        <v>825.3</v>
      </c>
      <c r="E1387" s="116">
        <v>935.3</v>
      </c>
      <c r="F1387" s="116">
        <v>932.75</v>
      </c>
      <c r="G1387">
        <v>435844</v>
      </c>
      <c r="H1387" s="116"/>
      <c r="I1387" s="116"/>
      <c r="L1387" s="170">
        <v>45448</v>
      </c>
      <c r="M1387" s="116">
        <v>936.25</v>
      </c>
      <c r="N1387" s="116">
        <v>966</v>
      </c>
      <c r="O1387" s="116">
        <v>824.25</v>
      </c>
      <c r="P1387" s="116">
        <v>927.05</v>
      </c>
      <c r="Q1387" s="116">
        <v>936.25</v>
      </c>
      <c r="R1387">
        <v>6670432</v>
      </c>
    </row>
    <row r="1388" spans="1:18" x14ac:dyDescent="0.25">
      <c r="A1388" s="170">
        <v>45449</v>
      </c>
      <c r="B1388" s="116">
        <v>992.1</v>
      </c>
      <c r="C1388" s="116">
        <v>969.8</v>
      </c>
      <c r="D1388" s="116">
        <v>956.75</v>
      </c>
      <c r="E1388" s="116">
        <v>969.15</v>
      </c>
      <c r="F1388" s="116">
        <v>969.8</v>
      </c>
      <c r="G1388">
        <v>176380</v>
      </c>
      <c r="H1388" s="116"/>
      <c r="I1388" s="116"/>
      <c r="L1388" s="170">
        <v>45449</v>
      </c>
      <c r="M1388" s="116">
        <v>969.55</v>
      </c>
      <c r="N1388" s="116">
        <v>993</v>
      </c>
      <c r="O1388" s="116">
        <v>956.2</v>
      </c>
      <c r="P1388" s="116">
        <v>965</v>
      </c>
      <c r="Q1388" s="116">
        <v>969.55</v>
      </c>
      <c r="R1388">
        <v>3249825</v>
      </c>
    </row>
    <row r="1389" spans="1:18" x14ac:dyDescent="0.25">
      <c r="A1389" s="170">
        <v>45450</v>
      </c>
      <c r="B1389" s="116">
        <v>989.55</v>
      </c>
      <c r="C1389" s="116">
        <v>978.4</v>
      </c>
      <c r="D1389" s="116">
        <v>950</v>
      </c>
      <c r="E1389" s="116">
        <v>969.8</v>
      </c>
      <c r="F1389" s="116">
        <v>978.4</v>
      </c>
      <c r="G1389">
        <v>310603</v>
      </c>
      <c r="H1389" s="116"/>
      <c r="I1389" s="116"/>
      <c r="L1389" s="170">
        <v>45450</v>
      </c>
      <c r="M1389" s="116">
        <v>978.1</v>
      </c>
      <c r="N1389" s="116">
        <v>989.9</v>
      </c>
      <c r="O1389" s="116">
        <v>949.9</v>
      </c>
      <c r="P1389" s="116">
        <v>969.4</v>
      </c>
      <c r="Q1389" s="116">
        <v>978.1</v>
      </c>
      <c r="R1389">
        <v>2156312</v>
      </c>
    </row>
    <row r="1390" spans="1:18" x14ac:dyDescent="0.25">
      <c r="A1390" s="170">
        <v>45453</v>
      </c>
      <c r="B1390" s="116">
        <v>1012.6</v>
      </c>
      <c r="C1390" s="116">
        <v>970.7</v>
      </c>
      <c r="D1390" s="116">
        <v>966</v>
      </c>
      <c r="E1390" s="116">
        <v>997.75</v>
      </c>
      <c r="F1390" s="116">
        <v>970.7</v>
      </c>
      <c r="G1390">
        <v>342136</v>
      </c>
      <c r="H1390" s="116"/>
      <c r="I1390" s="116"/>
      <c r="L1390" s="170">
        <v>45453</v>
      </c>
      <c r="M1390" s="116">
        <v>970.8</v>
      </c>
      <c r="N1390" s="116">
        <v>1013.95</v>
      </c>
      <c r="O1390" s="116">
        <v>965.3</v>
      </c>
      <c r="P1390" s="116">
        <v>996</v>
      </c>
      <c r="Q1390" s="116">
        <v>970.8</v>
      </c>
      <c r="R1390">
        <v>2042686</v>
      </c>
    </row>
    <row r="1391" spans="1:18" x14ac:dyDescent="0.25">
      <c r="A1391" s="170">
        <v>45454</v>
      </c>
      <c r="B1391" s="116">
        <v>982.55</v>
      </c>
      <c r="C1391" s="116">
        <v>957.05</v>
      </c>
      <c r="D1391" s="116">
        <v>955</v>
      </c>
      <c r="E1391" s="116">
        <v>982.55</v>
      </c>
      <c r="F1391" s="116">
        <v>957.05</v>
      </c>
      <c r="G1391">
        <v>85394</v>
      </c>
      <c r="H1391" s="116"/>
      <c r="I1391" s="116"/>
      <c r="L1391" s="170">
        <v>45454</v>
      </c>
      <c r="M1391" s="116">
        <v>956.85</v>
      </c>
      <c r="N1391" s="116">
        <v>977.9</v>
      </c>
      <c r="O1391" s="116">
        <v>955</v>
      </c>
      <c r="P1391" s="116">
        <v>977.9</v>
      </c>
      <c r="Q1391" s="116">
        <v>956.85</v>
      </c>
      <c r="R1391">
        <v>1704568</v>
      </c>
    </row>
    <row r="1392" spans="1:18" x14ac:dyDescent="0.25">
      <c r="A1392" s="170">
        <v>45455</v>
      </c>
      <c r="B1392" s="116">
        <v>964.6</v>
      </c>
      <c r="C1392" s="116">
        <v>951.5</v>
      </c>
      <c r="D1392" s="116">
        <v>949.55</v>
      </c>
      <c r="E1392" s="116">
        <v>958.35</v>
      </c>
      <c r="F1392" s="116">
        <v>951.5</v>
      </c>
      <c r="G1392">
        <v>126220</v>
      </c>
      <c r="H1392" s="116"/>
      <c r="I1392" s="116"/>
      <c r="L1392" s="170">
        <v>45455</v>
      </c>
      <c r="M1392" s="116">
        <v>951.7</v>
      </c>
      <c r="N1392" s="116">
        <v>964.8</v>
      </c>
      <c r="O1392" s="116">
        <v>950</v>
      </c>
      <c r="P1392" s="116">
        <v>959.8</v>
      </c>
      <c r="Q1392" s="116">
        <v>951.7</v>
      </c>
      <c r="R1392">
        <v>795005</v>
      </c>
    </row>
    <row r="1393" spans="1:18" x14ac:dyDescent="0.25">
      <c r="A1393" s="170">
        <v>45456</v>
      </c>
      <c r="B1393" s="116">
        <v>959.25</v>
      </c>
      <c r="C1393" s="116">
        <v>945.55</v>
      </c>
      <c r="D1393" s="116">
        <v>942.6</v>
      </c>
      <c r="E1393" s="116">
        <v>952</v>
      </c>
      <c r="F1393" s="116">
        <v>945.55</v>
      </c>
      <c r="G1393">
        <v>42861</v>
      </c>
      <c r="H1393" s="116"/>
      <c r="I1393" s="116"/>
      <c r="L1393" s="170">
        <v>45456</v>
      </c>
      <c r="M1393" s="116">
        <v>945.8</v>
      </c>
      <c r="N1393" s="116">
        <v>960</v>
      </c>
      <c r="O1393" s="116">
        <v>943</v>
      </c>
      <c r="P1393" s="116">
        <v>952.25</v>
      </c>
      <c r="Q1393" s="116">
        <v>945.8</v>
      </c>
      <c r="R1393">
        <v>866098</v>
      </c>
    </row>
    <row r="1394" spans="1:18" x14ac:dyDescent="0.25">
      <c r="A1394" s="170">
        <v>45457</v>
      </c>
      <c r="B1394" s="116">
        <v>959.35</v>
      </c>
      <c r="C1394" s="116">
        <v>946.3</v>
      </c>
      <c r="D1394" s="116">
        <v>942.15</v>
      </c>
      <c r="E1394" s="116">
        <v>942.55</v>
      </c>
      <c r="F1394" s="116">
        <v>946.3</v>
      </c>
      <c r="G1394">
        <v>52795</v>
      </c>
      <c r="H1394" s="116"/>
      <c r="I1394" s="116"/>
      <c r="L1394" s="170">
        <v>45457</v>
      </c>
      <c r="M1394" s="116">
        <v>946.5</v>
      </c>
      <c r="N1394" s="116">
        <v>960</v>
      </c>
      <c r="O1394" s="116">
        <v>942.2</v>
      </c>
      <c r="P1394" s="116">
        <v>947.15</v>
      </c>
      <c r="Q1394" s="116">
        <v>946.5</v>
      </c>
      <c r="R1394">
        <v>784675</v>
      </c>
    </row>
    <row r="1395" spans="1:18" x14ac:dyDescent="0.25">
      <c r="A1395" s="170">
        <v>45461</v>
      </c>
      <c r="B1395" s="116">
        <v>958</v>
      </c>
      <c r="C1395" s="116">
        <v>939.9</v>
      </c>
      <c r="D1395" s="116">
        <v>937</v>
      </c>
      <c r="E1395" s="116">
        <v>947</v>
      </c>
      <c r="F1395" s="116">
        <v>939.9</v>
      </c>
      <c r="G1395">
        <v>77195</v>
      </c>
      <c r="H1395" s="116"/>
      <c r="I1395" s="116"/>
      <c r="L1395" s="170">
        <v>45461</v>
      </c>
      <c r="M1395" s="116">
        <v>940.25</v>
      </c>
      <c r="N1395" s="116">
        <v>957.85</v>
      </c>
      <c r="O1395" s="116">
        <v>937.8</v>
      </c>
      <c r="P1395" s="116">
        <v>948.2</v>
      </c>
      <c r="Q1395" s="116">
        <v>940.25</v>
      </c>
      <c r="R1395">
        <v>1253541</v>
      </c>
    </row>
    <row r="1396" spans="1:18" x14ac:dyDescent="0.25">
      <c r="A1396" s="170">
        <v>45462</v>
      </c>
      <c r="B1396" s="116">
        <v>945</v>
      </c>
      <c r="C1396" s="116">
        <v>927.35</v>
      </c>
      <c r="D1396" s="116">
        <v>922.9</v>
      </c>
      <c r="E1396" s="116">
        <v>942.45</v>
      </c>
      <c r="F1396" s="116">
        <v>927.35</v>
      </c>
      <c r="G1396">
        <v>43373</v>
      </c>
      <c r="H1396" s="116"/>
      <c r="I1396" s="116"/>
      <c r="L1396" s="170">
        <v>45462</v>
      </c>
      <c r="M1396" s="116">
        <v>927.4</v>
      </c>
      <c r="N1396" s="116">
        <v>947.8</v>
      </c>
      <c r="O1396" s="116">
        <v>922.05</v>
      </c>
      <c r="P1396" s="116">
        <v>943.4</v>
      </c>
      <c r="Q1396" s="116">
        <v>927.4</v>
      </c>
      <c r="R1396">
        <v>873592</v>
      </c>
    </row>
    <row r="1397" spans="1:18" x14ac:dyDescent="0.25">
      <c r="A1397" s="170">
        <v>45463</v>
      </c>
      <c r="B1397" s="116">
        <v>941.55</v>
      </c>
      <c r="C1397" s="116">
        <v>925.5</v>
      </c>
      <c r="D1397" s="116">
        <v>924</v>
      </c>
      <c r="E1397" s="116">
        <v>928.95</v>
      </c>
      <c r="F1397" s="116">
        <v>925.5</v>
      </c>
      <c r="G1397">
        <v>42495</v>
      </c>
      <c r="H1397" s="116"/>
      <c r="I1397" s="116"/>
      <c r="L1397" s="170">
        <v>45463</v>
      </c>
      <c r="M1397" s="116">
        <v>925.75</v>
      </c>
      <c r="N1397" s="116">
        <v>942</v>
      </c>
      <c r="O1397" s="116">
        <v>924</v>
      </c>
      <c r="P1397" s="116">
        <v>928</v>
      </c>
      <c r="Q1397" s="116">
        <v>925.75</v>
      </c>
      <c r="R1397">
        <v>1123547</v>
      </c>
    </row>
    <row r="1398" spans="1:18" x14ac:dyDescent="0.25">
      <c r="A1398" s="170">
        <v>45464</v>
      </c>
      <c r="B1398" s="116">
        <v>930</v>
      </c>
      <c r="C1398" s="116">
        <v>923.7</v>
      </c>
      <c r="D1398" s="116">
        <v>918.95</v>
      </c>
      <c r="E1398" s="116">
        <v>925.5</v>
      </c>
      <c r="F1398" s="116">
        <v>923.7</v>
      </c>
      <c r="G1398">
        <v>48394</v>
      </c>
      <c r="H1398" s="116"/>
      <c r="I1398" s="116"/>
      <c r="L1398" s="170">
        <v>45464</v>
      </c>
      <c r="M1398" s="116">
        <v>922.95</v>
      </c>
      <c r="N1398" s="116">
        <v>930.7</v>
      </c>
      <c r="O1398" s="116">
        <v>918.4</v>
      </c>
      <c r="P1398" s="116">
        <v>926</v>
      </c>
      <c r="Q1398" s="116">
        <v>922.95</v>
      </c>
      <c r="R1398">
        <v>1072848</v>
      </c>
    </row>
    <row r="1399" spans="1:18" x14ac:dyDescent="0.25">
      <c r="A1399" s="170">
        <v>45467</v>
      </c>
      <c r="B1399" s="116">
        <v>923</v>
      </c>
      <c r="C1399" s="116">
        <v>911.35</v>
      </c>
      <c r="D1399" s="116">
        <v>909.45</v>
      </c>
      <c r="E1399" s="116">
        <v>921.95</v>
      </c>
      <c r="F1399" s="116">
        <v>911.35</v>
      </c>
      <c r="G1399">
        <v>190970</v>
      </c>
      <c r="H1399" s="116"/>
      <c r="I1399" s="116"/>
      <c r="L1399" s="170">
        <v>45467</v>
      </c>
      <c r="M1399" s="116">
        <v>911.75</v>
      </c>
      <c r="N1399" s="116">
        <v>923.9</v>
      </c>
      <c r="O1399" s="116">
        <v>909.65</v>
      </c>
      <c r="P1399" s="116">
        <v>920.55</v>
      </c>
      <c r="Q1399" s="116">
        <v>911.75</v>
      </c>
      <c r="R1399">
        <v>1159403</v>
      </c>
    </row>
    <row r="1400" spans="1:18" x14ac:dyDescent="0.25">
      <c r="A1400" s="170">
        <v>45468</v>
      </c>
      <c r="B1400" s="116">
        <v>919.4</v>
      </c>
      <c r="C1400" s="116">
        <v>890.9</v>
      </c>
      <c r="D1400" s="116">
        <v>887.25</v>
      </c>
      <c r="E1400" s="116">
        <v>911.6</v>
      </c>
      <c r="F1400" s="116">
        <v>890.9</v>
      </c>
      <c r="G1400">
        <v>64318</v>
      </c>
      <c r="H1400" s="116"/>
      <c r="I1400" s="116"/>
      <c r="L1400" s="170">
        <v>45468</v>
      </c>
      <c r="M1400" s="116">
        <v>889.5</v>
      </c>
      <c r="N1400" s="116">
        <v>920</v>
      </c>
      <c r="O1400" s="116">
        <v>886.25</v>
      </c>
      <c r="P1400" s="116">
        <v>911.75</v>
      </c>
      <c r="Q1400" s="116">
        <v>889.5</v>
      </c>
      <c r="R1400">
        <v>1219526</v>
      </c>
    </row>
    <row r="1401" spans="1:18" x14ac:dyDescent="0.25">
      <c r="A1401" s="170">
        <v>45469</v>
      </c>
      <c r="B1401" s="116">
        <v>910</v>
      </c>
      <c r="C1401" s="116">
        <v>893.3</v>
      </c>
      <c r="D1401" s="116">
        <v>889.5</v>
      </c>
      <c r="E1401" s="116">
        <v>900</v>
      </c>
      <c r="F1401" s="116">
        <v>893.3</v>
      </c>
      <c r="G1401">
        <v>195036</v>
      </c>
      <c r="H1401" s="116"/>
      <c r="I1401" s="116"/>
      <c r="L1401" s="170">
        <v>45469</v>
      </c>
      <c r="M1401" s="116">
        <v>893.65</v>
      </c>
      <c r="N1401" s="116">
        <v>910.5</v>
      </c>
      <c r="O1401" s="116">
        <v>889</v>
      </c>
      <c r="P1401" s="116">
        <v>899.8</v>
      </c>
      <c r="Q1401" s="116">
        <v>893.65</v>
      </c>
      <c r="R1401">
        <v>1252508</v>
      </c>
    </row>
    <row r="1402" spans="1:18" x14ac:dyDescent="0.25">
      <c r="A1402" s="170">
        <v>45470</v>
      </c>
      <c r="B1402" s="116">
        <v>906.2</v>
      </c>
      <c r="C1402" s="116">
        <v>900.35</v>
      </c>
      <c r="D1402" s="116">
        <v>891.65</v>
      </c>
      <c r="E1402" s="116">
        <v>895.75</v>
      </c>
      <c r="F1402" s="116">
        <v>900.35</v>
      </c>
      <c r="G1402">
        <v>44047</v>
      </c>
      <c r="H1402" s="116"/>
      <c r="I1402" s="116"/>
      <c r="L1402" s="170">
        <v>45470</v>
      </c>
      <c r="M1402" s="116">
        <v>902.8</v>
      </c>
      <c r="N1402" s="116">
        <v>907</v>
      </c>
      <c r="O1402" s="116">
        <v>892</v>
      </c>
      <c r="P1402" s="116">
        <v>900</v>
      </c>
      <c r="Q1402" s="116">
        <v>902.8</v>
      </c>
      <c r="R1402">
        <v>870307</v>
      </c>
    </row>
    <row r="1403" spans="1:18" x14ac:dyDescent="0.25">
      <c r="A1403" s="170">
        <v>45471</v>
      </c>
      <c r="B1403" s="116">
        <v>906.7</v>
      </c>
      <c r="C1403" s="116">
        <v>895.55</v>
      </c>
      <c r="D1403" s="116">
        <v>894.55</v>
      </c>
      <c r="E1403" s="116">
        <v>904.95</v>
      </c>
      <c r="F1403" s="116">
        <v>895.55</v>
      </c>
      <c r="G1403">
        <v>27962</v>
      </c>
      <c r="H1403" s="116"/>
      <c r="I1403" s="116"/>
      <c r="L1403" s="170">
        <v>45471</v>
      </c>
      <c r="M1403" s="116">
        <v>896</v>
      </c>
      <c r="N1403" s="116">
        <v>906</v>
      </c>
      <c r="O1403" s="116">
        <v>895</v>
      </c>
      <c r="P1403" s="116">
        <v>903</v>
      </c>
      <c r="Q1403" s="116">
        <v>896</v>
      </c>
      <c r="R1403">
        <v>657824</v>
      </c>
    </row>
    <row r="1404" spans="1:18" x14ac:dyDescent="0.25">
      <c r="A1404" s="170">
        <v>45474</v>
      </c>
      <c r="B1404" s="116">
        <v>902.3</v>
      </c>
      <c r="C1404" s="116">
        <v>888</v>
      </c>
      <c r="D1404" s="116">
        <v>883.45</v>
      </c>
      <c r="E1404" s="116">
        <v>895.65</v>
      </c>
      <c r="F1404" s="116">
        <v>888</v>
      </c>
      <c r="G1404">
        <v>52801</v>
      </c>
      <c r="H1404" s="116"/>
      <c r="I1404" s="116"/>
      <c r="L1404" s="170">
        <v>45474</v>
      </c>
      <c r="M1404" s="116">
        <v>888.05</v>
      </c>
      <c r="N1404" s="116">
        <v>902</v>
      </c>
      <c r="O1404" s="116">
        <v>883</v>
      </c>
      <c r="P1404" s="116">
        <v>896.55</v>
      </c>
      <c r="Q1404" s="116">
        <v>888.05</v>
      </c>
      <c r="R1404">
        <v>1062754</v>
      </c>
    </row>
    <row r="1405" spans="1:18" x14ac:dyDescent="0.25">
      <c r="A1405" s="170">
        <v>45475</v>
      </c>
      <c r="B1405" s="116">
        <v>937.95</v>
      </c>
      <c r="C1405" s="116">
        <v>904.4</v>
      </c>
      <c r="D1405" s="116">
        <v>890</v>
      </c>
      <c r="E1405" s="116">
        <v>896.05</v>
      </c>
      <c r="F1405" s="116">
        <v>904.4</v>
      </c>
      <c r="G1405">
        <v>207753</v>
      </c>
      <c r="H1405" s="116"/>
      <c r="I1405" s="116"/>
      <c r="L1405" s="170">
        <v>45475</v>
      </c>
      <c r="M1405" s="116">
        <v>904.6</v>
      </c>
      <c r="N1405" s="116">
        <v>938</v>
      </c>
      <c r="O1405" s="116">
        <v>889.5</v>
      </c>
      <c r="P1405" s="116">
        <v>896.95</v>
      </c>
      <c r="Q1405" s="116">
        <v>904.6</v>
      </c>
      <c r="R1405">
        <v>3839397</v>
      </c>
    </row>
    <row r="1406" spans="1:18" x14ac:dyDescent="0.25">
      <c r="A1406" s="170">
        <v>45476</v>
      </c>
      <c r="B1406" s="116">
        <v>916.45</v>
      </c>
      <c r="C1406" s="116">
        <v>904.7</v>
      </c>
      <c r="D1406" s="116">
        <v>901.1</v>
      </c>
      <c r="E1406" s="116">
        <v>912.25</v>
      </c>
      <c r="F1406" s="116">
        <v>904.7</v>
      </c>
      <c r="G1406">
        <v>48783</v>
      </c>
      <c r="H1406" s="116"/>
      <c r="I1406" s="116"/>
      <c r="L1406" s="170">
        <v>45476</v>
      </c>
      <c r="M1406" s="116">
        <v>905.15</v>
      </c>
      <c r="N1406" s="116">
        <v>916.65</v>
      </c>
      <c r="O1406" s="116">
        <v>901.35</v>
      </c>
      <c r="P1406" s="116">
        <v>914.8</v>
      </c>
      <c r="Q1406" s="116">
        <v>905.15</v>
      </c>
      <c r="R1406">
        <v>1034594</v>
      </c>
    </row>
    <row r="1407" spans="1:18" x14ac:dyDescent="0.25">
      <c r="A1407" s="170">
        <v>45477</v>
      </c>
      <c r="B1407" s="116">
        <v>908.8</v>
      </c>
      <c r="C1407" s="116">
        <v>896.7</v>
      </c>
      <c r="D1407" s="116">
        <v>895</v>
      </c>
      <c r="E1407" s="116">
        <v>904</v>
      </c>
      <c r="F1407" s="116">
        <v>896.7</v>
      </c>
      <c r="G1407">
        <v>44115</v>
      </c>
      <c r="H1407" s="116"/>
      <c r="I1407" s="116"/>
      <c r="L1407" s="170">
        <v>45477</v>
      </c>
      <c r="M1407" s="116">
        <v>896.45</v>
      </c>
      <c r="N1407" s="116">
        <v>908.9</v>
      </c>
      <c r="O1407" s="116">
        <v>895</v>
      </c>
      <c r="P1407" s="116">
        <v>905</v>
      </c>
      <c r="Q1407" s="116">
        <v>896.45</v>
      </c>
      <c r="R1407">
        <v>799590</v>
      </c>
    </row>
    <row r="1408" spans="1:18" x14ac:dyDescent="0.25">
      <c r="A1408" s="170">
        <v>45478</v>
      </c>
      <c r="B1408" s="116">
        <v>904</v>
      </c>
      <c r="C1408" s="116">
        <v>891.35</v>
      </c>
      <c r="D1408" s="116">
        <v>890</v>
      </c>
      <c r="E1408" s="116">
        <v>904</v>
      </c>
      <c r="F1408" s="116">
        <v>891.35</v>
      </c>
      <c r="G1408">
        <v>202173</v>
      </c>
      <c r="H1408" s="116"/>
      <c r="I1408" s="116"/>
      <c r="L1408" s="170">
        <v>45478</v>
      </c>
      <c r="M1408" s="116">
        <v>891.05</v>
      </c>
      <c r="N1408" s="116">
        <v>904.1</v>
      </c>
      <c r="O1408" s="116">
        <v>890</v>
      </c>
      <c r="P1408" s="116">
        <v>904.1</v>
      </c>
      <c r="Q1408" s="116">
        <v>891.05</v>
      </c>
      <c r="R1408">
        <v>873337</v>
      </c>
    </row>
    <row r="1409" spans="1:18" x14ac:dyDescent="0.25">
      <c r="A1409" s="170">
        <v>45481</v>
      </c>
      <c r="B1409" s="116">
        <v>897.45</v>
      </c>
      <c r="C1409" s="116">
        <v>883.85</v>
      </c>
      <c r="D1409" s="116">
        <v>882</v>
      </c>
      <c r="E1409" s="116">
        <v>891.4</v>
      </c>
      <c r="F1409" s="116">
        <v>883.85</v>
      </c>
      <c r="G1409">
        <v>191232</v>
      </c>
      <c r="H1409" s="116"/>
      <c r="I1409" s="116"/>
      <c r="L1409" s="170">
        <v>45481</v>
      </c>
      <c r="M1409" s="116">
        <v>883.65</v>
      </c>
      <c r="N1409" s="116">
        <v>899</v>
      </c>
      <c r="O1409" s="116">
        <v>882</v>
      </c>
      <c r="P1409" s="116">
        <v>894.05</v>
      </c>
      <c r="Q1409" s="116">
        <v>883.65</v>
      </c>
      <c r="R1409">
        <v>765392</v>
      </c>
    </row>
    <row r="1410" spans="1:18" x14ac:dyDescent="0.25">
      <c r="A1410" s="170">
        <v>45482</v>
      </c>
      <c r="B1410" s="116">
        <v>918</v>
      </c>
      <c r="C1410" s="116">
        <v>892.4</v>
      </c>
      <c r="D1410" s="116">
        <v>888.15</v>
      </c>
      <c r="E1410" s="116">
        <v>890.15</v>
      </c>
      <c r="F1410" s="116">
        <v>892.4</v>
      </c>
      <c r="G1410">
        <v>262867</v>
      </c>
      <c r="H1410" s="116"/>
      <c r="I1410" s="116"/>
      <c r="L1410" s="170">
        <v>45482</v>
      </c>
      <c r="M1410" s="116">
        <v>891.85</v>
      </c>
      <c r="N1410" s="116">
        <v>917.4</v>
      </c>
      <c r="O1410" s="116">
        <v>887.55</v>
      </c>
      <c r="P1410" s="116">
        <v>893.7</v>
      </c>
      <c r="Q1410" s="116">
        <v>891.85</v>
      </c>
      <c r="R1410">
        <v>1715991</v>
      </c>
    </row>
    <row r="1411" spans="1:18" x14ac:dyDescent="0.25">
      <c r="A1411" s="170">
        <v>45483</v>
      </c>
      <c r="B1411" s="116">
        <v>903</v>
      </c>
      <c r="C1411" s="116">
        <v>890.4</v>
      </c>
      <c r="D1411" s="116">
        <v>882.05</v>
      </c>
      <c r="E1411" s="116">
        <v>900</v>
      </c>
      <c r="F1411" s="116">
        <v>890.4</v>
      </c>
      <c r="G1411">
        <v>151721</v>
      </c>
      <c r="H1411" s="116"/>
      <c r="I1411" s="116"/>
      <c r="L1411" s="170">
        <v>45483</v>
      </c>
      <c r="M1411" s="116">
        <v>890.65</v>
      </c>
      <c r="N1411" s="116">
        <v>904.4</v>
      </c>
      <c r="O1411" s="116">
        <v>883</v>
      </c>
      <c r="P1411" s="116">
        <v>901</v>
      </c>
      <c r="Q1411" s="116">
        <v>890.65</v>
      </c>
      <c r="R1411">
        <v>729459</v>
      </c>
    </row>
    <row r="1412" spans="1:18" x14ac:dyDescent="0.25">
      <c r="A1412" s="170">
        <v>45484</v>
      </c>
      <c r="B1412" s="116">
        <v>898</v>
      </c>
      <c r="C1412" s="116">
        <v>894</v>
      </c>
      <c r="D1412" s="116">
        <v>880.55</v>
      </c>
      <c r="E1412" s="116">
        <v>892</v>
      </c>
      <c r="F1412" s="116">
        <v>894</v>
      </c>
      <c r="G1412">
        <v>38721</v>
      </c>
      <c r="H1412" s="116"/>
      <c r="I1412" s="116"/>
      <c r="L1412" s="170">
        <v>45484</v>
      </c>
      <c r="M1412" s="116">
        <v>894.6</v>
      </c>
      <c r="N1412" s="116">
        <v>898.1</v>
      </c>
      <c r="O1412" s="116">
        <v>880.75</v>
      </c>
      <c r="P1412" s="116">
        <v>891.9</v>
      </c>
      <c r="Q1412" s="116">
        <v>894.6</v>
      </c>
      <c r="R1412">
        <v>1604227</v>
      </c>
    </row>
    <row r="1413" spans="1:18" x14ac:dyDescent="0.25">
      <c r="A1413" s="170">
        <v>45485</v>
      </c>
      <c r="B1413" s="116">
        <v>902</v>
      </c>
      <c r="C1413" s="116">
        <v>893.1</v>
      </c>
      <c r="D1413" s="116">
        <v>889.45</v>
      </c>
      <c r="E1413" s="116">
        <v>891.8</v>
      </c>
      <c r="F1413" s="116">
        <v>893.1</v>
      </c>
      <c r="G1413">
        <v>47080</v>
      </c>
      <c r="H1413" s="116"/>
      <c r="I1413" s="116"/>
      <c r="L1413" s="170">
        <v>45485</v>
      </c>
      <c r="M1413" s="116">
        <v>893.2</v>
      </c>
      <c r="N1413" s="116">
        <v>902.05</v>
      </c>
      <c r="O1413" s="116">
        <v>889.2</v>
      </c>
      <c r="P1413" s="116">
        <v>894.6</v>
      </c>
      <c r="Q1413" s="116">
        <v>893.2</v>
      </c>
      <c r="R1413">
        <v>2036664</v>
      </c>
    </row>
    <row r="1414" spans="1:18" x14ac:dyDescent="0.25">
      <c r="A1414" s="170">
        <v>45488</v>
      </c>
      <c r="B1414" s="116">
        <v>903.5</v>
      </c>
      <c r="C1414" s="116">
        <v>895.15</v>
      </c>
      <c r="D1414" s="116">
        <v>886.1</v>
      </c>
      <c r="E1414" s="116">
        <v>891.95</v>
      </c>
      <c r="F1414" s="116">
        <v>895.15</v>
      </c>
      <c r="G1414">
        <v>49098</v>
      </c>
      <c r="H1414" s="116"/>
      <c r="I1414" s="116"/>
      <c r="L1414" s="170">
        <v>45488</v>
      </c>
      <c r="M1414" s="116">
        <v>895.6</v>
      </c>
      <c r="N1414" s="116">
        <v>904.4</v>
      </c>
      <c r="O1414" s="116">
        <v>886.1</v>
      </c>
      <c r="P1414" s="116">
        <v>893.5</v>
      </c>
      <c r="Q1414" s="116">
        <v>895.6</v>
      </c>
      <c r="R1414">
        <v>2513263</v>
      </c>
    </row>
    <row r="1415" spans="1:18" x14ac:dyDescent="0.25">
      <c r="A1415" s="170">
        <v>45489</v>
      </c>
      <c r="B1415" s="116">
        <v>915.25</v>
      </c>
      <c r="C1415" s="116">
        <v>905.85</v>
      </c>
      <c r="D1415" s="116">
        <v>897.3</v>
      </c>
      <c r="E1415" s="116">
        <v>900.05</v>
      </c>
      <c r="F1415" s="116">
        <v>905.85</v>
      </c>
      <c r="G1415">
        <v>67093</v>
      </c>
      <c r="H1415" s="116"/>
      <c r="I1415" s="116"/>
      <c r="L1415" s="170">
        <v>45489</v>
      </c>
      <c r="M1415" s="116">
        <v>906</v>
      </c>
      <c r="N1415" s="116">
        <v>915.8</v>
      </c>
      <c r="O1415" s="116">
        <v>897.6</v>
      </c>
      <c r="P1415" s="116">
        <v>904.55</v>
      </c>
      <c r="Q1415" s="116">
        <v>906</v>
      </c>
      <c r="R1415">
        <v>3115537</v>
      </c>
    </row>
    <row r="1416" spans="1:18" x14ac:dyDescent="0.25">
      <c r="A1416" s="170">
        <v>45491</v>
      </c>
      <c r="B1416" s="116">
        <v>905.45</v>
      </c>
      <c r="C1416" s="116">
        <v>889.7</v>
      </c>
      <c r="D1416" s="116">
        <v>885.55</v>
      </c>
      <c r="E1416" s="116">
        <v>905.05</v>
      </c>
      <c r="F1416" s="116">
        <v>889.7</v>
      </c>
      <c r="G1416">
        <v>35711</v>
      </c>
      <c r="H1416" s="116"/>
      <c r="I1416" s="116"/>
      <c r="L1416" s="170">
        <v>45491</v>
      </c>
      <c r="M1416" s="116">
        <v>890.1</v>
      </c>
      <c r="N1416" s="116">
        <v>906</v>
      </c>
      <c r="O1416" s="116">
        <v>885.6</v>
      </c>
      <c r="P1416" s="116">
        <v>906</v>
      </c>
      <c r="Q1416" s="116">
        <v>890.1</v>
      </c>
      <c r="R1416">
        <v>3499221</v>
      </c>
    </row>
    <row r="1417" spans="1:18" x14ac:dyDescent="0.25">
      <c r="A1417" s="170">
        <v>45492</v>
      </c>
      <c r="B1417" s="116">
        <v>894.55</v>
      </c>
      <c r="C1417" s="116">
        <v>887.8</v>
      </c>
      <c r="D1417" s="116">
        <v>883.4</v>
      </c>
      <c r="E1417" s="116">
        <v>894.55</v>
      </c>
      <c r="F1417" s="116">
        <v>887.8</v>
      </c>
      <c r="G1417">
        <v>40217</v>
      </c>
      <c r="H1417" s="116"/>
      <c r="I1417" s="116"/>
      <c r="L1417" s="170">
        <v>45492</v>
      </c>
      <c r="M1417" s="116">
        <v>888.5</v>
      </c>
      <c r="N1417" s="116">
        <v>894</v>
      </c>
      <c r="O1417" s="116">
        <v>883.95</v>
      </c>
      <c r="P1417" s="116">
        <v>893</v>
      </c>
      <c r="Q1417" s="116">
        <v>888.5</v>
      </c>
      <c r="R1417">
        <v>2640294</v>
      </c>
    </row>
    <row r="1418" spans="1:18" x14ac:dyDescent="0.25">
      <c r="A1418" s="170">
        <v>45495</v>
      </c>
      <c r="B1418" s="116">
        <v>895.65</v>
      </c>
      <c r="C1418" s="116">
        <v>885.85</v>
      </c>
      <c r="D1418" s="116">
        <v>874.65</v>
      </c>
      <c r="E1418" s="116">
        <v>883.5</v>
      </c>
      <c r="F1418" s="116">
        <v>885.85</v>
      </c>
      <c r="G1418">
        <v>53662</v>
      </c>
      <c r="H1418" s="116"/>
      <c r="I1418" s="116"/>
      <c r="L1418" s="170">
        <v>45495</v>
      </c>
      <c r="M1418" s="116">
        <v>886.1</v>
      </c>
      <c r="N1418" s="116">
        <v>896.1</v>
      </c>
      <c r="O1418" s="116">
        <v>874.5</v>
      </c>
      <c r="P1418" s="116">
        <v>881.55</v>
      </c>
      <c r="Q1418" s="116">
        <v>886.1</v>
      </c>
      <c r="R1418">
        <v>3334580</v>
      </c>
    </row>
    <row r="1419" spans="1:18" x14ac:dyDescent="0.25">
      <c r="A1419" s="170">
        <v>45496</v>
      </c>
      <c r="B1419" s="116">
        <v>909.95</v>
      </c>
      <c r="C1419" s="116">
        <v>878.2</v>
      </c>
      <c r="D1419" s="116">
        <v>856.15</v>
      </c>
      <c r="E1419" s="116">
        <v>885.85</v>
      </c>
      <c r="F1419" s="116">
        <v>878.2</v>
      </c>
      <c r="G1419">
        <v>104000</v>
      </c>
      <c r="H1419" s="116"/>
      <c r="I1419" s="116"/>
      <c r="L1419" s="170">
        <v>45496</v>
      </c>
      <c r="M1419" s="116">
        <v>879.15</v>
      </c>
      <c r="N1419" s="116">
        <v>909.95</v>
      </c>
      <c r="O1419" s="116">
        <v>857</v>
      </c>
      <c r="P1419" s="116">
        <v>886.3</v>
      </c>
      <c r="Q1419" s="116">
        <v>879.15</v>
      </c>
      <c r="R1419">
        <v>3570564</v>
      </c>
    </row>
    <row r="1420" spans="1:18" x14ac:dyDescent="0.25">
      <c r="A1420" s="170">
        <v>45497</v>
      </c>
      <c r="B1420" s="116">
        <v>894.95</v>
      </c>
      <c r="C1420" s="116">
        <v>889.9</v>
      </c>
      <c r="D1420" s="116">
        <v>881</v>
      </c>
      <c r="E1420" s="116">
        <v>884.85</v>
      </c>
      <c r="F1420" s="116">
        <v>889.9</v>
      </c>
      <c r="G1420">
        <v>39383</v>
      </c>
      <c r="H1420" s="116"/>
      <c r="I1420" s="116"/>
      <c r="L1420" s="170">
        <v>45497</v>
      </c>
      <c r="M1420" s="116">
        <v>890.45</v>
      </c>
      <c r="N1420" s="116">
        <v>895</v>
      </c>
      <c r="O1420" s="116">
        <v>880.5</v>
      </c>
      <c r="P1420" s="116">
        <v>882</v>
      </c>
      <c r="Q1420" s="116">
        <v>890.45</v>
      </c>
      <c r="R1420">
        <v>3971257</v>
      </c>
    </row>
    <row r="1421" spans="1:18" x14ac:dyDescent="0.25">
      <c r="A1421" s="170">
        <v>45498</v>
      </c>
      <c r="B1421" s="116">
        <v>902</v>
      </c>
      <c r="C1421" s="116">
        <v>881.45</v>
      </c>
      <c r="D1421" s="116">
        <v>877.85</v>
      </c>
      <c r="E1421" s="116">
        <v>884.4</v>
      </c>
      <c r="F1421" s="116">
        <v>881.45</v>
      </c>
      <c r="G1421">
        <v>51362</v>
      </c>
      <c r="H1421" s="116"/>
      <c r="I1421" s="116"/>
      <c r="L1421" s="170">
        <v>45498</v>
      </c>
      <c r="M1421" s="116">
        <v>881.95</v>
      </c>
      <c r="N1421" s="116">
        <v>902</v>
      </c>
      <c r="O1421" s="116">
        <v>878.05</v>
      </c>
      <c r="P1421" s="116">
        <v>883</v>
      </c>
      <c r="Q1421" s="116">
        <v>881.95</v>
      </c>
      <c r="R1421">
        <v>925391</v>
      </c>
    </row>
    <row r="1422" spans="1:18" x14ac:dyDescent="0.25">
      <c r="A1422" s="170">
        <v>45499</v>
      </c>
      <c r="B1422" s="116">
        <v>916</v>
      </c>
      <c r="C1422" s="116">
        <v>888.2</v>
      </c>
      <c r="D1422" s="116">
        <v>882.5</v>
      </c>
      <c r="E1422" s="116">
        <v>887.05</v>
      </c>
      <c r="F1422" s="116">
        <v>888.2</v>
      </c>
      <c r="G1422">
        <v>547716</v>
      </c>
      <c r="H1422" s="116"/>
      <c r="I1422" s="116"/>
      <c r="L1422" s="170">
        <v>45499</v>
      </c>
      <c r="M1422" s="116">
        <v>888.45</v>
      </c>
      <c r="N1422" s="116">
        <v>916.85</v>
      </c>
      <c r="O1422" s="116">
        <v>882.2</v>
      </c>
      <c r="P1422" s="116">
        <v>888.7</v>
      </c>
      <c r="Q1422" s="116">
        <v>888.45</v>
      </c>
      <c r="R1422">
        <v>2835570</v>
      </c>
    </row>
    <row r="1423" spans="1:18" x14ac:dyDescent="0.25">
      <c r="A1423" s="170">
        <v>45502</v>
      </c>
      <c r="B1423" s="116">
        <v>924</v>
      </c>
      <c r="C1423" s="116">
        <v>892.75</v>
      </c>
      <c r="D1423" s="116">
        <v>889.15</v>
      </c>
      <c r="E1423" s="116">
        <v>895.05</v>
      </c>
      <c r="F1423" s="116">
        <v>892.75</v>
      </c>
      <c r="G1423">
        <v>115167</v>
      </c>
      <c r="H1423" s="116"/>
      <c r="I1423" s="116"/>
      <c r="L1423" s="170">
        <v>45502</v>
      </c>
      <c r="M1423" s="116">
        <v>892.95</v>
      </c>
      <c r="N1423" s="116">
        <v>924.4</v>
      </c>
      <c r="O1423" s="116">
        <v>889</v>
      </c>
      <c r="P1423" s="116">
        <v>900</v>
      </c>
      <c r="Q1423" s="116">
        <v>892.95</v>
      </c>
      <c r="R1423">
        <v>2776196</v>
      </c>
    </row>
    <row r="1424" spans="1:18" x14ac:dyDescent="0.25">
      <c r="A1424" s="170">
        <v>45503</v>
      </c>
      <c r="B1424" s="116">
        <v>906</v>
      </c>
      <c r="C1424" s="116">
        <v>896.2</v>
      </c>
      <c r="D1424" s="116">
        <v>892.65</v>
      </c>
      <c r="E1424" s="116">
        <v>899.9</v>
      </c>
      <c r="F1424" s="116">
        <v>896.2</v>
      </c>
      <c r="G1424">
        <v>74702</v>
      </c>
      <c r="H1424" s="116"/>
      <c r="I1424" s="116"/>
      <c r="L1424" s="170">
        <v>45503</v>
      </c>
      <c r="M1424" s="116">
        <v>896.4</v>
      </c>
      <c r="N1424" s="116">
        <v>906.9</v>
      </c>
      <c r="O1424" s="116">
        <v>892</v>
      </c>
      <c r="P1424" s="116">
        <v>900</v>
      </c>
      <c r="Q1424" s="116">
        <v>896.4</v>
      </c>
      <c r="R1424">
        <v>1355256</v>
      </c>
    </row>
    <row r="1425" spans="1:18" x14ac:dyDescent="0.25">
      <c r="A1425" s="170">
        <v>45504</v>
      </c>
      <c r="B1425" s="116">
        <v>909.3</v>
      </c>
      <c r="C1425" s="116">
        <v>894.95</v>
      </c>
      <c r="D1425" s="116">
        <v>891.4</v>
      </c>
      <c r="E1425" s="116">
        <v>899.95</v>
      </c>
      <c r="F1425" s="116">
        <v>894.95</v>
      </c>
      <c r="G1425">
        <v>57896</v>
      </c>
      <c r="H1425" s="116"/>
      <c r="I1425" s="116"/>
      <c r="L1425" s="170">
        <v>45504</v>
      </c>
      <c r="M1425" s="116">
        <v>895.55</v>
      </c>
      <c r="N1425" s="116">
        <v>909.5</v>
      </c>
      <c r="O1425" s="116">
        <v>891.1</v>
      </c>
      <c r="P1425" s="116">
        <v>898.4</v>
      </c>
      <c r="Q1425" s="116">
        <v>895.55</v>
      </c>
      <c r="R1425">
        <v>984366</v>
      </c>
    </row>
    <row r="1426" spans="1:18" x14ac:dyDescent="0.25">
      <c r="A1426" s="170">
        <v>45505</v>
      </c>
      <c r="B1426" s="116">
        <v>941.05</v>
      </c>
      <c r="C1426" s="116">
        <v>914.8</v>
      </c>
      <c r="D1426" s="116">
        <v>887.6</v>
      </c>
      <c r="E1426" s="116">
        <v>887.95</v>
      </c>
      <c r="F1426" s="116">
        <v>914.8</v>
      </c>
      <c r="G1426">
        <v>244695</v>
      </c>
      <c r="H1426" s="116"/>
      <c r="I1426" s="116"/>
      <c r="L1426" s="170">
        <v>45505</v>
      </c>
      <c r="M1426" s="116">
        <v>915.55</v>
      </c>
      <c r="N1426" s="116">
        <v>941.9</v>
      </c>
      <c r="O1426" s="116">
        <v>883</v>
      </c>
      <c r="P1426" s="116">
        <v>883</v>
      </c>
      <c r="Q1426" s="116">
        <v>915.55</v>
      </c>
      <c r="R1426">
        <v>6487457</v>
      </c>
    </row>
    <row r="1427" spans="1:18" x14ac:dyDescent="0.25">
      <c r="A1427" s="170">
        <v>45506</v>
      </c>
      <c r="B1427" s="116">
        <v>921.55</v>
      </c>
      <c r="C1427" s="116">
        <v>908.5</v>
      </c>
      <c r="D1427" s="116">
        <v>901.25</v>
      </c>
      <c r="E1427" s="116">
        <v>904</v>
      </c>
      <c r="F1427" s="116">
        <v>908.5</v>
      </c>
      <c r="G1427">
        <v>80918</v>
      </c>
      <c r="H1427" s="116"/>
      <c r="I1427" s="116"/>
      <c r="L1427" s="170">
        <v>45506</v>
      </c>
      <c r="M1427" s="116">
        <v>908.9</v>
      </c>
      <c r="N1427" s="116">
        <v>922</v>
      </c>
      <c r="O1427" s="116">
        <v>901</v>
      </c>
      <c r="P1427" s="116">
        <v>905</v>
      </c>
      <c r="Q1427" s="116">
        <v>908.9</v>
      </c>
      <c r="R1427">
        <v>2293304</v>
      </c>
    </row>
    <row r="1428" spans="1:18" x14ac:dyDescent="0.25">
      <c r="A1428" s="170">
        <v>45509</v>
      </c>
      <c r="B1428" s="116">
        <v>896.75</v>
      </c>
      <c r="C1428" s="116">
        <v>858.1</v>
      </c>
      <c r="D1428" s="116">
        <v>851</v>
      </c>
      <c r="E1428" s="116">
        <v>887.05</v>
      </c>
      <c r="F1428" s="116">
        <v>858.1</v>
      </c>
      <c r="G1428">
        <v>169827</v>
      </c>
      <c r="H1428" s="116"/>
      <c r="I1428" s="116"/>
      <c r="L1428" s="170">
        <v>45509</v>
      </c>
      <c r="M1428" s="116">
        <v>857.05</v>
      </c>
      <c r="N1428" s="116">
        <v>896.45</v>
      </c>
      <c r="O1428" s="116">
        <v>851</v>
      </c>
      <c r="P1428" s="116">
        <v>890</v>
      </c>
      <c r="Q1428" s="116">
        <v>857.05</v>
      </c>
      <c r="R1428">
        <v>2915990</v>
      </c>
    </row>
    <row r="1429" spans="1:18" x14ac:dyDescent="0.25">
      <c r="A1429" s="170">
        <v>45510</v>
      </c>
      <c r="B1429" s="116">
        <v>892</v>
      </c>
      <c r="C1429" s="116">
        <v>867.8</v>
      </c>
      <c r="D1429" s="116">
        <v>860.7</v>
      </c>
      <c r="E1429" s="116">
        <v>860.7</v>
      </c>
      <c r="F1429" s="116">
        <v>867.8</v>
      </c>
      <c r="G1429">
        <v>289845</v>
      </c>
      <c r="H1429" s="116"/>
      <c r="I1429" s="116"/>
      <c r="L1429" s="170">
        <v>45510</v>
      </c>
      <c r="M1429" s="116">
        <v>868.1</v>
      </c>
      <c r="N1429" s="116">
        <v>892.85</v>
      </c>
      <c r="O1429" s="116">
        <v>860.05</v>
      </c>
      <c r="P1429" s="116">
        <v>865</v>
      </c>
      <c r="Q1429" s="116">
        <v>868.1</v>
      </c>
      <c r="R1429">
        <v>2721776</v>
      </c>
    </row>
    <row r="1430" spans="1:18" x14ac:dyDescent="0.25">
      <c r="A1430" s="170">
        <v>45511</v>
      </c>
      <c r="B1430" s="116">
        <v>884.95</v>
      </c>
      <c r="C1430" s="116">
        <v>875.2</v>
      </c>
      <c r="D1430" s="116">
        <v>868.5</v>
      </c>
      <c r="E1430" s="116">
        <v>884.95</v>
      </c>
      <c r="F1430" s="116">
        <v>875.2</v>
      </c>
      <c r="G1430">
        <v>40584</v>
      </c>
      <c r="H1430" s="116"/>
      <c r="I1430" s="116"/>
      <c r="L1430" s="170">
        <v>45511</v>
      </c>
      <c r="M1430" s="116">
        <v>875.4</v>
      </c>
      <c r="N1430" s="116">
        <v>882.9</v>
      </c>
      <c r="O1430" s="116">
        <v>869.25</v>
      </c>
      <c r="P1430" s="116">
        <v>880</v>
      </c>
      <c r="Q1430" s="116">
        <v>875.4</v>
      </c>
      <c r="R1430">
        <v>4252885</v>
      </c>
    </row>
    <row r="1431" spans="1:18" x14ac:dyDescent="0.25">
      <c r="A1431" s="170">
        <v>45512</v>
      </c>
      <c r="B1431" s="116">
        <v>887.9</v>
      </c>
      <c r="C1431" s="116">
        <v>876.2</v>
      </c>
      <c r="D1431" s="116">
        <v>873.75</v>
      </c>
      <c r="E1431" s="116">
        <v>878.35</v>
      </c>
      <c r="F1431" s="116">
        <v>876.2</v>
      </c>
      <c r="G1431">
        <v>35389</v>
      </c>
      <c r="H1431" s="116"/>
      <c r="I1431" s="116"/>
      <c r="L1431" s="170">
        <v>45512</v>
      </c>
      <c r="M1431" s="116">
        <v>875</v>
      </c>
      <c r="N1431" s="116">
        <v>888</v>
      </c>
      <c r="O1431" s="116">
        <v>873.2</v>
      </c>
      <c r="P1431" s="116">
        <v>879.95</v>
      </c>
      <c r="Q1431" s="116">
        <v>875</v>
      </c>
      <c r="R1431">
        <v>3002300</v>
      </c>
    </row>
    <row r="1432" spans="1:18" x14ac:dyDescent="0.25">
      <c r="A1432" s="170">
        <v>45513</v>
      </c>
      <c r="B1432" s="116">
        <v>887.05</v>
      </c>
      <c r="C1432" s="116">
        <v>869.45</v>
      </c>
      <c r="D1432" s="116">
        <v>866</v>
      </c>
      <c r="E1432" s="116">
        <v>885</v>
      </c>
      <c r="F1432" s="116">
        <v>869.45</v>
      </c>
      <c r="G1432">
        <v>136126</v>
      </c>
      <c r="H1432" s="116"/>
      <c r="I1432" s="116"/>
      <c r="L1432" s="170">
        <v>45513</v>
      </c>
      <c r="M1432" s="116">
        <v>869.85</v>
      </c>
      <c r="N1432" s="116">
        <v>886.7</v>
      </c>
      <c r="O1432" s="116">
        <v>865.2</v>
      </c>
      <c r="P1432" s="116">
        <v>885</v>
      </c>
      <c r="Q1432" s="116">
        <v>869.85</v>
      </c>
      <c r="R1432">
        <v>2074967</v>
      </c>
    </row>
    <row r="1433" spans="1:18" x14ac:dyDescent="0.25">
      <c r="A1433" s="170">
        <v>45516</v>
      </c>
      <c r="B1433" s="116">
        <v>844.55</v>
      </c>
      <c r="C1433" s="116">
        <v>834.45</v>
      </c>
      <c r="D1433" s="116">
        <v>753</v>
      </c>
      <c r="E1433" s="116">
        <v>821.05</v>
      </c>
      <c r="F1433" s="116">
        <v>834.45</v>
      </c>
      <c r="G1433">
        <v>394967</v>
      </c>
      <c r="H1433" s="116"/>
      <c r="I1433" s="116"/>
      <c r="L1433" s="170">
        <v>45516</v>
      </c>
      <c r="M1433" s="116">
        <v>834.25</v>
      </c>
      <c r="N1433" s="116">
        <v>844.4</v>
      </c>
      <c r="O1433" s="116">
        <v>752.35</v>
      </c>
      <c r="P1433" s="116">
        <v>839.95</v>
      </c>
      <c r="Q1433" s="116">
        <v>834.25</v>
      </c>
      <c r="R1433">
        <v>5525083</v>
      </c>
    </row>
    <row r="1434" spans="1:18" x14ac:dyDescent="0.25">
      <c r="A1434" s="170">
        <v>45517</v>
      </c>
      <c r="B1434" s="116">
        <v>868</v>
      </c>
      <c r="C1434" s="116">
        <v>850.6</v>
      </c>
      <c r="D1434" s="116">
        <v>845</v>
      </c>
      <c r="E1434" s="116">
        <v>865.1</v>
      </c>
      <c r="F1434" s="116">
        <v>850.6</v>
      </c>
      <c r="G1434">
        <v>236353</v>
      </c>
      <c r="H1434" s="116"/>
      <c r="I1434" s="116"/>
      <c r="L1434" s="170">
        <v>45517</v>
      </c>
      <c r="M1434" s="116">
        <v>851.35</v>
      </c>
      <c r="N1434" s="116">
        <v>867.75</v>
      </c>
      <c r="O1434" s="116">
        <v>844.95</v>
      </c>
      <c r="P1434" s="116">
        <v>867.75</v>
      </c>
      <c r="Q1434" s="116">
        <v>851.35</v>
      </c>
      <c r="R1434">
        <v>5098540</v>
      </c>
    </row>
    <row r="1435" spans="1:18" x14ac:dyDescent="0.25">
      <c r="A1435" s="170">
        <v>45518</v>
      </c>
      <c r="B1435" s="116">
        <v>854.7</v>
      </c>
      <c r="C1435" s="116">
        <v>842.9</v>
      </c>
      <c r="D1435" s="116">
        <v>833.5</v>
      </c>
      <c r="E1435" s="116">
        <v>854.7</v>
      </c>
      <c r="F1435" s="116">
        <v>842.9</v>
      </c>
      <c r="G1435">
        <v>74934</v>
      </c>
      <c r="H1435" s="116"/>
      <c r="I1435" s="116"/>
      <c r="L1435" s="170">
        <v>45518</v>
      </c>
      <c r="M1435" s="116">
        <v>843.25</v>
      </c>
      <c r="N1435" s="116">
        <v>853.9</v>
      </c>
      <c r="O1435" s="116">
        <v>833</v>
      </c>
      <c r="P1435" s="116">
        <v>850</v>
      </c>
      <c r="Q1435" s="116">
        <v>843.25</v>
      </c>
      <c r="R1435">
        <v>5149876</v>
      </c>
    </row>
    <row r="1436" spans="1:18" x14ac:dyDescent="0.25">
      <c r="A1436" s="170">
        <v>45520</v>
      </c>
      <c r="B1436" s="116">
        <v>852</v>
      </c>
      <c r="C1436" s="116">
        <v>847.1</v>
      </c>
      <c r="D1436" s="116">
        <v>840</v>
      </c>
      <c r="E1436" s="116">
        <v>843.95</v>
      </c>
      <c r="F1436" s="116">
        <v>847.1</v>
      </c>
      <c r="G1436">
        <v>62080</v>
      </c>
      <c r="H1436" s="116"/>
      <c r="I1436" s="116"/>
      <c r="L1436" s="170">
        <v>45520</v>
      </c>
      <c r="M1436" s="116">
        <v>848.15</v>
      </c>
      <c r="N1436" s="116">
        <v>852.4</v>
      </c>
      <c r="O1436" s="116">
        <v>840.05</v>
      </c>
      <c r="P1436" s="116">
        <v>845.9</v>
      </c>
      <c r="Q1436" s="116">
        <v>848.15</v>
      </c>
      <c r="R1436">
        <v>4748490</v>
      </c>
    </row>
    <row r="1437" spans="1:18" x14ac:dyDescent="0.25">
      <c r="A1437" s="170">
        <v>45523</v>
      </c>
      <c r="B1437" s="116">
        <v>860.3</v>
      </c>
      <c r="C1437" s="116">
        <v>857.4</v>
      </c>
      <c r="D1437" s="116">
        <v>847.1</v>
      </c>
      <c r="E1437" s="116">
        <v>851.45</v>
      </c>
      <c r="F1437" s="116">
        <v>857.4</v>
      </c>
      <c r="G1437">
        <v>66625</v>
      </c>
      <c r="H1437" s="116"/>
      <c r="I1437" s="116"/>
      <c r="L1437" s="170">
        <v>45523</v>
      </c>
      <c r="M1437" s="116">
        <v>856.35</v>
      </c>
      <c r="N1437" s="116">
        <v>860.8</v>
      </c>
      <c r="O1437" s="116">
        <v>846.05</v>
      </c>
      <c r="P1437" s="116">
        <v>846.5</v>
      </c>
      <c r="Q1437" s="116">
        <v>856.35</v>
      </c>
      <c r="R1437">
        <v>4951015</v>
      </c>
    </row>
    <row r="1438" spans="1:18" x14ac:dyDescent="0.25">
      <c r="A1438" s="170">
        <v>45524</v>
      </c>
      <c r="B1438" s="116">
        <v>863.45</v>
      </c>
      <c r="C1438" s="116">
        <v>858.4</v>
      </c>
      <c r="D1438" s="116">
        <v>851.05</v>
      </c>
      <c r="E1438" s="116">
        <v>857.6</v>
      </c>
      <c r="F1438" s="116">
        <v>858.4</v>
      </c>
      <c r="G1438">
        <v>143681</v>
      </c>
      <c r="H1438" s="116"/>
      <c r="I1438" s="116"/>
      <c r="L1438" s="170">
        <v>45524</v>
      </c>
      <c r="M1438" s="116">
        <v>859.1</v>
      </c>
      <c r="N1438" s="116">
        <v>863.5</v>
      </c>
      <c r="O1438" s="116">
        <v>850.95</v>
      </c>
      <c r="P1438" s="116">
        <v>855.05</v>
      </c>
      <c r="Q1438" s="116">
        <v>859.1</v>
      </c>
      <c r="R1438">
        <v>4687430</v>
      </c>
    </row>
    <row r="1439" spans="1:18" x14ac:dyDescent="0.25">
      <c r="A1439" s="170">
        <v>45525</v>
      </c>
      <c r="B1439" s="116">
        <v>868.4</v>
      </c>
      <c r="C1439" s="116">
        <v>858.5</v>
      </c>
      <c r="D1439" s="116">
        <v>855.25</v>
      </c>
      <c r="E1439" s="116">
        <v>858.95</v>
      </c>
      <c r="F1439" s="116">
        <v>858.5</v>
      </c>
      <c r="G1439">
        <v>53851</v>
      </c>
      <c r="H1439" s="116"/>
      <c r="I1439" s="116"/>
      <c r="L1439" s="170">
        <v>45525</v>
      </c>
      <c r="M1439" s="116">
        <v>859.05</v>
      </c>
      <c r="N1439" s="116">
        <v>868.85</v>
      </c>
      <c r="O1439" s="116">
        <v>855</v>
      </c>
      <c r="P1439" s="116">
        <v>857.05</v>
      </c>
      <c r="Q1439" s="116">
        <v>859.05</v>
      </c>
      <c r="R1439">
        <v>4042213</v>
      </c>
    </row>
    <row r="1440" spans="1:18" x14ac:dyDescent="0.25">
      <c r="A1440" s="170">
        <v>45526</v>
      </c>
      <c r="B1440" s="116">
        <v>867</v>
      </c>
      <c r="C1440" s="116">
        <v>860.95</v>
      </c>
      <c r="D1440" s="116">
        <v>858</v>
      </c>
      <c r="E1440" s="116">
        <v>858.55</v>
      </c>
      <c r="F1440" s="116">
        <v>860.95</v>
      </c>
      <c r="G1440">
        <v>30264</v>
      </c>
      <c r="H1440" s="116"/>
      <c r="I1440" s="116"/>
      <c r="L1440" s="170">
        <v>45526</v>
      </c>
      <c r="M1440" s="116">
        <v>860.9</v>
      </c>
      <c r="N1440" s="116">
        <v>867.5</v>
      </c>
      <c r="O1440" s="116">
        <v>858</v>
      </c>
      <c r="P1440" s="116">
        <v>861</v>
      </c>
      <c r="Q1440" s="116">
        <v>860.9</v>
      </c>
      <c r="R1440">
        <v>4423458</v>
      </c>
    </row>
    <row r="1441" spans="1:18" x14ac:dyDescent="0.25">
      <c r="A1441" s="170">
        <v>45527</v>
      </c>
      <c r="B1441" s="116">
        <v>866.05</v>
      </c>
      <c r="C1441" s="116">
        <v>858.7</v>
      </c>
      <c r="D1441" s="116">
        <v>850</v>
      </c>
      <c r="E1441" s="116">
        <v>857.7</v>
      </c>
      <c r="F1441" s="116">
        <v>858.7</v>
      </c>
      <c r="G1441">
        <v>130121</v>
      </c>
      <c r="H1441" s="116"/>
      <c r="I1441" s="116"/>
      <c r="L1441" s="170">
        <v>45527</v>
      </c>
      <c r="M1441" s="116">
        <v>858.3</v>
      </c>
      <c r="N1441" s="116">
        <v>866.65</v>
      </c>
      <c r="O1441" s="116">
        <v>849.25</v>
      </c>
      <c r="P1441" s="116">
        <v>858.15</v>
      </c>
      <c r="Q1441" s="116">
        <v>858.3</v>
      </c>
      <c r="R1441">
        <v>5464185</v>
      </c>
    </row>
    <row r="1442" spans="1:18" x14ac:dyDescent="0.25">
      <c r="A1442" s="170">
        <v>45530</v>
      </c>
      <c r="B1442" s="116">
        <v>864.4</v>
      </c>
      <c r="C1442" s="116">
        <v>855.4</v>
      </c>
      <c r="D1442" s="116">
        <v>853.7</v>
      </c>
      <c r="E1442" s="116">
        <v>858.7</v>
      </c>
      <c r="F1442" s="116">
        <v>855.4</v>
      </c>
      <c r="G1442">
        <v>150996</v>
      </c>
      <c r="H1442" s="116"/>
      <c r="I1442" s="116"/>
      <c r="L1442" s="170">
        <v>45530</v>
      </c>
      <c r="M1442" s="116">
        <v>856.1</v>
      </c>
      <c r="N1442" s="116">
        <v>865</v>
      </c>
      <c r="O1442" s="116">
        <v>854</v>
      </c>
      <c r="P1442" s="116">
        <v>859.05</v>
      </c>
      <c r="Q1442" s="116">
        <v>856.1</v>
      </c>
      <c r="R1442">
        <v>4723372</v>
      </c>
    </row>
    <row r="1443" spans="1:18" x14ac:dyDescent="0.25">
      <c r="A1443" s="170">
        <v>45531</v>
      </c>
      <c r="B1443" s="116">
        <v>860.35</v>
      </c>
      <c r="C1443" s="116">
        <v>856.65</v>
      </c>
      <c r="D1443" s="116">
        <v>852.5</v>
      </c>
      <c r="E1443" s="116">
        <v>856</v>
      </c>
      <c r="F1443" s="116">
        <v>856.65</v>
      </c>
      <c r="G1443">
        <v>34313</v>
      </c>
      <c r="H1443" s="116"/>
      <c r="I1443" s="116"/>
      <c r="L1443" s="170">
        <v>45531</v>
      </c>
      <c r="M1443" s="116">
        <v>856.35</v>
      </c>
      <c r="N1443" s="116">
        <v>861</v>
      </c>
      <c r="O1443" s="116">
        <v>852.25</v>
      </c>
      <c r="P1443" s="116">
        <v>856</v>
      </c>
      <c r="Q1443" s="116">
        <v>856.35</v>
      </c>
      <c r="R1443">
        <v>3488034</v>
      </c>
    </row>
    <row r="1444" spans="1:18" x14ac:dyDescent="0.25">
      <c r="A1444" s="170">
        <v>45532</v>
      </c>
      <c r="B1444" s="116">
        <v>858.95</v>
      </c>
      <c r="C1444" s="116">
        <v>848.4</v>
      </c>
      <c r="D1444" s="116">
        <v>843.3</v>
      </c>
      <c r="E1444" s="116">
        <v>856.6</v>
      </c>
      <c r="F1444" s="116">
        <v>848.4</v>
      </c>
      <c r="G1444">
        <v>130645</v>
      </c>
      <c r="H1444" s="116"/>
      <c r="I1444" s="116"/>
      <c r="L1444" s="170">
        <v>45532</v>
      </c>
      <c r="M1444" s="116">
        <v>848.8</v>
      </c>
      <c r="N1444" s="116">
        <v>859</v>
      </c>
      <c r="O1444" s="116">
        <v>840.1</v>
      </c>
      <c r="P1444" s="116">
        <v>853.5</v>
      </c>
      <c r="Q1444" s="116">
        <v>848.8</v>
      </c>
      <c r="R1444">
        <v>3036506</v>
      </c>
    </row>
    <row r="1445" spans="1:18" x14ac:dyDescent="0.25">
      <c r="A1445" s="170">
        <v>45533</v>
      </c>
      <c r="B1445" s="116">
        <v>847.8</v>
      </c>
      <c r="C1445" s="116">
        <v>837.15</v>
      </c>
      <c r="D1445" s="116">
        <v>833.25</v>
      </c>
      <c r="E1445" s="116">
        <v>847.8</v>
      </c>
      <c r="F1445" s="116">
        <v>837.15</v>
      </c>
      <c r="G1445">
        <v>50618</v>
      </c>
      <c r="H1445" s="116"/>
      <c r="I1445" s="116"/>
      <c r="L1445" s="170">
        <v>45533</v>
      </c>
      <c r="M1445" s="116">
        <v>837.5</v>
      </c>
      <c r="N1445" s="116">
        <v>847.55</v>
      </c>
      <c r="O1445" s="116">
        <v>833.2</v>
      </c>
      <c r="P1445" s="116">
        <v>845.05</v>
      </c>
      <c r="Q1445" s="116">
        <v>837.5</v>
      </c>
      <c r="R1445">
        <v>2342762</v>
      </c>
    </row>
    <row r="1446" spans="1:18" x14ac:dyDescent="0.25">
      <c r="A1446" s="170">
        <v>45534</v>
      </c>
      <c r="B1446" s="116">
        <v>844.7</v>
      </c>
      <c r="C1446" s="116">
        <v>830.4</v>
      </c>
      <c r="D1446" s="116">
        <v>828.5</v>
      </c>
      <c r="E1446" s="116">
        <v>837.5</v>
      </c>
      <c r="F1446" s="116">
        <v>830.4</v>
      </c>
      <c r="G1446">
        <v>30179</v>
      </c>
      <c r="H1446" s="116"/>
      <c r="I1446" s="116"/>
      <c r="L1446" s="170">
        <v>45534</v>
      </c>
      <c r="M1446" s="116">
        <v>830.35</v>
      </c>
      <c r="N1446" s="116">
        <v>843.8</v>
      </c>
      <c r="O1446" s="116">
        <v>826</v>
      </c>
      <c r="P1446" s="116">
        <v>838</v>
      </c>
      <c r="Q1446" s="116">
        <v>830.35</v>
      </c>
      <c r="R1446">
        <v>860287</v>
      </c>
    </row>
    <row r="1447" spans="1:18" x14ac:dyDescent="0.25">
      <c r="A1447" s="170">
        <v>45537</v>
      </c>
      <c r="B1447" s="116">
        <v>851.75</v>
      </c>
      <c r="C1447" s="116">
        <v>847.9</v>
      </c>
      <c r="D1447" s="116">
        <v>830.55</v>
      </c>
      <c r="E1447" s="116">
        <v>832</v>
      </c>
      <c r="F1447" s="116">
        <v>847.9</v>
      </c>
      <c r="G1447">
        <v>184245</v>
      </c>
      <c r="H1447" s="116"/>
      <c r="I1447" s="116"/>
      <c r="L1447" s="170">
        <v>45537</v>
      </c>
      <c r="M1447" s="116">
        <v>847.85</v>
      </c>
      <c r="N1447" s="116">
        <v>852.3</v>
      </c>
      <c r="O1447" s="116">
        <v>830.8</v>
      </c>
      <c r="P1447" s="116">
        <v>832</v>
      </c>
      <c r="Q1447" s="116">
        <v>847.85</v>
      </c>
      <c r="R1447">
        <v>3684236</v>
      </c>
    </row>
    <row r="1448" spans="1:18" x14ac:dyDescent="0.25">
      <c r="A1448" s="170">
        <v>45538</v>
      </c>
      <c r="B1448" s="116">
        <v>855</v>
      </c>
      <c r="C1448" s="116">
        <v>851.3</v>
      </c>
      <c r="D1448" s="116">
        <v>843.1</v>
      </c>
      <c r="E1448" s="116">
        <v>847.9</v>
      </c>
      <c r="F1448" s="116">
        <v>851.3</v>
      </c>
      <c r="G1448">
        <v>118782</v>
      </c>
      <c r="H1448" s="116"/>
      <c r="I1448" s="116"/>
      <c r="L1448" s="170">
        <v>45538</v>
      </c>
      <c r="M1448" s="116">
        <v>851.1</v>
      </c>
      <c r="N1448" s="116">
        <v>855</v>
      </c>
      <c r="O1448" s="116">
        <v>842.85</v>
      </c>
      <c r="P1448" s="116">
        <v>847.8</v>
      </c>
      <c r="Q1448" s="116">
        <v>851.1</v>
      </c>
      <c r="R1448">
        <v>3733947</v>
      </c>
    </row>
    <row r="1449" spans="1:18" x14ac:dyDescent="0.25">
      <c r="A1449" s="170">
        <v>45539</v>
      </c>
      <c r="B1449" s="116">
        <v>858</v>
      </c>
      <c r="C1449" s="116">
        <v>854.05</v>
      </c>
      <c r="D1449" s="116">
        <v>836.3</v>
      </c>
      <c r="E1449" s="116">
        <v>845.9</v>
      </c>
      <c r="F1449" s="116">
        <v>854.05</v>
      </c>
      <c r="G1449">
        <v>138391</v>
      </c>
      <c r="H1449" s="116"/>
      <c r="I1449" s="116"/>
      <c r="L1449" s="170">
        <v>45539</v>
      </c>
      <c r="M1449" s="116">
        <v>854.55</v>
      </c>
      <c r="N1449" s="116">
        <v>858.95</v>
      </c>
      <c r="O1449" s="116">
        <v>837.6</v>
      </c>
      <c r="P1449" s="116">
        <v>840</v>
      </c>
      <c r="Q1449" s="116">
        <v>854.55</v>
      </c>
      <c r="R1449">
        <v>4048064</v>
      </c>
    </row>
    <row r="1450" spans="1:18" x14ac:dyDescent="0.25">
      <c r="A1450" s="170">
        <v>45540</v>
      </c>
      <c r="B1450" s="116">
        <v>857.25</v>
      </c>
      <c r="C1450" s="116">
        <v>843.8</v>
      </c>
      <c r="D1450" s="116">
        <v>841.55</v>
      </c>
      <c r="E1450" s="116">
        <v>849.05</v>
      </c>
      <c r="F1450" s="116">
        <v>843.8</v>
      </c>
      <c r="G1450">
        <v>23039</v>
      </c>
      <c r="H1450" s="116"/>
      <c r="I1450" s="116"/>
      <c r="L1450" s="170">
        <v>45540</v>
      </c>
      <c r="M1450" s="116">
        <v>844</v>
      </c>
      <c r="N1450" s="116">
        <v>856.4</v>
      </c>
      <c r="O1450" s="116">
        <v>841.2</v>
      </c>
      <c r="P1450" s="116">
        <v>851.65</v>
      </c>
      <c r="Q1450" s="116">
        <v>844</v>
      </c>
      <c r="R1450">
        <v>356220</v>
      </c>
    </row>
    <row r="1451" spans="1:18" x14ac:dyDescent="0.25">
      <c r="A1451" s="170">
        <v>45541</v>
      </c>
      <c r="B1451" s="116">
        <v>846.4</v>
      </c>
      <c r="C1451" s="116">
        <v>827.15</v>
      </c>
      <c r="D1451" s="116">
        <v>823.85</v>
      </c>
      <c r="E1451" s="116">
        <v>839</v>
      </c>
      <c r="F1451" s="116">
        <v>827.15</v>
      </c>
      <c r="G1451">
        <v>25863</v>
      </c>
      <c r="H1451" s="116"/>
      <c r="I1451" s="116"/>
      <c r="L1451" s="170">
        <v>45541</v>
      </c>
      <c r="M1451" s="116">
        <v>826.75</v>
      </c>
      <c r="N1451" s="116">
        <v>846.75</v>
      </c>
      <c r="O1451" s="116">
        <v>823.6</v>
      </c>
      <c r="P1451" s="116">
        <v>840</v>
      </c>
      <c r="Q1451" s="116">
        <v>826.75</v>
      </c>
      <c r="R1451">
        <v>559986</v>
      </c>
    </row>
    <row r="1452" spans="1:18" x14ac:dyDescent="0.25">
      <c r="A1452" s="170">
        <v>45544</v>
      </c>
      <c r="B1452" s="116">
        <v>829.4</v>
      </c>
      <c r="C1452" s="116">
        <v>814.1</v>
      </c>
      <c r="D1452" s="116">
        <v>808.15</v>
      </c>
      <c r="E1452" s="116">
        <v>826</v>
      </c>
      <c r="F1452" s="116">
        <v>814.1</v>
      </c>
      <c r="G1452">
        <v>107694</v>
      </c>
      <c r="H1452" s="116"/>
      <c r="I1452" s="116"/>
      <c r="L1452" s="170">
        <v>45544</v>
      </c>
      <c r="M1452" s="116">
        <v>814.75</v>
      </c>
      <c r="N1452" s="116">
        <v>830.4</v>
      </c>
      <c r="O1452" s="116">
        <v>808.3</v>
      </c>
      <c r="P1452" s="116">
        <v>826.05</v>
      </c>
      <c r="Q1452" s="116">
        <v>814.75</v>
      </c>
      <c r="R1452">
        <v>647580</v>
      </c>
    </row>
    <row r="1453" spans="1:18" x14ac:dyDescent="0.25">
      <c r="A1453" s="170">
        <v>45545</v>
      </c>
      <c r="B1453" s="116">
        <v>823.1</v>
      </c>
      <c r="C1453" s="116">
        <v>813.7</v>
      </c>
      <c r="D1453" s="116">
        <v>812.2</v>
      </c>
      <c r="E1453" s="116">
        <v>819.4</v>
      </c>
      <c r="F1453" s="116">
        <v>813.7</v>
      </c>
      <c r="G1453">
        <v>22820</v>
      </c>
      <c r="H1453" s="116"/>
      <c r="I1453" s="116"/>
      <c r="L1453" s="170">
        <v>45545</v>
      </c>
      <c r="M1453" s="116">
        <v>813.55</v>
      </c>
      <c r="N1453" s="116">
        <v>824.6</v>
      </c>
      <c r="O1453" s="116">
        <v>812</v>
      </c>
      <c r="P1453" s="116">
        <v>817.9</v>
      </c>
      <c r="Q1453" s="116">
        <v>813.55</v>
      </c>
      <c r="R1453">
        <v>451634</v>
      </c>
    </row>
    <row r="1454" spans="1:18" x14ac:dyDescent="0.25">
      <c r="A1454" s="170">
        <v>45546</v>
      </c>
      <c r="B1454" s="116">
        <v>819.9</v>
      </c>
      <c r="C1454" s="116">
        <v>805.85</v>
      </c>
      <c r="D1454" s="116">
        <v>801</v>
      </c>
      <c r="E1454" s="116">
        <v>813.5</v>
      </c>
      <c r="F1454" s="116">
        <v>805.85</v>
      </c>
      <c r="G1454">
        <v>83082</v>
      </c>
      <c r="H1454" s="116"/>
      <c r="I1454" s="116"/>
      <c r="L1454" s="170">
        <v>45546</v>
      </c>
      <c r="M1454" s="116">
        <v>804.8</v>
      </c>
      <c r="N1454" s="116">
        <v>819.95</v>
      </c>
      <c r="O1454" s="116">
        <v>800</v>
      </c>
      <c r="P1454" s="116">
        <v>813.55</v>
      </c>
      <c r="Q1454" s="116">
        <v>804.8</v>
      </c>
      <c r="R1454">
        <v>443301</v>
      </c>
    </row>
    <row r="1455" spans="1:18" x14ac:dyDescent="0.25">
      <c r="A1455" s="170">
        <v>45547</v>
      </c>
      <c r="B1455" s="116">
        <v>812.6</v>
      </c>
      <c r="C1455" s="116">
        <v>805.4</v>
      </c>
      <c r="D1455" s="116">
        <v>798.1</v>
      </c>
      <c r="E1455" s="116">
        <v>805.85</v>
      </c>
      <c r="F1455" s="116">
        <v>805.4</v>
      </c>
      <c r="G1455">
        <v>106575</v>
      </c>
      <c r="H1455" s="116"/>
      <c r="I1455" s="116"/>
      <c r="L1455" s="170">
        <v>45547</v>
      </c>
      <c r="M1455" s="116">
        <v>805.8</v>
      </c>
      <c r="N1455" s="116">
        <v>813.9</v>
      </c>
      <c r="O1455" s="116">
        <v>798</v>
      </c>
      <c r="P1455" s="116">
        <v>804.8</v>
      </c>
      <c r="Q1455" s="116">
        <v>805.8</v>
      </c>
      <c r="R1455">
        <v>531081</v>
      </c>
    </row>
    <row r="1456" spans="1:18" x14ac:dyDescent="0.25">
      <c r="A1456" s="170">
        <v>45548</v>
      </c>
      <c r="B1456" s="116">
        <v>809.4</v>
      </c>
      <c r="C1456" s="116">
        <v>800.95</v>
      </c>
      <c r="D1456" s="116">
        <v>798.2</v>
      </c>
      <c r="E1456" s="116">
        <v>800.15</v>
      </c>
      <c r="F1456" s="116">
        <v>800.95</v>
      </c>
      <c r="G1456">
        <v>36225</v>
      </c>
      <c r="H1456" s="116"/>
      <c r="I1456" s="116"/>
      <c r="L1456" s="170">
        <v>45548</v>
      </c>
      <c r="M1456" s="116">
        <v>800.75</v>
      </c>
      <c r="N1456" s="116">
        <v>809.75</v>
      </c>
      <c r="O1456" s="116">
        <v>798</v>
      </c>
      <c r="P1456" s="116">
        <v>801</v>
      </c>
      <c r="Q1456" s="116">
        <v>800.75</v>
      </c>
      <c r="R1456">
        <v>552284</v>
      </c>
    </row>
    <row r="1457" spans="1:18" x14ac:dyDescent="0.25">
      <c r="A1457" s="170">
        <v>45551</v>
      </c>
      <c r="B1457" s="116">
        <v>825</v>
      </c>
      <c r="C1457" s="116">
        <v>807.7</v>
      </c>
      <c r="D1457" s="116">
        <v>802.5</v>
      </c>
      <c r="E1457" s="116">
        <v>803</v>
      </c>
      <c r="F1457" s="116">
        <v>807.7</v>
      </c>
      <c r="G1457">
        <v>163172</v>
      </c>
      <c r="H1457" s="116"/>
      <c r="I1457" s="116"/>
      <c r="L1457" s="170">
        <v>45551</v>
      </c>
      <c r="M1457" s="116">
        <v>806.75</v>
      </c>
      <c r="N1457" s="116">
        <v>825</v>
      </c>
      <c r="O1457" s="116">
        <v>802</v>
      </c>
      <c r="P1457" s="116">
        <v>802</v>
      </c>
      <c r="Q1457" s="116">
        <v>806.75</v>
      </c>
      <c r="R1457">
        <v>1035346</v>
      </c>
    </row>
    <row r="1458" spans="1:18" x14ac:dyDescent="0.25">
      <c r="A1458" s="170">
        <v>45552</v>
      </c>
      <c r="B1458" s="116">
        <v>810</v>
      </c>
      <c r="C1458" s="116">
        <v>799.95</v>
      </c>
      <c r="D1458" s="116">
        <v>798.85</v>
      </c>
      <c r="E1458" s="116">
        <v>808</v>
      </c>
      <c r="F1458" s="116">
        <v>799.95</v>
      </c>
      <c r="G1458">
        <v>69497</v>
      </c>
      <c r="H1458" s="116"/>
      <c r="I1458" s="116"/>
      <c r="L1458" s="170">
        <v>45552</v>
      </c>
      <c r="M1458" s="116">
        <v>799.5</v>
      </c>
      <c r="N1458" s="116">
        <v>810.75</v>
      </c>
      <c r="O1458" s="116">
        <v>798</v>
      </c>
      <c r="P1458" s="116">
        <v>807.2</v>
      </c>
      <c r="Q1458" s="116">
        <v>799.5</v>
      </c>
      <c r="R1458">
        <v>467552</v>
      </c>
    </row>
    <row r="1459" spans="1:18" x14ac:dyDescent="0.25">
      <c r="A1459" s="170">
        <v>45553</v>
      </c>
      <c r="B1459" s="116">
        <v>805</v>
      </c>
      <c r="C1459" s="116">
        <v>793.1</v>
      </c>
      <c r="D1459" s="116">
        <v>790.2</v>
      </c>
      <c r="E1459" s="116">
        <v>798.65</v>
      </c>
      <c r="F1459" s="116">
        <v>793.1</v>
      </c>
      <c r="G1459">
        <v>91027</v>
      </c>
      <c r="H1459" s="116"/>
      <c r="I1459" s="116"/>
      <c r="L1459" s="170">
        <v>45553</v>
      </c>
      <c r="M1459" s="116">
        <v>793.45</v>
      </c>
      <c r="N1459" s="116">
        <v>804.75</v>
      </c>
      <c r="O1459" s="116">
        <v>792</v>
      </c>
      <c r="P1459" s="116">
        <v>799.5</v>
      </c>
      <c r="Q1459" s="116">
        <v>793.45</v>
      </c>
      <c r="R1459">
        <v>393363</v>
      </c>
    </row>
    <row r="1460" spans="1:18" x14ac:dyDescent="0.25">
      <c r="A1460" s="170">
        <v>45554</v>
      </c>
      <c r="B1460" s="116">
        <v>799</v>
      </c>
      <c r="C1460" s="116">
        <v>776.15</v>
      </c>
      <c r="D1460" s="116">
        <v>772.95</v>
      </c>
      <c r="E1460" s="116">
        <v>793</v>
      </c>
      <c r="F1460" s="116">
        <v>776.15</v>
      </c>
      <c r="G1460">
        <v>50069</v>
      </c>
      <c r="H1460" s="116"/>
      <c r="I1460" s="116"/>
      <c r="L1460" s="170">
        <v>45554</v>
      </c>
      <c r="M1460" s="116">
        <v>776.2</v>
      </c>
      <c r="N1460" s="116">
        <v>800</v>
      </c>
      <c r="O1460" s="116">
        <v>773.05</v>
      </c>
      <c r="P1460" s="116">
        <v>792</v>
      </c>
      <c r="Q1460" s="116">
        <v>776.2</v>
      </c>
      <c r="R1460">
        <v>711872</v>
      </c>
    </row>
    <row r="1461" spans="1:18" x14ac:dyDescent="0.25">
      <c r="A1461" s="170">
        <v>45555</v>
      </c>
      <c r="B1461" s="116">
        <v>795.7</v>
      </c>
      <c r="C1461" s="116">
        <v>788.6</v>
      </c>
      <c r="D1461" s="116">
        <v>775.8</v>
      </c>
      <c r="E1461" s="116">
        <v>779.45</v>
      </c>
      <c r="F1461" s="116">
        <v>788.6</v>
      </c>
      <c r="G1461">
        <v>38785</v>
      </c>
      <c r="H1461" s="116"/>
      <c r="I1461" s="116"/>
      <c r="L1461" s="170">
        <v>45555</v>
      </c>
      <c r="M1461" s="116">
        <v>788.7</v>
      </c>
      <c r="N1461" s="116">
        <v>795.7</v>
      </c>
      <c r="O1461" s="116">
        <v>775.6</v>
      </c>
      <c r="P1461" s="116">
        <v>777.9</v>
      </c>
      <c r="Q1461" s="116">
        <v>788.7</v>
      </c>
      <c r="R1461">
        <v>903218</v>
      </c>
    </row>
    <row r="1462" spans="1:18" x14ac:dyDescent="0.25">
      <c r="A1462" s="170">
        <v>45558</v>
      </c>
      <c r="B1462" s="116">
        <v>854.65</v>
      </c>
      <c r="C1462" s="116">
        <v>836.1</v>
      </c>
      <c r="D1462" s="116">
        <v>823.1</v>
      </c>
      <c r="E1462" s="116">
        <v>845</v>
      </c>
      <c r="F1462" s="116">
        <v>836.1</v>
      </c>
      <c r="G1462">
        <v>287566</v>
      </c>
      <c r="H1462" s="116"/>
      <c r="I1462" s="116"/>
      <c r="L1462" s="170">
        <v>45558</v>
      </c>
      <c r="M1462" s="116">
        <v>835.35</v>
      </c>
      <c r="N1462" s="116">
        <v>855</v>
      </c>
      <c r="O1462" s="116">
        <v>822.95</v>
      </c>
      <c r="P1462" s="116">
        <v>845</v>
      </c>
      <c r="Q1462" s="116">
        <v>835.35</v>
      </c>
      <c r="R1462">
        <v>6122329</v>
      </c>
    </row>
    <row r="1463" spans="1:18" x14ac:dyDescent="0.25">
      <c r="A1463" s="170">
        <v>45559</v>
      </c>
      <c r="B1463" s="116">
        <v>833.55</v>
      </c>
      <c r="C1463" s="116">
        <v>813.15</v>
      </c>
      <c r="D1463" s="116">
        <v>810</v>
      </c>
      <c r="E1463" s="116">
        <v>833.55</v>
      </c>
      <c r="F1463" s="116">
        <v>813.15</v>
      </c>
      <c r="G1463">
        <v>154411</v>
      </c>
      <c r="H1463" s="116"/>
      <c r="I1463" s="116"/>
      <c r="L1463" s="170">
        <v>45559</v>
      </c>
      <c r="M1463" s="116">
        <v>812.95</v>
      </c>
      <c r="N1463" s="116">
        <v>831.95</v>
      </c>
      <c r="O1463" s="116">
        <v>810</v>
      </c>
      <c r="P1463" s="116">
        <v>830</v>
      </c>
      <c r="Q1463" s="116">
        <v>812.95</v>
      </c>
      <c r="R1463">
        <v>1515034</v>
      </c>
    </row>
    <row r="1464" spans="1:18" x14ac:dyDescent="0.25">
      <c r="A1464" s="170">
        <v>45560</v>
      </c>
      <c r="B1464" s="116">
        <v>812.95</v>
      </c>
      <c r="C1464" s="116">
        <v>801.2</v>
      </c>
      <c r="D1464" s="116">
        <v>797.85</v>
      </c>
      <c r="E1464" s="116">
        <v>812.95</v>
      </c>
      <c r="F1464" s="116">
        <v>801.2</v>
      </c>
      <c r="G1464">
        <v>111757</v>
      </c>
      <c r="H1464" s="116"/>
      <c r="I1464" s="116"/>
      <c r="L1464" s="170">
        <v>45560</v>
      </c>
      <c r="M1464" s="116">
        <v>801.1</v>
      </c>
      <c r="N1464" s="116">
        <v>812.95</v>
      </c>
      <c r="O1464" s="116">
        <v>799</v>
      </c>
      <c r="P1464" s="116">
        <v>810</v>
      </c>
      <c r="Q1464" s="116">
        <v>801.1</v>
      </c>
      <c r="R1464">
        <v>646962</v>
      </c>
    </row>
    <row r="1465" spans="1:18" x14ac:dyDescent="0.25">
      <c r="A1465" s="170">
        <v>45561</v>
      </c>
      <c r="B1465" s="116">
        <v>805</v>
      </c>
      <c r="C1465" s="116">
        <v>792.1</v>
      </c>
      <c r="D1465" s="116">
        <v>790</v>
      </c>
      <c r="E1465" s="116">
        <v>804.85</v>
      </c>
      <c r="F1465" s="116">
        <v>792.1</v>
      </c>
      <c r="G1465">
        <v>90576</v>
      </c>
      <c r="H1465" s="116"/>
      <c r="I1465" s="116"/>
      <c r="L1465" s="170">
        <v>45561</v>
      </c>
      <c r="M1465" s="116">
        <v>792.1</v>
      </c>
      <c r="N1465" s="116">
        <v>805.6</v>
      </c>
      <c r="O1465" s="116">
        <v>790.1</v>
      </c>
      <c r="P1465" s="116">
        <v>801</v>
      </c>
      <c r="Q1465" s="116">
        <v>792.1</v>
      </c>
      <c r="R1465">
        <v>698506</v>
      </c>
    </row>
    <row r="1466" spans="1:18" x14ac:dyDescent="0.25">
      <c r="A1466" s="170">
        <v>45562</v>
      </c>
      <c r="B1466" s="116">
        <v>802.35</v>
      </c>
      <c r="C1466" s="116">
        <v>784.25</v>
      </c>
      <c r="D1466" s="116">
        <v>780.35</v>
      </c>
      <c r="E1466" s="116">
        <v>794.35</v>
      </c>
      <c r="F1466" s="116">
        <v>784.25</v>
      </c>
      <c r="G1466">
        <v>89723</v>
      </c>
      <c r="H1466" s="116"/>
      <c r="I1466" s="116"/>
      <c r="L1466" s="170">
        <v>45562</v>
      </c>
      <c r="M1466" s="116">
        <v>783.75</v>
      </c>
      <c r="N1466" s="116">
        <v>802.9</v>
      </c>
      <c r="O1466" s="116">
        <v>780</v>
      </c>
      <c r="P1466" s="116">
        <v>793</v>
      </c>
      <c r="Q1466" s="116">
        <v>783.75</v>
      </c>
      <c r="R1466">
        <v>724126</v>
      </c>
    </row>
    <row r="1467" spans="1:18" x14ac:dyDescent="0.25">
      <c r="A1467" s="170">
        <v>45565</v>
      </c>
      <c r="B1467" s="116">
        <v>793</v>
      </c>
      <c r="C1467" s="116">
        <v>786.3</v>
      </c>
      <c r="D1467" s="116">
        <v>779.45</v>
      </c>
      <c r="E1467" s="116">
        <v>785.75</v>
      </c>
      <c r="F1467" s="116">
        <v>786.3</v>
      </c>
      <c r="G1467">
        <v>100784</v>
      </c>
      <c r="H1467" s="116"/>
      <c r="I1467" s="116"/>
      <c r="L1467" s="170">
        <v>45565</v>
      </c>
      <c r="M1467" s="116">
        <v>786.5</v>
      </c>
      <c r="N1467" s="116">
        <v>793</v>
      </c>
      <c r="O1467" s="116">
        <v>779.25</v>
      </c>
      <c r="P1467" s="116">
        <v>784.55</v>
      </c>
      <c r="Q1467" s="116">
        <v>786.5</v>
      </c>
      <c r="R1467">
        <v>519810</v>
      </c>
    </row>
    <row r="1468" spans="1:18" x14ac:dyDescent="0.25">
      <c r="A1468" s="170">
        <v>45566</v>
      </c>
      <c r="B1468" s="116">
        <v>794.6</v>
      </c>
      <c r="C1468" s="116">
        <v>786.15</v>
      </c>
      <c r="D1468" s="116">
        <v>781.3</v>
      </c>
      <c r="E1468" s="116">
        <v>786.3</v>
      </c>
      <c r="F1468" s="116">
        <v>786.15</v>
      </c>
      <c r="G1468">
        <v>47428</v>
      </c>
      <c r="H1468" s="116"/>
      <c r="I1468" s="116"/>
      <c r="L1468" s="170">
        <v>45566</v>
      </c>
      <c r="M1468" s="116">
        <v>786.45</v>
      </c>
      <c r="N1468" s="116">
        <v>794.35</v>
      </c>
      <c r="O1468" s="116">
        <v>784.05</v>
      </c>
      <c r="P1468" s="116">
        <v>784.05</v>
      </c>
      <c r="Q1468" s="116">
        <v>786.45</v>
      </c>
      <c r="R1468">
        <v>422972</v>
      </c>
    </row>
    <row r="1469" spans="1:18" x14ac:dyDescent="0.25">
      <c r="A1469" s="170">
        <v>45568</v>
      </c>
      <c r="B1469" s="116">
        <v>783.05</v>
      </c>
      <c r="C1469" s="116">
        <v>772.3</v>
      </c>
      <c r="D1469" s="116">
        <v>770.85</v>
      </c>
      <c r="E1469" s="116">
        <v>778</v>
      </c>
      <c r="F1469" s="116">
        <v>772.3</v>
      </c>
      <c r="G1469">
        <v>32049</v>
      </c>
      <c r="H1469" s="116"/>
      <c r="I1469" s="116"/>
      <c r="L1469" s="170">
        <v>45568</v>
      </c>
      <c r="M1469" s="116">
        <v>772.25</v>
      </c>
      <c r="N1469" s="116">
        <v>782.85</v>
      </c>
      <c r="O1469" s="116">
        <v>770.4</v>
      </c>
      <c r="P1469" s="116">
        <v>778</v>
      </c>
      <c r="Q1469" s="116">
        <v>772.25</v>
      </c>
      <c r="R1469">
        <v>540034</v>
      </c>
    </row>
    <row r="1470" spans="1:18" x14ac:dyDescent="0.25">
      <c r="A1470" s="170">
        <v>45569</v>
      </c>
      <c r="B1470" s="116">
        <v>778.25</v>
      </c>
      <c r="C1470" s="116">
        <v>762.75</v>
      </c>
      <c r="D1470" s="116">
        <v>758</v>
      </c>
      <c r="E1470" s="116">
        <v>769.95</v>
      </c>
      <c r="F1470" s="116">
        <v>762.75</v>
      </c>
      <c r="G1470">
        <v>136576</v>
      </c>
      <c r="H1470" s="116"/>
      <c r="I1470" s="116"/>
      <c r="L1470" s="170">
        <v>45569</v>
      </c>
      <c r="M1470" s="116">
        <v>763.4</v>
      </c>
      <c r="N1470" s="116">
        <v>778.35</v>
      </c>
      <c r="O1470" s="116">
        <v>758.15</v>
      </c>
      <c r="P1470" s="116">
        <v>770.05</v>
      </c>
      <c r="Q1470" s="116">
        <v>763.4</v>
      </c>
      <c r="R1470">
        <v>552006</v>
      </c>
    </row>
    <row r="1471" spans="1:18" x14ac:dyDescent="0.25">
      <c r="A1471" s="170">
        <v>45572</v>
      </c>
      <c r="B1471" s="116">
        <v>768.9</v>
      </c>
      <c r="C1471" s="116">
        <v>741.7</v>
      </c>
      <c r="D1471" s="116">
        <v>738.1</v>
      </c>
      <c r="E1471" s="116">
        <v>759.95</v>
      </c>
      <c r="F1471" s="116">
        <v>741.7</v>
      </c>
      <c r="G1471">
        <v>41099</v>
      </c>
      <c r="H1471" s="116"/>
      <c r="I1471" s="116"/>
      <c r="L1471" s="170">
        <v>45572</v>
      </c>
      <c r="M1471" s="116">
        <v>741.45</v>
      </c>
      <c r="N1471" s="116">
        <v>769.7</v>
      </c>
      <c r="O1471" s="116">
        <v>738.2</v>
      </c>
      <c r="P1471" s="116">
        <v>758.55</v>
      </c>
      <c r="Q1471" s="116">
        <v>741.45</v>
      </c>
      <c r="R1471">
        <v>678392</v>
      </c>
    </row>
    <row r="1472" spans="1:18" x14ac:dyDescent="0.25">
      <c r="A1472" s="170">
        <v>45573</v>
      </c>
      <c r="B1472" s="116">
        <v>764.9</v>
      </c>
      <c r="C1472" s="116">
        <v>760</v>
      </c>
      <c r="D1472" s="116">
        <v>728.05</v>
      </c>
      <c r="E1472" s="116">
        <v>738</v>
      </c>
      <c r="F1472" s="116">
        <v>760</v>
      </c>
      <c r="G1472">
        <v>118753</v>
      </c>
      <c r="H1472" s="116"/>
      <c r="I1472" s="116"/>
      <c r="L1472" s="170">
        <v>45573</v>
      </c>
      <c r="M1472" s="116">
        <v>759.95</v>
      </c>
      <c r="N1472" s="116">
        <v>764.95</v>
      </c>
      <c r="O1472" s="116">
        <v>728.05</v>
      </c>
      <c r="P1472" s="116">
        <v>736.65</v>
      </c>
      <c r="Q1472" s="116">
        <v>759.95</v>
      </c>
      <c r="R1472">
        <v>745881</v>
      </c>
    </row>
    <row r="1473" spans="1:18" x14ac:dyDescent="0.25">
      <c r="A1473" s="170">
        <v>45574</v>
      </c>
      <c r="B1473" s="116">
        <v>771</v>
      </c>
      <c r="C1473" s="116">
        <v>757.15</v>
      </c>
      <c r="D1473" s="116">
        <v>753</v>
      </c>
      <c r="E1473" s="116">
        <v>765</v>
      </c>
      <c r="F1473" s="116">
        <v>757.15</v>
      </c>
      <c r="G1473">
        <v>87930</v>
      </c>
      <c r="H1473" s="116"/>
      <c r="I1473" s="116"/>
      <c r="L1473" s="170">
        <v>45574</v>
      </c>
      <c r="M1473" s="116">
        <v>757.15</v>
      </c>
      <c r="N1473" s="116">
        <v>771.5</v>
      </c>
      <c r="O1473" s="116">
        <v>752.8</v>
      </c>
      <c r="P1473" s="116">
        <v>760</v>
      </c>
      <c r="Q1473" s="116">
        <v>757.15</v>
      </c>
      <c r="R1473">
        <v>452788</v>
      </c>
    </row>
    <row r="1474" spans="1:18" x14ac:dyDescent="0.25">
      <c r="A1474" s="170">
        <v>45575</v>
      </c>
      <c r="B1474" s="116">
        <v>767.5</v>
      </c>
      <c r="C1474" s="116">
        <v>757.9</v>
      </c>
      <c r="D1474" s="116">
        <v>753.35</v>
      </c>
      <c r="E1474" s="116">
        <v>755.05</v>
      </c>
      <c r="F1474" s="116">
        <v>757.9</v>
      </c>
      <c r="G1474">
        <v>66016</v>
      </c>
      <c r="H1474" s="116"/>
      <c r="I1474" s="116"/>
      <c r="L1474" s="170">
        <v>45575</v>
      </c>
      <c r="M1474" s="116">
        <v>757.6</v>
      </c>
      <c r="N1474" s="116">
        <v>767.85</v>
      </c>
      <c r="O1474" s="116">
        <v>753</v>
      </c>
      <c r="P1474" s="116">
        <v>755.95</v>
      </c>
      <c r="Q1474" s="116">
        <v>757.6</v>
      </c>
      <c r="R1474">
        <v>317482</v>
      </c>
    </row>
    <row r="1475" spans="1:18" x14ac:dyDescent="0.25">
      <c r="A1475" s="170">
        <v>45576</v>
      </c>
      <c r="B1475" s="116">
        <v>772.45</v>
      </c>
      <c r="C1475" s="116">
        <v>757.95</v>
      </c>
      <c r="D1475" s="116">
        <v>755.3</v>
      </c>
      <c r="E1475" s="116">
        <v>764.95</v>
      </c>
      <c r="F1475" s="116">
        <v>757.95</v>
      </c>
      <c r="G1475">
        <v>133575</v>
      </c>
      <c r="H1475" s="116"/>
      <c r="I1475" s="116"/>
      <c r="L1475" s="170">
        <v>45576</v>
      </c>
      <c r="M1475" s="116">
        <v>757.35</v>
      </c>
      <c r="N1475" s="116">
        <v>773</v>
      </c>
      <c r="O1475" s="116">
        <v>754</v>
      </c>
      <c r="P1475" s="116">
        <v>754</v>
      </c>
      <c r="Q1475" s="116">
        <v>757.35</v>
      </c>
      <c r="R1475">
        <v>709753</v>
      </c>
    </row>
    <row r="1476" spans="1:18" x14ac:dyDescent="0.25">
      <c r="A1476" s="170">
        <v>45579</v>
      </c>
      <c r="B1476" s="116">
        <v>762.95</v>
      </c>
      <c r="C1476" s="116">
        <v>755.1</v>
      </c>
      <c r="D1476" s="116">
        <v>751.1</v>
      </c>
      <c r="E1476" s="116">
        <v>751.1</v>
      </c>
      <c r="F1476" s="116">
        <v>755.1</v>
      </c>
      <c r="G1476">
        <v>64407</v>
      </c>
      <c r="H1476" s="116"/>
      <c r="I1476" s="116"/>
      <c r="L1476" s="170">
        <v>45579</v>
      </c>
      <c r="M1476" s="116">
        <v>754.35</v>
      </c>
      <c r="N1476" s="116">
        <v>763.05</v>
      </c>
      <c r="O1476" s="116">
        <v>752.2</v>
      </c>
      <c r="P1476" s="116">
        <v>755</v>
      </c>
      <c r="Q1476" s="116">
        <v>754.35</v>
      </c>
      <c r="R1476">
        <v>250140</v>
      </c>
    </row>
    <row r="1477" spans="1:18" x14ac:dyDescent="0.25">
      <c r="A1477" s="170">
        <v>45580</v>
      </c>
      <c r="B1477" s="116">
        <v>755.25</v>
      </c>
      <c r="C1477" s="116">
        <v>745.85</v>
      </c>
      <c r="D1477" s="116">
        <v>744.55</v>
      </c>
      <c r="E1477" s="116">
        <v>748.05</v>
      </c>
      <c r="F1477" s="116">
        <v>745.85</v>
      </c>
      <c r="G1477">
        <v>58242</v>
      </c>
      <c r="H1477" s="116"/>
      <c r="I1477" s="116"/>
      <c r="L1477" s="170">
        <v>45580</v>
      </c>
      <c r="M1477" s="116">
        <v>745.9</v>
      </c>
      <c r="N1477" s="116">
        <v>754.35</v>
      </c>
      <c r="O1477" s="116">
        <v>744.25</v>
      </c>
      <c r="P1477" s="116">
        <v>750</v>
      </c>
      <c r="Q1477" s="116">
        <v>745.9</v>
      </c>
      <c r="R1477">
        <v>303914</v>
      </c>
    </row>
    <row r="1478" spans="1:18" x14ac:dyDescent="0.25">
      <c r="A1478" s="170">
        <v>45581</v>
      </c>
      <c r="B1478" s="116">
        <v>754.05</v>
      </c>
      <c r="C1478" s="116">
        <v>746.45</v>
      </c>
      <c r="D1478" s="116">
        <v>744</v>
      </c>
      <c r="E1478" s="116">
        <v>744.8</v>
      </c>
      <c r="F1478" s="116">
        <v>746.45</v>
      </c>
      <c r="G1478">
        <v>19076</v>
      </c>
      <c r="H1478" s="116"/>
      <c r="I1478" s="116"/>
      <c r="L1478" s="170">
        <v>45581</v>
      </c>
      <c r="M1478" s="116">
        <v>746.8</v>
      </c>
      <c r="N1478" s="116">
        <v>754.7</v>
      </c>
      <c r="O1478" s="116">
        <v>744.05</v>
      </c>
      <c r="P1478" s="116">
        <v>745.15</v>
      </c>
      <c r="Q1478" s="116">
        <v>746.8</v>
      </c>
      <c r="R1478">
        <v>313181</v>
      </c>
    </row>
    <row r="1479" spans="1:18" x14ac:dyDescent="0.25">
      <c r="A1479" s="170">
        <v>45582</v>
      </c>
      <c r="B1479" s="116">
        <v>748.25</v>
      </c>
      <c r="C1479" s="116">
        <v>735.15</v>
      </c>
      <c r="D1479" s="116">
        <v>733.15</v>
      </c>
      <c r="E1479" s="116">
        <v>743.95</v>
      </c>
      <c r="F1479" s="116">
        <v>735.15</v>
      </c>
      <c r="G1479">
        <v>18662</v>
      </c>
      <c r="H1479" s="116"/>
      <c r="I1479" s="116"/>
      <c r="L1479" s="170">
        <v>45582</v>
      </c>
      <c r="M1479" s="116">
        <v>735.1</v>
      </c>
      <c r="N1479" s="116">
        <v>749.95</v>
      </c>
      <c r="O1479" s="116">
        <v>733</v>
      </c>
      <c r="P1479" s="116">
        <v>742.35</v>
      </c>
      <c r="Q1479" s="116">
        <v>735.1</v>
      </c>
      <c r="R1479">
        <v>360438</v>
      </c>
    </row>
    <row r="1480" spans="1:18" x14ac:dyDescent="0.25">
      <c r="A1480" s="170">
        <v>45583</v>
      </c>
      <c r="B1480" s="116">
        <v>742.35</v>
      </c>
      <c r="C1480" s="116">
        <v>733.55</v>
      </c>
      <c r="D1480" s="116">
        <v>717.85</v>
      </c>
      <c r="E1480" s="116">
        <v>734.9</v>
      </c>
      <c r="F1480" s="116">
        <v>733.55</v>
      </c>
      <c r="G1480">
        <v>103972</v>
      </c>
      <c r="H1480" s="116"/>
      <c r="I1480" s="116"/>
      <c r="L1480" s="170">
        <v>45583</v>
      </c>
      <c r="M1480" s="116">
        <v>732.6</v>
      </c>
      <c r="N1480" s="116">
        <v>749.9</v>
      </c>
      <c r="O1480" s="116">
        <v>716.95</v>
      </c>
      <c r="P1480" s="116">
        <v>730</v>
      </c>
      <c r="Q1480" s="116">
        <v>732.6</v>
      </c>
      <c r="R1480">
        <v>540647</v>
      </c>
    </row>
    <row r="1481" spans="1:18" x14ac:dyDescent="0.25">
      <c r="A1481" s="170">
        <v>45586</v>
      </c>
      <c r="B1481" s="116">
        <v>738.05</v>
      </c>
      <c r="C1481" s="116">
        <v>720.25</v>
      </c>
      <c r="D1481" s="116">
        <v>717.95</v>
      </c>
      <c r="E1481" s="116">
        <v>730</v>
      </c>
      <c r="F1481" s="116">
        <v>720.25</v>
      </c>
      <c r="G1481">
        <v>75636</v>
      </c>
      <c r="H1481" s="116"/>
      <c r="I1481" s="116"/>
      <c r="L1481" s="170">
        <v>45586</v>
      </c>
      <c r="M1481" s="116">
        <v>720.2</v>
      </c>
      <c r="N1481" s="116">
        <v>737.95</v>
      </c>
      <c r="O1481" s="116">
        <v>715.25</v>
      </c>
      <c r="P1481" s="116">
        <v>730</v>
      </c>
      <c r="Q1481" s="116">
        <v>720.2</v>
      </c>
      <c r="R1481">
        <v>319720</v>
      </c>
    </row>
    <row r="1482" spans="1:18" x14ac:dyDescent="0.25">
      <c r="A1482" s="170">
        <v>45587</v>
      </c>
      <c r="B1482" s="116">
        <v>726.45</v>
      </c>
      <c r="C1482" s="116">
        <v>691.65</v>
      </c>
      <c r="D1482" s="116">
        <v>685.55</v>
      </c>
      <c r="E1482" s="116">
        <v>718</v>
      </c>
      <c r="F1482" s="116">
        <v>691.65</v>
      </c>
      <c r="G1482">
        <v>155657</v>
      </c>
      <c r="H1482" s="116"/>
      <c r="I1482" s="116"/>
      <c r="L1482" s="170">
        <v>45587</v>
      </c>
      <c r="M1482" s="116">
        <v>691.85</v>
      </c>
      <c r="N1482" s="116">
        <v>728</v>
      </c>
      <c r="O1482" s="116">
        <v>684.7</v>
      </c>
      <c r="P1482" s="116">
        <v>715.25</v>
      </c>
      <c r="Q1482" s="116">
        <v>691.85</v>
      </c>
      <c r="R1482">
        <v>740844</v>
      </c>
    </row>
    <row r="1483" spans="1:18" x14ac:dyDescent="0.25">
      <c r="A1483" s="170">
        <v>45588</v>
      </c>
      <c r="B1483" s="116">
        <v>705</v>
      </c>
      <c r="C1483" s="116">
        <v>700.45</v>
      </c>
      <c r="D1483" s="116">
        <v>682.65</v>
      </c>
      <c r="E1483" s="116">
        <v>692</v>
      </c>
      <c r="F1483" s="116">
        <v>700.45</v>
      </c>
      <c r="G1483">
        <v>39666</v>
      </c>
      <c r="H1483" s="116"/>
      <c r="I1483" s="116"/>
      <c r="L1483" s="170">
        <v>45588</v>
      </c>
      <c r="M1483" s="116">
        <v>700.45</v>
      </c>
      <c r="N1483" s="116">
        <v>705</v>
      </c>
      <c r="O1483" s="116">
        <v>682.25</v>
      </c>
      <c r="P1483" s="116">
        <v>692</v>
      </c>
      <c r="Q1483" s="116">
        <v>700.45</v>
      </c>
      <c r="R1483">
        <v>614601</v>
      </c>
    </row>
    <row r="1484" spans="1:18" x14ac:dyDescent="0.25">
      <c r="A1484" s="170">
        <v>45589</v>
      </c>
      <c r="B1484" s="116">
        <v>772.9</v>
      </c>
      <c r="C1484" s="116">
        <v>755.25</v>
      </c>
      <c r="D1484" s="116">
        <v>698</v>
      </c>
      <c r="E1484" s="116">
        <v>699.95</v>
      </c>
      <c r="F1484" s="116">
        <v>755.25</v>
      </c>
      <c r="G1484">
        <v>261352</v>
      </c>
      <c r="H1484" s="116"/>
      <c r="I1484" s="116"/>
      <c r="L1484" s="170">
        <v>45589</v>
      </c>
      <c r="M1484" s="116">
        <v>754.95</v>
      </c>
      <c r="N1484" s="116">
        <v>773.8</v>
      </c>
      <c r="O1484" s="116">
        <v>695.55</v>
      </c>
      <c r="P1484" s="116">
        <v>695.65</v>
      </c>
      <c r="Q1484" s="116">
        <v>754.95</v>
      </c>
      <c r="R1484">
        <v>3162146</v>
      </c>
    </row>
    <row r="1485" spans="1:18" x14ac:dyDescent="0.25">
      <c r="A1485" s="170">
        <v>45590</v>
      </c>
      <c r="B1485" s="116">
        <v>758</v>
      </c>
      <c r="C1485" s="116">
        <v>723.75</v>
      </c>
      <c r="D1485" s="116">
        <v>712.95</v>
      </c>
      <c r="E1485" s="116">
        <v>756.95</v>
      </c>
      <c r="F1485" s="116">
        <v>723.75</v>
      </c>
      <c r="G1485">
        <v>208048</v>
      </c>
      <c r="H1485" s="116"/>
      <c r="I1485" s="116"/>
      <c r="L1485" s="170">
        <v>45590</v>
      </c>
      <c r="M1485" s="116">
        <v>724.15</v>
      </c>
      <c r="N1485" s="116">
        <v>760</v>
      </c>
      <c r="O1485" s="116">
        <v>712.8</v>
      </c>
      <c r="P1485" s="116">
        <v>754.85</v>
      </c>
      <c r="Q1485" s="116">
        <v>724.15</v>
      </c>
      <c r="R1485">
        <v>1428938</v>
      </c>
    </row>
    <row r="1486" spans="1:18" x14ac:dyDescent="0.25">
      <c r="A1486" s="170">
        <v>45593</v>
      </c>
      <c r="B1486" s="116">
        <v>726.75</v>
      </c>
      <c r="C1486" s="116">
        <v>712.45</v>
      </c>
      <c r="D1486" s="116">
        <v>700.45</v>
      </c>
      <c r="E1486" s="116">
        <v>715.8</v>
      </c>
      <c r="F1486" s="116">
        <v>712.45</v>
      </c>
      <c r="G1486">
        <v>67165</v>
      </c>
      <c r="H1486" s="116"/>
      <c r="I1486" s="116"/>
      <c r="L1486" s="170">
        <v>45593</v>
      </c>
      <c r="M1486" s="116">
        <v>712.1</v>
      </c>
      <c r="N1486" s="116">
        <v>726.7</v>
      </c>
      <c r="O1486" s="116">
        <v>700.05</v>
      </c>
      <c r="P1486" s="116">
        <v>719.1</v>
      </c>
      <c r="Q1486" s="116">
        <v>712.1</v>
      </c>
      <c r="R1486">
        <v>768387</v>
      </c>
    </row>
    <row r="1487" spans="1:18" x14ac:dyDescent="0.25">
      <c r="A1487" s="170">
        <v>45594</v>
      </c>
      <c r="B1487" s="116">
        <v>717</v>
      </c>
      <c r="C1487" s="116">
        <v>712.05</v>
      </c>
      <c r="D1487" s="116">
        <v>705.5</v>
      </c>
      <c r="E1487" s="116">
        <v>705.95</v>
      </c>
      <c r="F1487" s="116">
        <v>712.05</v>
      </c>
      <c r="G1487">
        <v>78056</v>
      </c>
      <c r="H1487" s="116"/>
      <c r="I1487" s="116"/>
      <c r="L1487" s="170">
        <v>45594</v>
      </c>
      <c r="M1487" s="116">
        <v>710.9</v>
      </c>
      <c r="N1487" s="116">
        <v>716.6</v>
      </c>
      <c r="O1487" s="116">
        <v>705.85</v>
      </c>
      <c r="P1487" s="116">
        <v>707.15</v>
      </c>
      <c r="Q1487" s="116">
        <v>710.9</v>
      </c>
      <c r="R1487">
        <v>358297</v>
      </c>
    </row>
    <row r="1488" spans="1:18" x14ac:dyDescent="0.25">
      <c r="A1488" s="170">
        <v>45595</v>
      </c>
      <c r="B1488" s="116">
        <v>727.5</v>
      </c>
      <c r="C1488" s="116">
        <v>714.05</v>
      </c>
      <c r="D1488" s="116">
        <v>705.15</v>
      </c>
      <c r="E1488" s="116">
        <v>705.4</v>
      </c>
      <c r="F1488" s="116">
        <v>714.05</v>
      </c>
      <c r="G1488">
        <v>79565</v>
      </c>
      <c r="H1488" s="116"/>
      <c r="I1488" s="116"/>
      <c r="L1488" s="170">
        <v>45595</v>
      </c>
      <c r="M1488" s="116">
        <v>713.55</v>
      </c>
      <c r="N1488" s="116">
        <v>727.7</v>
      </c>
      <c r="O1488" s="116">
        <v>705</v>
      </c>
      <c r="P1488" s="116">
        <v>708</v>
      </c>
      <c r="Q1488" s="116">
        <v>713.55</v>
      </c>
      <c r="R1488">
        <v>460359</v>
      </c>
    </row>
    <row r="1489" spans="1:18" x14ac:dyDescent="0.25">
      <c r="A1489" s="170">
        <v>45596</v>
      </c>
      <c r="B1489" s="116">
        <v>726.55</v>
      </c>
      <c r="C1489" s="116">
        <v>718.6</v>
      </c>
      <c r="D1489" s="116">
        <v>714.05</v>
      </c>
      <c r="E1489" s="116">
        <v>714.05</v>
      </c>
      <c r="F1489" s="116">
        <v>718.6</v>
      </c>
      <c r="G1489">
        <v>59978</v>
      </c>
      <c r="H1489" s="116"/>
      <c r="I1489" s="116"/>
      <c r="L1489" s="170">
        <v>45596</v>
      </c>
      <c r="M1489" s="116">
        <v>718.35</v>
      </c>
      <c r="N1489" s="116">
        <v>727</v>
      </c>
      <c r="O1489" s="116">
        <v>713.55</v>
      </c>
      <c r="P1489" s="116">
        <v>713.55</v>
      </c>
      <c r="Q1489" s="116">
        <v>718.35</v>
      </c>
      <c r="R1489">
        <v>392901</v>
      </c>
    </row>
    <row r="1490" spans="1:18" x14ac:dyDescent="0.25">
      <c r="A1490" s="170">
        <v>45597</v>
      </c>
      <c r="B1490" s="116">
        <v>725.85</v>
      </c>
      <c r="C1490" s="116">
        <v>723.2</v>
      </c>
      <c r="D1490" s="116">
        <v>720.05</v>
      </c>
      <c r="E1490" s="116">
        <v>724.95</v>
      </c>
      <c r="F1490" s="116">
        <v>723.2</v>
      </c>
      <c r="G1490">
        <v>17219</v>
      </c>
      <c r="H1490" s="116"/>
      <c r="I1490" s="116"/>
      <c r="L1490" s="170">
        <v>45597</v>
      </c>
      <c r="M1490" s="116">
        <v>722.95</v>
      </c>
      <c r="N1490" s="116">
        <v>725.55</v>
      </c>
      <c r="O1490" s="116">
        <v>720</v>
      </c>
      <c r="P1490" s="116">
        <v>721.8</v>
      </c>
      <c r="Q1490" s="116">
        <v>722.95</v>
      </c>
      <c r="R1490">
        <v>77967</v>
      </c>
    </row>
    <row r="1491" spans="1:18" x14ac:dyDescent="0.25">
      <c r="A1491" s="170">
        <v>45600</v>
      </c>
      <c r="B1491" s="116">
        <v>719.95</v>
      </c>
      <c r="C1491" s="116">
        <v>711.4</v>
      </c>
      <c r="D1491" s="116">
        <v>708.2</v>
      </c>
      <c r="E1491" s="116">
        <v>719.95</v>
      </c>
      <c r="F1491" s="116">
        <v>711.4</v>
      </c>
      <c r="G1491">
        <v>66921</v>
      </c>
      <c r="H1491" s="116"/>
      <c r="I1491" s="116"/>
      <c r="L1491" s="170">
        <v>45600</v>
      </c>
      <c r="M1491" s="116">
        <v>711.35</v>
      </c>
      <c r="N1491" s="116">
        <v>720.05</v>
      </c>
      <c r="O1491" s="116">
        <v>708.15</v>
      </c>
      <c r="P1491" s="116">
        <v>718</v>
      </c>
      <c r="Q1491" s="116">
        <v>711.35</v>
      </c>
      <c r="R1491">
        <v>301856</v>
      </c>
    </row>
    <row r="1492" spans="1:18" x14ac:dyDescent="0.25">
      <c r="A1492" s="170">
        <v>45601</v>
      </c>
      <c r="B1492" s="116">
        <v>724</v>
      </c>
      <c r="C1492" s="116">
        <v>721.5</v>
      </c>
      <c r="D1492" s="116">
        <v>705.9</v>
      </c>
      <c r="E1492" s="116">
        <v>705.9</v>
      </c>
      <c r="F1492" s="116">
        <v>721.5</v>
      </c>
      <c r="G1492">
        <v>74382</v>
      </c>
      <c r="H1492" s="116"/>
      <c r="I1492" s="116"/>
      <c r="L1492" s="170">
        <v>45601</v>
      </c>
      <c r="M1492" s="116">
        <v>722.05</v>
      </c>
      <c r="N1492" s="116">
        <v>726</v>
      </c>
      <c r="O1492" s="116">
        <v>706.35</v>
      </c>
      <c r="P1492" s="116">
        <v>707</v>
      </c>
      <c r="Q1492" s="116">
        <v>722.05</v>
      </c>
      <c r="R1492">
        <v>365382</v>
      </c>
    </row>
    <row r="1493" spans="1:18" x14ac:dyDescent="0.25">
      <c r="A1493" s="170">
        <v>45602</v>
      </c>
      <c r="B1493" s="116">
        <v>752</v>
      </c>
      <c r="C1493" s="116">
        <v>742.6</v>
      </c>
      <c r="D1493" s="116">
        <v>719.8</v>
      </c>
      <c r="E1493" s="116">
        <v>721.95</v>
      </c>
      <c r="F1493" s="116">
        <v>742.6</v>
      </c>
      <c r="G1493">
        <v>59916</v>
      </c>
      <c r="H1493" s="116"/>
      <c r="I1493" s="116"/>
      <c r="L1493" s="170">
        <v>45602</v>
      </c>
      <c r="M1493" s="116">
        <v>742.3</v>
      </c>
      <c r="N1493" s="116">
        <v>752</v>
      </c>
      <c r="O1493" s="116">
        <v>720.05</v>
      </c>
      <c r="P1493" s="116">
        <v>720.05</v>
      </c>
      <c r="Q1493" s="116">
        <v>742.3</v>
      </c>
      <c r="R1493">
        <v>690233</v>
      </c>
    </row>
    <row r="1494" spans="1:18" x14ac:dyDescent="0.25">
      <c r="A1494" s="170">
        <v>45603</v>
      </c>
      <c r="B1494" s="116">
        <v>748.95</v>
      </c>
      <c r="C1494" s="116">
        <v>726.25</v>
      </c>
      <c r="D1494" s="116">
        <v>722.9</v>
      </c>
      <c r="E1494" s="116">
        <v>748.95</v>
      </c>
      <c r="F1494" s="116">
        <v>726.25</v>
      </c>
      <c r="G1494">
        <v>76187</v>
      </c>
      <c r="H1494" s="116"/>
      <c r="I1494" s="116"/>
      <c r="L1494" s="170">
        <v>45603</v>
      </c>
      <c r="M1494" s="116">
        <v>725.7</v>
      </c>
      <c r="N1494" s="116">
        <v>746.65</v>
      </c>
      <c r="O1494" s="116">
        <v>722.05</v>
      </c>
      <c r="P1494" s="116">
        <v>742.3</v>
      </c>
      <c r="Q1494" s="116">
        <v>725.7</v>
      </c>
      <c r="R1494">
        <v>314547</v>
      </c>
    </row>
    <row r="1495" spans="1:18" x14ac:dyDescent="0.25">
      <c r="A1495" s="170">
        <v>45604</v>
      </c>
      <c r="B1495" s="116">
        <v>734.95</v>
      </c>
      <c r="C1495" s="116">
        <v>713.15</v>
      </c>
      <c r="D1495" s="116">
        <v>710.65</v>
      </c>
      <c r="E1495" s="116">
        <v>734.95</v>
      </c>
      <c r="F1495" s="116">
        <v>713.15</v>
      </c>
      <c r="G1495">
        <v>47539</v>
      </c>
      <c r="H1495" s="116"/>
      <c r="I1495" s="116"/>
      <c r="L1495" s="170">
        <v>45604</v>
      </c>
      <c r="M1495" s="116">
        <v>712.6</v>
      </c>
      <c r="N1495" s="116">
        <v>726.1</v>
      </c>
      <c r="O1495" s="116">
        <v>710.5</v>
      </c>
      <c r="P1495" s="116">
        <v>720.95</v>
      </c>
      <c r="Q1495" s="116">
        <v>712.6</v>
      </c>
      <c r="R1495">
        <v>269748</v>
      </c>
    </row>
    <row r="1496" spans="1:18" x14ac:dyDescent="0.25">
      <c r="A1496" s="170">
        <v>45607</v>
      </c>
      <c r="B1496" s="116">
        <v>712.3</v>
      </c>
      <c r="C1496" s="116">
        <v>702</v>
      </c>
      <c r="D1496" s="116">
        <v>700.1</v>
      </c>
      <c r="E1496" s="116">
        <v>701.05</v>
      </c>
      <c r="F1496" s="116">
        <v>702</v>
      </c>
      <c r="G1496">
        <v>56381</v>
      </c>
      <c r="H1496" s="116"/>
      <c r="I1496" s="116"/>
      <c r="L1496" s="170">
        <v>45607</v>
      </c>
      <c r="M1496" s="116">
        <v>701.8</v>
      </c>
      <c r="N1496" s="116">
        <v>712.35</v>
      </c>
      <c r="O1496" s="116">
        <v>700</v>
      </c>
      <c r="P1496" s="116">
        <v>708.75</v>
      </c>
      <c r="Q1496" s="116">
        <v>701.8</v>
      </c>
      <c r="R1496">
        <v>256490</v>
      </c>
    </row>
    <row r="1497" spans="1:18" x14ac:dyDescent="0.25">
      <c r="A1497" s="170">
        <v>45608</v>
      </c>
      <c r="B1497" s="116">
        <v>713</v>
      </c>
      <c r="C1497" s="116">
        <v>701.4</v>
      </c>
      <c r="D1497" s="116">
        <v>697.5</v>
      </c>
      <c r="E1497" s="116">
        <v>701.8</v>
      </c>
      <c r="F1497" s="116">
        <v>701.4</v>
      </c>
      <c r="G1497">
        <v>62533</v>
      </c>
      <c r="H1497" s="116"/>
      <c r="I1497" s="116"/>
      <c r="L1497" s="170">
        <v>45608</v>
      </c>
      <c r="M1497" s="116">
        <v>701.2</v>
      </c>
      <c r="N1497" s="116">
        <v>713.25</v>
      </c>
      <c r="O1497" s="116">
        <v>697.6</v>
      </c>
      <c r="P1497" s="116">
        <v>700.05</v>
      </c>
      <c r="Q1497" s="116">
        <v>701.2</v>
      </c>
      <c r="R1497">
        <v>259021</v>
      </c>
    </row>
    <row r="1498" spans="1:18" x14ac:dyDescent="0.25">
      <c r="A1498" s="170">
        <v>45609</v>
      </c>
      <c r="B1498" s="116">
        <v>706.15</v>
      </c>
      <c r="C1498" s="116">
        <v>679.05</v>
      </c>
      <c r="D1498" s="116">
        <v>674</v>
      </c>
      <c r="E1498" s="116">
        <v>701.85</v>
      </c>
      <c r="F1498" s="116">
        <v>679.05</v>
      </c>
      <c r="G1498">
        <v>111517</v>
      </c>
      <c r="H1498" s="116"/>
      <c r="I1498" s="116"/>
      <c r="L1498" s="170">
        <v>45609</v>
      </c>
      <c r="M1498" s="116">
        <v>678.9</v>
      </c>
      <c r="N1498" s="116">
        <v>706.9</v>
      </c>
      <c r="O1498" s="116">
        <v>673.55</v>
      </c>
      <c r="P1498" s="116">
        <v>701</v>
      </c>
      <c r="Q1498" s="116">
        <v>678.9</v>
      </c>
      <c r="R1498">
        <v>439495</v>
      </c>
    </row>
    <row r="1499" spans="1:18" x14ac:dyDescent="0.25">
      <c r="A1499" s="170">
        <v>45610</v>
      </c>
      <c r="B1499" s="116">
        <v>693</v>
      </c>
      <c r="C1499" s="116">
        <v>684.15</v>
      </c>
      <c r="D1499" s="116">
        <v>677.7</v>
      </c>
      <c r="E1499" s="116">
        <v>689.4</v>
      </c>
      <c r="F1499" s="116">
        <v>684.15</v>
      </c>
      <c r="G1499">
        <v>77680</v>
      </c>
      <c r="H1499" s="116"/>
      <c r="I1499" s="116"/>
      <c r="L1499" s="170">
        <v>45610</v>
      </c>
      <c r="M1499" s="116">
        <v>683.9</v>
      </c>
      <c r="N1499" s="116">
        <v>693.7</v>
      </c>
      <c r="O1499" s="116">
        <v>677.65</v>
      </c>
      <c r="P1499" s="116">
        <v>687.1</v>
      </c>
      <c r="Q1499" s="116">
        <v>683.9</v>
      </c>
      <c r="R1499">
        <v>283810</v>
      </c>
    </row>
    <row r="1500" spans="1:18" x14ac:dyDescent="0.25">
      <c r="A1500" s="170">
        <v>45614</v>
      </c>
      <c r="B1500" s="116">
        <v>672.15</v>
      </c>
      <c r="C1500" s="116">
        <v>669.6</v>
      </c>
      <c r="D1500" s="116">
        <v>652.5</v>
      </c>
      <c r="E1500" s="116">
        <v>669.6</v>
      </c>
      <c r="F1500" s="116">
        <v>669.6</v>
      </c>
      <c r="G1500">
        <v>150325</v>
      </c>
      <c r="H1500" s="116"/>
      <c r="I1500" s="116"/>
      <c r="L1500" s="170">
        <v>45614</v>
      </c>
      <c r="M1500" s="116">
        <v>669.9</v>
      </c>
      <c r="N1500" s="116">
        <v>673</v>
      </c>
      <c r="O1500" s="116">
        <v>652.15</v>
      </c>
      <c r="P1500" s="116">
        <v>665</v>
      </c>
      <c r="Q1500" s="116">
        <v>669.9</v>
      </c>
      <c r="R1500">
        <v>1135461</v>
      </c>
    </row>
    <row r="1501" spans="1:18" x14ac:dyDescent="0.25">
      <c r="A1501" s="170">
        <v>45615</v>
      </c>
      <c r="B1501" s="116">
        <v>683</v>
      </c>
      <c r="C1501" s="116">
        <v>672.25</v>
      </c>
      <c r="D1501" s="116">
        <v>664.5</v>
      </c>
      <c r="E1501" s="116">
        <v>668</v>
      </c>
      <c r="F1501" s="116">
        <v>672.25</v>
      </c>
      <c r="G1501">
        <v>29403</v>
      </c>
      <c r="H1501" s="116"/>
      <c r="I1501" s="116"/>
      <c r="L1501" s="170">
        <v>45615</v>
      </c>
      <c r="M1501" s="116">
        <v>671.75</v>
      </c>
      <c r="N1501" s="116">
        <v>683.7</v>
      </c>
      <c r="O1501" s="116">
        <v>662.3</v>
      </c>
      <c r="P1501" s="116">
        <v>665</v>
      </c>
      <c r="Q1501" s="116">
        <v>671.75</v>
      </c>
      <c r="R1501">
        <v>353628</v>
      </c>
    </row>
    <row r="1502" spans="1:18" x14ac:dyDescent="0.25">
      <c r="A1502" s="170">
        <v>45617</v>
      </c>
      <c r="B1502" s="116">
        <v>619.9</v>
      </c>
      <c r="C1502" s="116">
        <v>602.35</v>
      </c>
      <c r="D1502" s="116">
        <v>550.25</v>
      </c>
      <c r="E1502" s="116">
        <v>550.25</v>
      </c>
      <c r="F1502" s="116">
        <v>602.35</v>
      </c>
      <c r="G1502">
        <v>1098463</v>
      </c>
      <c r="H1502" s="116"/>
      <c r="I1502" s="116"/>
      <c r="L1502" s="170">
        <v>45617</v>
      </c>
      <c r="M1502" s="116">
        <v>601.9</v>
      </c>
      <c r="N1502" s="116">
        <v>619.79999999999995</v>
      </c>
      <c r="O1502" s="116">
        <v>545.75</v>
      </c>
      <c r="P1502" s="116">
        <v>555</v>
      </c>
      <c r="Q1502" s="116">
        <v>601.9</v>
      </c>
      <c r="R1502">
        <v>7747092</v>
      </c>
    </row>
    <row r="1503" spans="1:18" x14ac:dyDescent="0.25">
      <c r="A1503" s="170">
        <v>45618</v>
      </c>
      <c r="B1503" s="116">
        <v>624.25</v>
      </c>
      <c r="C1503" s="116">
        <v>609.45000000000005</v>
      </c>
      <c r="D1503" s="116">
        <v>565.5</v>
      </c>
      <c r="E1503" s="116">
        <v>565.5</v>
      </c>
      <c r="F1503" s="116">
        <v>609.45000000000005</v>
      </c>
      <c r="G1503">
        <v>564645</v>
      </c>
      <c r="H1503" s="116"/>
      <c r="I1503" s="116"/>
      <c r="L1503" s="170">
        <v>45618</v>
      </c>
      <c r="M1503" s="116">
        <v>609.1</v>
      </c>
      <c r="N1503" s="116">
        <v>624.4</v>
      </c>
      <c r="O1503" s="116">
        <v>567</v>
      </c>
      <c r="P1503" s="116">
        <v>570.6</v>
      </c>
      <c r="Q1503" s="116">
        <v>609.1</v>
      </c>
      <c r="R1503">
        <v>4877932</v>
      </c>
    </row>
    <row r="1504" spans="1:18" x14ac:dyDescent="0.25">
      <c r="A1504" s="170">
        <v>45621</v>
      </c>
      <c r="B1504" s="116">
        <v>641.95000000000005</v>
      </c>
      <c r="C1504" s="116">
        <v>600.75</v>
      </c>
      <c r="D1504" s="116">
        <v>592.65</v>
      </c>
      <c r="E1504" s="116">
        <v>634.04999999999995</v>
      </c>
      <c r="F1504" s="116">
        <v>600.75</v>
      </c>
      <c r="G1504">
        <v>274735</v>
      </c>
      <c r="H1504" s="116"/>
      <c r="I1504" s="116"/>
      <c r="L1504" s="170">
        <v>45621</v>
      </c>
      <c r="M1504" s="116">
        <v>600.4</v>
      </c>
      <c r="N1504" s="116">
        <v>641.85</v>
      </c>
      <c r="O1504" s="116">
        <v>592.29999999999995</v>
      </c>
      <c r="P1504" s="116">
        <v>636.35</v>
      </c>
      <c r="Q1504" s="116">
        <v>600.4</v>
      </c>
      <c r="R1504">
        <v>1889993</v>
      </c>
    </row>
    <row r="1505" spans="1:18" x14ac:dyDescent="0.25">
      <c r="A1505" s="170">
        <v>45622</v>
      </c>
      <c r="B1505" s="116">
        <v>606.5</v>
      </c>
      <c r="C1505" s="116">
        <v>579.70000000000005</v>
      </c>
      <c r="D1505" s="116">
        <v>577.75</v>
      </c>
      <c r="E1505" s="116">
        <v>603.35</v>
      </c>
      <c r="F1505" s="116">
        <v>579.70000000000005</v>
      </c>
      <c r="G1505">
        <v>224740</v>
      </c>
      <c r="H1505" s="116"/>
      <c r="I1505" s="116"/>
      <c r="L1505" s="170">
        <v>45622</v>
      </c>
      <c r="M1505" s="116">
        <v>579.45000000000005</v>
      </c>
      <c r="N1505" s="116">
        <v>607.20000000000005</v>
      </c>
      <c r="O1505" s="116">
        <v>577</v>
      </c>
      <c r="P1505" s="116">
        <v>605</v>
      </c>
      <c r="Q1505" s="116">
        <v>579.45000000000005</v>
      </c>
      <c r="R1505">
        <v>1849854</v>
      </c>
    </row>
    <row r="1506" spans="1:18" x14ac:dyDescent="0.25">
      <c r="A1506" s="170">
        <v>45623</v>
      </c>
      <c r="B1506" s="116">
        <v>695.6</v>
      </c>
      <c r="C1506" s="116">
        <v>694.25</v>
      </c>
      <c r="D1506" s="116">
        <v>572.15</v>
      </c>
      <c r="E1506" s="116">
        <v>579.70000000000005</v>
      </c>
      <c r="F1506" s="116">
        <v>694.25</v>
      </c>
      <c r="G1506">
        <v>1122610</v>
      </c>
      <c r="H1506" s="116"/>
      <c r="I1506" s="116"/>
      <c r="L1506" s="170">
        <v>45623</v>
      </c>
      <c r="M1506" s="116">
        <v>694.05</v>
      </c>
      <c r="N1506" s="116">
        <v>695.3</v>
      </c>
      <c r="O1506" s="116">
        <v>572.54999999999995</v>
      </c>
      <c r="P1506" s="116">
        <v>580.04999999999995</v>
      </c>
      <c r="Q1506" s="116">
        <v>694.05</v>
      </c>
      <c r="R1506">
        <v>11556998</v>
      </c>
    </row>
    <row r="1507" spans="1:18" x14ac:dyDescent="0.25">
      <c r="A1507" s="170">
        <v>45624</v>
      </c>
      <c r="B1507" s="116">
        <v>823.3</v>
      </c>
      <c r="C1507" s="116">
        <v>803.2</v>
      </c>
      <c r="D1507" s="116">
        <v>712.4</v>
      </c>
      <c r="E1507" s="116">
        <v>717.6</v>
      </c>
      <c r="F1507" s="116">
        <v>803.2</v>
      </c>
      <c r="G1507">
        <v>1480739</v>
      </c>
      <c r="H1507" s="116"/>
      <c r="I1507" s="116"/>
      <c r="L1507" s="170">
        <v>45624</v>
      </c>
      <c r="M1507" s="116">
        <v>803.85</v>
      </c>
      <c r="N1507" s="116">
        <v>824.3</v>
      </c>
      <c r="O1507" s="116">
        <v>712.1</v>
      </c>
      <c r="P1507" s="116">
        <v>715.55</v>
      </c>
      <c r="Q1507" s="116">
        <v>803.85</v>
      </c>
      <c r="R1507">
        <v>19663248</v>
      </c>
    </row>
    <row r="1508" spans="1:18" x14ac:dyDescent="0.25">
      <c r="A1508" s="170">
        <v>45625</v>
      </c>
      <c r="B1508" s="116">
        <v>862.15</v>
      </c>
      <c r="C1508" s="116">
        <v>811.5</v>
      </c>
      <c r="D1508" s="116">
        <v>788.4</v>
      </c>
      <c r="E1508" s="116">
        <v>811.75</v>
      </c>
      <c r="F1508" s="116">
        <v>811.5</v>
      </c>
      <c r="G1508">
        <v>994847</v>
      </c>
      <c r="H1508" s="116"/>
      <c r="I1508" s="116"/>
      <c r="L1508" s="170">
        <v>45625</v>
      </c>
      <c r="M1508" s="116">
        <v>812.35</v>
      </c>
      <c r="N1508" s="116">
        <v>862</v>
      </c>
      <c r="O1508" s="116">
        <v>788.55</v>
      </c>
      <c r="P1508" s="116">
        <v>809.4</v>
      </c>
      <c r="Q1508" s="116">
        <v>812.35</v>
      </c>
      <c r="R1508">
        <v>20895033</v>
      </c>
    </row>
    <row r="1509" spans="1:18" x14ac:dyDescent="0.25">
      <c r="A1509" s="170">
        <v>45628</v>
      </c>
      <c r="B1509" s="116">
        <v>815</v>
      </c>
      <c r="C1509" s="116">
        <v>772</v>
      </c>
      <c r="D1509" s="116">
        <v>769</v>
      </c>
      <c r="E1509" s="116">
        <v>812.95</v>
      </c>
      <c r="F1509" s="116">
        <v>772</v>
      </c>
      <c r="G1509">
        <v>175387</v>
      </c>
      <c r="H1509" s="116"/>
      <c r="I1509" s="116"/>
      <c r="L1509" s="170">
        <v>45628</v>
      </c>
      <c r="M1509" s="116">
        <v>772.55</v>
      </c>
      <c r="N1509" s="116">
        <v>815.3</v>
      </c>
      <c r="O1509" s="116">
        <v>770</v>
      </c>
      <c r="P1509" s="116">
        <v>812</v>
      </c>
      <c r="Q1509" s="116">
        <v>772.55</v>
      </c>
      <c r="R1509">
        <v>3972726</v>
      </c>
    </row>
    <row r="1510" spans="1:18" x14ac:dyDescent="0.25">
      <c r="A1510" s="170">
        <v>45629</v>
      </c>
      <c r="B1510" s="116">
        <v>788.25</v>
      </c>
      <c r="C1510" s="116">
        <v>765.6</v>
      </c>
      <c r="D1510" s="116">
        <v>762</v>
      </c>
      <c r="E1510" s="116">
        <v>780</v>
      </c>
      <c r="F1510" s="116">
        <v>765.6</v>
      </c>
      <c r="G1510">
        <v>119040</v>
      </c>
      <c r="H1510" s="116"/>
      <c r="I1510" s="116"/>
      <c r="L1510" s="170">
        <v>45629</v>
      </c>
      <c r="M1510" s="116">
        <v>766.25</v>
      </c>
      <c r="N1510" s="116">
        <v>789</v>
      </c>
      <c r="O1510" s="116">
        <v>762</v>
      </c>
      <c r="P1510" s="116">
        <v>780.3</v>
      </c>
      <c r="Q1510" s="116">
        <v>766.25</v>
      </c>
      <c r="R1510">
        <v>2337108</v>
      </c>
    </row>
    <row r="1511" spans="1:18" x14ac:dyDescent="0.25">
      <c r="A1511" s="170">
        <v>45630</v>
      </c>
      <c r="B1511" s="116">
        <v>774.15</v>
      </c>
      <c r="C1511" s="116">
        <v>746.5</v>
      </c>
      <c r="D1511" s="116">
        <v>741.7</v>
      </c>
      <c r="E1511" s="116">
        <v>766.25</v>
      </c>
      <c r="F1511" s="116">
        <v>746.5</v>
      </c>
      <c r="G1511">
        <v>60786</v>
      </c>
      <c r="H1511" s="116"/>
      <c r="I1511" s="116"/>
      <c r="L1511" s="170">
        <v>45630</v>
      </c>
      <c r="M1511" s="116">
        <v>746.65</v>
      </c>
      <c r="N1511" s="116">
        <v>776.35</v>
      </c>
      <c r="O1511" s="116">
        <v>740.5</v>
      </c>
      <c r="P1511" s="116">
        <v>766.5</v>
      </c>
      <c r="Q1511" s="116">
        <v>746.65</v>
      </c>
      <c r="R1511">
        <v>2004742</v>
      </c>
    </row>
    <row r="1512" spans="1:18" x14ac:dyDescent="0.25">
      <c r="A1512" s="170">
        <v>45631</v>
      </c>
      <c r="B1512" s="116">
        <v>754</v>
      </c>
      <c r="C1512" s="116">
        <v>743.55</v>
      </c>
      <c r="D1512" s="116">
        <v>735</v>
      </c>
      <c r="E1512" s="116">
        <v>754</v>
      </c>
      <c r="F1512" s="116">
        <v>743.55</v>
      </c>
      <c r="G1512">
        <v>53669</v>
      </c>
      <c r="H1512" s="116"/>
      <c r="I1512" s="116"/>
      <c r="L1512" s="170">
        <v>45631</v>
      </c>
      <c r="M1512" s="116">
        <v>743.95</v>
      </c>
      <c r="N1512" s="116">
        <v>754.7</v>
      </c>
      <c r="O1512" s="116">
        <v>735.2</v>
      </c>
      <c r="P1512" s="116">
        <v>754.7</v>
      </c>
      <c r="Q1512" s="116">
        <v>743.95</v>
      </c>
      <c r="R1512">
        <v>1462651</v>
      </c>
    </row>
    <row r="1513" spans="1:18" x14ac:dyDescent="0.25">
      <c r="A1513" s="170">
        <v>45632</v>
      </c>
      <c r="B1513" s="116">
        <v>751.3</v>
      </c>
      <c r="C1513" s="116">
        <v>731.4</v>
      </c>
      <c r="D1513" s="116">
        <v>728.6</v>
      </c>
      <c r="E1513" s="116">
        <v>748.8</v>
      </c>
      <c r="F1513" s="116">
        <v>731.4</v>
      </c>
      <c r="G1513">
        <v>46478</v>
      </c>
      <c r="H1513" s="116"/>
      <c r="I1513" s="116"/>
      <c r="L1513" s="170">
        <v>45632</v>
      </c>
      <c r="M1513" s="116">
        <v>731.05</v>
      </c>
      <c r="N1513" s="116">
        <v>751.45</v>
      </c>
      <c r="O1513" s="116">
        <v>728</v>
      </c>
      <c r="P1513" s="116">
        <v>744.8</v>
      </c>
      <c r="Q1513" s="116">
        <v>731.05</v>
      </c>
      <c r="R1513">
        <v>1260840</v>
      </c>
    </row>
    <row r="1514" spans="1:18" x14ac:dyDescent="0.25">
      <c r="A1514" s="170">
        <v>45635</v>
      </c>
      <c r="B1514" s="116">
        <v>737.15</v>
      </c>
      <c r="C1514" s="116">
        <v>728.95</v>
      </c>
      <c r="D1514" s="116">
        <v>723</v>
      </c>
      <c r="E1514" s="116">
        <v>731.4</v>
      </c>
      <c r="F1514" s="116">
        <v>728.95</v>
      </c>
      <c r="G1514">
        <v>81796</v>
      </c>
      <c r="H1514" s="116"/>
      <c r="I1514" s="116"/>
      <c r="L1514" s="170">
        <v>45635</v>
      </c>
      <c r="M1514" s="116">
        <v>729.5</v>
      </c>
      <c r="N1514" s="116">
        <v>737.5</v>
      </c>
      <c r="O1514" s="116">
        <v>722.05</v>
      </c>
      <c r="P1514" s="116">
        <v>731.05</v>
      </c>
      <c r="Q1514" s="116">
        <v>729.5</v>
      </c>
      <c r="R1514">
        <v>746949</v>
      </c>
    </row>
    <row r="1515" spans="1:18" x14ac:dyDescent="0.25">
      <c r="A1515" s="170">
        <v>45636</v>
      </c>
      <c r="B1515" s="116">
        <v>732.45</v>
      </c>
      <c r="C1515" s="116">
        <v>715.7</v>
      </c>
      <c r="D1515" s="116">
        <v>714.15</v>
      </c>
      <c r="E1515" s="116">
        <v>728</v>
      </c>
      <c r="F1515" s="116">
        <v>715.7</v>
      </c>
      <c r="G1515">
        <v>55873</v>
      </c>
      <c r="H1515" s="116"/>
      <c r="I1515" s="116"/>
      <c r="L1515" s="170">
        <v>45636</v>
      </c>
      <c r="M1515" s="116">
        <v>715.45</v>
      </c>
      <c r="N1515" s="116">
        <v>734.35</v>
      </c>
      <c r="O1515" s="116">
        <v>714</v>
      </c>
      <c r="P1515" s="116">
        <v>730</v>
      </c>
      <c r="Q1515" s="116">
        <v>715.45</v>
      </c>
      <c r="R1515">
        <v>1008997</v>
      </c>
    </row>
    <row r="1516" spans="1:18" x14ac:dyDescent="0.25">
      <c r="A1516" s="170">
        <v>45637</v>
      </c>
      <c r="B1516" s="116">
        <v>726</v>
      </c>
      <c r="C1516" s="116">
        <v>717.55</v>
      </c>
      <c r="D1516" s="116">
        <v>707.7</v>
      </c>
      <c r="E1516" s="116">
        <v>714.95</v>
      </c>
      <c r="F1516" s="116">
        <v>717.55</v>
      </c>
      <c r="G1516">
        <v>105786</v>
      </c>
      <c r="H1516" s="116"/>
      <c r="I1516" s="116"/>
      <c r="L1516" s="170">
        <v>45637</v>
      </c>
      <c r="M1516" s="116">
        <v>717.5</v>
      </c>
      <c r="N1516" s="116">
        <v>726.5</v>
      </c>
      <c r="O1516" s="116">
        <v>708.05</v>
      </c>
      <c r="P1516" s="116">
        <v>712.1</v>
      </c>
      <c r="Q1516" s="116">
        <v>717.5</v>
      </c>
      <c r="R1516">
        <v>1061030</v>
      </c>
    </row>
    <row r="1517" spans="1:18" x14ac:dyDescent="0.25">
      <c r="A1517" s="170">
        <v>45638</v>
      </c>
      <c r="B1517" s="116">
        <v>755</v>
      </c>
      <c r="C1517" s="116">
        <v>730.75</v>
      </c>
      <c r="D1517" s="116">
        <v>712</v>
      </c>
      <c r="E1517" s="116">
        <v>720.2</v>
      </c>
      <c r="F1517" s="116">
        <v>730.75</v>
      </c>
      <c r="G1517">
        <v>428994</v>
      </c>
      <c r="H1517" s="116"/>
      <c r="I1517" s="116"/>
      <c r="L1517" s="170">
        <v>45638</v>
      </c>
      <c r="M1517" s="116">
        <v>730.4</v>
      </c>
      <c r="N1517" s="116">
        <v>755.65</v>
      </c>
      <c r="O1517" s="116">
        <v>712.3</v>
      </c>
      <c r="P1517" s="116">
        <v>720.95</v>
      </c>
      <c r="Q1517" s="116">
        <v>730.4</v>
      </c>
      <c r="R1517">
        <v>4461421</v>
      </c>
    </row>
    <row r="1518" spans="1:18" x14ac:dyDescent="0.25">
      <c r="A1518" s="170">
        <v>45639</v>
      </c>
      <c r="B1518" s="116">
        <v>733.8</v>
      </c>
      <c r="C1518" s="116">
        <v>717.55</v>
      </c>
      <c r="D1518" s="116">
        <v>709.25</v>
      </c>
      <c r="E1518" s="116">
        <v>732.8</v>
      </c>
      <c r="F1518" s="116">
        <v>717.55</v>
      </c>
      <c r="G1518">
        <v>148200</v>
      </c>
      <c r="H1518" s="116"/>
      <c r="I1518" s="116"/>
      <c r="L1518" s="170">
        <v>45639</v>
      </c>
      <c r="M1518" s="116">
        <v>717.85</v>
      </c>
      <c r="N1518" s="116">
        <v>733</v>
      </c>
      <c r="O1518" s="116">
        <v>709.05</v>
      </c>
      <c r="P1518" s="116">
        <v>728.9</v>
      </c>
      <c r="Q1518" s="116">
        <v>717.85</v>
      </c>
      <c r="R1518">
        <v>1337241</v>
      </c>
    </row>
    <row r="1519" spans="1:18" x14ac:dyDescent="0.25">
      <c r="A1519" s="170">
        <v>45642</v>
      </c>
      <c r="B1519" s="116">
        <v>723.05</v>
      </c>
      <c r="C1519" s="116">
        <v>712.7</v>
      </c>
      <c r="D1519" s="116">
        <v>711.25</v>
      </c>
      <c r="E1519" s="116">
        <v>717.85</v>
      </c>
      <c r="F1519" s="116">
        <v>712.7</v>
      </c>
      <c r="G1519">
        <v>34109</v>
      </c>
      <c r="H1519" s="116"/>
      <c r="I1519" s="116"/>
      <c r="L1519" s="170">
        <v>45642</v>
      </c>
      <c r="M1519" s="116">
        <v>712.7</v>
      </c>
      <c r="N1519" s="116">
        <v>723.65</v>
      </c>
      <c r="O1519" s="116">
        <v>711.1</v>
      </c>
      <c r="P1519" s="116">
        <v>717.75</v>
      </c>
      <c r="Q1519" s="116">
        <v>712.7</v>
      </c>
      <c r="R1519">
        <v>688854</v>
      </c>
    </row>
    <row r="1520" spans="1:18" x14ac:dyDescent="0.25">
      <c r="A1520" s="170">
        <v>45643</v>
      </c>
      <c r="B1520" s="116">
        <v>723</v>
      </c>
      <c r="C1520" s="116">
        <v>714.9</v>
      </c>
      <c r="D1520" s="116">
        <v>705.1</v>
      </c>
      <c r="E1520" s="116">
        <v>713</v>
      </c>
      <c r="F1520" s="116">
        <v>714.9</v>
      </c>
      <c r="G1520">
        <v>113547</v>
      </c>
      <c r="H1520" s="116"/>
      <c r="I1520" s="116"/>
      <c r="L1520" s="170">
        <v>45643</v>
      </c>
      <c r="M1520" s="116">
        <v>714.65</v>
      </c>
      <c r="N1520" s="116">
        <v>723.55</v>
      </c>
      <c r="O1520" s="116">
        <v>705.1</v>
      </c>
      <c r="P1520" s="116">
        <v>713.9</v>
      </c>
      <c r="Q1520" s="116">
        <v>714.65</v>
      </c>
      <c r="R1520">
        <v>904258</v>
      </c>
    </row>
    <row r="1521" spans="1:18" x14ac:dyDescent="0.25">
      <c r="A1521" s="170">
        <v>45644</v>
      </c>
      <c r="B1521" s="116">
        <v>719.95</v>
      </c>
      <c r="C1521" s="116">
        <v>701</v>
      </c>
      <c r="D1521" s="116">
        <v>699.15</v>
      </c>
      <c r="E1521" s="116">
        <v>719.95</v>
      </c>
      <c r="F1521" s="116">
        <v>701</v>
      </c>
      <c r="G1521">
        <v>78790</v>
      </c>
      <c r="H1521" s="116"/>
      <c r="I1521" s="116"/>
      <c r="L1521" s="170">
        <v>45644</v>
      </c>
      <c r="M1521" s="116">
        <v>701.8</v>
      </c>
      <c r="N1521" s="116">
        <v>719.65</v>
      </c>
      <c r="O1521" s="116">
        <v>699.5</v>
      </c>
      <c r="P1521" s="116">
        <v>715.55</v>
      </c>
      <c r="Q1521" s="116">
        <v>701.8</v>
      </c>
      <c r="R1521">
        <v>672236</v>
      </c>
    </row>
    <row r="1522" spans="1:18" x14ac:dyDescent="0.25">
      <c r="A1522" s="170">
        <v>45645</v>
      </c>
      <c r="B1522" s="116">
        <v>701.55</v>
      </c>
      <c r="C1522" s="116">
        <v>697.5</v>
      </c>
      <c r="D1522" s="116">
        <v>687</v>
      </c>
      <c r="E1522" s="116">
        <v>693.3</v>
      </c>
      <c r="F1522" s="116">
        <v>697.5</v>
      </c>
      <c r="G1522">
        <v>30747</v>
      </c>
      <c r="H1522" s="116"/>
      <c r="I1522" s="116"/>
      <c r="L1522" s="170">
        <v>45645</v>
      </c>
      <c r="M1522" s="116">
        <v>697.25</v>
      </c>
      <c r="N1522" s="116">
        <v>701.7</v>
      </c>
      <c r="O1522" s="116">
        <v>686.1</v>
      </c>
      <c r="P1522" s="116">
        <v>690</v>
      </c>
      <c r="Q1522" s="116">
        <v>697.25</v>
      </c>
      <c r="R1522">
        <v>562043</v>
      </c>
    </row>
    <row r="1523" spans="1:18" x14ac:dyDescent="0.25">
      <c r="A1523" s="170">
        <v>45646</v>
      </c>
      <c r="B1523" s="116">
        <v>712.5</v>
      </c>
      <c r="C1523" s="116">
        <v>674.5</v>
      </c>
      <c r="D1523" s="116">
        <v>667.3</v>
      </c>
      <c r="E1523" s="116">
        <v>699.95</v>
      </c>
      <c r="F1523" s="116">
        <v>674.5</v>
      </c>
      <c r="G1523">
        <v>122630</v>
      </c>
      <c r="H1523" s="116"/>
      <c r="I1523" s="116"/>
      <c r="L1523" s="170">
        <v>45646</v>
      </c>
      <c r="M1523" s="116">
        <v>674.35</v>
      </c>
      <c r="N1523" s="116">
        <v>712.45</v>
      </c>
      <c r="O1523" s="116">
        <v>666.15</v>
      </c>
      <c r="P1523" s="116">
        <v>697</v>
      </c>
      <c r="Q1523" s="116">
        <v>674.35</v>
      </c>
      <c r="R1523">
        <v>1121570</v>
      </c>
    </row>
    <row r="1524" spans="1:18" x14ac:dyDescent="0.25">
      <c r="A1524" s="170">
        <v>45649</v>
      </c>
      <c r="B1524" s="116">
        <v>685.2</v>
      </c>
      <c r="C1524" s="116">
        <v>669.5</v>
      </c>
      <c r="D1524" s="116">
        <v>666</v>
      </c>
      <c r="E1524" s="116">
        <v>680</v>
      </c>
      <c r="F1524" s="116">
        <v>669.5</v>
      </c>
      <c r="G1524">
        <v>87398</v>
      </c>
      <c r="H1524" s="116"/>
      <c r="I1524" s="116"/>
      <c r="L1524" s="170">
        <v>45649</v>
      </c>
      <c r="M1524" s="116">
        <v>669.5</v>
      </c>
      <c r="N1524" s="116">
        <v>686.35</v>
      </c>
      <c r="O1524" s="116">
        <v>666</v>
      </c>
      <c r="P1524" s="116">
        <v>680</v>
      </c>
      <c r="Q1524" s="116">
        <v>669.5</v>
      </c>
      <c r="R1524">
        <v>805382</v>
      </c>
    </row>
    <row r="1525" spans="1:18" x14ac:dyDescent="0.25">
      <c r="A1525" s="170">
        <v>45650</v>
      </c>
      <c r="B1525" s="116">
        <v>679.35</v>
      </c>
      <c r="C1525" s="116">
        <v>671.8</v>
      </c>
      <c r="D1525" s="116">
        <v>665.1</v>
      </c>
      <c r="E1525" s="116">
        <v>671.85</v>
      </c>
      <c r="F1525" s="116">
        <v>671.8</v>
      </c>
      <c r="G1525">
        <v>70575</v>
      </c>
      <c r="H1525" s="116"/>
      <c r="I1525" s="116"/>
      <c r="L1525" s="170">
        <v>45650</v>
      </c>
      <c r="M1525" s="116">
        <v>670.95</v>
      </c>
      <c r="N1525" s="116">
        <v>679.9</v>
      </c>
      <c r="O1525" s="116">
        <v>665.25</v>
      </c>
      <c r="P1525" s="116">
        <v>671</v>
      </c>
      <c r="Q1525" s="116">
        <v>670.95</v>
      </c>
      <c r="R1525">
        <v>597181</v>
      </c>
    </row>
    <row r="1526" spans="1:18" x14ac:dyDescent="0.25">
      <c r="A1526" s="170">
        <v>45652</v>
      </c>
      <c r="B1526" s="116">
        <v>685.95</v>
      </c>
      <c r="C1526" s="116">
        <v>672.35</v>
      </c>
      <c r="D1526" s="116">
        <v>668.05</v>
      </c>
      <c r="E1526" s="116">
        <v>674.85</v>
      </c>
      <c r="F1526" s="116">
        <v>672.35</v>
      </c>
      <c r="G1526">
        <v>96492</v>
      </c>
      <c r="H1526" s="116"/>
      <c r="I1526" s="116"/>
      <c r="L1526" s="170">
        <v>45652</v>
      </c>
      <c r="M1526" s="116">
        <v>672</v>
      </c>
      <c r="N1526" s="116">
        <v>685.8</v>
      </c>
      <c r="O1526" s="116">
        <v>668.6</v>
      </c>
      <c r="P1526" s="116">
        <v>674</v>
      </c>
      <c r="Q1526" s="116">
        <v>672</v>
      </c>
      <c r="R1526">
        <v>867412</v>
      </c>
    </row>
    <row r="1527" spans="1:18" x14ac:dyDescent="0.25">
      <c r="A1527" s="170">
        <v>45653</v>
      </c>
      <c r="B1527" s="116">
        <v>684.8</v>
      </c>
      <c r="C1527" s="116">
        <v>679.3</v>
      </c>
      <c r="D1527" s="116">
        <v>670.05</v>
      </c>
      <c r="E1527" s="116">
        <v>673.05</v>
      </c>
      <c r="F1527" s="116">
        <v>679.3</v>
      </c>
      <c r="G1527">
        <v>69073</v>
      </c>
      <c r="H1527" s="116"/>
      <c r="I1527" s="116"/>
      <c r="L1527" s="170">
        <v>45653</v>
      </c>
      <c r="M1527" s="116">
        <v>679.3</v>
      </c>
      <c r="N1527" s="116">
        <v>685</v>
      </c>
      <c r="O1527" s="116">
        <v>670</v>
      </c>
      <c r="P1527" s="116">
        <v>675.55</v>
      </c>
      <c r="Q1527" s="116">
        <v>679.3</v>
      </c>
      <c r="R1527">
        <v>528352</v>
      </c>
    </row>
    <row r="1528" spans="1:18" x14ac:dyDescent="0.25">
      <c r="A1528" s="170">
        <v>45656</v>
      </c>
      <c r="B1528" s="116">
        <v>781.15</v>
      </c>
      <c r="C1528" s="116">
        <v>755.4</v>
      </c>
      <c r="D1528" s="116">
        <v>675</v>
      </c>
      <c r="E1528" s="116">
        <v>678.95</v>
      </c>
      <c r="F1528" s="116">
        <v>755.4</v>
      </c>
      <c r="G1528">
        <v>458277</v>
      </c>
      <c r="H1528" s="116"/>
      <c r="I1528" s="116"/>
      <c r="L1528" s="170">
        <v>45656</v>
      </c>
      <c r="M1528" s="116">
        <v>751.15</v>
      </c>
      <c r="N1528" s="116">
        <v>781.15</v>
      </c>
      <c r="O1528" s="116">
        <v>674.6</v>
      </c>
      <c r="P1528" s="116">
        <v>676</v>
      </c>
      <c r="Q1528" s="116">
        <v>751.15</v>
      </c>
      <c r="R1528">
        <v>6192036</v>
      </c>
    </row>
    <row r="1529" spans="1:18" x14ac:dyDescent="0.25">
      <c r="A1529" s="170">
        <v>45657</v>
      </c>
      <c r="B1529" s="116">
        <v>778.25</v>
      </c>
      <c r="C1529" s="116">
        <v>762.6</v>
      </c>
      <c r="D1529" s="116">
        <v>719.75</v>
      </c>
      <c r="E1529" s="116">
        <v>754.15</v>
      </c>
      <c r="F1529" s="116">
        <v>762.6</v>
      </c>
      <c r="G1529">
        <v>376607</v>
      </c>
      <c r="H1529" s="116"/>
      <c r="I1529" s="116"/>
      <c r="L1529" s="170">
        <v>45657</v>
      </c>
      <c r="M1529" s="116">
        <v>761.05</v>
      </c>
      <c r="N1529" s="116">
        <v>778.7</v>
      </c>
      <c r="O1529" s="116">
        <v>719.3</v>
      </c>
      <c r="P1529" s="116">
        <v>754.35</v>
      </c>
      <c r="Q1529" s="116">
        <v>761.05</v>
      </c>
      <c r="R1529">
        <v>4823564</v>
      </c>
    </row>
    <row r="1530" spans="1:18" x14ac:dyDescent="0.25">
      <c r="A1530" s="170">
        <v>45658</v>
      </c>
      <c r="B1530" s="116">
        <v>766.3</v>
      </c>
      <c r="C1530" s="116">
        <v>749.5</v>
      </c>
      <c r="D1530" s="116">
        <v>745</v>
      </c>
      <c r="E1530" s="116">
        <v>751.75</v>
      </c>
      <c r="F1530" s="116">
        <v>749.5</v>
      </c>
      <c r="G1530">
        <v>159578</v>
      </c>
      <c r="H1530" s="116"/>
      <c r="I1530" s="116"/>
      <c r="L1530" s="170">
        <v>45658</v>
      </c>
      <c r="M1530" s="116">
        <v>750.1</v>
      </c>
      <c r="N1530" s="116">
        <v>766.6</v>
      </c>
      <c r="O1530" s="116">
        <v>745</v>
      </c>
      <c r="P1530" s="116">
        <v>751</v>
      </c>
      <c r="Q1530" s="116">
        <v>750.1</v>
      </c>
      <c r="R1530">
        <v>1803892</v>
      </c>
    </row>
    <row r="1531" spans="1:18" x14ac:dyDescent="0.25">
      <c r="A1531" s="170">
        <v>45659</v>
      </c>
      <c r="B1531" s="116">
        <v>750.85</v>
      </c>
      <c r="C1531" s="116">
        <v>734.5</v>
      </c>
      <c r="D1531" s="116">
        <v>732.1</v>
      </c>
      <c r="E1531" s="116">
        <v>750.85</v>
      </c>
      <c r="F1531" s="116">
        <v>734.5</v>
      </c>
      <c r="G1531">
        <v>47546</v>
      </c>
      <c r="H1531" s="116"/>
      <c r="I1531" s="116"/>
      <c r="L1531" s="170">
        <v>45659</v>
      </c>
      <c r="M1531" s="116">
        <v>734.45</v>
      </c>
      <c r="N1531" s="116">
        <v>749.45</v>
      </c>
      <c r="O1531" s="116">
        <v>731.8</v>
      </c>
      <c r="P1531" s="116">
        <v>749</v>
      </c>
      <c r="Q1531" s="116">
        <v>734.45</v>
      </c>
      <c r="R1531">
        <v>1186318</v>
      </c>
    </row>
    <row r="1532" spans="1:18" x14ac:dyDescent="0.25">
      <c r="A1532" s="170">
        <v>45660</v>
      </c>
      <c r="B1532" s="116">
        <v>751.4</v>
      </c>
      <c r="C1532" s="116">
        <v>727.25</v>
      </c>
      <c r="D1532" s="116">
        <v>725.3</v>
      </c>
      <c r="E1532" s="116">
        <v>735.75</v>
      </c>
      <c r="F1532" s="116">
        <v>727.25</v>
      </c>
      <c r="G1532">
        <v>96772</v>
      </c>
      <c r="H1532" s="116"/>
      <c r="I1532" s="116"/>
      <c r="L1532" s="170">
        <v>45660</v>
      </c>
      <c r="M1532" s="116">
        <v>727.65</v>
      </c>
      <c r="N1532" s="116">
        <v>750.8</v>
      </c>
      <c r="O1532" s="116">
        <v>725</v>
      </c>
      <c r="P1532" s="116">
        <v>734.5</v>
      </c>
      <c r="Q1532" s="116">
        <v>727.65</v>
      </c>
      <c r="R1532">
        <v>799043</v>
      </c>
    </row>
    <row r="1533" spans="1:18" x14ac:dyDescent="0.25">
      <c r="A1533" s="170">
        <v>45663</v>
      </c>
      <c r="B1533" s="116">
        <v>726.95</v>
      </c>
      <c r="C1533" s="116">
        <v>703.6</v>
      </c>
      <c r="D1533" s="116">
        <v>697.7</v>
      </c>
      <c r="E1533" s="116">
        <v>726.95</v>
      </c>
      <c r="F1533" s="116">
        <v>703.6</v>
      </c>
      <c r="G1533">
        <v>59501</v>
      </c>
      <c r="H1533" s="116"/>
      <c r="I1533" s="116"/>
      <c r="L1533" s="170">
        <v>45663</v>
      </c>
      <c r="M1533" s="116">
        <v>703.8</v>
      </c>
      <c r="N1533" s="116">
        <v>726</v>
      </c>
      <c r="O1533" s="116">
        <v>697.1</v>
      </c>
      <c r="P1533" s="116">
        <v>725.05</v>
      </c>
      <c r="Q1533" s="116">
        <v>703.8</v>
      </c>
      <c r="R1533">
        <v>811374</v>
      </c>
    </row>
    <row r="1534" spans="1:18" x14ac:dyDescent="0.25">
      <c r="A1534" s="170">
        <v>45664</v>
      </c>
      <c r="B1534" s="116">
        <v>717.8</v>
      </c>
      <c r="C1534" s="116">
        <v>703</v>
      </c>
      <c r="D1534" s="116">
        <v>700.05</v>
      </c>
      <c r="E1534" s="116">
        <v>705.15</v>
      </c>
      <c r="F1534" s="116">
        <v>703</v>
      </c>
      <c r="G1534">
        <v>37091</v>
      </c>
      <c r="H1534" s="116"/>
      <c r="I1534" s="116"/>
      <c r="L1534" s="170">
        <v>45664</v>
      </c>
      <c r="M1534" s="116">
        <v>703.3</v>
      </c>
      <c r="N1534" s="116">
        <v>717.9</v>
      </c>
      <c r="O1534" s="116">
        <v>700</v>
      </c>
      <c r="P1534" s="116">
        <v>707.85</v>
      </c>
      <c r="Q1534" s="116">
        <v>703.3</v>
      </c>
      <c r="R1534">
        <v>641975</v>
      </c>
    </row>
    <row r="1535" spans="1:18" x14ac:dyDescent="0.25">
      <c r="A1535" s="170">
        <v>45665</v>
      </c>
      <c r="B1535" s="116">
        <v>708</v>
      </c>
      <c r="C1535" s="116">
        <v>704.2</v>
      </c>
      <c r="D1535" s="116">
        <v>693.6</v>
      </c>
      <c r="E1535" s="116">
        <v>701.2</v>
      </c>
      <c r="F1535" s="116">
        <v>704.2</v>
      </c>
      <c r="G1535">
        <v>30476</v>
      </c>
      <c r="H1535" s="116"/>
      <c r="I1535" s="116"/>
      <c r="L1535" s="170">
        <v>45665</v>
      </c>
      <c r="M1535" s="116">
        <v>704.95</v>
      </c>
      <c r="N1535" s="116">
        <v>708.35</v>
      </c>
      <c r="O1535" s="116">
        <v>693.05</v>
      </c>
      <c r="P1535" s="116">
        <v>704.95</v>
      </c>
      <c r="Q1535" s="116">
        <v>704.95</v>
      </c>
      <c r="R1535">
        <v>472342</v>
      </c>
    </row>
    <row r="1536" spans="1:18" x14ac:dyDescent="0.25">
      <c r="A1536" s="170">
        <v>45666</v>
      </c>
      <c r="B1536" s="116">
        <v>704.85</v>
      </c>
      <c r="C1536" s="116">
        <v>681.95</v>
      </c>
      <c r="D1536" s="116">
        <v>679.55</v>
      </c>
      <c r="E1536" s="116">
        <v>701.4</v>
      </c>
      <c r="F1536" s="116">
        <v>681.95</v>
      </c>
      <c r="G1536">
        <v>26356</v>
      </c>
      <c r="H1536" s="116"/>
      <c r="I1536" s="116"/>
      <c r="L1536" s="170">
        <v>45666</v>
      </c>
      <c r="M1536" s="116">
        <v>682.15</v>
      </c>
      <c r="N1536" s="116">
        <v>705</v>
      </c>
      <c r="O1536" s="116">
        <v>680</v>
      </c>
      <c r="P1536" s="116">
        <v>702.5</v>
      </c>
      <c r="Q1536" s="116">
        <v>682.15</v>
      </c>
      <c r="R1536">
        <v>603345</v>
      </c>
    </row>
    <row r="1537" spans="1:18" x14ac:dyDescent="0.25">
      <c r="A1537" s="170">
        <v>45667</v>
      </c>
      <c r="B1537" s="116">
        <v>705.9</v>
      </c>
      <c r="C1537" s="116">
        <v>679.8</v>
      </c>
      <c r="D1537" s="116">
        <v>668.75</v>
      </c>
      <c r="E1537" s="116">
        <v>699</v>
      </c>
      <c r="F1537" s="116">
        <v>679.8</v>
      </c>
      <c r="G1537">
        <v>99710</v>
      </c>
      <c r="H1537" s="116"/>
      <c r="I1537" s="116"/>
      <c r="L1537" s="170">
        <v>45667</v>
      </c>
      <c r="M1537" s="116">
        <v>681.25</v>
      </c>
      <c r="N1537" s="116">
        <v>708.65</v>
      </c>
      <c r="O1537" s="116">
        <v>669</v>
      </c>
      <c r="P1537" s="116">
        <v>700</v>
      </c>
      <c r="Q1537" s="116">
        <v>681.25</v>
      </c>
      <c r="R1537">
        <v>1768986</v>
      </c>
    </row>
    <row r="1538" spans="1:18" x14ac:dyDescent="0.25">
      <c r="A1538" s="170">
        <v>45670</v>
      </c>
      <c r="B1538" s="116">
        <v>679.5</v>
      </c>
      <c r="C1538" s="116">
        <v>628.25</v>
      </c>
      <c r="D1538" s="116">
        <v>622</v>
      </c>
      <c r="E1538" s="116">
        <v>679.5</v>
      </c>
      <c r="F1538" s="116">
        <v>628.25</v>
      </c>
      <c r="G1538">
        <v>67771</v>
      </c>
      <c r="H1538" s="116"/>
      <c r="I1538" s="116"/>
      <c r="L1538" s="170">
        <v>45670</v>
      </c>
      <c r="M1538" s="116">
        <v>628.20000000000005</v>
      </c>
      <c r="N1538" s="116">
        <v>675</v>
      </c>
      <c r="O1538" s="116">
        <v>620.6</v>
      </c>
      <c r="P1538" s="116">
        <v>675</v>
      </c>
      <c r="Q1538" s="116">
        <v>628.20000000000005</v>
      </c>
      <c r="R1538">
        <v>1727803</v>
      </c>
    </row>
    <row r="1539" spans="1:18" x14ac:dyDescent="0.25">
      <c r="A1539" s="170">
        <v>45671</v>
      </c>
      <c r="B1539" s="116">
        <v>710.55</v>
      </c>
      <c r="C1539" s="116">
        <v>669.2</v>
      </c>
      <c r="D1539" s="116">
        <v>630.04999999999995</v>
      </c>
      <c r="E1539" s="116">
        <v>630.04999999999995</v>
      </c>
      <c r="F1539" s="116">
        <v>669.2</v>
      </c>
      <c r="G1539">
        <v>645350</v>
      </c>
      <c r="H1539" s="116"/>
      <c r="I1539" s="116"/>
      <c r="L1539" s="170">
        <v>45671</v>
      </c>
      <c r="M1539" s="116">
        <v>669.8</v>
      </c>
      <c r="N1539" s="116">
        <v>711</v>
      </c>
      <c r="O1539" s="116">
        <v>635.79999999999995</v>
      </c>
      <c r="P1539" s="116">
        <v>637.75</v>
      </c>
      <c r="Q1539" s="116">
        <v>669.8</v>
      </c>
      <c r="R1539">
        <v>11803732</v>
      </c>
    </row>
    <row r="1540" spans="1:18" x14ac:dyDescent="0.25">
      <c r="A1540" s="170">
        <v>45672</v>
      </c>
      <c r="B1540" s="116">
        <v>687.85</v>
      </c>
      <c r="C1540" s="116">
        <v>661.45</v>
      </c>
      <c r="D1540" s="116">
        <v>658.05</v>
      </c>
      <c r="E1540" s="116">
        <v>673.95</v>
      </c>
      <c r="F1540" s="116">
        <v>661.45</v>
      </c>
      <c r="G1540">
        <v>97902</v>
      </c>
      <c r="H1540" s="116"/>
      <c r="I1540" s="116"/>
      <c r="L1540" s="170">
        <v>45672</v>
      </c>
      <c r="M1540" s="116">
        <v>662.25</v>
      </c>
      <c r="N1540" s="116">
        <v>687.65</v>
      </c>
      <c r="O1540" s="116">
        <v>658</v>
      </c>
      <c r="P1540" s="116">
        <v>671.85</v>
      </c>
      <c r="Q1540" s="116">
        <v>662.25</v>
      </c>
      <c r="R1540">
        <v>2356369</v>
      </c>
    </row>
    <row r="1541" spans="1:18" x14ac:dyDescent="0.25">
      <c r="A1541" s="170">
        <v>45673</v>
      </c>
      <c r="B1541" s="116">
        <v>708.45</v>
      </c>
      <c r="C1541" s="116">
        <v>673.2</v>
      </c>
      <c r="D1541" s="116">
        <v>669.85</v>
      </c>
      <c r="E1541" s="116">
        <v>692.05</v>
      </c>
      <c r="F1541" s="116">
        <v>673.2</v>
      </c>
      <c r="G1541">
        <v>122665</v>
      </c>
      <c r="H1541" s="116"/>
      <c r="I1541" s="116"/>
      <c r="L1541" s="170">
        <v>45673</v>
      </c>
      <c r="M1541" s="116">
        <v>673.35</v>
      </c>
      <c r="N1541" s="116">
        <v>708</v>
      </c>
      <c r="O1541" s="116">
        <v>669.55</v>
      </c>
      <c r="P1541" s="116">
        <v>696</v>
      </c>
      <c r="Q1541" s="116">
        <v>673.35</v>
      </c>
      <c r="R1541">
        <v>1985629</v>
      </c>
    </row>
    <row r="1542" spans="1:18" x14ac:dyDescent="0.25">
      <c r="A1542" s="170">
        <v>45674</v>
      </c>
      <c r="B1542" s="116">
        <v>680.5</v>
      </c>
      <c r="C1542" s="116">
        <v>673.05</v>
      </c>
      <c r="D1542" s="116">
        <v>669</v>
      </c>
      <c r="E1542" s="116">
        <v>677.9</v>
      </c>
      <c r="F1542" s="116">
        <v>673.05</v>
      </c>
      <c r="G1542">
        <v>52770</v>
      </c>
      <c r="H1542" s="116"/>
      <c r="I1542" s="116"/>
      <c r="L1542" s="170">
        <v>45674</v>
      </c>
      <c r="M1542" s="116">
        <v>673.15</v>
      </c>
      <c r="N1542" s="116">
        <v>680</v>
      </c>
      <c r="O1542" s="116">
        <v>668.6</v>
      </c>
      <c r="P1542" s="116">
        <v>679.9</v>
      </c>
      <c r="Q1542" s="116">
        <v>673.15</v>
      </c>
      <c r="R1542">
        <v>890190</v>
      </c>
    </row>
    <row r="1543" spans="1:18" x14ac:dyDescent="0.25">
      <c r="A1543" s="170">
        <v>45677</v>
      </c>
      <c r="B1543" s="116">
        <v>680</v>
      </c>
      <c r="C1543" s="116">
        <v>675.7</v>
      </c>
      <c r="D1543" s="116">
        <v>667.75</v>
      </c>
      <c r="E1543" s="116">
        <v>678.85</v>
      </c>
      <c r="F1543" s="116">
        <v>675.7</v>
      </c>
      <c r="G1543">
        <v>34099</v>
      </c>
      <c r="H1543" s="116"/>
      <c r="I1543" s="116"/>
      <c r="L1543" s="170">
        <v>45677</v>
      </c>
      <c r="M1543" s="116">
        <v>675.75</v>
      </c>
      <c r="N1543" s="116">
        <v>680</v>
      </c>
      <c r="O1543" s="116">
        <v>666.1</v>
      </c>
      <c r="P1543" s="116">
        <v>675.2</v>
      </c>
      <c r="Q1543" s="116">
        <v>675.75</v>
      </c>
      <c r="R1543">
        <v>662550</v>
      </c>
    </row>
    <row r="1544" spans="1:18" x14ac:dyDescent="0.25">
      <c r="A1544" s="170">
        <v>45678</v>
      </c>
      <c r="B1544" s="116">
        <v>678.95</v>
      </c>
      <c r="C1544" s="116">
        <v>665.95</v>
      </c>
      <c r="D1544" s="116">
        <v>664.5</v>
      </c>
      <c r="E1544" s="116">
        <v>673.45</v>
      </c>
      <c r="F1544" s="116">
        <v>665.95</v>
      </c>
      <c r="G1544">
        <v>28287</v>
      </c>
      <c r="H1544" s="116"/>
      <c r="I1544" s="116"/>
      <c r="L1544" s="170">
        <v>45678</v>
      </c>
      <c r="M1544" s="116">
        <v>666.3</v>
      </c>
      <c r="N1544" s="116">
        <v>679</v>
      </c>
      <c r="O1544" s="116">
        <v>664.5</v>
      </c>
      <c r="P1544" s="116">
        <v>675.5</v>
      </c>
      <c r="Q1544" s="116">
        <v>666.3</v>
      </c>
      <c r="R1544">
        <v>695062</v>
      </c>
    </row>
    <row r="1545" spans="1:18" x14ac:dyDescent="0.25">
      <c r="A1545" s="170">
        <v>45679</v>
      </c>
      <c r="B1545" s="116">
        <v>672</v>
      </c>
      <c r="C1545" s="116">
        <v>654.79999999999995</v>
      </c>
      <c r="D1545" s="116">
        <v>642.5</v>
      </c>
      <c r="E1545" s="116">
        <v>672</v>
      </c>
      <c r="F1545" s="116">
        <v>654.79999999999995</v>
      </c>
      <c r="G1545">
        <v>36273</v>
      </c>
      <c r="H1545" s="116"/>
      <c r="I1545" s="116"/>
      <c r="L1545" s="170">
        <v>45679</v>
      </c>
      <c r="M1545" s="116">
        <v>655.35</v>
      </c>
      <c r="N1545" s="116">
        <v>669.85</v>
      </c>
      <c r="O1545" s="116">
        <v>642.5</v>
      </c>
      <c r="P1545" s="116">
        <v>666.65</v>
      </c>
      <c r="Q1545" s="116">
        <v>655.35</v>
      </c>
      <c r="R1545">
        <v>718254</v>
      </c>
    </row>
    <row r="1546" spans="1:18" x14ac:dyDescent="0.25">
      <c r="A1546" s="170">
        <v>45680</v>
      </c>
      <c r="B1546" s="116">
        <v>663.55</v>
      </c>
      <c r="C1546" s="116">
        <v>658.25</v>
      </c>
      <c r="D1546" s="116">
        <v>651.9</v>
      </c>
      <c r="E1546" s="116">
        <v>656</v>
      </c>
      <c r="F1546" s="116">
        <v>658.25</v>
      </c>
      <c r="G1546">
        <v>22716</v>
      </c>
      <c r="H1546" s="116"/>
      <c r="I1546" s="116"/>
      <c r="L1546" s="170">
        <v>45680</v>
      </c>
      <c r="M1546" s="116">
        <v>658.25</v>
      </c>
      <c r="N1546" s="116">
        <v>664.45</v>
      </c>
      <c r="O1546" s="116">
        <v>651.6</v>
      </c>
      <c r="P1546" s="116">
        <v>656</v>
      </c>
      <c r="Q1546" s="116">
        <v>658.25</v>
      </c>
      <c r="R1546">
        <v>491703</v>
      </c>
    </row>
    <row r="1547" spans="1:18" x14ac:dyDescent="0.25">
      <c r="A1547" s="170">
        <v>45681</v>
      </c>
      <c r="B1547" s="116">
        <v>663.95</v>
      </c>
      <c r="C1547" s="116">
        <v>641.79999999999995</v>
      </c>
      <c r="D1547" s="116">
        <v>638.4</v>
      </c>
      <c r="E1547" s="116">
        <v>662.8</v>
      </c>
      <c r="F1547" s="116">
        <v>641.79999999999995</v>
      </c>
      <c r="G1547">
        <v>55321</v>
      </c>
      <c r="H1547" s="116"/>
      <c r="I1547" s="116"/>
      <c r="L1547" s="170">
        <v>45681</v>
      </c>
      <c r="M1547" s="116">
        <v>641.5</v>
      </c>
      <c r="N1547" s="116">
        <v>663.7</v>
      </c>
      <c r="O1547" s="116">
        <v>638</v>
      </c>
      <c r="P1547" s="116">
        <v>660</v>
      </c>
      <c r="Q1547" s="116">
        <v>641.5</v>
      </c>
      <c r="R1547">
        <v>469301</v>
      </c>
    </row>
    <row r="1548" spans="1:18" x14ac:dyDescent="0.25">
      <c r="A1548" s="170">
        <v>45684</v>
      </c>
      <c r="B1548" s="116">
        <v>640</v>
      </c>
      <c r="C1548" s="116">
        <v>619.54999999999995</v>
      </c>
      <c r="D1548" s="116">
        <v>612.85</v>
      </c>
      <c r="E1548" s="116">
        <v>640</v>
      </c>
      <c r="F1548" s="116">
        <v>619.54999999999995</v>
      </c>
      <c r="G1548">
        <v>152457</v>
      </c>
      <c r="H1548" s="116"/>
      <c r="I1548" s="116"/>
      <c r="L1548" s="170">
        <v>45684</v>
      </c>
      <c r="M1548" s="116">
        <v>619.4</v>
      </c>
      <c r="N1548" s="116">
        <v>640.95000000000005</v>
      </c>
      <c r="O1548" s="116">
        <v>611.70000000000005</v>
      </c>
      <c r="P1548" s="116">
        <v>640.95000000000005</v>
      </c>
      <c r="Q1548" s="116">
        <v>619.4</v>
      </c>
      <c r="R1548">
        <v>1284696</v>
      </c>
    </row>
    <row r="1549" spans="1:18" x14ac:dyDescent="0.25">
      <c r="A1549" s="170">
        <v>45685</v>
      </c>
      <c r="B1549" s="116">
        <v>628</v>
      </c>
      <c r="C1549" s="116">
        <v>615.79999999999995</v>
      </c>
      <c r="D1549" s="116">
        <v>607.70000000000005</v>
      </c>
      <c r="E1549" s="116">
        <v>620</v>
      </c>
      <c r="F1549" s="116">
        <v>615.79999999999995</v>
      </c>
      <c r="G1549">
        <v>104365</v>
      </c>
      <c r="H1549" s="116"/>
      <c r="I1549" s="116"/>
      <c r="L1549" s="170">
        <v>45685</v>
      </c>
      <c r="M1549" s="116">
        <v>616.04999999999995</v>
      </c>
      <c r="N1549" s="116">
        <v>627.15</v>
      </c>
      <c r="O1549" s="116">
        <v>607.4</v>
      </c>
      <c r="P1549" s="116">
        <v>619.4</v>
      </c>
      <c r="Q1549" s="116">
        <v>616.04999999999995</v>
      </c>
      <c r="R1549">
        <v>790371</v>
      </c>
    </row>
    <row r="1550" spans="1:18" x14ac:dyDescent="0.25">
      <c r="A1550" s="170">
        <v>45686</v>
      </c>
      <c r="B1550" s="116">
        <v>628.20000000000005</v>
      </c>
      <c r="C1550" s="116">
        <v>623.79999999999995</v>
      </c>
      <c r="D1550" s="116">
        <v>612.54999999999995</v>
      </c>
      <c r="E1550" s="116">
        <v>618.15</v>
      </c>
      <c r="F1550" s="116">
        <v>623.79999999999995</v>
      </c>
      <c r="G1550">
        <v>62207</v>
      </c>
      <c r="H1550" s="116"/>
      <c r="I1550" s="116"/>
      <c r="L1550" s="170">
        <v>45686</v>
      </c>
      <c r="M1550" s="116">
        <v>623.85</v>
      </c>
      <c r="N1550" s="116">
        <v>628</v>
      </c>
      <c r="O1550" s="116">
        <v>613.04999999999995</v>
      </c>
      <c r="P1550" s="116">
        <v>616.85</v>
      </c>
      <c r="Q1550" s="116">
        <v>623.85</v>
      </c>
      <c r="R1550">
        <v>971739</v>
      </c>
    </row>
    <row r="1551" spans="1:18" x14ac:dyDescent="0.25">
      <c r="A1551" s="170">
        <v>45687</v>
      </c>
      <c r="B1551" s="116">
        <v>646.54999999999995</v>
      </c>
      <c r="C1551" s="116">
        <v>641</v>
      </c>
      <c r="D1551" s="116">
        <v>623</v>
      </c>
      <c r="E1551" s="116">
        <v>628.95000000000005</v>
      </c>
      <c r="F1551" s="116">
        <v>641</v>
      </c>
      <c r="G1551">
        <v>60194</v>
      </c>
      <c r="H1551" s="116"/>
      <c r="I1551" s="116"/>
      <c r="L1551" s="170">
        <v>45687</v>
      </c>
      <c r="M1551" s="116">
        <v>641.5</v>
      </c>
      <c r="N1551" s="116">
        <v>647.4</v>
      </c>
      <c r="O1551" s="116">
        <v>622.6</v>
      </c>
      <c r="P1551" s="116">
        <v>625</v>
      </c>
      <c r="Q1551" s="116">
        <v>641.5</v>
      </c>
      <c r="R1551">
        <v>1492699</v>
      </c>
    </row>
    <row r="1552" spans="1:18" x14ac:dyDescent="0.25">
      <c r="A1552" s="170">
        <v>45688</v>
      </c>
      <c r="B1552" s="116">
        <v>650.04999999999995</v>
      </c>
      <c r="C1552" s="116">
        <v>643.54999999999995</v>
      </c>
      <c r="D1552" s="116">
        <v>634.20000000000005</v>
      </c>
      <c r="E1552" s="116">
        <v>638.65</v>
      </c>
      <c r="F1552" s="116">
        <v>643.54999999999995</v>
      </c>
      <c r="G1552">
        <v>41749</v>
      </c>
      <c r="H1552" s="116"/>
      <c r="I1552" s="116"/>
      <c r="L1552" s="170">
        <v>45688</v>
      </c>
      <c r="M1552" s="116">
        <v>643.1</v>
      </c>
      <c r="N1552" s="116">
        <v>649.79999999999995</v>
      </c>
      <c r="O1552" s="116">
        <v>635</v>
      </c>
      <c r="P1552" s="116">
        <v>639.95000000000005</v>
      </c>
      <c r="Q1552" s="116">
        <v>643.1</v>
      </c>
      <c r="R1552">
        <v>895974</v>
      </c>
    </row>
    <row r="1553" spans="1:18" x14ac:dyDescent="0.25">
      <c r="A1553" s="170">
        <v>45689</v>
      </c>
      <c r="B1553" s="116">
        <v>654.45000000000005</v>
      </c>
      <c r="C1553" s="116">
        <v>633.70000000000005</v>
      </c>
      <c r="D1553" s="116">
        <v>626</v>
      </c>
      <c r="E1553" s="116">
        <v>649.85</v>
      </c>
      <c r="F1553" s="116">
        <v>633.70000000000005</v>
      </c>
      <c r="G1553">
        <v>62287</v>
      </c>
      <c r="H1553" s="116"/>
      <c r="I1553" s="116"/>
      <c r="L1553" s="170">
        <v>45689</v>
      </c>
      <c r="M1553" s="116">
        <v>634.75</v>
      </c>
      <c r="N1553" s="116">
        <v>654.4</v>
      </c>
      <c r="O1553" s="116">
        <v>625.75</v>
      </c>
      <c r="P1553" s="116">
        <v>647.5</v>
      </c>
      <c r="Q1553" s="116">
        <v>634.75</v>
      </c>
      <c r="R1553">
        <v>745119</v>
      </c>
    </row>
    <row r="1554" spans="1:18" x14ac:dyDescent="0.25">
      <c r="A1554" s="170">
        <v>45691</v>
      </c>
      <c r="B1554" s="116">
        <v>633.45000000000005</v>
      </c>
      <c r="C1554" s="116">
        <v>620.04999999999995</v>
      </c>
      <c r="D1554" s="116">
        <v>619</v>
      </c>
      <c r="E1554" s="116">
        <v>633.45000000000005</v>
      </c>
      <c r="F1554" s="116">
        <v>620.04999999999995</v>
      </c>
      <c r="G1554">
        <v>24452</v>
      </c>
      <c r="H1554" s="116"/>
      <c r="I1554" s="116"/>
      <c r="L1554" s="170">
        <v>45691</v>
      </c>
      <c r="M1554" s="116">
        <v>620.35</v>
      </c>
      <c r="N1554" s="116">
        <v>630.25</v>
      </c>
      <c r="O1554" s="116">
        <v>618.45000000000005</v>
      </c>
      <c r="P1554" s="116">
        <v>629.95000000000005</v>
      </c>
      <c r="Q1554" s="116">
        <v>620.35</v>
      </c>
      <c r="R1554">
        <v>467426</v>
      </c>
    </row>
    <row r="1555" spans="1:18" x14ac:dyDescent="0.25">
      <c r="A1555" s="170">
        <v>45692</v>
      </c>
      <c r="B1555" s="116">
        <v>632.4</v>
      </c>
      <c r="C1555" s="116">
        <v>628.70000000000005</v>
      </c>
      <c r="D1555" s="116">
        <v>622.5</v>
      </c>
      <c r="E1555" s="116">
        <v>625.85</v>
      </c>
      <c r="F1555" s="116">
        <v>628.70000000000005</v>
      </c>
      <c r="G1555">
        <v>16633</v>
      </c>
      <c r="H1555" s="116"/>
      <c r="I1555" s="116"/>
      <c r="L1555" s="170">
        <v>45692</v>
      </c>
      <c r="M1555" s="116">
        <v>628.95000000000005</v>
      </c>
      <c r="N1555" s="116">
        <v>634.35</v>
      </c>
      <c r="O1555" s="116">
        <v>622.79999999999995</v>
      </c>
      <c r="P1555" s="116">
        <v>626</v>
      </c>
      <c r="Q1555" s="116">
        <v>628.95000000000005</v>
      </c>
      <c r="R1555">
        <v>401005</v>
      </c>
    </row>
    <row r="1556" spans="1:18" x14ac:dyDescent="0.25">
      <c r="A1556" s="170">
        <v>45693</v>
      </c>
      <c r="B1556" s="116">
        <v>646.79999999999995</v>
      </c>
      <c r="C1556" s="116">
        <v>640.70000000000005</v>
      </c>
      <c r="D1556" s="116">
        <v>629</v>
      </c>
      <c r="E1556" s="116">
        <v>633.9</v>
      </c>
      <c r="F1556" s="116">
        <v>640.70000000000005</v>
      </c>
      <c r="G1556">
        <v>41463</v>
      </c>
      <c r="H1556" s="116"/>
      <c r="I1556" s="116"/>
      <c r="L1556" s="170">
        <v>45693</v>
      </c>
      <c r="M1556" s="116">
        <v>640.79999999999995</v>
      </c>
      <c r="N1556" s="116">
        <v>647.45000000000005</v>
      </c>
      <c r="O1556" s="116">
        <v>628.95000000000005</v>
      </c>
      <c r="P1556" s="116">
        <v>629</v>
      </c>
      <c r="Q1556" s="116">
        <v>640.79999999999995</v>
      </c>
      <c r="R1556">
        <v>522792</v>
      </c>
    </row>
    <row r="1557" spans="1:18" x14ac:dyDescent="0.25">
      <c r="A1557" s="170">
        <v>45694</v>
      </c>
      <c r="B1557" s="116">
        <v>645</v>
      </c>
      <c r="C1557" s="116">
        <v>634.20000000000005</v>
      </c>
      <c r="D1557" s="116">
        <v>632.1</v>
      </c>
      <c r="E1557" s="116">
        <v>641.04999999999995</v>
      </c>
      <c r="F1557" s="116">
        <v>634.20000000000005</v>
      </c>
      <c r="G1557">
        <v>16385</v>
      </c>
      <c r="H1557" s="116"/>
      <c r="I1557" s="116"/>
      <c r="L1557" s="170">
        <v>45694</v>
      </c>
      <c r="M1557" s="116">
        <v>634.70000000000005</v>
      </c>
      <c r="N1557" s="116">
        <v>645.75</v>
      </c>
      <c r="O1557" s="116">
        <v>631.35</v>
      </c>
      <c r="P1557" s="116">
        <v>645</v>
      </c>
      <c r="Q1557" s="116">
        <v>634.70000000000005</v>
      </c>
      <c r="R1557">
        <v>276724</v>
      </c>
    </row>
    <row r="1558" spans="1:18" x14ac:dyDescent="0.25">
      <c r="A1558" s="170">
        <v>45695</v>
      </c>
      <c r="B1558" s="116">
        <v>639</v>
      </c>
      <c r="C1558" s="116">
        <v>629.20000000000005</v>
      </c>
      <c r="D1558" s="116">
        <v>623</v>
      </c>
      <c r="E1558" s="116">
        <v>635.20000000000005</v>
      </c>
      <c r="F1558" s="116">
        <v>629.20000000000005</v>
      </c>
      <c r="G1558">
        <v>34512</v>
      </c>
      <c r="H1558" s="116"/>
      <c r="I1558" s="116"/>
      <c r="L1558" s="170">
        <v>45695</v>
      </c>
      <c r="M1558" s="116">
        <v>629.45000000000005</v>
      </c>
      <c r="N1558" s="116">
        <v>639.45000000000005</v>
      </c>
      <c r="O1558" s="116">
        <v>623</v>
      </c>
      <c r="P1558" s="116">
        <v>638.5</v>
      </c>
      <c r="Q1558" s="116">
        <v>629.45000000000005</v>
      </c>
      <c r="R1558">
        <v>412870</v>
      </c>
    </row>
    <row r="1559" spans="1:18" x14ac:dyDescent="0.25">
      <c r="A1559" s="170">
        <v>45698</v>
      </c>
      <c r="B1559" s="116">
        <v>639.54999999999995</v>
      </c>
      <c r="C1559" s="116">
        <v>608.45000000000005</v>
      </c>
      <c r="D1559" s="116">
        <v>605.95000000000005</v>
      </c>
      <c r="E1559" s="116">
        <v>639.54999999999995</v>
      </c>
      <c r="F1559" s="116">
        <v>608.45000000000005</v>
      </c>
      <c r="G1559">
        <v>26025</v>
      </c>
      <c r="H1559" s="116"/>
      <c r="I1559" s="116"/>
      <c r="L1559" s="170">
        <v>45698</v>
      </c>
      <c r="M1559" s="116">
        <v>608.54999999999995</v>
      </c>
      <c r="N1559" s="116">
        <v>645</v>
      </c>
      <c r="O1559" s="116">
        <v>605.20000000000005</v>
      </c>
      <c r="P1559" s="116">
        <v>634.75</v>
      </c>
      <c r="Q1559" s="116">
        <v>608.54999999999995</v>
      </c>
      <c r="R1559">
        <v>706920</v>
      </c>
    </row>
    <row r="1560" spans="1:18" x14ac:dyDescent="0.25">
      <c r="A1560" s="170">
        <v>45699</v>
      </c>
      <c r="B1560" s="116">
        <v>620.4</v>
      </c>
      <c r="C1560" s="116">
        <v>595.54999999999995</v>
      </c>
      <c r="D1560" s="116">
        <v>593.1</v>
      </c>
      <c r="E1560" s="116">
        <v>609.04999999999995</v>
      </c>
      <c r="F1560" s="116">
        <v>595.54999999999995</v>
      </c>
      <c r="G1560">
        <v>64224</v>
      </c>
      <c r="H1560" s="116"/>
      <c r="I1560" s="116"/>
      <c r="L1560" s="170">
        <v>45699</v>
      </c>
      <c r="M1560" s="116">
        <v>595.95000000000005</v>
      </c>
      <c r="N1560" s="116">
        <v>620.9</v>
      </c>
      <c r="O1560" s="116">
        <v>593</v>
      </c>
      <c r="P1560" s="116">
        <v>611.85</v>
      </c>
      <c r="Q1560" s="116">
        <v>595.95000000000005</v>
      </c>
      <c r="R1560">
        <v>1043269</v>
      </c>
    </row>
    <row r="1561" spans="1:18" x14ac:dyDescent="0.25">
      <c r="A1561" s="170">
        <v>45700</v>
      </c>
      <c r="B1561" s="116">
        <v>607.5</v>
      </c>
      <c r="C1561" s="116">
        <v>595.65</v>
      </c>
      <c r="D1561" s="116">
        <v>581.35</v>
      </c>
      <c r="E1561" s="116">
        <v>607.5</v>
      </c>
      <c r="F1561" s="116">
        <v>595.65</v>
      </c>
      <c r="G1561">
        <v>53006</v>
      </c>
      <c r="H1561" s="116"/>
      <c r="I1561" s="116"/>
      <c r="L1561" s="170">
        <v>45700</v>
      </c>
      <c r="M1561" s="116">
        <v>595.75</v>
      </c>
      <c r="N1561" s="116">
        <v>605</v>
      </c>
      <c r="O1561" s="116">
        <v>580.79999999999995</v>
      </c>
      <c r="P1561" s="116">
        <v>599</v>
      </c>
      <c r="Q1561" s="116">
        <v>595.75</v>
      </c>
      <c r="R1561">
        <v>860862</v>
      </c>
    </row>
    <row r="1562" spans="1:18" x14ac:dyDescent="0.25">
      <c r="A1562" s="170">
        <v>45701</v>
      </c>
      <c r="B1562" s="116">
        <v>608</v>
      </c>
      <c r="C1562" s="116">
        <v>596</v>
      </c>
      <c r="D1562" s="116">
        <v>590.85</v>
      </c>
      <c r="E1562" s="116">
        <v>607.6</v>
      </c>
      <c r="F1562" s="116">
        <v>596</v>
      </c>
      <c r="G1562">
        <v>40570</v>
      </c>
      <c r="H1562" s="116"/>
      <c r="I1562" s="116"/>
      <c r="L1562" s="170">
        <v>45701</v>
      </c>
      <c r="M1562" s="116">
        <v>597.20000000000005</v>
      </c>
      <c r="N1562" s="116">
        <v>608.5</v>
      </c>
      <c r="O1562" s="116">
        <v>590.5</v>
      </c>
      <c r="P1562" s="116">
        <v>601.9</v>
      </c>
      <c r="Q1562" s="116">
        <v>597.20000000000005</v>
      </c>
      <c r="R1562">
        <v>497015</v>
      </c>
    </row>
    <row r="1563" spans="1:18" x14ac:dyDescent="0.25">
      <c r="A1563" s="170">
        <v>45702</v>
      </c>
      <c r="B1563" s="116">
        <v>605</v>
      </c>
      <c r="C1563" s="116">
        <v>573.29999999999995</v>
      </c>
      <c r="D1563" s="116">
        <v>570</v>
      </c>
      <c r="E1563" s="116">
        <v>596.04999999999995</v>
      </c>
      <c r="F1563" s="116">
        <v>573.29999999999995</v>
      </c>
      <c r="G1563">
        <v>71236</v>
      </c>
      <c r="H1563" s="116"/>
      <c r="I1563" s="116"/>
      <c r="L1563" s="170">
        <v>45702</v>
      </c>
      <c r="M1563" s="116">
        <v>573.75</v>
      </c>
      <c r="N1563" s="116">
        <v>607</v>
      </c>
      <c r="O1563" s="116">
        <v>569.35</v>
      </c>
      <c r="P1563" s="116">
        <v>603</v>
      </c>
      <c r="Q1563" s="116">
        <v>573.75</v>
      </c>
      <c r="R1563">
        <v>823990</v>
      </c>
    </row>
    <row r="1564" spans="1:18" x14ac:dyDescent="0.25">
      <c r="A1564" s="170">
        <v>45705</v>
      </c>
      <c r="B1564" s="116">
        <v>579.45000000000005</v>
      </c>
      <c r="C1564" s="116">
        <v>574.29999999999995</v>
      </c>
      <c r="D1564" s="116">
        <v>561.54999999999995</v>
      </c>
      <c r="E1564" s="116">
        <v>571.04999999999995</v>
      </c>
      <c r="F1564" s="116">
        <v>574.29999999999995</v>
      </c>
      <c r="G1564">
        <v>39156</v>
      </c>
      <c r="H1564" s="116"/>
      <c r="I1564" s="116"/>
      <c r="L1564" s="170">
        <v>45705</v>
      </c>
      <c r="M1564" s="116">
        <v>574.45000000000005</v>
      </c>
      <c r="N1564" s="116">
        <v>579.35</v>
      </c>
      <c r="O1564" s="116">
        <v>560.85</v>
      </c>
      <c r="P1564" s="116">
        <v>573.70000000000005</v>
      </c>
      <c r="Q1564" s="116">
        <v>574.45000000000005</v>
      </c>
      <c r="R1564">
        <v>574202</v>
      </c>
    </row>
    <row r="1565" spans="1:18" x14ac:dyDescent="0.25">
      <c r="A1565" s="170">
        <v>45706</v>
      </c>
      <c r="B1565" s="116">
        <v>581.65</v>
      </c>
      <c r="C1565" s="116">
        <v>579.20000000000005</v>
      </c>
      <c r="D1565" s="116">
        <v>566.1</v>
      </c>
      <c r="E1565" s="116">
        <v>575.04999999999995</v>
      </c>
      <c r="F1565" s="116">
        <v>579.20000000000005</v>
      </c>
      <c r="G1565">
        <v>40256</v>
      </c>
      <c r="H1565" s="116"/>
      <c r="I1565" s="116"/>
      <c r="L1565" s="170">
        <v>45706</v>
      </c>
      <c r="M1565" s="116">
        <v>579.4</v>
      </c>
      <c r="N1565" s="116">
        <v>581.29999999999995</v>
      </c>
      <c r="O1565" s="116">
        <v>566</v>
      </c>
      <c r="P1565" s="116">
        <v>575.75</v>
      </c>
      <c r="Q1565" s="116">
        <v>579.4</v>
      </c>
      <c r="R1565">
        <v>583936</v>
      </c>
    </row>
    <row r="1566" spans="1:18" x14ac:dyDescent="0.25">
      <c r="A1566" s="170">
        <v>45707</v>
      </c>
      <c r="B1566" s="116">
        <v>584</v>
      </c>
      <c r="C1566" s="116">
        <v>582.35</v>
      </c>
      <c r="D1566" s="116">
        <v>564.85</v>
      </c>
      <c r="E1566" s="116">
        <v>570</v>
      </c>
      <c r="F1566" s="116">
        <v>582.35</v>
      </c>
      <c r="G1566">
        <v>20207</v>
      </c>
      <c r="H1566" s="116"/>
      <c r="I1566" s="116"/>
      <c r="L1566" s="170">
        <v>45707</v>
      </c>
      <c r="M1566" s="116">
        <v>582.65</v>
      </c>
      <c r="N1566" s="116">
        <v>583.95000000000005</v>
      </c>
      <c r="O1566" s="116">
        <v>564.79999999999995</v>
      </c>
      <c r="P1566" s="116">
        <v>567.6</v>
      </c>
      <c r="Q1566" s="116">
        <v>582.65</v>
      </c>
      <c r="R1566">
        <v>544265</v>
      </c>
    </row>
    <row r="1567" spans="1:18" x14ac:dyDescent="0.25">
      <c r="A1567" s="170">
        <v>45708</v>
      </c>
      <c r="B1567" s="116">
        <v>589.35</v>
      </c>
      <c r="C1567" s="116">
        <v>587.54999999999995</v>
      </c>
      <c r="D1567" s="116">
        <v>570.54999999999995</v>
      </c>
      <c r="E1567" s="116">
        <v>579.95000000000005</v>
      </c>
      <c r="F1567" s="116">
        <v>587.54999999999995</v>
      </c>
      <c r="G1567">
        <v>41537</v>
      </c>
      <c r="H1567" s="116"/>
      <c r="I1567" s="116"/>
      <c r="L1567" s="170">
        <v>45708</v>
      </c>
      <c r="M1567" s="116">
        <v>587.70000000000005</v>
      </c>
      <c r="N1567" s="116">
        <v>589.70000000000005</v>
      </c>
      <c r="O1567" s="116">
        <v>570.5</v>
      </c>
      <c r="P1567" s="116">
        <v>579.15</v>
      </c>
      <c r="Q1567" s="116">
        <v>587.70000000000005</v>
      </c>
      <c r="R1567">
        <v>577250</v>
      </c>
    </row>
    <row r="1568" spans="1:18" x14ac:dyDescent="0.25">
      <c r="A1568" s="170">
        <v>45709</v>
      </c>
      <c r="B1568" s="116">
        <v>600</v>
      </c>
      <c r="C1568" s="116">
        <v>582</v>
      </c>
      <c r="D1568" s="116">
        <v>579</v>
      </c>
      <c r="E1568" s="116">
        <v>585.65</v>
      </c>
      <c r="F1568" s="116">
        <v>582</v>
      </c>
      <c r="G1568">
        <v>20533</v>
      </c>
      <c r="H1568" s="116"/>
      <c r="I1568" s="116"/>
      <c r="L1568" s="170">
        <v>45709</v>
      </c>
      <c r="M1568" s="116">
        <v>581.75</v>
      </c>
      <c r="N1568" s="116">
        <v>600</v>
      </c>
      <c r="O1568" s="116">
        <v>578</v>
      </c>
      <c r="P1568" s="116">
        <v>590</v>
      </c>
      <c r="Q1568" s="116">
        <v>581.75</v>
      </c>
      <c r="R1568">
        <v>590970</v>
      </c>
    </row>
    <row r="1569" spans="1:18" x14ac:dyDescent="0.25">
      <c r="A1569" s="170">
        <v>45712</v>
      </c>
      <c r="B1569" s="116">
        <v>582</v>
      </c>
      <c r="C1569" s="116">
        <v>575.15</v>
      </c>
      <c r="D1569" s="116">
        <v>571.20000000000005</v>
      </c>
      <c r="E1569" s="116">
        <v>582</v>
      </c>
      <c r="F1569" s="116">
        <v>575.15</v>
      </c>
      <c r="G1569">
        <v>65055</v>
      </c>
      <c r="H1569" s="116"/>
      <c r="I1569" s="116"/>
      <c r="L1569" s="170">
        <v>45712</v>
      </c>
      <c r="M1569" s="116">
        <v>575.4</v>
      </c>
      <c r="N1569" s="116">
        <v>581.70000000000005</v>
      </c>
      <c r="O1569" s="116">
        <v>571.65</v>
      </c>
      <c r="P1569" s="116">
        <v>581.70000000000005</v>
      </c>
      <c r="Q1569" s="116">
        <v>575.4</v>
      </c>
      <c r="R1569">
        <v>437295</v>
      </c>
    </row>
    <row r="1570" spans="1:18" x14ac:dyDescent="0.25">
      <c r="A1570" s="170">
        <v>45713</v>
      </c>
      <c r="B1570" s="116">
        <v>593.9</v>
      </c>
      <c r="C1570" s="116">
        <v>578.45000000000005</v>
      </c>
      <c r="D1570" s="116">
        <v>566</v>
      </c>
      <c r="E1570" s="116">
        <v>575.15</v>
      </c>
      <c r="F1570" s="116">
        <v>578.45000000000005</v>
      </c>
      <c r="G1570">
        <v>111234</v>
      </c>
      <c r="H1570" s="116"/>
      <c r="I1570" s="116"/>
      <c r="L1570" s="170">
        <v>45713</v>
      </c>
      <c r="M1570" s="116">
        <v>579.04999999999995</v>
      </c>
      <c r="N1570" s="116">
        <v>593.95000000000005</v>
      </c>
      <c r="O1570" s="116">
        <v>565.65</v>
      </c>
      <c r="P1570" s="116">
        <v>575.4</v>
      </c>
      <c r="Q1570" s="116">
        <v>579.04999999999995</v>
      </c>
      <c r="R1570">
        <v>1266719</v>
      </c>
    </row>
    <row r="1571" spans="1:18" x14ac:dyDescent="0.25">
      <c r="A1571" s="170">
        <v>45715</v>
      </c>
      <c r="B1571" s="116">
        <v>596.6</v>
      </c>
      <c r="C1571" s="116">
        <v>580</v>
      </c>
      <c r="D1571" s="116">
        <v>573.20000000000005</v>
      </c>
      <c r="E1571" s="116">
        <v>583.25</v>
      </c>
      <c r="F1571" s="116">
        <v>580</v>
      </c>
      <c r="G1571">
        <v>54875</v>
      </c>
      <c r="H1571" s="116"/>
      <c r="I1571" s="116"/>
      <c r="L1571" s="170">
        <v>45715</v>
      </c>
      <c r="M1571" s="116">
        <v>580.75</v>
      </c>
      <c r="N1571" s="116">
        <v>596.6</v>
      </c>
      <c r="O1571" s="116">
        <v>572.85</v>
      </c>
      <c r="P1571" s="116">
        <v>583.04999999999995</v>
      </c>
      <c r="Q1571" s="116">
        <v>580.75</v>
      </c>
      <c r="R1571">
        <v>1468847</v>
      </c>
    </row>
    <row r="1572" spans="1:18" x14ac:dyDescent="0.25">
      <c r="A1572" s="170">
        <v>45716</v>
      </c>
      <c r="B1572" s="116">
        <v>576.5</v>
      </c>
      <c r="C1572" s="116">
        <v>556.95000000000005</v>
      </c>
      <c r="D1572" s="116">
        <v>554.79999999999995</v>
      </c>
      <c r="E1572" s="116">
        <v>574.25</v>
      </c>
      <c r="F1572" s="116">
        <v>556.95000000000005</v>
      </c>
      <c r="G1572">
        <v>62138</v>
      </c>
      <c r="H1572" s="116"/>
      <c r="I1572" s="116"/>
      <c r="L1572" s="170">
        <v>45716</v>
      </c>
      <c r="M1572" s="116">
        <v>557.15</v>
      </c>
      <c r="N1572" s="116">
        <v>579.85</v>
      </c>
      <c r="O1572" s="116">
        <v>555</v>
      </c>
      <c r="P1572" s="116">
        <v>579.85</v>
      </c>
      <c r="Q1572" s="116">
        <v>557.15</v>
      </c>
      <c r="R1572">
        <v>900373</v>
      </c>
    </row>
    <row r="1573" spans="1:18" x14ac:dyDescent="0.25">
      <c r="A1573" s="170">
        <v>45719</v>
      </c>
      <c r="B1573" s="116">
        <v>564.25</v>
      </c>
      <c r="C1573" s="116">
        <v>552.5</v>
      </c>
      <c r="D1573" s="116">
        <v>533</v>
      </c>
      <c r="E1573" s="116">
        <v>560</v>
      </c>
      <c r="F1573" s="116">
        <v>552.5</v>
      </c>
      <c r="G1573">
        <v>61161</v>
      </c>
      <c r="H1573" s="116"/>
      <c r="I1573" s="116"/>
      <c r="L1573" s="170">
        <v>45719</v>
      </c>
      <c r="M1573" s="116">
        <v>551.79999999999995</v>
      </c>
      <c r="N1573" s="116">
        <v>564.15</v>
      </c>
      <c r="O1573" s="116">
        <v>532.6</v>
      </c>
      <c r="P1573" s="116">
        <v>559.4</v>
      </c>
      <c r="Q1573" s="116">
        <v>551.79999999999995</v>
      </c>
      <c r="R1573">
        <v>1089227</v>
      </c>
    </row>
    <row r="1574" spans="1:18" x14ac:dyDescent="0.25">
      <c r="A1574" s="170">
        <v>45720</v>
      </c>
      <c r="B1574" s="116">
        <v>557.85</v>
      </c>
      <c r="C1574" s="116">
        <v>546.79999999999995</v>
      </c>
      <c r="D1574" s="116">
        <v>537.35</v>
      </c>
      <c r="E1574" s="116">
        <v>550.95000000000005</v>
      </c>
      <c r="F1574" s="116">
        <v>546.79999999999995</v>
      </c>
      <c r="G1574">
        <v>60948</v>
      </c>
      <c r="H1574" s="116"/>
      <c r="I1574" s="116"/>
      <c r="L1574" s="170">
        <v>45720</v>
      </c>
      <c r="M1574" s="116">
        <v>547.15</v>
      </c>
      <c r="N1574" s="116">
        <v>558</v>
      </c>
      <c r="O1574" s="116">
        <v>537.20000000000005</v>
      </c>
      <c r="P1574" s="116">
        <v>549.95000000000005</v>
      </c>
      <c r="Q1574" s="116">
        <v>547.15</v>
      </c>
      <c r="R1574">
        <v>621261</v>
      </c>
    </row>
    <row r="1575" spans="1:18" x14ac:dyDescent="0.25">
      <c r="A1575" s="170">
        <v>45721</v>
      </c>
      <c r="B1575" s="116">
        <v>599.79999999999995</v>
      </c>
      <c r="C1575" s="116">
        <v>588.9</v>
      </c>
      <c r="D1575" s="116">
        <v>545</v>
      </c>
      <c r="E1575" s="116">
        <v>546.25</v>
      </c>
      <c r="F1575" s="116">
        <v>588.9</v>
      </c>
      <c r="G1575">
        <v>113994</v>
      </c>
      <c r="H1575" s="116"/>
      <c r="I1575" s="116"/>
      <c r="L1575" s="170">
        <v>45721</v>
      </c>
      <c r="M1575" s="116">
        <v>589.9</v>
      </c>
      <c r="N1575" s="116">
        <v>600</v>
      </c>
      <c r="O1575" s="116">
        <v>544.35</v>
      </c>
      <c r="P1575" s="116">
        <v>545</v>
      </c>
      <c r="Q1575" s="116">
        <v>589.9</v>
      </c>
      <c r="R1575">
        <v>2608015</v>
      </c>
    </row>
    <row r="1576" spans="1:18" x14ac:dyDescent="0.25">
      <c r="A1576" s="170">
        <v>45722</v>
      </c>
      <c r="B1576" s="116">
        <v>602.04999999999995</v>
      </c>
      <c r="C1576" s="116">
        <v>595.1</v>
      </c>
      <c r="D1576" s="116">
        <v>583.9</v>
      </c>
      <c r="E1576" s="116">
        <v>590.15</v>
      </c>
      <c r="F1576" s="116">
        <v>595.1</v>
      </c>
      <c r="G1576">
        <v>62312</v>
      </c>
      <c r="H1576" s="116"/>
      <c r="I1576" s="116"/>
      <c r="L1576" s="170">
        <v>45722</v>
      </c>
      <c r="M1576" s="116">
        <v>595.9</v>
      </c>
      <c r="N1576" s="116">
        <v>602.5</v>
      </c>
      <c r="O1576" s="116">
        <v>583.29999999999995</v>
      </c>
      <c r="P1576" s="116">
        <v>589.25</v>
      </c>
      <c r="Q1576" s="116">
        <v>595.9</v>
      </c>
      <c r="R1576">
        <v>1180803</v>
      </c>
    </row>
    <row r="1577" spans="1:18" x14ac:dyDescent="0.25">
      <c r="A1577" s="170">
        <v>45723</v>
      </c>
      <c r="B1577" s="116">
        <v>609.5</v>
      </c>
      <c r="C1577" s="116">
        <v>607.35</v>
      </c>
      <c r="D1577" s="116">
        <v>591.5</v>
      </c>
      <c r="E1577" s="116">
        <v>600.79999999999995</v>
      </c>
      <c r="F1577" s="116">
        <v>607.35</v>
      </c>
      <c r="G1577">
        <v>47762</v>
      </c>
      <c r="H1577" s="116"/>
      <c r="I1577" s="116"/>
      <c r="L1577" s="170">
        <v>45723</v>
      </c>
      <c r="M1577" s="116">
        <v>607.20000000000005</v>
      </c>
      <c r="N1577" s="116">
        <v>609.5</v>
      </c>
      <c r="O1577" s="116">
        <v>591.25</v>
      </c>
      <c r="P1577" s="116">
        <v>596.75</v>
      </c>
      <c r="Q1577" s="116">
        <v>607.20000000000005</v>
      </c>
      <c r="R1577">
        <v>828175</v>
      </c>
    </row>
    <row r="1578" spans="1:18" x14ac:dyDescent="0.25">
      <c r="A1578" s="170">
        <v>45726</v>
      </c>
      <c r="B1578" s="116">
        <v>625.75</v>
      </c>
      <c r="C1578" s="116">
        <v>605.29999999999995</v>
      </c>
      <c r="D1578" s="116">
        <v>599.5</v>
      </c>
      <c r="E1578" s="116">
        <v>609.29999999999995</v>
      </c>
      <c r="F1578" s="116">
        <v>605.29999999999995</v>
      </c>
      <c r="G1578">
        <v>133048</v>
      </c>
      <c r="H1578" s="116"/>
      <c r="I1578" s="116"/>
      <c r="L1578" s="170">
        <v>45726</v>
      </c>
      <c r="M1578" s="116">
        <v>605.75</v>
      </c>
      <c r="N1578" s="116">
        <v>625.79999999999995</v>
      </c>
      <c r="O1578" s="116">
        <v>599.54999999999995</v>
      </c>
      <c r="P1578" s="116">
        <v>607.9</v>
      </c>
      <c r="Q1578" s="116">
        <v>605.75</v>
      </c>
      <c r="R1578">
        <v>1147590</v>
      </c>
    </row>
    <row r="1579" spans="1:18" x14ac:dyDescent="0.25">
      <c r="A1579" s="170">
        <v>45727</v>
      </c>
      <c r="B1579" s="116">
        <v>608.70000000000005</v>
      </c>
      <c r="C1579" s="116">
        <v>597.25</v>
      </c>
      <c r="D1579" s="116">
        <v>592.6</v>
      </c>
      <c r="E1579" s="116">
        <v>602.79999999999995</v>
      </c>
      <c r="F1579" s="116">
        <v>597.25</v>
      </c>
      <c r="G1579">
        <v>58963</v>
      </c>
      <c r="H1579" s="116"/>
      <c r="I1579" s="116"/>
      <c r="L1579" s="170">
        <v>45727</v>
      </c>
      <c r="M1579" s="116">
        <v>597.20000000000005</v>
      </c>
      <c r="N1579" s="116">
        <v>608.29999999999995</v>
      </c>
      <c r="O1579" s="116">
        <v>592.79999999999995</v>
      </c>
      <c r="P1579" s="116">
        <v>600</v>
      </c>
      <c r="Q1579" s="116">
        <v>597.20000000000005</v>
      </c>
      <c r="R1579">
        <v>676878</v>
      </c>
    </row>
    <row r="1580" spans="1:18" x14ac:dyDescent="0.25">
      <c r="A1580" s="170">
        <v>45728</v>
      </c>
      <c r="B1580" s="116">
        <v>605.79999999999995</v>
      </c>
      <c r="C1580" s="116">
        <v>600.4</v>
      </c>
      <c r="D1580" s="116">
        <v>579.9</v>
      </c>
      <c r="E1580" s="116">
        <v>598.5</v>
      </c>
      <c r="F1580" s="116">
        <v>600.4</v>
      </c>
      <c r="G1580">
        <v>101471</v>
      </c>
      <c r="H1580" s="116"/>
      <c r="I1580" s="116"/>
      <c r="L1580" s="170">
        <v>45728</v>
      </c>
      <c r="M1580" s="116">
        <v>600.5</v>
      </c>
      <c r="N1580" s="116">
        <v>605.79999999999995</v>
      </c>
      <c r="O1580" s="116">
        <v>580.9</v>
      </c>
      <c r="P1580" s="116">
        <v>600.95000000000005</v>
      </c>
      <c r="Q1580" s="116">
        <v>600.5</v>
      </c>
      <c r="R1580">
        <v>656356</v>
      </c>
    </row>
    <row r="1581" spans="1:18" x14ac:dyDescent="0.25">
      <c r="A1581" s="170">
        <v>45729</v>
      </c>
      <c r="B1581" s="116">
        <v>619.75</v>
      </c>
      <c r="C1581" s="116">
        <v>602.95000000000005</v>
      </c>
      <c r="D1581" s="116">
        <v>599</v>
      </c>
      <c r="E1581" s="116">
        <v>601</v>
      </c>
      <c r="F1581" s="116">
        <v>602.95000000000005</v>
      </c>
      <c r="G1581">
        <v>92055</v>
      </c>
      <c r="H1581" s="116"/>
      <c r="I1581" s="116"/>
      <c r="L1581" s="170">
        <v>45729</v>
      </c>
      <c r="M1581" s="116">
        <v>604.35</v>
      </c>
      <c r="N1581" s="116">
        <v>619.75</v>
      </c>
      <c r="O1581" s="116">
        <v>598.20000000000005</v>
      </c>
      <c r="P1581" s="116">
        <v>605</v>
      </c>
      <c r="Q1581" s="116">
        <v>604.35</v>
      </c>
      <c r="R1581">
        <v>1166429</v>
      </c>
    </row>
    <row r="1582" spans="1:18" x14ac:dyDescent="0.25">
      <c r="A1582" s="170">
        <v>45733</v>
      </c>
      <c r="B1582" s="116">
        <v>609.79999999999995</v>
      </c>
      <c r="C1582" s="116">
        <v>603.04999999999995</v>
      </c>
      <c r="D1582" s="116">
        <v>598.70000000000005</v>
      </c>
      <c r="E1582" s="116">
        <v>602.95000000000005</v>
      </c>
      <c r="F1582" s="116">
        <v>603.04999999999995</v>
      </c>
      <c r="G1582">
        <v>34032</v>
      </c>
      <c r="H1582" s="116"/>
      <c r="I1582" s="116"/>
      <c r="L1582" s="170">
        <v>45733</v>
      </c>
      <c r="M1582" s="116">
        <v>603.35</v>
      </c>
      <c r="N1582" s="116">
        <v>609.95000000000005</v>
      </c>
      <c r="O1582" s="116">
        <v>598.20000000000005</v>
      </c>
      <c r="P1582" s="116">
        <v>602</v>
      </c>
      <c r="Q1582" s="116">
        <v>603.35</v>
      </c>
      <c r="R1582">
        <v>746787</v>
      </c>
    </row>
    <row r="1583" spans="1:18" x14ac:dyDescent="0.25">
      <c r="A1583" s="170">
        <v>45734</v>
      </c>
      <c r="B1583" s="116">
        <v>610.85</v>
      </c>
      <c r="C1583" s="116">
        <v>609.25</v>
      </c>
      <c r="D1583" s="116">
        <v>604.15</v>
      </c>
      <c r="E1583" s="116">
        <v>608.65</v>
      </c>
      <c r="F1583" s="116">
        <v>609.25</v>
      </c>
      <c r="G1583">
        <v>34810</v>
      </c>
      <c r="H1583" s="116"/>
      <c r="I1583" s="116"/>
      <c r="L1583" s="170">
        <v>45734</v>
      </c>
      <c r="M1583" s="116">
        <v>609</v>
      </c>
      <c r="N1583" s="116">
        <v>611</v>
      </c>
      <c r="O1583" s="116">
        <v>604.1</v>
      </c>
      <c r="P1583" s="116">
        <v>607.9</v>
      </c>
      <c r="Q1583" s="116">
        <v>609</v>
      </c>
      <c r="R1583">
        <v>573899</v>
      </c>
    </row>
    <row r="1584" spans="1:18" x14ac:dyDescent="0.25">
      <c r="A1584" s="170">
        <v>45735</v>
      </c>
      <c r="B1584" s="116">
        <v>625.29999999999995</v>
      </c>
      <c r="C1584" s="116">
        <v>622.6</v>
      </c>
      <c r="D1584" s="116">
        <v>609.25</v>
      </c>
      <c r="E1584" s="116">
        <v>609.25</v>
      </c>
      <c r="F1584" s="116">
        <v>622.6</v>
      </c>
      <c r="G1584">
        <v>99218</v>
      </c>
      <c r="H1584" s="116"/>
      <c r="I1584" s="116"/>
      <c r="L1584" s="170">
        <v>45735</v>
      </c>
      <c r="M1584" s="116">
        <v>622.6</v>
      </c>
      <c r="N1584" s="116">
        <v>625.75</v>
      </c>
      <c r="O1584" s="116">
        <v>610</v>
      </c>
      <c r="P1584" s="116">
        <v>610</v>
      </c>
      <c r="Q1584" s="116">
        <v>622.6</v>
      </c>
      <c r="R1584">
        <v>809641</v>
      </c>
    </row>
    <row r="1585" spans="1:18" x14ac:dyDescent="0.25">
      <c r="A1585" s="170">
        <v>45736</v>
      </c>
      <c r="B1585" s="116">
        <v>635.54999999999995</v>
      </c>
      <c r="C1585" s="116">
        <v>619.35</v>
      </c>
      <c r="D1585" s="116">
        <v>615.6</v>
      </c>
      <c r="E1585" s="116">
        <v>631</v>
      </c>
      <c r="F1585" s="116">
        <v>619.35</v>
      </c>
      <c r="G1585">
        <v>123018</v>
      </c>
      <c r="H1585" s="116"/>
      <c r="I1585" s="116"/>
      <c r="L1585" s="170">
        <v>45736</v>
      </c>
      <c r="M1585" s="116">
        <v>619.65</v>
      </c>
      <c r="N1585" s="116">
        <v>635.75</v>
      </c>
      <c r="O1585" s="116">
        <v>615.25</v>
      </c>
      <c r="P1585" s="116">
        <v>632</v>
      </c>
      <c r="Q1585" s="116">
        <v>619.65</v>
      </c>
      <c r="R1585">
        <v>1008769</v>
      </c>
    </row>
    <row r="1586" spans="1:18" x14ac:dyDescent="0.25">
      <c r="A1586" s="170">
        <v>45737</v>
      </c>
      <c r="B1586" s="116">
        <v>637.65</v>
      </c>
      <c r="C1586" s="116">
        <v>630.75</v>
      </c>
      <c r="D1586" s="116">
        <v>618.85</v>
      </c>
      <c r="E1586" s="116">
        <v>623</v>
      </c>
      <c r="F1586" s="116">
        <v>630.75</v>
      </c>
      <c r="G1586">
        <v>64791</v>
      </c>
      <c r="H1586" s="116"/>
      <c r="I1586" s="116"/>
      <c r="L1586" s="170">
        <v>45737</v>
      </c>
      <c r="M1586" s="116">
        <v>630.70000000000005</v>
      </c>
      <c r="N1586" s="116">
        <v>638</v>
      </c>
      <c r="O1586" s="116">
        <v>619</v>
      </c>
      <c r="P1586" s="116">
        <v>623.95000000000005</v>
      </c>
      <c r="Q1586" s="116">
        <v>630.70000000000005</v>
      </c>
      <c r="R1586">
        <v>1169489</v>
      </c>
    </row>
    <row r="1587" spans="1:18" x14ac:dyDescent="0.25">
      <c r="A1587" s="170">
        <v>45740</v>
      </c>
      <c r="B1587" s="116">
        <v>644.75</v>
      </c>
      <c r="C1587" s="116">
        <v>625.25</v>
      </c>
      <c r="D1587" s="116">
        <v>623.4</v>
      </c>
      <c r="E1587" s="116">
        <v>635</v>
      </c>
      <c r="F1587" s="116">
        <v>625.25</v>
      </c>
      <c r="G1587">
        <v>100596</v>
      </c>
      <c r="H1587" s="116"/>
      <c r="I1587" s="116"/>
      <c r="L1587" s="170">
        <v>45740</v>
      </c>
      <c r="M1587" s="116">
        <v>625.1</v>
      </c>
      <c r="N1587" s="116">
        <v>641.9</v>
      </c>
      <c r="O1587" s="116">
        <v>623</v>
      </c>
      <c r="P1587" s="116">
        <v>635.65</v>
      </c>
      <c r="Q1587" s="116">
        <v>625.1</v>
      </c>
      <c r="R1587">
        <v>703039</v>
      </c>
    </row>
    <row r="1588" spans="1:18" x14ac:dyDescent="0.25">
      <c r="A1588" s="170">
        <v>45741</v>
      </c>
      <c r="B1588" s="116">
        <v>632</v>
      </c>
      <c r="C1588" s="116">
        <v>607.04999999999995</v>
      </c>
      <c r="D1588" s="116">
        <v>603.9</v>
      </c>
      <c r="E1588" s="116">
        <v>632</v>
      </c>
      <c r="F1588" s="116">
        <v>607.04999999999995</v>
      </c>
      <c r="G1588">
        <v>120139</v>
      </c>
      <c r="H1588" s="116"/>
      <c r="I1588" s="116"/>
      <c r="L1588" s="170">
        <v>45741</v>
      </c>
      <c r="M1588" s="116">
        <v>607.75</v>
      </c>
      <c r="N1588" s="116">
        <v>631.15</v>
      </c>
      <c r="O1588" s="116">
        <v>603.95000000000005</v>
      </c>
      <c r="P1588" s="116">
        <v>625.4</v>
      </c>
      <c r="Q1588" s="116">
        <v>607.75</v>
      </c>
      <c r="R1588">
        <v>891269</v>
      </c>
    </row>
    <row r="1589" spans="1:18" x14ac:dyDescent="0.25">
      <c r="A1589" s="170">
        <v>45742</v>
      </c>
      <c r="B1589" s="116">
        <v>618.6</v>
      </c>
      <c r="C1589" s="116">
        <v>598.04999999999995</v>
      </c>
      <c r="D1589" s="116">
        <v>596.65</v>
      </c>
      <c r="E1589" s="116">
        <v>605.20000000000005</v>
      </c>
      <c r="F1589" s="116">
        <v>598.04999999999995</v>
      </c>
      <c r="G1589">
        <v>73760</v>
      </c>
      <c r="H1589" s="116"/>
      <c r="I1589" s="116"/>
      <c r="L1589" s="170">
        <v>45742</v>
      </c>
      <c r="M1589" s="116">
        <v>598.04999999999995</v>
      </c>
      <c r="N1589" s="116">
        <v>618.75</v>
      </c>
      <c r="O1589" s="116">
        <v>596.70000000000005</v>
      </c>
      <c r="P1589" s="116">
        <v>607.75</v>
      </c>
      <c r="Q1589" s="116">
        <v>598.04999999999995</v>
      </c>
      <c r="R1589">
        <v>1097890</v>
      </c>
    </row>
    <row r="1590" spans="1:18" x14ac:dyDescent="0.25">
      <c r="A1590" s="170">
        <v>45743</v>
      </c>
      <c r="B1590" s="116">
        <v>617</v>
      </c>
      <c r="C1590" s="116">
        <v>611.95000000000005</v>
      </c>
      <c r="D1590" s="116">
        <v>595.35</v>
      </c>
      <c r="E1590" s="116">
        <v>597.9</v>
      </c>
      <c r="F1590" s="116">
        <v>611.95000000000005</v>
      </c>
      <c r="G1590">
        <v>229178</v>
      </c>
      <c r="H1590" s="116"/>
      <c r="I1590" s="116"/>
      <c r="L1590" s="170">
        <v>45743</v>
      </c>
      <c r="M1590" s="116">
        <v>611.9</v>
      </c>
      <c r="N1590" s="116">
        <v>617.20000000000005</v>
      </c>
      <c r="O1590" s="116">
        <v>595.6</v>
      </c>
      <c r="P1590" s="116">
        <v>597.20000000000005</v>
      </c>
      <c r="Q1590" s="116">
        <v>611.9</v>
      </c>
      <c r="R1590">
        <v>6804918</v>
      </c>
    </row>
    <row r="1591" spans="1:18" x14ac:dyDescent="0.25">
      <c r="A1591" s="170">
        <v>45744</v>
      </c>
      <c r="B1591" s="116">
        <v>632.54999999999995</v>
      </c>
      <c r="C1591" s="116">
        <v>601.70000000000005</v>
      </c>
      <c r="D1591" s="116">
        <v>599</v>
      </c>
      <c r="E1591" s="116">
        <v>614.1</v>
      </c>
      <c r="F1591" s="116">
        <v>601.70000000000005</v>
      </c>
      <c r="G1591">
        <v>293450</v>
      </c>
      <c r="H1591" s="116"/>
      <c r="I1591" s="116"/>
      <c r="L1591" s="170">
        <v>45744</v>
      </c>
      <c r="M1591" s="116">
        <v>602.6</v>
      </c>
      <c r="N1591" s="116">
        <v>632.5</v>
      </c>
      <c r="O1591" s="116">
        <v>599.79999999999995</v>
      </c>
      <c r="P1591" s="116">
        <v>615.29999999999995</v>
      </c>
      <c r="Q1591" s="116">
        <v>602.6</v>
      </c>
      <c r="R1591">
        <v>1764020</v>
      </c>
    </row>
    <row r="1592" spans="1:18" x14ac:dyDescent="0.25">
      <c r="A1592" s="170">
        <v>45748</v>
      </c>
      <c r="B1592" s="116">
        <v>602.6</v>
      </c>
      <c r="C1592" s="116">
        <v>591.75</v>
      </c>
      <c r="D1592" s="116">
        <v>580.79999999999995</v>
      </c>
      <c r="E1592" s="116">
        <v>597.95000000000005</v>
      </c>
      <c r="F1592" s="116">
        <v>591.75</v>
      </c>
      <c r="G1592">
        <v>75906</v>
      </c>
      <c r="H1592" s="116"/>
      <c r="I1592" s="116"/>
      <c r="L1592" s="170">
        <v>45748</v>
      </c>
      <c r="M1592" s="116">
        <v>592.15</v>
      </c>
      <c r="N1592" s="116">
        <v>602.85</v>
      </c>
      <c r="O1592" s="116">
        <v>581.35</v>
      </c>
      <c r="P1592" s="116">
        <v>599.04999999999995</v>
      </c>
      <c r="Q1592" s="116">
        <v>592.15</v>
      </c>
      <c r="R1592">
        <v>1551248</v>
      </c>
    </row>
    <row r="1593" spans="1:18" x14ac:dyDescent="0.25">
      <c r="A1593" s="170">
        <v>45749</v>
      </c>
      <c r="B1593" s="116">
        <v>604.85</v>
      </c>
      <c r="C1593" s="116">
        <v>598.85</v>
      </c>
      <c r="D1593" s="116">
        <v>578.1</v>
      </c>
      <c r="E1593" s="116">
        <v>604.85</v>
      </c>
      <c r="F1593" s="116">
        <v>598.85</v>
      </c>
      <c r="G1593">
        <v>89677</v>
      </c>
      <c r="H1593" s="116"/>
      <c r="I1593" s="116"/>
      <c r="L1593" s="170">
        <v>45749</v>
      </c>
      <c r="M1593" s="116">
        <v>598.75</v>
      </c>
      <c r="N1593" s="116">
        <v>601</v>
      </c>
      <c r="O1593" s="116">
        <v>578.1</v>
      </c>
      <c r="P1593" s="116">
        <v>595</v>
      </c>
      <c r="Q1593" s="116">
        <v>598.75</v>
      </c>
      <c r="R1593">
        <v>1329369</v>
      </c>
    </row>
    <row r="1594" spans="1:18" x14ac:dyDescent="0.25">
      <c r="A1594" s="170">
        <v>45750</v>
      </c>
      <c r="B1594" s="116">
        <v>610.15</v>
      </c>
      <c r="C1594" s="116">
        <v>605.1</v>
      </c>
      <c r="D1594" s="116">
        <v>589.35</v>
      </c>
      <c r="E1594" s="116">
        <v>592.04999999999995</v>
      </c>
      <c r="F1594" s="116">
        <v>605.1</v>
      </c>
      <c r="G1594">
        <v>101554</v>
      </c>
      <c r="H1594" s="116"/>
      <c r="I1594" s="116"/>
      <c r="L1594" s="170">
        <v>45750</v>
      </c>
      <c r="M1594" s="116">
        <v>605.04999999999995</v>
      </c>
      <c r="N1594" s="116">
        <v>610</v>
      </c>
      <c r="O1594" s="116">
        <v>589.25</v>
      </c>
      <c r="P1594" s="116">
        <v>593.45000000000005</v>
      </c>
      <c r="Q1594" s="116">
        <v>605.04999999999995</v>
      </c>
      <c r="R1594">
        <v>1080140</v>
      </c>
    </row>
    <row r="1595" spans="1:18" x14ac:dyDescent="0.25">
      <c r="A1595" s="170">
        <v>45751</v>
      </c>
      <c r="B1595" s="116">
        <v>608.4</v>
      </c>
      <c r="C1595" s="116">
        <v>591.65</v>
      </c>
      <c r="D1595" s="116">
        <v>587.6</v>
      </c>
      <c r="E1595" s="116">
        <v>605.1</v>
      </c>
      <c r="F1595" s="116">
        <v>591.65</v>
      </c>
      <c r="G1595">
        <v>106258</v>
      </c>
      <c r="H1595" s="116"/>
      <c r="I1595" s="116"/>
      <c r="L1595" s="170">
        <v>45751</v>
      </c>
      <c r="M1595" s="116">
        <v>591.29999999999995</v>
      </c>
      <c r="N1595" s="116">
        <v>608.54999999999995</v>
      </c>
      <c r="O1595" s="116">
        <v>587.1</v>
      </c>
      <c r="P1595" s="116">
        <v>606</v>
      </c>
      <c r="Q1595" s="116">
        <v>591.29999999999995</v>
      </c>
      <c r="R1595">
        <v>885521</v>
      </c>
    </row>
    <row r="1596" spans="1:18" x14ac:dyDescent="0.25">
      <c r="A1596" s="170">
        <v>45754</v>
      </c>
      <c r="B1596" s="116">
        <v>578.70000000000005</v>
      </c>
      <c r="C1596" s="116">
        <v>569.85</v>
      </c>
      <c r="D1596" s="116">
        <v>541.15</v>
      </c>
      <c r="E1596" s="116">
        <v>541.15</v>
      </c>
      <c r="F1596" s="116">
        <v>569.85</v>
      </c>
      <c r="G1596">
        <v>143374</v>
      </c>
      <c r="H1596" s="116"/>
      <c r="I1596" s="116"/>
      <c r="L1596" s="170">
        <v>45754</v>
      </c>
      <c r="M1596" s="116">
        <v>569.70000000000005</v>
      </c>
      <c r="N1596" s="116">
        <v>578.75</v>
      </c>
      <c r="O1596" s="116">
        <v>545.5</v>
      </c>
      <c r="P1596" s="116">
        <v>545.5</v>
      </c>
      <c r="Q1596" s="116">
        <v>569.70000000000005</v>
      </c>
      <c r="R1596">
        <v>815626</v>
      </c>
    </row>
    <row r="1597" spans="1:18" x14ac:dyDescent="0.25">
      <c r="A1597" s="170">
        <v>45755</v>
      </c>
      <c r="B1597" s="116">
        <v>588.95000000000005</v>
      </c>
      <c r="C1597" s="116">
        <v>585.29999999999995</v>
      </c>
      <c r="D1597" s="116">
        <v>575.6</v>
      </c>
      <c r="E1597" s="116">
        <v>583.15</v>
      </c>
      <c r="F1597" s="116">
        <v>585.29999999999995</v>
      </c>
      <c r="G1597">
        <v>72580</v>
      </c>
      <c r="H1597" s="116"/>
      <c r="I1597" s="116"/>
      <c r="L1597" s="170">
        <v>45755</v>
      </c>
      <c r="M1597" s="116">
        <v>584.95000000000005</v>
      </c>
      <c r="N1597" s="116">
        <v>590</v>
      </c>
      <c r="O1597" s="116">
        <v>575.5</v>
      </c>
      <c r="P1597" s="116">
        <v>587.65</v>
      </c>
      <c r="Q1597" s="116">
        <v>584.95000000000005</v>
      </c>
      <c r="R1597">
        <v>585513</v>
      </c>
    </row>
    <row r="1598" spans="1:18" x14ac:dyDescent="0.25">
      <c r="A1598" s="170">
        <v>45756</v>
      </c>
      <c r="B1598" s="116">
        <v>585.95000000000005</v>
      </c>
      <c r="C1598" s="116">
        <v>579.54999999999995</v>
      </c>
      <c r="D1598" s="116">
        <v>576.4</v>
      </c>
      <c r="E1598" s="116">
        <v>580.79999999999995</v>
      </c>
      <c r="F1598" s="116">
        <v>579.54999999999995</v>
      </c>
      <c r="G1598">
        <v>53118</v>
      </c>
      <c r="H1598" s="116"/>
      <c r="I1598" s="116"/>
      <c r="L1598" s="170">
        <v>45756</v>
      </c>
      <c r="M1598" s="116">
        <v>579.4</v>
      </c>
      <c r="N1598" s="116">
        <v>586</v>
      </c>
      <c r="O1598" s="116">
        <v>576.4</v>
      </c>
      <c r="P1598" s="116">
        <v>584</v>
      </c>
      <c r="Q1598" s="116">
        <v>579.4</v>
      </c>
      <c r="R1598">
        <v>348619</v>
      </c>
    </row>
    <row r="1599" spans="1:18" x14ac:dyDescent="0.25">
      <c r="A1599" s="170">
        <v>45758</v>
      </c>
      <c r="B1599" s="116">
        <v>601.25</v>
      </c>
      <c r="C1599" s="116">
        <v>592</v>
      </c>
      <c r="D1599" s="116">
        <v>587.4</v>
      </c>
      <c r="E1599" s="116">
        <v>594.25</v>
      </c>
      <c r="F1599" s="116">
        <v>592</v>
      </c>
      <c r="G1599">
        <v>84047</v>
      </c>
      <c r="H1599" s="116"/>
      <c r="I1599" s="116"/>
      <c r="L1599" s="170">
        <v>45758</v>
      </c>
      <c r="M1599" s="116">
        <v>592.04999999999995</v>
      </c>
      <c r="N1599" s="116">
        <v>601.20000000000005</v>
      </c>
      <c r="O1599" s="116">
        <v>587.6</v>
      </c>
      <c r="P1599" s="116">
        <v>598</v>
      </c>
      <c r="Q1599" s="116">
        <v>592.04999999999995</v>
      </c>
      <c r="R1599">
        <v>650826</v>
      </c>
    </row>
    <row r="1600" spans="1:18" x14ac:dyDescent="0.25">
      <c r="A1600" s="170">
        <v>45762</v>
      </c>
      <c r="B1600" s="116">
        <v>612.35</v>
      </c>
      <c r="C1600" s="116">
        <v>611.25</v>
      </c>
      <c r="D1600" s="116">
        <v>596.9</v>
      </c>
      <c r="E1600" s="116">
        <v>601.95000000000005</v>
      </c>
      <c r="F1600" s="116">
        <v>611.25</v>
      </c>
      <c r="G1600">
        <v>48841</v>
      </c>
      <c r="H1600" s="116"/>
      <c r="I1600" s="116"/>
      <c r="L1600" s="170">
        <v>45762</v>
      </c>
      <c r="M1600" s="116">
        <v>610.65</v>
      </c>
      <c r="N1600" s="116">
        <v>612.15</v>
      </c>
      <c r="O1600" s="116">
        <v>596.54999999999995</v>
      </c>
      <c r="P1600" s="116">
        <v>600</v>
      </c>
      <c r="Q1600" s="116">
        <v>610.65</v>
      </c>
      <c r="R1600">
        <v>716934</v>
      </c>
    </row>
    <row r="1601" spans="1:18" x14ac:dyDescent="0.25">
      <c r="A1601" s="170">
        <v>45763</v>
      </c>
      <c r="B1601" s="116">
        <v>610.45000000000005</v>
      </c>
      <c r="C1601" s="116">
        <v>608.1</v>
      </c>
      <c r="D1601" s="116">
        <v>602.20000000000005</v>
      </c>
      <c r="E1601" s="116">
        <v>602.20000000000005</v>
      </c>
      <c r="F1601" s="116">
        <v>608.1</v>
      </c>
      <c r="G1601">
        <v>117635</v>
      </c>
      <c r="H1601" s="116"/>
      <c r="I1601" s="116"/>
      <c r="L1601" s="170">
        <v>45763</v>
      </c>
      <c r="M1601" s="116">
        <v>608</v>
      </c>
      <c r="N1601" s="116">
        <v>610.54999999999995</v>
      </c>
      <c r="O1601" s="116">
        <v>601.04999999999995</v>
      </c>
      <c r="P1601" s="116">
        <v>603</v>
      </c>
      <c r="Q1601" s="116">
        <v>608</v>
      </c>
      <c r="R1601">
        <v>560440</v>
      </c>
    </row>
    <row r="1602" spans="1:18" x14ac:dyDescent="0.25">
      <c r="A1602" s="170">
        <v>45764</v>
      </c>
      <c r="B1602" s="116">
        <v>621.85</v>
      </c>
      <c r="C1602" s="116">
        <v>608.54999999999995</v>
      </c>
      <c r="D1602" s="116">
        <v>603</v>
      </c>
      <c r="E1602" s="116">
        <v>608.1</v>
      </c>
      <c r="F1602" s="116">
        <v>608.54999999999995</v>
      </c>
      <c r="G1602">
        <v>191038</v>
      </c>
      <c r="H1602" s="116"/>
      <c r="I1602" s="116"/>
      <c r="L1602" s="170">
        <v>45764</v>
      </c>
      <c r="M1602" s="116">
        <v>608.25</v>
      </c>
      <c r="N1602" s="116">
        <v>622.25</v>
      </c>
      <c r="O1602" s="116">
        <v>604</v>
      </c>
      <c r="P1602" s="116">
        <v>607.9</v>
      </c>
      <c r="Q1602" s="116">
        <v>608.25</v>
      </c>
      <c r="R1602">
        <v>928948</v>
      </c>
    </row>
    <row r="1603" spans="1:18" x14ac:dyDescent="0.25">
      <c r="A1603" s="170">
        <v>45768</v>
      </c>
      <c r="B1603" s="116">
        <v>626.54999999999995</v>
      </c>
      <c r="C1603" s="116">
        <v>624</v>
      </c>
      <c r="D1603" s="116">
        <v>608.65</v>
      </c>
      <c r="E1603" s="116">
        <v>610.1</v>
      </c>
      <c r="F1603" s="116">
        <v>624</v>
      </c>
      <c r="G1603">
        <v>147889</v>
      </c>
      <c r="H1603" s="116"/>
      <c r="I1603" s="116"/>
      <c r="L1603" s="170">
        <v>45768</v>
      </c>
      <c r="M1603" s="116">
        <v>624.25</v>
      </c>
      <c r="N1603" s="116">
        <v>627.25</v>
      </c>
      <c r="O1603" s="116">
        <v>609</v>
      </c>
      <c r="P1603" s="116">
        <v>614</v>
      </c>
      <c r="Q1603" s="116">
        <v>624.25</v>
      </c>
      <c r="R1603">
        <v>868598</v>
      </c>
    </row>
    <row r="1604" spans="1:18" x14ac:dyDescent="0.25">
      <c r="A1604" s="170">
        <v>45769</v>
      </c>
      <c r="B1604" s="116">
        <v>634.15</v>
      </c>
      <c r="C1604" s="116">
        <v>620.6</v>
      </c>
      <c r="D1604" s="116">
        <v>618.5</v>
      </c>
      <c r="E1604" s="116">
        <v>629.54999999999995</v>
      </c>
      <c r="F1604" s="116">
        <v>620.6</v>
      </c>
      <c r="G1604">
        <v>53494</v>
      </c>
      <c r="H1604" s="116"/>
      <c r="I1604" s="116"/>
      <c r="L1604" s="170">
        <v>45769</v>
      </c>
      <c r="M1604" s="116">
        <v>620.85</v>
      </c>
      <c r="N1604" s="116">
        <v>634</v>
      </c>
      <c r="O1604" s="116">
        <v>618.1</v>
      </c>
      <c r="P1604" s="116">
        <v>627.20000000000005</v>
      </c>
      <c r="Q1604" s="116">
        <v>620.85</v>
      </c>
      <c r="R1604">
        <v>668294</v>
      </c>
    </row>
    <row r="1605" spans="1:18" x14ac:dyDescent="0.25">
      <c r="A1605" s="170">
        <v>45770</v>
      </c>
      <c r="B1605" s="116">
        <v>629.75</v>
      </c>
      <c r="C1605" s="116">
        <v>626.95000000000005</v>
      </c>
      <c r="D1605" s="116">
        <v>619.65</v>
      </c>
      <c r="E1605" s="116">
        <v>625</v>
      </c>
      <c r="F1605" s="116">
        <v>626.95000000000005</v>
      </c>
      <c r="G1605">
        <v>49086</v>
      </c>
      <c r="H1605" s="116"/>
      <c r="I1605" s="116"/>
      <c r="L1605" s="170">
        <v>45770</v>
      </c>
      <c r="M1605" s="116">
        <v>626.5</v>
      </c>
      <c r="N1605" s="116">
        <v>629.9</v>
      </c>
      <c r="O1605" s="116">
        <v>619.35</v>
      </c>
      <c r="P1605" s="116">
        <v>621.95000000000005</v>
      </c>
      <c r="Q1605" s="116">
        <v>626.5</v>
      </c>
      <c r="R1605">
        <v>584430</v>
      </c>
    </row>
    <row r="1606" spans="1:18" x14ac:dyDescent="0.25">
      <c r="A1606" s="170">
        <v>45771</v>
      </c>
      <c r="B1606" s="116">
        <v>631.29999999999995</v>
      </c>
      <c r="C1606" s="116">
        <v>625.04999999999995</v>
      </c>
      <c r="D1606" s="116">
        <v>621.4</v>
      </c>
      <c r="E1606" s="116">
        <v>626.95000000000005</v>
      </c>
      <c r="F1606" s="116">
        <v>625.04999999999995</v>
      </c>
      <c r="G1606">
        <v>87558</v>
      </c>
      <c r="H1606" s="116"/>
      <c r="I1606" s="116"/>
      <c r="L1606" s="170">
        <v>45771</v>
      </c>
      <c r="M1606" s="116">
        <v>624.95000000000005</v>
      </c>
      <c r="N1606" s="116">
        <v>631.75</v>
      </c>
      <c r="O1606" s="116">
        <v>621.54999999999995</v>
      </c>
      <c r="P1606" s="116">
        <v>626</v>
      </c>
      <c r="Q1606" s="116">
        <v>624.95000000000005</v>
      </c>
      <c r="R1606">
        <v>600192</v>
      </c>
    </row>
    <row r="1607" spans="1:18" x14ac:dyDescent="0.25">
      <c r="A1607" s="170">
        <v>45772</v>
      </c>
      <c r="B1607" s="116">
        <v>626.95000000000005</v>
      </c>
      <c r="C1607" s="116">
        <v>599.75</v>
      </c>
      <c r="D1607" s="116">
        <v>594.15</v>
      </c>
      <c r="E1607" s="116">
        <v>625.04999999999995</v>
      </c>
      <c r="F1607" s="116">
        <v>599.75</v>
      </c>
      <c r="G1607">
        <v>145802</v>
      </c>
      <c r="H1607" s="116"/>
      <c r="I1607" s="116"/>
      <c r="L1607" s="170">
        <v>45772</v>
      </c>
      <c r="M1607" s="116">
        <v>600</v>
      </c>
      <c r="N1607" s="116">
        <v>629</v>
      </c>
      <c r="O1607" s="116">
        <v>594</v>
      </c>
      <c r="P1607" s="116">
        <v>626</v>
      </c>
      <c r="Q1607" s="116">
        <v>600</v>
      </c>
      <c r="R1607">
        <v>902183</v>
      </c>
    </row>
    <row r="1608" spans="1:18" x14ac:dyDescent="0.25">
      <c r="A1608" s="170">
        <v>45775</v>
      </c>
      <c r="B1608" s="116">
        <v>622.4</v>
      </c>
      <c r="C1608" s="116">
        <v>617.04999999999995</v>
      </c>
      <c r="D1608" s="116">
        <v>600</v>
      </c>
      <c r="E1608" s="116">
        <v>600</v>
      </c>
      <c r="F1608" s="116">
        <v>617.04999999999995</v>
      </c>
      <c r="G1608">
        <v>68553</v>
      </c>
      <c r="H1608" s="116"/>
      <c r="I1608" s="116"/>
      <c r="L1608" s="170">
        <v>45775</v>
      </c>
      <c r="M1608" s="116">
        <v>617</v>
      </c>
      <c r="N1608" s="116">
        <v>622.20000000000005</v>
      </c>
      <c r="O1608" s="116">
        <v>600</v>
      </c>
      <c r="P1608" s="116">
        <v>600</v>
      </c>
      <c r="Q1608" s="116">
        <v>617</v>
      </c>
      <c r="R1608">
        <v>1012889</v>
      </c>
    </row>
    <row r="1609" spans="1:18" x14ac:dyDescent="0.25">
      <c r="A1609" s="170">
        <v>45776</v>
      </c>
      <c r="B1609" s="116">
        <v>625.35</v>
      </c>
      <c r="C1609" s="116">
        <v>609.5</v>
      </c>
      <c r="D1609" s="116">
        <v>608.15</v>
      </c>
      <c r="E1609" s="116">
        <v>624.95000000000005</v>
      </c>
      <c r="F1609" s="116">
        <v>609.5</v>
      </c>
      <c r="G1609">
        <v>119306</v>
      </c>
      <c r="H1609" s="116"/>
      <c r="I1609" s="116"/>
      <c r="L1609" s="170">
        <v>45776</v>
      </c>
      <c r="M1609" s="116">
        <v>609.75</v>
      </c>
      <c r="N1609" s="116">
        <v>625</v>
      </c>
      <c r="O1609" s="116">
        <v>608</v>
      </c>
      <c r="P1609" s="116">
        <v>621.04999999999995</v>
      </c>
      <c r="Q1609" s="116">
        <v>609.75</v>
      </c>
      <c r="R1609">
        <v>629183</v>
      </c>
    </row>
    <row r="1610" spans="1:18" x14ac:dyDescent="0.25">
      <c r="A1610" s="170">
        <v>45777</v>
      </c>
      <c r="B1610" s="116">
        <v>612.15</v>
      </c>
      <c r="C1610" s="116">
        <v>599.35</v>
      </c>
      <c r="D1610" s="116">
        <v>595</v>
      </c>
      <c r="E1610" s="116">
        <v>611.5</v>
      </c>
      <c r="F1610" s="116">
        <v>599.35</v>
      </c>
      <c r="G1610">
        <v>28479</v>
      </c>
      <c r="H1610" s="116"/>
      <c r="I1610" s="116"/>
      <c r="L1610" s="170">
        <v>45777</v>
      </c>
      <c r="M1610" s="116">
        <v>600.20000000000005</v>
      </c>
      <c r="N1610" s="116">
        <v>612</v>
      </c>
      <c r="O1610" s="116">
        <v>595.15</v>
      </c>
      <c r="P1610" s="116">
        <v>612</v>
      </c>
      <c r="Q1610" s="116">
        <v>600.20000000000005</v>
      </c>
      <c r="R1610">
        <v>411519</v>
      </c>
    </row>
    <row r="1611" spans="1:18" x14ac:dyDescent="0.25">
      <c r="A1611" s="170">
        <v>45779</v>
      </c>
      <c r="B1611" s="116">
        <v>613.65</v>
      </c>
      <c r="C1611" s="116">
        <v>599.1</v>
      </c>
      <c r="D1611" s="116">
        <v>597.5</v>
      </c>
      <c r="E1611" s="116">
        <v>599.35</v>
      </c>
      <c r="F1611" s="116">
        <v>599.1</v>
      </c>
      <c r="G1611">
        <v>33251</v>
      </c>
      <c r="H1611" s="116"/>
      <c r="I1611" s="116"/>
      <c r="L1611" s="170">
        <v>45779</v>
      </c>
      <c r="M1611" s="116">
        <v>599.75</v>
      </c>
      <c r="N1611" s="116">
        <v>613.9</v>
      </c>
      <c r="O1611" s="116">
        <v>597.5</v>
      </c>
      <c r="P1611" s="116">
        <v>599</v>
      </c>
      <c r="Q1611" s="116">
        <v>599.75</v>
      </c>
      <c r="R1611">
        <v>518330</v>
      </c>
    </row>
    <row r="1612" spans="1:18" x14ac:dyDescent="0.25">
      <c r="A1612" s="170">
        <v>45782</v>
      </c>
      <c r="B1612" s="116">
        <v>683.7</v>
      </c>
      <c r="C1612" s="116">
        <v>665.05</v>
      </c>
      <c r="D1612" s="116">
        <v>604.4</v>
      </c>
      <c r="E1612" s="116">
        <v>608.35</v>
      </c>
      <c r="F1612" s="116">
        <v>665.05</v>
      </c>
      <c r="G1612">
        <v>1396803</v>
      </c>
      <c r="H1612" s="116"/>
      <c r="I1612" s="116"/>
      <c r="L1612" s="170">
        <v>45782</v>
      </c>
      <c r="M1612" s="116">
        <v>665.55</v>
      </c>
      <c r="N1612" s="116">
        <v>684.4</v>
      </c>
      <c r="O1612" s="116">
        <v>603.45000000000005</v>
      </c>
      <c r="P1612" s="116">
        <v>607</v>
      </c>
      <c r="Q1612" s="116">
        <v>665.55</v>
      </c>
      <c r="R1612">
        <v>16749924</v>
      </c>
    </row>
    <row r="1613" spans="1:18" x14ac:dyDescent="0.25">
      <c r="A1613" s="170">
        <v>45783</v>
      </c>
      <c r="B1613" s="116">
        <v>678.25</v>
      </c>
      <c r="C1613" s="116">
        <v>633.20000000000005</v>
      </c>
      <c r="D1613" s="116">
        <v>630.04999999999995</v>
      </c>
      <c r="E1613" s="116">
        <v>663.15</v>
      </c>
      <c r="F1613" s="116">
        <v>633.20000000000005</v>
      </c>
      <c r="G1613">
        <v>557760</v>
      </c>
      <c r="H1613" s="116"/>
      <c r="I1613" s="116"/>
      <c r="L1613" s="170">
        <v>45783</v>
      </c>
      <c r="M1613" s="116">
        <v>632.95000000000005</v>
      </c>
      <c r="N1613" s="116">
        <v>677.65</v>
      </c>
      <c r="O1613" s="116">
        <v>630</v>
      </c>
      <c r="P1613" s="116">
        <v>666.9</v>
      </c>
      <c r="Q1613" s="116">
        <v>632.95000000000005</v>
      </c>
      <c r="R1613">
        <v>4149196</v>
      </c>
    </row>
    <row r="1614" spans="1:18" x14ac:dyDescent="0.25">
      <c r="A1614" s="170">
        <v>45784</v>
      </c>
      <c r="B1614" s="116">
        <v>635.95000000000005</v>
      </c>
      <c r="C1614" s="116">
        <v>625.65</v>
      </c>
      <c r="D1614" s="116">
        <v>610.15</v>
      </c>
      <c r="E1614" s="116">
        <v>611.04999999999995</v>
      </c>
      <c r="F1614" s="116">
        <v>625.65</v>
      </c>
      <c r="G1614">
        <v>212436</v>
      </c>
      <c r="H1614" s="116"/>
      <c r="I1614" s="116"/>
      <c r="L1614" s="170">
        <v>45784</v>
      </c>
      <c r="M1614" s="116">
        <v>625.45000000000005</v>
      </c>
      <c r="N1614" s="116">
        <v>635.95000000000005</v>
      </c>
      <c r="O1614" s="116">
        <v>611.5</v>
      </c>
      <c r="P1614" s="116">
        <v>613.65</v>
      </c>
      <c r="Q1614" s="116">
        <v>625.45000000000005</v>
      </c>
      <c r="R1614">
        <v>1269091</v>
      </c>
    </row>
    <row r="1615" spans="1:18" x14ac:dyDescent="0.25">
      <c r="A1615" s="170">
        <v>45785</v>
      </c>
      <c r="B1615" s="116">
        <v>637.25</v>
      </c>
      <c r="C1615" s="116">
        <v>609.45000000000005</v>
      </c>
      <c r="D1615" s="116">
        <v>604</v>
      </c>
      <c r="E1615" s="116">
        <v>631.45000000000005</v>
      </c>
      <c r="F1615" s="116">
        <v>609.45000000000005</v>
      </c>
      <c r="G1615">
        <v>129253</v>
      </c>
      <c r="H1615" s="116"/>
      <c r="I1615" s="116"/>
      <c r="L1615" s="170">
        <v>45785</v>
      </c>
      <c r="M1615" s="116">
        <v>609.75</v>
      </c>
      <c r="N1615" s="116">
        <v>637.65</v>
      </c>
      <c r="O1615" s="116">
        <v>604</v>
      </c>
      <c r="P1615" s="116">
        <v>633.25</v>
      </c>
      <c r="Q1615" s="116">
        <v>609.75</v>
      </c>
      <c r="R1615">
        <v>976521</v>
      </c>
    </row>
    <row r="1616" spans="1:18" x14ac:dyDescent="0.25">
      <c r="A1616" s="170">
        <v>45786</v>
      </c>
      <c r="B1616" s="116">
        <v>606.35</v>
      </c>
      <c r="C1616" s="116">
        <v>602.6</v>
      </c>
      <c r="D1616" s="116">
        <v>586.95000000000005</v>
      </c>
      <c r="E1616" s="116">
        <v>597.15</v>
      </c>
      <c r="F1616" s="116">
        <v>602.6</v>
      </c>
      <c r="G1616">
        <v>105185</v>
      </c>
      <c r="H1616" s="116"/>
      <c r="I1616" s="116"/>
      <c r="L1616" s="170">
        <v>45786</v>
      </c>
      <c r="M1616" s="116">
        <v>601.1</v>
      </c>
      <c r="N1616" s="116">
        <v>606.79999999999995</v>
      </c>
      <c r="O1616" s="116">
        <v>587.1</v>
      </c>
      <c r="P1616" s="116">
        <v>590.54999999999995</v>
      </c>
      <c r="Q1616" s="116">
        <v>601.1</v>
      </c>
      <c r="R1616">
        <v>1363901</v>
      </c>
    </row>
    <row r="1617" spans="1:18" x14ac:dyDescent="0.25">
      <c r="A1617" s="170">
        <v>45789</v>
      </c>
      <c r="B1617" s="116">
        <v>634.6</v>
      </c>
      <c r="C1617" s="116">
        <v>631.35</v>
      </c>
      <c r="D1617" s="116">
        <v>622.20000000000005</v>
      </c>
      <c r="E1617" s="116">
        <v>629.4</v>
      </c>
      <c r="F1617" s="116">
        <v>631.35</v>
      </c>
      <c r="G1617">
        <v>182158</v>
      </c>
      <c r="H1617" s="116"/>
      <c r="I1617" s="116"/>
      <c r="L1617" s="170">
        <v>45789</v>
      </c>
      <c r="M1617" s="116">
        <v>631.1</v>
      </c>
      <c r="N1617" s="116">
        <v>640</v>
      </c>
      <c r="O1617" s="116">
        <v>622.15</v>
      </c>
      <c r="P1617" s="116">
        <v>630</v>
      </c>
      <c r="Q1617" s="116">
        <v>631.1</v>
      </c>
      <c r="R1617">
        <v>1452771</v>
      </c>
    </row>
    <row r="1618" spans="1:18" x14ac:dyDescent="0.25">
      <c r="A1618" s="170">
        <v>45790</v>
      </c>
      <c r="B1618" s="116">
        <v>656</v>
      </c>
      <c r="C1618" s="116">
        <v>648.4</v>
      </c>
      <c r="D1618" s="116">
        <v>629</v>
      </c>
      <c r="E1618" s="116">
        <v>631.4</v>
      </c>
      <c r="F1618" s="116">
        <v>648.4</v>
      </c>
      <c r="G1618">
        <v>219049</v>
      </c>
      <c r="H1618" s="116"/>
      <c r="I1618" s="116"/>
      <c r="L1618" s="170">
        <v>45790</v>
      </c>
      <c r="M1618" s="116">
        <v>648.35</v>
      </c>
      <c r="N1618" s="116">
        <v>656</v>
      </c>
      <c r="O1618" s="116">
        <v>629</v>
      </c>
      <c r="P1618" s="116">
        <v>634</v>
      </c>
      <c r="Q1618" s="116">
        <v>648.35</v>
      </c>
      <c r="R1618">
        <v>1900554</v>
      </c>
    </row>
    <row r="1619" spans="1:18" x14ac:dyDescent="0.25">
      <c r="A1619" s="170">
        <v>45791</v>
      </c>
      <c r="B1619" s="116">
        <v>657.95</v>
      </c>
      <c r="C1619" s="116">
        <v>655.75</v>
      </c>
      <c r="D1619" s="116">
        <v>645.75</v>
      </c>
      <c r="E1619" s="116">
        <v>654</v>
      </c>
      <c r="F1619" s="116">
        <v>655.75</v>
      </c>
      <c r="G1619">
        <v>129430</v>
      </c>
      <c r="H1619" s="116"/>
      <c r="I1619" s="116"/>
      <c r="L1619" s="170">
        <v>45791</v>
      </c>
      <c r="M1619" s="116">
        <v>656.05</v>
      </c>
      <c r="N1619" s="116">
        <v>658.3</v>
      </c>
      <c r="O1619" s="116">
        <v>646</v>
      </c>
      <c r="P1619" s="116">
        <v>653.9</v>
      </c>
      <c r="Q1619" s="116">
        <v>656.05</v>
      </c>
      <c r="R1619">
        <v>863692</v>
      </c>
    </row>
    <row r="1620" spans="1:18" x14ac:dyDescent="0.25">
      <c r="A1620" s="170">
        <v>45792</v>
      </c>
      <c r="B1620" s="116">
        <v>662</v>
      </c>
      <c r="C1620" s="116">
        <v>660.15</v>
      </c>
      <c r="D1620" s="116">
        <v>649.65</v>
      </c>
      <c r="E1620" s="116">
        <v>657.4</v>
      </c>
      <c r="F1620" s="116">
        <v>660.15</v>
      </c>
      <c r="G1620">
        <v>44765</v>
      </c>
      <c r="H1620" s="116"/>
      <c r="I1620" s="116"/>
      <c r="L1620" s="170">
        <v>45792</v>
      </c>
      <c r="M1620" s="116">
        <v>660.4</v>
      </c>
      <c r="N1620" s="116">
        <v>662</v>
      </c>
      <c r="O1620" s="116">
        <v>649.95000000000005</v>
      </c>
      <c r="P1620" s="116">
        <v>655.04999999999995</v>
      </c>
      <c r="Q1620" s="116">
        <v>660.4</v>
      </c>
      <c r="R1620">
        <v>832453</v>
      </c>
    </row>
    <row r="1621" spans="1:18" x14ac:dyDescent="0.25">
      <c r="A1621" s="170">
        <v>45793</v>
      </c>
      <c r="B1621" s="116">
        <v>689.7</v>
      </c>
      <c r="C1621" s="116">
        <v>681.45</v>
      </c>
      <c r="D1621" s="116">
        <v>662.05</v>
      </c>
      <c r="E1621" s="116">
        <v>663.5</v>
      </c>
      <c r="F1621" s="116">
        <v>681.45</v>
      </c>
      <c r="G1621">
        <v>191519</v>
      </c>
      <c r="H1621" s="116"/>
      <c r="I1621" s="116"/>
      <c r="L1621" s="170">
        <v>45793</v>
      </c>
      <c r="M1621" s="116">
        <v>681.6</v>
      </c>
      <c r="N1621" s="116">
        <v>689.5</v>
      </c>
      <c r="O1621" s="116">
        <v>661.5</v>
      </c>
      <c r="P1621" s="116">
        <v>661.5</v>
      </c>
      <c r="Q1621" s="116">
        <v>681.6</v>
      </c>
      <c r="R1621">
        <v>2828190</v>
      </c>
    </row>
    <row r="1622" spans="1:18" x14ac:dyDescent="0.25">
      <c r="A1622" s="170">
        <v>45796</v>
      </c>
      <c r="B1622" s="116">
        <v>689.95</v>
      </c>
      <c r="C1622" s="116">
        <v>675.95</v>
      </c>
      <c r="D1622" s="116">
        <v>671.1</v>
      </c>
      <c r="E1622" s="116">
        <v>689.95</v>
      </c>
      <c r="F1622" s="116">
        <v>675.95</v>
      </c>
      <c r="G1622">
        <v>72185</v>
      </c>
      <c r="H1622" s="116"/>
      <c r="I1622" s="116"/>
      <c r="L1622" s="170">
        <v>45796</v>
      </c>
      <c r="M1622" s="116">
        <v>676</v>
      </c>
      <c r="N1622" s="116">
        <v>686.95</v>
      </c>
      <c r="O1622" s="116">
        <v>671.3</v>
      </c>
      <c r="P1622" s="116">
        <v>685.65</v>
      </c>
      <c r="Q1622" s="116">
        <v>676</v>
      </c>
      <c r="R1622">
        <v>996717</v>
      </c>
    </row>
    <row r="1623" spans="1:18" x14ac:dyDescent="0.25">
      <c r="A1623" s="170">
        <v>45797</v>
      </c>
      <c r="B1623" s="116">
        <v>679.7</v>
      </c>
      <c r="C1623" s="116">
        <v>660.3</v>
      </c>
      <c r="D1623" s="116">
        <v>657.45</v>
      </c>
      <c r="E1623" s="116">
        <v>679.7</v>
      </c>
      <c r="F1623" s="116">
        <v>660.3</v>
      </c>
      <c r="G1623">
        <v>53845</v>
      </c>
      <c r="H1623" s="116"/>
      <c r="I1623" s="116"/>
      <c r="L1623" s="170">
        <v>45797</v>
      </c>
      <c r="M1623" s="116">
        <v>659.95</v>
      </c>
      <c r="N1623" s="116">
        <v>679.5</v>
      </c>
      <c r="O1623" s="116">
        <v>657.15</v>
      </c>
      <c r="P1623" s="116">
        <v>678</v>
      </c>
      <c r="Q1623" s="116">
        <v>659.95</v>
      </c>
      <c r="R1623">
        <v>818977</v>
      </c>
    </row>
    <row r="1624" spans="1:18" x14ac:dyDescent="0.25">
      <c r="A1624" s="170">
        <v>45798</v>
      </c>
      <c r="B1624" s="116">
        <v>667.8</v>
      </c>
      <c r="C1624" s="116">
        <v>663.3</v>
      </c>
      <c r="D1624" s="116">
        <v>655.75</v>
      </c>
      <c r="E1624" s="116">
        <v>660.5</v>
      </c>
      <c r="F1624" s="116">
        <v>663.3</v>
      </c>
      <c r="G1624">
        <v>72590</v>
      </c>
      <c r="H1624" s="116"/>
      <c r="I1624" s="116"/>
      <c r="L1624" s="170">
        <v>45798</v>
      </c>
      <c r="M1624" s="116">
        <v>663.35</v>
      </c>
      <c r="N1624" s="116">
        <v>667.95</v>
      </c>
      <c r="O1624" s="116">
        <v>656.05</v>
      </c>
      <c r="P1624" s="116">
        <v>661.25</v>
      </c>
      <c r="Q1624" s="116">
        <v>663.35</v>
      </c>
      <c r="R1624">
        <v>454876</v>
      </c>
    </row>
    <row r="1625" spans="1:18" x14ac:dyDescent="0.25">
      <c r="A1625" s="170">
        <v>45799</v>
      </c>
      <c r="B1625" s="116">
        <v>669</v>
      </c>
      <c r="C1625" s="116">
        <v>658.05</v>
      </c>
      <c r="D1625" s="116">
        <v>652.04999999999995</v>
      </c>
      <c r="E1625" s="116">
        <v>659.95</v>
      </c>
      <c r="F1625" s="116">
        <v>658.05</v>
      </c>
      <c r="G1625">
        <v>37086</v>
      </c>
      <c r="H1625" s="116"/>
      <c r="I1625" s="116"/>
      <c r="L1625" s="170">
        <v>45799</v>
      </c>
      <c r="M1625" s="116">
        <v>658.05</v>
      </c>
      <c r="N1625" s="116">
        <v>669.55</v>
      </c>
      <c r="O1625" s="116">
        <v>651.70000000000005</v>
      </c>
      <c r="P1625" s="116">
        <v>658.9</v>
      </c>
      <c r="Q1625" s="116">
        <v>658.05</v>
      </c>
      <c r="R1625">
        <v>490767</v>
      </c>
    </row>
    <row r="1626" spans="1:18" x14ac:dyDescent="0.25">
      <c r="A1626" s="170">
        <v>45800</v>
      </c>
      <c r="B1626" s="116">
        <v>666</v>
      </c>
      <c r="C1626" s="116">
        <v>658.6</v>
      </c>
      <c r="D1626" s="116">
        <v>657</v>
      </c>
      <c r="E1626" s="116">
        <v>665</v>
      </c>
      <c r="F1626" s="116">
        <v>658.6</v>
      </c>
      <c r="G1626">
        <v>106241</v>
      </c>
      <c r="H1626" s="116"/>
      <c r="I1626" s="116"/>
      <c r="L1626" s="170">
        <v>45800</v>
      </c>
      <c r="M1626" s="116">
        <v>658.5</v>
      </c>
      <c r="N1626" s="116">
        <v>666.35</v>
      </c>
      <c r="O1626" s="116">
        <v>656.6</v>
      </c>
      <c r="P1626" s="116">
        <v>664.65</v>
      </c>
      <c r="Q1626" s="116">
        <v>658.5</v>
      </c>
      <c r="R1626">
        <v>523959</v>
      </c>
    </row>
    <row r="1627" spans="1:18" x14ac:dyDescent="0.25">
      <c r="A1627" s="170">
        <v>45803</v>
      </c>
      <c r="B1627" s="116">
        <v>675</v>
      </c>
      <c r="C1627" s="116">
        <v>670.05</v>
      </c>
      <c r="D1627" s="116">
        <v>661.25</v>
      </c>
      <c r="E1627" s="116">
        <v>666.55</v>
      </c>
      <c r="F1627" s="116">
        <v>670.05</v>
      </c>
      <c r="G1627">
        <v>132261</v>
      </c>
      <c r="H1627" s="116"/>
      <c r="I1627" s="116"/>
      <c r="L1627" s="170">
        <v>45803</v>
      </c>
      <c r="M1627" s="116">
        <v>669.7</v>
      </c>
      <c r="N1627" s="116">
        <v>675.5</v>
      </c>
      <c r="O1627" s="116">
        <v>662.05</v>
      </c>
      <c r="P1627" s="116">
        <v>664.6</v>
      </c>
      <c r="Q1627" s="116">
        <v>669.7</v>
      </c>
      <c r="R1627">
        <v>733875</v>
      </c>
    </row>
    <row r="1628" spans="1:18" x14ac:dyDescent="0.25">
      <c r="A1628" s="170">
        <v>45804</v>
      </c>
      <c r="B1628" s="116">
        <v>680.7</v>
      </c>
      <c r="C1628" s="116">
        <v>674.35</v>
      </c>
      <c r="D1628" s="116">
        <v>664.05</v>
      </c>
      <c r="E1628" s="116">
        <v>670.05</v>
      </c>
      <c r="F1628" s="116">
        <v>674.35</v>
      </c>
      <c r="G1628">
        <v>105221</v>
      </c>
      <c r="H1628" s="116"/>
      <c r="I1628" s="116"/>
      <c r="L1628" s="170">
        <v>45804</v>
      </c>
      <c r="M1628" s="116">
        <v>674.3</v>
      </c>
      <c r="N1628" s="116">
        <v>680.75</v>
      </c>
      <c r="O1628" s="116">
        <v>664.25</v>
      </c>
      <c r="P1628" s="116">
        <v>669.7</v>
      </c>
      <c r="Q1628" s="116">
        <v>674.3</v>
      </c>
      <c r="R1628">
        <v>625891</v>
      </c>
    </row>
    <row r="1629" spans="1:18" x14ac:dyDescent="0.25">
      <c r="A1629" s="170">
        <v>45805</v>
      </c>
      <c r="B1629" s="116">
        <v>685.45</v>
      </c>
      <c r="C1629" s="116">
        <v>672.85</v>
      </c>
      <c r="D1629" s="116">
        <v>669.7</v>
      </c>
      <c r="E1629" s="116">
        <v>675.05</v>
      </c>
      <c r="F1629" s="116">
        <v>672.85</v>
      </c>
      <c r="G1629">
        <v>102480</v>
      </c>
      <c r="H1629" s="116"/>
      <c r="I1629" s="116"/>
      <c r="L1629" s="170">
        <v>45805</v>
      </c>
      <c r="M1629" s="116">
        <v>673</v>
      </c>
      <c r="N1629" s="116">
        <v>685.5</v>
      </c>
      <c r="O1629" s="116">
        <v>670.6</v>
      </c>
      <c r="P1629" s="116">
        <v>675</v>
      </c>
      <c r="Q1629" s="116">
        <v>673</v>
      </c>
      <c r="R1629">
        <v>620450</v>
      </c>
    </row>
    <row r="1630" spans="1:18" x14ac:dyDescent="0.25">
      <c r="A1630" s="170">
        <v>45806</v>
      </c>
      <c r="B1630" s="116">
        <v>683.5</v>
      </c>
      <c r="C1630" s="116">
        <v>680.65</v>
      </c>
      <c r="D1630" s="116">
        <v>668</v>
      </c>
      <c r="E1630" s="116">
        <v>671.85</v>
      </c>
      <c r="F1630" s="116">
        <v>680.65</v>
      </c>
      <c r="G1630">
        <v>76797</v>
      </c>
      <c r="H1630" s="116"/>
      <c r="I1630" s="116"/>
      <c r="L1630" s="170">
        <v>45806</v>
      </c>
      <c r="M1630" s="116">
        <v>680.75</v>
      </c>
      <c r="N1630" s="116">
        <v>684</v>
      </c>
      <c r="O1630" s="116">
        <v>668</v>
      </c>
      <c r="P1630" s="116">
        <v>673.05</v>
      </c>
      <c r="Q1630" s="116">
        <v>680.75</v>
      </c>
      <c r="R1630">
        <v>844156</v>
      </c>
    </row>
    <row r="1631" spans="1:18" x14ac:dyDescent="0.25">
      <c r="A1631" s="170">
        <v>45807</v>
      </c>
      <c r="B1631" s="116">
        <v>692.9</v>
      </c>
      <c r="C1631" s="116">
        <v>683.7</v>
      </c>
      <c r="D1631" s="116">
        <v>669.8</v>
      </c>
      <c r="E1631" s="116">
        <v>675.95</v>
      </c>
      <c r="F1631" s="116">
        <v>683.7</v>
      </c>
      <c r="G1631">
        <v>111429</v>
      </c>
      <c r="H1631" s="116"/>
      <c r="I1631" s="116"/>
      <c r="L1631" s="170">
        <v>45807</v>
      </c>
      <c r="M1631" s="116">
        <v>683.75</v>
      </c>
      <c r="N1631" s="116">
        <v>693</v>
      </c>
      <c r="O1631" s="116">
        <v>670.05</v>
      </c>
      <c r="P1631" s="116">
        <v>680.75</v>
      </c>
      <c r="Q1631" s="116">
        <v>683.75</v>
      </c>
      <c r="R1631">
        <v>1202369</v>
      </c>
    </row>
    <row r="1632" spans="1:18" x14ac:dyDescent="0.25">
      <c r="A1632" s="170">
        <v>45810</v>
      </c>
      <c r="B1632" s="116">
        <v>694.5</v>
      </c>
      <c r="C1632" s="116">
        <v>690.3</v>
      </c>
      <c r="D1632" s="116">
        <v>676.95</v>
      </c>
      <c r="E1632" s="116">
        <v>691.9</v>
      </c>
      <c r="F1632" s="116">
        <v>690.3</v>
      </c>
      <c r="G1632">
        <v>73375</v>
      </c>
      <c r="H1632" s="116"/>
      <c r="I1632" s="116"/>
      <c r="L1632" s="170">
        <v>45810</v>
      </c>
      <c r="M1632" s="116">
        <v>690.35</v>
      </c>
      <c r="N1632" s="116">
        <v>694.65</v>
      </c>
      <c r="O1632" s="116">
        <v>676.05</v>
      </c>
      <c r="P1632" s="116">
        <v>685</v>
      </c>
      <c r="Q1632" s="116">
        <v>690.35</v>
      </c>
      <c r="R1632">
        <v>1097990</v>
      </c>
    </row>
    <row r="1633" spans="1:18" x14ac:dyDescent="0.25">
      <c r="A1633" s="170">
        <v>45811</v>
      </c>
      <c r="B1633" s="116">
        <v>694.8</v>
      </c>
      <c r="C1633" s="116">
        <v>678.6</v>
      </c>
      <c r="D1633" s="116">
        <v>675.8</v>
      </c>
      <c r="E1633" s="116">
        <v>689.95</v>
      </c>
      <c r="F1633" s="116">
        <v>678.6</v>
      </c>
      <c r="G1633">
        <v>81200</v>
      </c>
      <c r="H1633" s="116"/>
      <c r="I1633" s="116"/>
      <c r="L1633" s="170">
        <v>45811</v>
      </c>
      <c r="M1633" s="116">
        <v>678.85</v>
      </c>
      <c r="N1633" s="116">
        <v>695</v>
      </c>
      <c r="O1633" s="116">
        <v>675.05</v>
      </c>
      <c r="P1633" s="116">
        <v>687.05</v>
      </c>
      <c r="Q1633" s="116">
        <v>678.85</v>
      </c>
      <c r="R1633">
        <v>864468</v>
      </c>
    </row>
    <row r="1634" spans="1:18" x14ac:dyDescent="0.25">
      <c r="A1634" s="170">
        <v>45812</v>
      </c>
      <c r="B1634" s="116">
        <v>688.95</v>
      </c>
      <c r="C1634" s="116">
        <v>682.55</v>
      </c>
      <c r="D1634" s="116">
        <v>673.35</v>
      </c>
      <c r="E1634" s="116">
        <v>688.95</v>
      </c>
      <c r="F1634" s="116">
        <v>682.55</v>
      </c>
      <c r="G1634">
        <v>44470</v>
      </c>
      <c r="H1634" s="116"/>
      <c r="I1634" s="116"/>
      <c r="L1634" s="170">
        <v>45812</v>
      </c>
      <c r="M1634" s="116">
        <v>682.45</v>
      </c>
      <c r="N1634" s="116">
        <v>684.7</v>
      </c>
      <c r="O1634" s="116">
        <v>673.1</v>
      </c>
      <c r="P1634" s="116">
        <v>682</v>
      </c>
      <c r="Q1634" s="116">
        <v>682.45</v>
      </c>
      <c r="R1634">
        <v>569059</v>
      </c>
    </row>
    <row r="1635" spans="1:18" x14ac:dyDescent="0.25">
      <c r="A1635" s="170">
        <v>45813</v>
      </c>
      <c r="B1635" s="116">
        <v>690.15</v>
      </c>
      <c r="C1635" s="116">
        <v>682.1</v>
      </c>
      <c r="D1635" s="116">
        <v>677.25</v>
      </c>
      <c r="E1635" s="116">
        <v>685.7</v>
      </c>
      <c r="F1635" s="116">
        <v>682.1</v>
      </c>
      <c r="G1635">
        <v>96208</v>
      </c>
      <c r="H1635" s="116"/>
      <c r="I1635" s="116"/>
      <c r="L1635" s="170">
        <v>45813</v>
      </c>
      <c r="M1635" s="116">
        <v>682.35</v>
      </c>
      <c r="N1635" s="116">
        <v>690.05</v>
      </c>
      <c r="O1635" s="116">
        <v>677.3</v>
      </c>
      <c r="P1635" s="116">
        <v>684.7</v>
      </c>
      <c r="Q1635" s="116">
        <v>682.35</v>
      </c>
      <c r="R1635">
        <v>616872</v>
      </c>
    </row>
    <row r="1636" spans="1:18" x14ac:dyDescent="0.25">
      <c r="A1636" s="170">
        <v>45814</v>
      </c>
      <c r="B1636" s="116">
        <v>692.6</v>
      </c>
      <c r="C1636" s="116">
        <v>679.8</v>
      </c>
      <c r="D1636" s="116">
        <v>676</v>
      </c>
      <c r="E1636" s="116">
        <v>685.1</v>
      </c>
      <c r="F1636" s="116">
        <v>679.8</v>
      </c>
      <c r="G1636">
        <v>60544</v>
      </c>
      <c r="H1636" s="116"/>
      <c r="I1636" s="116"/>
      <c r="L1636" s="170">
        <v>45814</v>
      </c>
      <c r="M1636" s="116">
        <v>679.95</v>
      </c>
      <c r="N1636" s="116">
        <v>692.85</v>
      </c>
      <c r="O1636" s="116">
        <v>675.6</v>
      </c>
      <c r="P1636" s="116">
        <v>684</v>
      </c>
      <c r="Q1636" s="116">
        <v>679.95</v>
      </c>
      <c r="R1636">
        <v>950457</v>
      </c>
    </row>
    <row r="1637" spans="1:18" x14ac:dyDescent="0.25">
      <c r="A1637" s="170">
        <v>45817</v>
      </c>
      <c r="B1637" s="116">
        <v>693.85</v>
      </c>
      <c r="C1637" s="116">
        <v>690.85</v>
      </c>
      <c r="D1637" s="116">
        <v>682</v>
      </c>
      <c r="E1637" s="116">
        <v>687.05</v>
      </c>
      <c r="F1637" s="116">
        <v>690.85</v>
      </c>
      <c r="G1637">
        <v>60719</v>
      </c>
      <c r="H1637" s="116"/>
      <c r="I1637" s="116"/>
      <c r="L1637" s="170">
        <v>45817</v>
      </c>
      <c r="M1637" s="116">
        <v>690.8</v>
      </c>
      <c r="N1637" s="116">
        <v>694</v>
      </c>
      <c r="O1637" s="116">
        <v>681.5</v>
      </c>
      <c r="P1637" s="116">
        <v>686</v>
      </c>
      <c r="Q1637" s="116">
        <v>690.8</v>
      </c>
      <c r="R1637">
        <v>911914</v>
      </c>
    </row>
    <row r="1638" spans="1:18" x14ac:dyDescent="0.25">
      <c r="A1638" s="170">
        <v>45818</v>
      </c>
      <c r="B1638" s="116">
        <v>721.5</v>
      </c>
      <c r="C1638" s="116">
        <v>712.9</v>
      </c>
      <c r="D1638" s="116">
        <v>690.4</v>
      </c>
      <c r="E1638" s="116">
        <v>695</v>
      </c>
      <c r="F1638" s="116">
        <v>712.9</v>
      </c>
      <c r="G1638">
        <v>347344</v>
      </c>
      <c r="H1638" s="116"/>
      <c r="I1638" s="116"/>
      <c r="L1638" s="170">
        <v>45818</v>
      </c>
      <c r="M1638" s="116">
        <v>713.1</v>
      </c>
      <c r="N1638" s="116">
        <v>721</v>
      </c>
      <c r="O1638" s="116">
        <v>690.15</v>
      </c>
      <c r="P1638" s="116">
        <v>696</v>
      </c>
      <c r="Q1638" s="116">
        <v>713.1</v>
      </c>
      <c r="R1638">
        <v>2792402</v>
      </c>
    </row>
    <row r="1639" spans="1:18" x14ac:dyDescent="0.25">
      <c r="A1639" s="170">
        <v>45819</v>
      </c>
      <c r="B1639" s="116">
        <v>719.6</v>
      </c>
      <c r="C1639" s="116">
        <v>697.6</v>
      </c>
      <c r="D1639" s="116">
        <v>692.1</v>
      </c>
      <c r="E1639" s="116">
        <v>719.6</v>
      </c>
      <c r="F1639" s="116">
        <v>697.6</v>
      </c>
      <c r="G1639">
        <v>85595</v>
      </c>
      <c r="H1639" s="116"/>
      <c r="I1639" s="116"/>
      <c r="L1639" s="170">
        <v>45819</v>
      </c>
      <c r="M1639" s="116">
        <v>697.6</v>
      </c>
      <c r="N1639" s="116">
        <v>718.75</v>
      </c>
      <c r="O1639" s="116">
        <v>692.1</v>
      </c>
      <c r="P1639" s="116">
        <v>716</v>
      </c>
      <c r="Q1639" s="116">
        <v>697.6</v>
      </c>
      <c r="R1639">
        <v>1326185</v>
      </c>
    </row>
    <row r="1640" spans="1:18" x14ac:dyDescent="0.25">
      <c r="A1640" s="170">
        <v>45820</v>
      </c>
      <c r="B1640" s="116">
        <v>703</v>
      </c>
      <c r="C1640" s="116">
        <v>671.1</v>
      </c>
      <c r="D1640" s="116">
        <v>667.15</v>
      </c>
      <c r="E1640" s="116">
        <v>703</v>
      </c>
      <c r="F1640" s="116">
        <v>671.1</v>
      </c>
      <c r="G1640">
        <v>69565</v>
      </c>
      <c r="H1640" s="116"/>
      <c r="I1640" s="116"/>
      <c r="L1640" s="170">
        <v>45820</v>
      </c>
      <c r="M1640" s="116">
        <v>672.75</v>
      </c>
      <c r="N1640" s="116">
        <v>701.95</v>
      </c>
      <c r="O1640" s="116">
        <v>670.1</v>
      </c>
      <c r="P1640" s="116">
        <v>700</v>
      </c>
      <c r="Q1640" s="116">
        <v>672.75</v>
      </c>
      <c r="R1640">
        <v>1181155</v>
      </c>
    </row>
    <row r="1641" spans="1:18" x14ac:dyDescent="0.25">
      <c r="A1641" s="170">
        <v>45821</v>
      </c>
      <c r="B1641" s="116">
        <v>666.35</v>
      </c>
      <c r="C1641" s="116">
        <v>659.3</v>
      </c>
      <c r="D1641" s="116">
        <v>654.70000000000005</v>
      </c>
      <c r="E1641" s="116">
        <v>656</v>
      </c>
      <c r="F1641" s="116">
        <v>659.3</v>
      </c>
      <c r="G1641">
        <v>56618</v>
      </c>
      <c r="H1641" s="116"/>
      <c r="I1641" s="116"/>
      <c r="L1641" s="170">
        <v>45821</v>
      </c>
      <c r="M1641" s="116">
        <v>658.8</v>
      </c>
      <c r="N1641" s="116">
        <v>666.55</v>
      </c>
      <c r="O1641" s="116">
        <v>654.5</v>
      </c>
      <c r="P1641" s="116">
        <v>658.9</v>
      </c>
      <c r="Q1641" s="116">
        <v>658.8</v>
      </c>
      <c r="R1641">
        <v>959668</v>
      </c>
    </row>
    <row r="1642" spans="1:18" x14ac:dyDescent="0.25">
      <c r="A1642" s="170">
        <v>45824</v>
      </c>
      <c r="B1642" s="116">
        <v>662.55</v>
      </c>
      <c r="C1642" s="116">
        <v>658.65</v>
      </c>
      <c r="D1642" s="116">
        <v>643</v>
      </c>
      <c r="E1642" s="116">
        <v>658.1</v>
      </c>
      <c r="F1642" s="116">
        <v>658.65</v>
      </c>
      <c r="G1642">
        <v>116364</v>
      </c>
      <c r="H1642" s="116"/>
      <c r="I1642" s="116"/>
      <c r="L1642" s="170">
        <v>45824</v>
      </c>
      <c r="M1642" s="116">
        <v>658.8</v>
      </c>
      <c r="N1642" s="116">
        <v>662.5</v>
      </c>
      <c r="O1642" s="116">
        <v>642.79999999999995</v>
      </c>
      <c r="P1642" s="116">
        <v>658.8</v>
      </c>
      <c r="Q1642" s="116">
        <v>658.8</v>
      </c>
      <c r="R1642">
        <v>736925</v>
      </c>
    </row>
    <row r="1643" spans="1:18" x14ac:dyDescent="0.25">
      <c r="A1643" s="170">
        <v>45825</v>
      </c>
      <c r="B1643" s="116">
        <v>663.75</v>
      </c>
      <c r="C1643" s="116">
        <v>646.54999999999995</v>
      </c>
      <c r="D1643" s="116">
        <v>645</v>
      </c>
      <c r="E1643" s="116">
        <v>663.75</v>
      </c>
      <c r="F1643" s="116">
        <v>646.54999999999995</v>
      </c>
      <c r="G1643">
        <v>34287</v>
      </c>
      <c r="H1643" s="116"/>
      <c r="I1643" s="116"/>
      <c r="L1643" s="170">
        <v>45825</v>
      </c>
      <c r="M1643" s="116">
        <v>646.85</v>
      </c>
      <c r="N1643" s="116">
        <v>663</v>
      </c>
      <c r="O1643" s="116">
        <v>645</v>
      </c>
      <c r="P1643" s="116">
        <v>663</v>
      </c>
      <c r="Q1643" s="116">
        <v>646.85</v>
      </c>
      <c r="R1643">
        <v>630560</v>
      </c>
    </row>
    <row r="1644" spans="1:18" x14ac:dyDescent="0.25">
      <c r="A1644" s="170">
        <v>45826</v>
      </c>
      <c r="B1644" s="116">
        <v>664.1</v>
      </c>
      <c r="C1644" s="116">
        <v>650.45000000000005</v>
      </c>
      <c r="D1644" s="116">
        <v>645</v>
      </c>
      <c r="E1644" s="116">
        <v>650</v>
      </c>
      <c r="F1644" s="116">
        <v>650.45000000000005</v>
      </c>
      <c r="G1644">
        <v>51775</v>
      </c>
      <c r="H1644" s="116"/>
      <c r="I1644" s="116"/>
      <c r="L1644" s="170">
        <v>45826</v>
      </c>
      <c r="M1644" s="116">
        <v>650.95000000000005</v>
      </c>
      <c r="N1644" s="116">
        <v>664.5</v>
      </c>
      <c r="O1644" s="116">
        <v>645.35</v>
      </c>
      <c r="P1644" s="116">
        <v>646.85</v>
      </c>
      <c r="Q1644" s="116">
        <v>650.95000000000005</v>
      </c>
      <c r="R1644">
        <v>925059</v>
      </c>
    </row>
    <row r="1645" spans="1:18" x14ac:dyDescent="0.25">
      <c r="A1645" s="170">
        <v>45827</v>
      </c>
      <c r="B1645" s="116">
        <v>654.95000000000005</v>
      </c>
      <c r="C1645" s="116">
        <v>622.54999999999995</v>
      </c>
      <c r="D1645" s="116">
        <v>621</v>
      </c>
      <c r="E1645" s="116">
        <v>654.95000000000005</v>
      </c>
      <c r="F1645" s="116">
        <v>622.54999999999995</v>
      </c>
      <c r="G1645">
        <v>82518</v>
      </c>
      <c r="H1645" s="116"/>
      <c r="I1645" s="116"/>
      <c r="L1645" s="170">
        <v>45827</v>
      </c>
      <c r="M1645" s="116">
        <v>622.6</v>
      </c>
      <c r="N1645" s="116">
        <v>654</v>
      </c>
      <c r="O1645" s="116">
        <v>621</v>
      </c>
      <c r="P1645" s="116">
        <v>654</v>
      </c>
      <c r="Q1645" s="116">
        <v>622.6</v>
      </c>
      <c r="R1645">
        <v>1322163</v>
      </c>
    </row>
    <row r="1646" spans="1:18" x14ac:dyDescent="0.25">
      <c r="A1646" s="170">
        <v>45828</v>
      </c>
      <c r="B1646" s="116">
        <v>633</v>
      </c>
      <c r="C1646" s="116">
        <v>617.65</v>
      </c>
      <c r="D1646" s="116">
        <v>614.6</v>
      </c>
      <c r="E1646" s="116">
        <v>622</v>
      </c>
      <c r="F1646" s="116">
        <v>617.65</v>
      </c>
      <c r="G1646">
        <v>72559</v>
      </c>
      <c r="H1646" s="116"/>
      <c r="I1646" s="116"/>
      <c r="L1646" s="170">
        <v>45828</v>
      </c>
      <c r="M1646" s="116">
        <v>617.1</v>
      </c>
      <c r="N1646" s="116">
        <v>633.54999999999995</v>
      </c>
      <c r="O1646" s="116">
        <v>613.95000000000005</v>
      </c>
      <c r="P1646" s="116">
        <v>622.6</v>
      </c>
      <c r="Q1646" s="116">
        <v>617.1</v>
      </c>
      <c r="R1646">
        <v>4454650</v>
      </c>
    </row>
    <row r="1647" spans="1:18" x14ac:dyDescent="0.25">
      <c r="A1647" s="170">
        <v>45831</v>
      </c>
      <c r="B1647" s="116">
        <v>631.1</v>
      </c>
      <c r="C1647" s="116">
        <v>629.65</v>
      </c>
      <c r="D1647" s="116">
        <v>610.70000000000005</v>
      </c>
      <c r="E1647" s="116">
        <v>615</v>
      </c>
      <c r="F1647" s="116">
        <v>629.65</v>
      </c>
      <c r="G1647">
        <v>132607</v>
      </c>
      <c r="H1647" s="116"/>
      <c r="I1647" s="116"/>
      <c r="L1647" s="170">
        <v>45831</v>
      </c>
      <c r="M1647" s="116">
        <v>629.70000000000005</v>
      </c>
      <c r="N1647" s="116">
        <v>631.20000000000005</v>
      </c>
      <c r="O1647" s="116">
        <v>608.15</v>
      </c>
      <c r="P1647" s="116">
        <v>614.54999999999995</v>
      </c>
      <c r="Q1647" s="116">
        <v>629.70000000000005</v>
      </c>
      <c r="R1647">
        <v>1169567</v>
      </c>
    </row>
    <row r="1648" spans="1:18" x14ac:dyDescent="0.25">
      <c r="A1648" s="170">
        <v>45832</v>
      </c>
      <c r="B1648" s="116">
        <v>644.9</v>
      </c>
      <c r="C1648" s="116">
        <v>631.79999999999995</v>
      </c>
      <c r="D1648" s="116">
        <v>630</v>
      </c>
      <c r="E1648" s="116">
        <v>639.54999999999995</v>
      </c>
      <c r="F1648" s="116">
        <v>631.79999999999995</v>
      </c>
      <c r="G1648">
        <v>49664</v>
      </c>
      <c r="H1648" s="116"/>
      <c r="I1648" s="116"/>
      <c r="L1648" s="170">
        <v>45832</v>
      </c>
      <c r="M1648" s="116">
        <v>631.85</v>
      </c>
      <c r="N1648" s="116">
        <v>644.85</v>
      </c>
      <c r="O1648" s="116">
        <v>630</v>
      </c>
      <c r="P1648" s="116">
        <v>640.45000000000005</v>
      </c>
      <c r="Q1648" s="116">
        <v>631.85</v>
      </c>
      <c r="R1648">
        <v>1176752</v>
      </c>
    </row>
    <row r="1649" spans="1:18" x14ac:dyDescent="0.25">
      <c r="A1649" s="170">
        <v>45833</v>
      </c>
      <c r="B1649" s="116">
        <v>640.6</v>
      </c>
      <c r="C1649" s="116">
        <v>633.9</v>
      </c>
      <c r="D1649" s="116">
        <v>632.54999999999995</v>
      </c>
      <c r="E1649" s="116">
        <v>638.65</v>
      </c>
      <c r="F1649" s="116">
        <v>633.9</v>
      </c>
      <c r="G1649">
        <v>39951</v>
      </c>
      <c r="H1649" s="116"/>
      <c r="I1649" s="116"/>
      <c r="L1649" s="170">
        <v>45833</v>
      </c>
      <c r="M1649" s="116">
        <v>634.15</v>
      </c>
      <c r="N1649" s="116">
        <v>640.75</v>
      </c>
      <c r="O1649" s="116">
        <v>632.70000000000005</v>
      </c>
      <c r="P1649" s="116">
        <v>635</v>
      </c>
      <c r="Q1649" s="116">
        <v>634.15</v>
      </c>
      <c r="R1649">
        <v>1280646</v>
      </c>
    </row>
    <row r="1650" spans="1:18" x14ac:dyDescent="0.25">
      <c r="A1650" s="170">
        <v>45834</v>
      </c>
      <c r="B1650" s="116">
        <v>648.15</v>
      </c>
      <c r="C1650" s="116">
        <v>645.70000000000005</v>
      </c>
      <c r="D1650" s="116">
        <v>634.5</v>
      </c>
      <c r="E1650" s="116">
        <v>640</v>
      </c>
      <c r="F1650" s="116">
        <v>645.70000000000005</v>
      </c>
      <c r="G1650">
        <v>74622</v>
      </c>
      <c r="H1650" s="116"/>
      <c r="I1650" s="116"/>
      <c r="L1650" s="170">
        <v>45834</v>
      </c>
      <c r="M1650" s="116">
        <v>645.54999999999995</v>
      </c>
      <c r="N1650" s="116">
        <v>648.9</v>
      </c>
      <c r="O1650" s="116">
        <v>634.35</v>
      </c>
      <c r="P1650" s="116">
        <v>640</v>
      </c>
      <c r="Q1650" s="116">
        <v>645.54999999999995</v>
      </c>
      <c r="R1650">
        <v>2065705</v>
      </c>
    </row>
    <row r="1651" spans="1:18" x14ac:dyDescent="0.25">
      <c r="A1651" s="170">
        <v>45835</v>
      </c>
      <c r="B1651" s="116">
        <v>694</v>
      </c>
      <c r="C1651" s="116">
        <v>682.2</v>
      </c>
      <c r="D1651" s="116">
        <v>648.35</v>
      </c>
      <c r="E1651" s="116">
        <v>649.95000000000005</v>
      </c>
      <c r="F1651" s="116">
        <v>682.2</v>
      </c>
      <c r="G1651">
        <v>1456737</v>
      </c>
      <c r="H1651" s="116"/>
      <c r="I1651" s="116"/>
      <c r="L1651" s="170">
        <v>45835</v>
      </c>
      <c r="M1651" s="116">
        <v>682.45</v>
      </c>
      <c r="N1651" s="116">
        <v>693.9</v>
      </c>
      <c r="O1651" s="116">
        <v>647.79999999999995</v>
      </c>
      <c r="P1651" s="116">
        <v>648</v>
      </c>
      <c r="Q1651" s="116">
        <v>682.45</v>
      </c>
      <c r="R1651">
        <v>11651442</v>
      </c>
    </row>
    <row r="1652" spans="1:18" x14ac:dyDescent="0.25">
      <c r="A1652" s="170">
        <v>45838</v>
      </c>
      <c r="B1652" s="116">
        <v>686.95</v>
      </c>
      <c r="C1652" s="116">
        <v>675.8</v>
      </c>
      <c r="D1652" s="116">
        <v>670</v>
      </c>
      <c r="E1652" s="116">
        <v>686.95</v>
      </c>
      <c r="F1652" s="116">
        <v>675.8</v>
      </c>
      <c r="G1652">
        <v>94265</v>
      </c>
      <c r="H1652" s="116"/>
      <c r="I1652" s="116"/>
      <c r="L1652" s="170">
        <v>45838</v>
      </c>
      <c r="M1652" s="116">
        <v>675.75</v>
      </c>
      <c r="N1652" s="116">
        <v>687.2</v>
      </c>
      <c r="O1652" s="116">
        <v>670</v>
      </c>
      <c r="P1652" s="116">
        <v>684</v>
      </c>
      <c r="Q1652" s="116">
        <v>675.75</v>
      </c>
      <c r="R1652">
        <v>1452561</v>
      </c>
    </row>
    <row r="1653" spans="1:18" x14ac:dyDescent="0.25">
      <c r="A1653" s="170">
        <v>45839</v>
      </c>
      <c r="B1653" s="116">
        <v>684</v>
      </c>
      <c r="C1653" s="116">
        <v>667</v>
      </c>
      <c r="D1653" s="116">
        <v>664.65</v>
      </c>
      <c r="E1653" s="116">
        <v>679</v>
      </c>
      <c r="F1653" s="116">
        <v>667</v>
      </c>
      <c r="G1653">
        <v>95118</v>
      </c>
      <c r="H1653" s="116"/>
      <c r="I1653" s="116"/>
      <c r="L1653" s="170">
        <v>45839</v>
      </c>
      <c r="M1653" s="116">
        <v>666.7</v>
      </c>
      <c r="N1653" s="116">
        <v>684</v>
      </c>
      <c r="O1653" s="116">
        <v>664.3</v>
      </c>
      <c r="P1653" s="116">
        <v>677</v>
      </c>
      <c r="Q1653" s="116">
        <v>666.7</v>
      </c>
      <c r="R1653">
        <v>1026690</v>
      </c>
    </row>
    <row r="1654" spans="1:18" x14ac:dyDescent="0.25">
      <c r="A1654" s="170">
        <v>45840</v>
      </c>
      <c r="B1654" s="116">
        <v>672.1</v>
      </c>
      <c r="C1654" s="116">
        <v>664.2</v>
      </c>
      <c r="D1654" s="116">
        <v>660.3</v>
      </c>
      <c r="E1654" s="116">
        <v>667.15</v>
      </c>
      <c r="F1654" s="116">
        <v>664.2</v>
      </c>
      <c r="G1654">
        <v>102004</v>
      </c>
      <c r="H1654" s="116"/>
      <c r="I1654" s="116"/>
      <c r="L1654" s="170">
        <v>45840</v>
      </c>
      <c r="M1654" s="116">
        <v>663.2</v>
      </c>
      <c r="N1654" s="116">
        <v>672.35</v>
      </c>
      <c r="O1654" s="116">
        <v>660.3</v>
      </c>
      <c r="P1654" s="116">
        <v>669.05</v>
      </c>
      <c r="Q1654" s="116">
        <v>663.2</v>
      </c>
      <c r="R1654">
        <v>611592</v>
      </c>
    </row>
    <row r="1655" spans="1:18" x14ac:dyDescent="0.25">
      <c r="A1655" s="170">
        <v>45841</v>
      </c>
      <c r="B1655" s="116">
        <v>669.95</v>
      </c>
      <c r="C1655" s="116">
        <v>664.3</v>
      </c>
      <c r="D1655" s="116">
        <v>661.2</v>
      </c>
      <c r="E1655" s="116">
        <v>664.3</v>
      </c>
      <c r="F1655" s="116">
        <v>664.3</v>
      </c>
      <c r="G1655">
        <v>87734</v>
      </c>
      <c r="H1655" s="116"/>
      <c r="I1655" s="116"/>
      <c r="L1655" s="170">
        <v>45841</v>
      </c>
      <c r="M1655" s="116">
        <v>663.9</v>
      </c>
      <c r="N1655" s="116">
        <v>670</v>
      </c>
      <c r="O1655" s="116">
        <v>661</v>
      </c>
      <c r="P1655" s="116">
        <v>665.45</v>
      </c>
      <c r="Q1655" s="116">
        <v>663.9</v>
      </c>
      <c r="R1655">
        <v>391058</v>
      </c>
    </row>
    <row r="1656" spans="1:18" x14ac:dyDescent="0.25">
      <c r="A1656" s="170">
        <v>45842</v>
      </c>
      <c r="B1656" s="116">
        <v>671.8</v>
      </c>
      <c r="C1656" s="116">
        <v>659.85</v>
      </c>
      <c r="D1656" s="116">
        <v>656.75</v>
      </c>
      <c r="E1656" s="116">
        <v>664.3</v>
      </c>
      <c r="F1656" s="116">
        <v>659.85</v>
      </c>
      <c r="G1656">
        <v>114253</v>
      </c>
      <c r="H1656" s="116"/>
      <c r="I1656" s="116"/>
      <c r="L1656" s="170">
        <v>45842</v>
      </c>
      <c r="M1656" s="116">
        <v>660.1</v>
      </c>
      <c r="N1656" s="116">
        <v>672.6</v>
      </c>
      <c r="O1656" s="116">
        <v>656.75</v>
      </c>
      <c r="P1656" s="116">
        <v>664</v>
      </c>
      <c r="Q1656" s="116">
        <v>660.1</v>
      </c>
      <c r="R1656">
        <v>732740</v>
      </c>
    </row>
    <row r="1657" spans="1:18" x14ac:dyDescent="0.25">
      <c r="A1657" s="170">
        <v>45845</v>
      </c>
      <c r="B1657" s="116">
        <v>664.95</v>
      </c>
      <c r="C1657" s="116">
        <v>656.4</v>
      </c>
      <c r="D1657" s="116">
        <v>655</v>
      </c>
      <c r="E1657" s="116">
        <v>662.95</v>
      </c>
      <c r="F1657" s="116">
        <v>656.4</v>
      </c>
      <c r="G1657">
        <v>44291</v>
      </c>
      <c r="H1657" s="116"/>
      <c r="I1657" s="116"/>
      <c r="L1657" s="170">
        <v>45845</v>
      </c>
      <c r="M1657" s="116">
        <v>656.5</v>
      </c>
      <c r="N1657" s="116">
        <v>665</v>
      </c>
      <c r="O1657" s="116">
        <v>655</v>
      </c>
      <c r="P1657" s="116">
        <v>663.05</v>
      </c>
      <c r="Q1657" s="116">
        <v>656.5</v>
      </c>
      <c r="R1657">
        <v>440055</v>
      </c>
    </row>
    <row r="1658" spans="1:18" x14ac:dyDescent="0.25">
      <c r="A1658" s="170">
        <v>45846</v>
      </c>
      <c r="B1658" s="116">
        <v>664</v>
      </c>
      <c r="C1658" s="116">
        <v>653.35</v>
      </c>
      <c r="D1658" s="116">
        <v>650</v>
      </c>
      <c r="E1658" s="116">
        <v>659.95</v>
      </c>
      <c r="F1658" s="116">
        <v>653.35</v>
      </c>
      <c r="G1658">
        <v>44422</v>
      </c>
      <c r="H1658" s="116"/>
      <c r="I1658" s="116"/>
      <c r="L1658" s="170">
        <v>45846</v>
      </c>
      <c r="M1658" s="116">
        <v>653.45000000000005</v>
      </c>
      <c r="N1658" s="116">
        <v>664.4</v>
      </c>
      <c r="O1658" s="116">
        <v>650</v>
      </c>
      <c r="P1658" s="116">
        <v>659</v>
      </c>
      <c r="Q1658" s="116">
        <v>653.45000000000005</v>
      </c>
      <c r="R1658">
        <v>523872</v>
      </c>
    </row>
    <row r="1659" spans="1:18" x14ac:dyDescent="0.25">
      <c r="A1659" s="170">
        <v>45847</v>
      </c>
      <c r="B1659" s="116">
        <v>660.65</v>
      </c>
      <c r="C1659" s="116">
        <v>651.1</v>
      </c>
      <c r="D1659" s="116">
        <v>650.1</v>
      </c>
      <c r="E1659" s="116">
        <v>655</v>
      </c>
      <c r="F1659" s="116">
        <v>651.1</v>
      </c>
      <c r="G1659">
        <v>44293</v>
      </c>
      <c r="H1659" s="116"/>
      <c r="I1659" s="116"/>
      <c r="L1659" s="170">
        <v>45847</v>
      </c>
      <c r="M1659" s="116">
        <v>650.9</v>
      </c>
      <c r="N1659" s="116">
        <v>660.8</v>
      </c>
      <c r="O1659" s="116">
        <v>650</v>
      </c>
      <c r="P1659" s="116">
        <v>657.5</v>
      </c>
      <c r="Q1659" s="116">
        <v>650.9</v>
      </c>
      <c r="R1659">
        <v>564106</v>
      </c>
    </row>
    <row r="1660" spans="1:18" x14ac:dyDescent="0.25">
      <c r="A1660" s="170">
        <v>45848</v>
      </c>
      <c r="B1660" s="116">
        <v>658.5</v>
      </c>
      <c r="C1660" s="116">
        <v>651.9</v>
      </c>
      <c r="D1660" s="116">
        <v>650</v>
      </c>
      <c r="E1660" s="116">
        <v>651.04999999999995</v>
      </c>
      <c r="F1660" s="116">
        <v>651.9</v>
      </c>
      <c r="G1660">
        <v>46079</v>
      </c>
      <c r="H1660" s="116"/>
      <c r="I1660" s="116"/>
      <c r="L1660" s="170">
        <v>45848</v>
      </c>
      <c r="M1660" s="116">
        <v>651.95000000000005</v>
      </c>
      <c r="N1660" s="116">
        <v>658.85</v>
      </c>
      <c r="O1660" s="116">
        <v>650</v>
      </c>
      <c r="P1660" s="116">
        <v>652.75</v>
      </c>
      <c r="Q1660" s="116">
        <v>651.95000000000005</v>
      </c>
      <c r="R1660">
        <v>446183</v>
      </c>
    </row>
    <row r="1661" spans="1:18" x14ac:dyDescent="0.25">
      <c r="A1661" s="170">
        <v>45849</v>
      </c>
      <c r="B1661" s="116">
        <v>655.04999999999995</v>
      </c>
      <c r="C1661" s="116">
        <v>644.95000000000005</v>
      </c>
      <c r="D1661" s="116">
        <v>641.04999999999995</v>
      </c>
      <c r="E1661" s="116">
        <v>654.25</v>
      </c>
      <c r="F1661" s="116">
        <v>644.95000000000005</v>
      </c>
      <c r="G1661">
        <v>33952</v>
      </c>
      <c r="H1661" s="116"/>
      <c r="I1661" s="116"/>
      <c r="L1661" s="170">
        <v>45849</v>
      </c>
      <c r="M1661" s="116">
        <v>644.75</v>
      </c>
      <c r="N1661" s="116">
        <v>655.5</v>
      </c>
      <c r="O1661" s="116">
        <v>641.1</v>
      </c>
      <c r="P1661" s="116">
        <v>652</v>
      </c>
      <c r="Q1661" s="116">
        <v>644.75</v>
      </c>
      <c r="R1661">
        <v>427786</v>
      </c>
    </row>
    <row r="1662" spans="1:18" x14ac:dyDescent="0.25">
      <c r="A1662" s="170">
        <v>45852</v>
      </c>
      <c r="B1662" s="116">
        <v>656</v>
      </c>
      <c r="C1662" s="116">
        <v>646.65</v>
      </c>
      <c r="D1662" s="116">
        <v>640.9</v>
      </c>
      <c r="E1662" s="116">
        <v>650.75</v>
      </c>
      <c r="F1662" s="116">
        <v>646.65</v>
      </c>
      <c r="G1662">
        <v>69099</v>
      </c>
      <c r="H1662" s="116"/>
      <c r="I1662" s="116"/>
      <c r="L1662" s="170">
        <v>45852</v>
      </c>
      <c r="M1662" s="116">
        <v>646.70000000000005</v>
      </c>
      <c r="N1662" s="116">
        <v>656</v>
      </c>
      <c r="O1662" s="116">
        <v>640</v>
      </c>
      <c r="P1662" s="116">
        <v>649.9</v>
      </c>
      <c r="Q1662" s="116">
        <v>646.70000000000005</v>
      </c>
      <c r="R1662">
        <v>675567</v>
      </c>
    </row>
    <row r="1663" spans="1:18" x14ac:dyDescent="0.25">
      <c r="A1663" s="170">
        <v>45853</v>
      </c>
      <c r="B1663" s="116">
        <v>653.45000000000005</v>
      </c>
      <c r="C1663" s="116">
        <v>647.70000000000005</v>
      </c>
      <c r="D1663" s="116">
        <v>645.6</v>
      </c>
      <c r="E1663" s="116">
        <v>646.79999999999995</v>
      </c>
      <c r="F1663" s="116">
        <v>647.70000000000005</v>
      </c>
      <c r="G1663">
        <v>36639</v>
      </c>
      <c r="H1663" s="116"/>
      <c r="I1663" s="116"/>
      <c r="L1663" s="170">
        <v>45853</v>
      </c>
      <c r="M1663" s="116">
        <v>647.75</v>
      </c>
      <c r="N1663" s="116">
        <v>653.45000000000005</v>
      </c>
      <c r="O1663" s="116">
        <v>645.5</v>
      </c>
      <c r="P1663" s="116">
        <v>651</v>
      </c>
      <c r="Q1663" s="116">
        <v>647.75</v>
      </c>
      <c r="R1663">
        <v>467659</v>
      </c>
    </row>
    <row r="1664" spans="1:18" x14ac:dyDescent="0.25">
      <c r="A1664" s="170">
        <v>45854</v>
      </c>
      <c r="B1664" s="116">
        <v>662.1</v>
      </c>
      <c r="C1664" s="116">
        <v>659.9</v>
      </c>
      <c r="D1664" s="116">
        <v>648.79999999999995</v>
      </c>
      <c r="E1664" s="116">
        <v>651</v>
      </c>
      <c r="F1664" s="116">
        <v>659.9</v>
      </c>
      <c r="G1664">
        <v>71571</v>
      </c>
      <c r="H1664" s="116"/>
      <c r="I1664" s="116"/>
      <c r="L1664" s="170">
        <v>45854</v>
      </c>
      <c r="M1664" s="116">
        <v>659.9</v>
      </c>
      <c r="N1664" s="116">
        <v>662.75</v>
      </c>
      <c r="O1664" s="116">
        <v>649</v>
      </c>
      <c r="P1664" s="116">
        <v>649.79999999999995</v>
      </c>
      <c r="Q1664" s="116">
        <v>659.9</v>
      </c>
      <c r="R1664">
        <v>852507</v>
      </c>
    </row>
    <row r="1665" spans="1:18" x14ac:dyDescent="0.25">
      <c r="A1665" s="170">
        <v>45855</v>
      </c>
      <c r="B1665" s="116">
        <v>666.85</v>
      </c>
      <c r="C1665" s="116">
        <v>661.55</v>
      </c>
      <c r="D1665" s="116">
        <v>656.35</v>
      </c>
      <c r="E1665" s="116">
        <v>663.2</v>
      </c>
      <c r="F1665" s="116">
        <v>661.55</v>
      </c>
      <c r="G1665">
        <v>114168</v>
      </c>
      <c r="H1665" s="116"/>
      <c r="I1665" s="116"/>
      <c r="L1665" s="170">
        <v>45855</v>
      </c>
      <c r="M1665" s="116">
        <v>661.65</v>
      </c>
      <c r="N1665" s="116">
        <v>666.9</v>
      </c>
      <c r="O1665" s="116">
        <v>656.15</v>
      </c>
      <c r="P1665" s="116">
        <v>662</v>
      </c>
      <c r="Q1665" s="116">
        <v>661.65</v>
      </c>
      <c r="R1665">
        <v>673880</v>
      </c>
    </row>
    <row r="1666" spans="1:18" x14ac:dyDescent="0.25">
      <c r="A1666" s="170">
        <v>45856</v>
      </c>
      <c r="B1666" s="116">
        <v>664.15</v>
      </c>
      <c r="C1666" s="116">
        <v>653.6</v>
      </c>
      <c r="D1666" s="116">
        <v>650</v>
      </c>
      <c r="E1666" s="116">
        <v>663.5</v>
      </c>
      <c r="F1666" s="116">
        <v>653.6</v>
      </c>
      <c r="G1666">
        <v>27837</v>
      </c>
      <c r="H1666" s="116"/>
      <c r="I1666" s="116"/>
      <c r="L1666" s="170">
        <v>45856</v>
      </c>
      <c r="M1666" s="116">
        <v>653.45000000000005</v>
      </c>
      <c r="N1666" s="116">
        <v>664.6</v>
      </c>
      <c r="O1666" s="116">
        <v>649.15</v>
      </c>
      <c r="P1666" s="116">
        <v>662.55</v>
      </c>
      <c r="Q1666" s="116">
        <v>653.45000000000005</v>
      </c>
      <c r="R1666">
        <v>478772</v>
      </c>
    </row>
    <row r="1667" spans="1:18" x14ac:dyDescent="0.25">
      <c r="A1667" s="170">
        <v>45859</v>
      </c>
      <c r="B1667" s="116">
        <v>661.95</v>
      </c>
      <c r="C1667" s="116">
        <v>657.7</v>
      </c>
      <c r="D1667" s="116">
        <v>647.9</v>
      </c>
      <c r="E1667" s="116">
        <v>656.95</v>
      </c>
      <c r="F1667" s="116">
        <v>657.7</v>
      </c>
      <c r="G1667">
        <v>66327</v>
      </c>
      <c r="H1667" s="116"/>
      <c r="I1667" s="116"/>
      <c r="L1667" s="170">
        <v>45859</v>
      </c>
      <c r="M1667" s="116">
        <v>657.75</v>
      </c>
      <c r="N1667" s="116">
        <v>661.9</v>
      </c>
      <c r="O1667" s="116">
        <v>648</v>
      </c>
      <c r="P1667" s="116">
        <v>655</v>
      </c>
      <c r="Q1667" s="116">
        <v>657.75</v>
      </c>
      <c r="R1667">
        <v>416154</v>
      </c>
    </row>
    <row r="1668" spans="1:18" x14ac:dyDescent="0.25">
      <c r="A1668" s="170">
        <v>45860</v>
      </c>
      <c r="B1668" s="116">
        <v>663.25</v>
      </c>
      <c r="C1668" s="116">
        <v>646.85</v>
      </c>
      <c r="D1668" s="116">
        <v>645.25</v>
      </c>
      <c r="E1668" s="116">
        <v>663.25</v>
      </c>
      <c r="F1668" s="116">
        <v>646.85</v>
      </c>
      <c r="G1668">
        <v>28540</v>
      </c>
      <c r="H1668" s="116"/>
      <c r="I1668" s="116"/>
      <c r="L1668" s="170">
        <v>45860</v>
      </c>
      <c r="M1668" s="116">
        <v>646.95000000000005</v>
      </c>
      <c r="N1668" s="116">
        <v>662.3</v>
      </c>
      <c r="O1668" s="116">
        <v>645</v>
      </c>
      <c r="P1668" s="116">
        <v>661.9</v>
      </c>
      <c r="Q1668" s="116">
        <v>646.95000000000005</v>
      </c>
      <c r="R1668">
        <v>445162</v>
      </c>
    </row>
    <row r="1669" spans="1:18" x14ac:dyDescent="0.25">
      <c r="A1669" s="170">
        <v>45861</v>
      </c>
      <c r="B1669" s="116">
        <v>654.9</v>
      </c>
      <c r="C1669" s="116">
        <v>652.1</v>
      </c>
      <c r="D1669" s="116">
        <v>648.70000000000005</v>
      </c>
      <c r="E1669" s="116">
        <v>650.29999999999995</v>
      </c>
      <c r="F1669" s="116">
        <v>652.1</v>
      </c>
      <c r="G1669">
        <v>22395</v>
      </c>
      <c r="H1669" s="116"/>
      <c r="I1669" s="116"/>
      <c r="L1669" s="170">
        <v>45861</v>
      </c>
      <c r="M1669" s="116">
        <v>652.1</v>
      </c>
      <c r="N1669" s="116">
        <v>654.9</v>
      </c>
      <c r="O1669" s="116">
        <v>647.29999999999995</v>
      </c>
      <c r="P1669" s="116">
        <v>651.79999999999995</v>
      </c>
      <c r="Q1669" s="116">
        <v>652.1</v>
      </c>
      <c r="R1669">
        <v>398214</v>
      </c>
    </row>
    <row r="1670" spans="1:18" x14ac:dyDescent="0.25">
      <c r="A1670" s="170">
        <v>45862</v>
      </c>
      <c r="B1670" s="116">
        <v>655</v>
      </c>
      <c r="C1670" s="116">
        <v>644.9</v>
      </c>
      <c r="D1670" s="116">
        <v>643.75</v>
      </c>
      <c r="E1670" s="116">
        <v>649.29999999999995</v>
      </c>
      <c r="F1670" s="116">
        <v>644.9</v>
      </c>
      <c r="G1670">
        <v>54372</v>
      </c>
      <c r="H1670" s="116"/>
      <c r="I1670" s="116"/>
      <c r="L1670" s="170">
        <v>45862</v>
      </c>
      <c r="M1670" s="116">
        <v>644.75</v>
      </c>
      <c r="N1670" s="116">
        <v>655.35</v>
      </c>
      <c r="O1670" s="116">
        <v>642.5</v>
      </c>
      <c r="P1670" s="116">
        <v>652</v>
      </c>
      <c r="Q1670" s="116">
        <v>644.75</v>
      </c>
      <c r="R1670">
        <v>321771</v>
      </c>
    </row>
    <row r="1671" spans="1:18" x14ac:dyDescent="0.25">
      <c r="A1671" s="170">
        <v>45863</v>
      </c>
      <c r="B1671" s="116">
        <v>647.29999999999995</v>
      </c>
      <c r="C1671" s="116">
        <v>624.25</v>
      </c>
      <c r="D1671" s="116">
        <v>622.5</v>
      </c>
      <c r="E1671" s="116">
        <v>644.9</v>
      </c>
      <c r="F1671" s="116">
        <v>624.25</v>
      </c>
      <c r="G1671">
        <v>84752</v>
      </c>
      <c r="H1671" s="116"/>
      <c r="I1671" s="116"/>
      <c r="L1671" s="170">
        <v>45863</v>
      </c>
      <c r="M1671" s="116">
        <v>624.1</v>
      </c>
      <c r="N1671" s="116">
        <v>647.45000000000005</v>
      </c>
      <c r="O1671" s="116">
        <v>622.1</v>
      </c>
      <c r="P1671" s="116">
        <v>645.29999999999995</v>
      </c>
      <c r="Q1671" s="116">
        <v>624.1</v>
      </c>
      <c r="R1671">
        <v>553055</v>
      </c>
    </row>
    <row r="1672" spans="1:18" x14ac:dyDescent="0.25">
      <c r="A1672" s="170">
        <v>45866</v>
      </c>
      <c r="B1672" s="116">
        <v>638.79999999999995</v>
      </c>
      <c r="C1672" s="116">
        <v>626</v>
      </c>
      <c r="D1672" s="116">
        <v>622.29999999999995</v>
      </c>
      <c r="E1672" s="116">
        <v>624.29999999999995</v>
      </c>
      <c r="F1672" s="116">
        <v>626</v>
      </c>
      <c r="G1672">
        <v>112507</v>
      </c>
      <c r="H1672" s="116"/>
      <c r="I1672" s="116"/>
      <c r="L1672" s="170">
        <v>45866</v>
      </c>
      <c r="M1672" s="116">
        <v>625.65</v>
      </c>
      <c r="N1672" s="116">
        <v>638.9</v>
      </c>
      <c r="O1672" s="116">
        <v>621.1</v>
      </c>
      <c r="P1672" s="116">
        <v>627.95000000000005</v>
      </c>
      <c r="Q1672" s="116">
        <v>625.65</v>
      </c>
      <c r="R1672">
        <v>610775</v>
      </c>
    </row>
    <row r="1673" spans="1:18" x14ac:dyDescent="0.25">
      <c r="A1673" s="170">
        <v>45867</v>
      </c>
      <c r="B1673" s="116">
        <v>633</v>
      </c>
      <c r="C1673" s="116">
        <v>629.45000000000005</v>
      </c>
      <c r="D1673" s="116">
        <v>618.20000000000005</v>
      </c>
      <c r="E1673" s="116">
        <v>628.04999999999995</v>
      </c>
      <c r="F1673" s="116">
        <v>629.45000000000005</v>
      </c>
      <c r="G1673">
        <v>89521</v>
      </c>
      <c r="H1673" s="116"/>
      <c r="I1673" s="116"/>
      <c r="L1673" s="170">
        <v>45867</v>
      </c>
      <c r="M1673" s="116">
        <v>629.35</v>
      </c>
      <c r="N1673" s="116">
        <v>631</v>
      </c>
      <c r="O1673" s="116">
        <v>618</v>
      </c>
      <c r="P1673" s="116">
        <v>628.95000000000005</v>
      </c>
      <c r="Q1673" s="116">
        <v>629.35</v>
      </c>
      <c r="R1673">
        <v>620849</v>
      </c>
    </row>
    <row r="1674" spans="1:18" x14ac:dyDescent="0.25">
      <c r="A1674" s="170">
        <v>45868</v>
      </c>
      <c r="B1674" s="116">
        <v>636</v>
      </c>
      <c r="C1674" s="116">
        <v>625.20000000000005</v>
      </c>
      <c r="D1674" s="116">
        <v>623.04999999999995</v>
      </c>
      <c r="E1674" s="116">
        <v>633.20000000000005</v>
      </c>
      <c r="F1674" s="116">
        <v>625.20000000000005</v>
      </c>
      <c r="G1674">
        <v>66162</v>
      </c>
      <c r="H1674" s="116"/>
      <c r="I1674" s="116"/>
      <c r="L1674" s="170">
        <v>45868</v>
      </c>
      <c r="M1674" s="116">
        <v>625.15</v>
      </c>
      <c r="N1674" s="116">
        <v>636.1</v>
      </c>
      <c r="O1674" s="116">
        <v>623.54999999999995</v>
      </c>
      <c r="P1674" s="116">
        <v>633</v>
      </c>
      <c r="Q1674" s="116">
        <v>625.15</v>
      </c>
      <c r="R1674">
        <v>330702</v>
      </c>
    </row>
    <row r="1675" spans="1:18" x14ac:dyDescent="0.25">
      <c r="A1675" s="170">
        <v>45869</v>
      </c>
      <c r="B1675" s="116">
        <v>621.54999999999995</v>
      </c>
      <c r="C1675" s="116">
        <v>604.15</v>
      </c>
      <c r="D1675" s="116">
        <v>602.75</v>
      </c>
      <c r="E1675" s="116">
        <v>619.04999999999995</v>
      </c>
      <c r="F1675" s="116">
        <v>604.15</v>
      </c>
      <c r="G1675">
        <v>129325</v>
      </c>
      <c r="H1675" s="116"/>
      <c r="I1675" s="116"/>
      <c r="L1675" s="170">
        <v>45869</v>
      </c>
      <c r="M1675" s="116">
        <v>604.1</v>
      </c>
      <c r="N1675" s="116">
        <v>621.5</v>
      </c>
      <c r="O1675" s="116">
        <v>602.45000000000005</v>
      </c>
      <c r="P1675" s="116">
        <v>620</v>
      </c>
      <c r="Q1675" s="116">
        <v>604.1</v>
      </c>
      <c r="R1675">
        <v>970390</v>
      </c>
    </row>
    <row r="1676" spans="1:18" x14ac:dyDescent="0.25">
      <c r="A1676" s="170">
        <v>45870</v>
      </c>
      <c r="B1676" s="116">
        <v>615.6</v>
      </c>
      <c r="C1676" s="116">
        <v>595.15</v>
      </c>
      <c r="D1676" s="116">
        <v>593</v>
      </c>
      <c r="E1676" s="116">
        <v>614.04999999999995</v>
      </c>
      <c r="F1676" s="116">
        <v>595.15</v>
      </c>
      <c r="G1676">
        <v>128242</v>
      </c>
      <c r="H1676" s="116"/>
      <c r="I1676" s="116"/>
      <c r="L1676" s="170">
        <v>45870</v>
      </c>
      <c r="M1676" s="116">
        <v>595.4</v>
      </c>
      <c r="N1676" s="116">
        <v>617</v>
      </c>
      <c r="O1676" s="116">
        <v>592.70000000000005</v>
      </c>
      <c r="P1676" s="116">
        <v>617</v>
      </c>
      <c r="Q1676" s="116">
        <v>595.4</v>
      </c>
      <c r="R1676">
        <v>827372</v>
      </c>
    </row>
    <row r="1677" spans="1:18" x14ac:dyDescent="0.25">
      <c r="A1677" s="170">
        <v>45873</v>
      </c>
      <c r="B1677" s="116">
        <v>607</v>
      </c>
      <c r="C1677" s="116">
        <v>605.9</v>
      </c>
      <c r="D1677" s="116">
        <v>594.70000000000005</v>
      </c>
      <c r="E1677" s="116">
        <v>604.65</v>
      </c>
      <c r="F1677" s="116">
        <v>605.9</v>
      </c>
      <c r="G1677">
        <v>55129</v>
      </c>
      <c r="H1677" s="116"/>
      <c r="I1677" s="116"/>
      <c r="L1677" s="170">
        <v>45873</v>
      </c>
      <c r="M1677" s="116">
        <v>606.1</v>
      </c>
      <c r="N1677" s="116">
        <v>607.15</v>
      </c>
      <c r="O1677" s="116">
        <v>594.04999999999995</v>
      </c>
      <c r="P1677" s="116">
        <v>600.85</v>
      </c>
      <c r="Q1677" s="116">
        <v>606.1</v>
      </c>
      <c r="R1677">
        <v>481108</v>
      </c>
    </row>
    <row r="1678" spans="1:18" x14ac:dyDescent="0.25">
      <c r="A1678" s="170">
        <v>45874</v>
      </c>
      <c r="B1678" s="116">
        <v>608</v>
      </c>
      <c r="C1678" s="116">
        <v>596.04999999999995</v>
      </c>
      <c r="D1678" s="116">
        <v>593.85</v>
      </c>
      <c r="E1678" s="116">
        <v>601.75</v>
      </c>
      <c r="F1678" s="116">
        <v>596.04999999999995</v>
      </c>
      <c r="G1678">
        <v>42979</v>
      </c>
      <c r="H1678" s="116"/>
      <c r="I1678" s="116"/>
      <c r="L1678" s="170">
        <v>45874</v>
      </c>
      <c r="M1678" s="116">
        <v>595.85</v>
      </c>
      <c r="N1678" s="116">
        <v>608</v>
      </c>
      <c r="O1678" s="116">
        <v>593.70000000000005</v>
      </c>
      <c r="P1678" s="116">
        <v>604</v>
      </c>
      <c r="Q1678" s="116">
        <v>595.85</v>
      </c>
      <c r="R1678">
        <v>464528</v>
      </c>
    </row>
    <row r="1679" spans="1:18" x14ac:dyDescent="0.25">
      <c r="A1679" s="170">
        <v>45875</v>
      </c>
      <c r="B1679" s="116">
        <v>603.85</v>
      </c>
      <c r="C1679" s="116">
        <v>589.1</v>
      </c>
      <c r="D1679" s="116">
        <v>587.04999999999995</v>
      </c>
      <c r="E1679" s="116">
        <v>603.85</v>
      </c>
      <c r="F1679" s="116">
        <v>589.1</v>
      </c>
      <c r="G1679">
        <v>88116</v>
      </c>
      <c r="H1679" s="116"/>
      <c r="I1679" s="116"/>
      <c r="L1679" s="170">
        <v>45875</v>
      </c>
      <c r="M1679" s="116">
        <v>589</v>
      </c>
      <c r="N1679" s="116">
        <v>598.79999999999995</v>
      </c>
      <c r="O1679" s="116">
        <v>586.5</v>
      </c>
      <c r="P1679" s="116">
        <v>597.1</v>
      </c>
      <c r="Q1679" s="116">
        <v>589</v>
      </c>
      <c r="R1679">
        <v>404411</v>
      </c>
    </row>
    <row r="1680" spans="1:18" x14ac:dyDescent="0.25">
      <c r="A1680" s="170">
        <v>45876</v>
      </c>
      <c r="B1680" s="116">
        <v>594.6</v>
      </c>
      <c r="C1680" s="116">
        <v>591.75</v>
      </c>
      <c r="D1680" s="116">
        <v>577.1</v>
      </c>
      <c r="E1680" s="116">
        <v>589.1</v>
      </c>
      <c r="F1680" s="116">
        <v>591.75</v>
      </c>
      <c r="G1680">
        <v>140372</v>
      </c>
      <c r="H1680" s="116"/>
      <c r="I1680" s="116"/>
      <c r="L1680" s="170">
        <v>45876</v>
      </c>
      <c r="M1680" s="116">
        <v>591.85</v>
      </c>
      <c r="N1680" s="116">
        <v>594.75</v>
      </c>
      <c r="O1680" s="116">
        <v>577.1</v>
      </c>
      <c r="P1680" s="116">
        <v>589</v>
      </c>
      <c r="Q1680" s="116">
        <v>591.85</v>
      </c>
      <c r="R1680">
        <v>631605</v>
      </c>
    </row>
    <row r="1681" spans="1:18" x14ac:dyDescent="0.25">
      <c r="A1681" s="170">
        <v>45877</v>
      </c>
      <c r="B1681" s="116">
        <v>598.35</v>
      </c>
      <c r="C1681" s="116">
        <v>584.5</v>
      </c>
      <c r="D1681" s="116">
        <v>583</v>
      </c>
      <c r="E1681" s="116">
        <v>591.79999999999995</v>
      </c>
      <c r="F1681" s="116">
        <v>584.5</v>
      </c>
      <c r="G1681">
        <v>47100</v>
      </c>
      <c r="H1681" s="116"/>
      <c r="I1681" s="116"/>
      <c r="L1681" s="170">
        <v>45877</v>
      </c>
      <c r="M1681" s="116">
        <v>584.6</v>
      </c>
      <c r="N1681" s="116">
        <v>598.95000000000005</v>
      </c>
      <c r="O1681" s="116">
        <v>582</v>
      </c>
      <c r="P1681" s="116">
        <v>595</v>
      </c>
      <c r="Q1681" s="116">
        <v>584.6</v>
      </c>
      <c r="R1681">
        <v>434493</v>
      </c>
    </row>
    <row r="1682" spans="1:18" x14ac:dyDescent="0.25">
      <c r="A1682" s="170">
        <v>45880</v>
      </c>
      <c r="B1682" s="116">
        <v>599</v>
      </c>
      <c r="C1682" s="116">
        <v>596.45000000000005</v>
      </c>
      <c r="D1682" s="116">
        <v>582.5</v>
      </c>
      <c r="E1682" s="116">
        <v>587.29999999999995</v>
      </c>
      <c r="F1682" s="116">
        <v>596.45000000000005</v>
      </c>
      <c r="G1682">
        <v>46522</v>
      </c>
      <c r="H1682" s="116"/>
      <c r="I1682" s="116"/>
      <c r="L1682" s="170">
        <v>45880</v>
      </c>
      <c r="M1682" s="116">
        <v>596.29999999999995</v>
      </c>
      <c r="N1682" s="116">
        <v>598.95000000000005</v>
      </c>
      <c r="O1682" s="116">
        <v>582.15</v>
      </c>
      <c r="P1682" s="116">
        <v>585.6</v>
      </c>
      <c r="Q1682" s="116">
        <v>596.29999999999995</v>
      </c>
      <c r="R1682">
        <v>529688</v>
      </c>
    </row>
    <row r="1683" spans="1:18" x14ac:dyDescent="0.25">
      <c r="A1683" s="170">
        <v>45881</v>
      </c>
      <c r="B1683" s="116">
        <v>615.5</v>
      </c>
      <c r="C1683" s="116">
        <v>611.79999999999995</v>
      </c>
      <c r="D1683" s="116">
        <v>595.65</v>
      </c>
      <c r="E1683" s="116">
        <v>601.75</v>
      </c>
      <c r="F1683" s="116">
        <v>611.79999999999995</v>
      </c>
      <c r="G1683">
        <v>115895</v>
      </c>
      <c r="H1683" s="116"/>
      <c r="I1683" s="116"/>
      <c r="L1683" s="170">
        <v>45881</v>
      </c>
      <c r="M1683" s="116">
        <v>611.85</v>
      </c>
      <c r="N1683" s="116">
        <v>615.5</v>
      </c>
      <c r="O1683" s="116">
        <v>596.04999999999995</v>
      </c>
      <c r="P1683" s="116">
        <v>599</v>
      </c>
      <c r="Q1683" s="116">
        <v>611.85</v>
      </c>
      <c r="R1683">
        <v>927355</v>
      </c>
    </row>
    <row r="1684" spans="1:18" x14ac:dyDescent="0.25">
      <c r="A1684" s="170">
        <v>45882</v>
      </c>
      <c r="B1684" s="116">
        <v>615.95000000000005</v>
      </c>
      <c r="C1684" s="116">
        <v>609.29999999999995</v>
      </c>
      <c r="D1684" s="116">
        <v>604.20000000000005</v>
      </c>
      <c r="E1684" s="116">
        <v>611.15</v>
      </c>
      <c r="F1684" s="116">
        <v>609.29999999999995</v>
      </c>
      <c r="G1684">
        <v>38349</v>
      </c>
      <c r="H1684" s="116"/>
      <c r="I1684" s="116"/>
      <c r="L1684" s="170">
        <v>45882</v>
      </c>
      <c r="M1684" s="116">
        <v>609.25</v>
      </c>
      <c r="N1684" s="116">
        <v>616.15</v>
      </c>
      <c r="O1684" s="116">
        <v>604</v>
      </c>
      <c r="P1684" s="116">
        <v>611.85</v>
      </c>
      <c r="Q1684" s="116">
        <v>609.25</v>
      </c>
      <c r="R1684">
        <v>351327</v>
      </c>
    </row>
    <row r="1685" spans="1:18" x14ac:dyDescent="0.25">
      <c r="A1685" s="170">
        <v>45883</v>
      </c>
      <c r="B1685" s="116">
        <v>616.25</v>
      </c>
      <c r="C1685" s="116">
        <v>607.5</v>
      </c>
      <c r="D1685" s="116">
        <v>606.1</v>
      </c>
      <c r="E1685" s="116">
        <v>610.29999999999995</v>
      </c>
      <c r="F1685" s="116">
        <v>607.5</v>
      </c>
      <c r="G1685">
        <v>38544</v>
      </c>
      <c r="H1685" s="116"/>
      <c r="I1685" s="116"/>
      <c r="L1685" s="170">
        <v>45883</v>
      </c>
      <c r="M1685" s="116">
        <v>607.35</v>
      </c>
      <c r="N1685" s="116">
        <v>617</v>
      </c>
      <c r="O1685" s="116">
        <v>605.70000000000005</v>
      </c>
      <c r="P1685" s="116">
        <v>611</v>
      </c>
      <c r="Q1685" s="116">
        <v>607.35</v>
      </c>
      <c r="R1685">
        <v>279633</v>
      </c>
    </row>
    <row r="1686" spans="1:18" x14ac:dyDescent="0.25">
      <c r="A1686" s="170">
        <v>45887</v>
      </c>
      <c r="B1686" s="116">
        <v>628.79999999999995</v>
      </c>
      <c r="C1686" s="116">
        <v>623.85</v>
      </c>
      <c r="D1686" s="116">
        <v>609</v>
      </c>
      <c r="E1686" s="116">
        <v>611.04999999999995</v>
      </c>
      <c r="F1686" s="116">
        <v>623.85</v>
      </c>
      <c r="G1686">
        <v>89865</v>
      </c>
      <c r="H1686" s="116"/>
      <c r="I1686" s="116"/>
      <c r="L1686" s="170">
        <v>45887</v>
      </c>
      <c r="M1686" s="116">
        <v>623.54999999999995</v>
      </c>
      <c r="N1686" s="116">
        <v>629.1</v>
      </c>
      <c r="O1686" s="116">
        <v>609.04999999999995</v>
      </c>
      <c r="P1686" s="116">
        <v>612</v>
      </c>
      <c r="Q1686" s="116">
        <v>623.54999999999995</v>
      </c>
      <c r="R1686">
        <v>619968</v>
      </c>
    </row>
    <row r="1687" spans="1:18" x14ac:dyDescent="0.25">
      <c r="A1687" s="170">
        <v>45888</v>
      </c>
      <c r="B1687" s="116">
        <v>633.15</v>
      </c>
      <c r="C1687" s="116">
        <v>629.1</v>
      </c>
      <c r="D1687" s="116">
        <v>625.20000000000005</v>
      </c>
      <c r="E1687" s="116">
        <v>625.20000000000005</v>
      </c>
      <c r="F1687" s="116">
        <v>629.1</v>
      </c>
      <c r="G1687">
        <v>50668</v>
      </c>
      <c r="H1687" s="116"/>
      <c r="I1687" s="116"/>
      <c r="L1687" s="170">
        <v>45888</v>
      </c>
      <c r="M1687" s="116">
        <v>628.75</v>
      </c>
      <c r="N1687" s="116">
        <v>633.29999999999995</v>
      </c>
      <c r="O1687" s="116">
        <v>625.04999999999995</v>
      </c>
      <c r="P1687" s="116">
        <v>625.6</v>
      </c>
      <c r="Q1687" s="116">
        <v>628.75</v>
      </c>
      <c r="R1687">
        <v>473682</v>
      </c>
    </row>
    <row r="1688" spans="1:18" x14ac:dyDescent="0.25">
      <c r="A1688" s="170">
        <v>45889</v>
      </c>
      <c r="B1688" s="116">
        <v>634.75</v>
      </c>
      <c r="C1688" s="116">
        <v>630.35</v>
      </c>
      <c r="D1688" s="116">
        <v>625.04999999999995</v>
      </c>
      <c r="E1688" s="116">
        <v>627.95000000000005</v>
      </c>
      <c r="F1688" s="116">
        <v>630.35</v>
      </c>
      <c r="G1688">
        <v>60421</v>
      </c>
      <c r="H1688" s="116"/>
      <c r="I1688" s="116"/>
      <c r="L1688" s="170">
        <v>45889</v>
      </c>
      <c r="M1688" s="116">
        <v>630.4</v>
      </c>
      <c r="N1688" s="116">
        <v>635</v>
      </c>
      <c r="O1688" s="116">
        <v>625.1</v>
      </c>
      <c r="P1688" s="116">
        <v>625.1</v>
      </c>
      <c r="Q1688" s="116">
        <v>630.4</v>
      </c>
      <c r="R1688">
        <v>555892</v>
      </c>
    </row>
    <row r="1689" spans="1:18" x14ac:dyDescent="0.25">
      <c r="A1689" s="170">
        <v>45890</v>
      </c>
      <c r="B1689" s="116">
        <v>634</v>
      </c>
      <c r="C1689" s="116">
        <v>618</v>
      </c>
      <c r="D1689" s="116">
        <v>617</v>
      </c>
      <c r="E1689" s="116">
        <v>634</v>
      </c>
      <c r="F1689" s="116">
        <v>618</v>
      </c>
      <c r="G1689">
        <v>27455</v>
      </c>
      <c r="H1689" s="116"/>
      <c r="I1689" s="116"/>
      <c r="L1689" s="170">
        <v>45890</v>
      </c>
      <c r="M1689" s="116">
        <v>617.95000000000005</v>
      </c>
      <c r="N1689" s="116">
        <v>634</v>
      </c>
      <c r="O1689" s="116">
        <v>616.54999999999995</v>
      </c>
      <c r="P1689" s="116">
        <v>634</v>
      </c>
      <c r="Q1689" s="116">
        <v>617.95000000000005</v>
      </c>
      <c r="R1689">
        <v>309973</v>
      </c>
    </row>
    <row r="1690" spans="1:18" x14ac:dyDescent="0.25">
      <c r="A1690" s="170">
        <v>45891</v>
      </c>
      <c r="B1690" s="116">
        <v>622.9</v>
      </c>
      <c r="C1690" s="116">
        <v>617.4</v>
      </c>
      <c r="D1690" s="116">
        <v>613.5</v>
      </c>
      <c r="E1690" s="116">
        <v>618</v>
      </c>
      <c r="F1690" s="116">
        <v>617.4</v>
      </c>
      <c r="G1690">
        <v>47282</v>
      </c>
      <c r="H1690" s="116"/>
      <c r="I1690" s="116"/>
      <c r="L1690" s="170">
        <v>45891</v>
      </c>
      <c r="M1690" s="116">
        <v>617.75</v>
      </c>
      <c r="N1690" s="116">
        <v>623</v>
      </c>
      <c r="O1690" s="116">
        <v>613.54999999999995</v>
      </c>
      <c r="P1690" s="116">
        <v>618</v>
      </c>
      <c r="Q1690" s="116">
        <v>617.75</v>
      </c>
      <c r="R1690">
        <v>294230</v>
      </c>
    </row>
    <row r="1691" spans="1:18" x14ac:dyDescent="0.25">
      <c r="A1691" s="170">
        <v>45894</v>
      </c>
      <c r="B1691" s="116">
        <v>633</v>
      </c>
      <c r="C1691" s="116">
        <v>630.9</v>
      </c>
      <c r="D1691" s="116">
        <v>618.20000000000005</v>
      </c>
      <c r="E1691" s="116">
        <v>618.5</v>
      </c>
      <c r="F1691" s="116">
        <v>630.9</v>
      </c>
      <c r="G1691">
        <v>36791</v>
      </c>
      <c r="H1691" s="116"/>
      <c r="I1691" s="116"/>
      <c r="L1691" s="170">
        <v>45894</v>
      </c>
      <c r="M1691" s="116">
        <v>631.25</v>
      </c>
      <c r="N1691" s="116">
        <v>633.20000000000005</v>
      </c>
      <c r="O1691" s="116">
        <v>618.15</v>
      </c>
      <c r="P1691" s="116">
        <v>620</v>
      </c>
      <c r="Q1691" s="116">
        <v>631.25</v>
      </c>
      <c r="R1691">
        <v>722258</v>
      </c>
    </row>
    <row r="1692" spans="1:18" x14ac:dyDescent="0.25">
      <c r="A1692" s="170">
        <v>45895</v>
      </c>
      <c r="B1692" s="116">
        <v>644.70000000000005</v>
      </c>
      <c r="C1692" s="116">
        <v>635.9</v>
      </c>
      <c r="D1692" s="116">
        <v>625.35</v>
      </c>
      <c r="E1692" s="116">
        <v>625.35</v>
      </c>
      <c r="F1692" s="116">
        <v>635.9</v>
      </c>
      <c r="G1692">
        <v>69156</v>
      </c>
      <c r="H1692" s="116"/>
      <c r="I1692" s="116"/>
      <c r="L1692" s="170">
        <v>45895</v>
      </c>
      <c r="M1692" s="116">
        <v>635.70000000000005</v>
      </c>
      <c r="N1692" s="116">
        <v>644.5</v>
      </c>
      <c r="O1692" s="116">
        <v>625.5</v>
      </c>
      <c r="P1692" s="116">
        <v>630.1</v>
      </c>
      <c r="Q1692" s="116">
        <v>635.70000000000005</v>
      </c>
      <c r="R1692">
        <v>1256023</v>
      </c>
    </row>
    <row r="1693" spans="1:18" x14ac:dyDescent="0.25">
      <c r="A1693" s="170">
        <v>45897</v>
      </c>
      <c r="B1693" s="116">
        <v>630.95000000000005</v>
      </c>
      <c r="C1693" s="116">
        <v>592.04999999999995</v>
      </c>
      <c r="D1693" s="116">
        <v>585.65</v>
      </c>
      <c r="E1693" s="116">
        <v>625.35</v>
      </c>
      <c r="F1693" s="116">
        <v>592.04999999999995</v>
      </c>
      <c r="G1693">
        <v>215746</v>
      </c>
      <c r="H1693" s="116"/>
      <c r="I1693" s="116"/>
      <c r="L1693" s="170">
        <v>45897</v>
      </c>
      <c r="M1693" s="116">
        <v>592.54999999999995</v>
      </c>
      <c r="N1693" s="116">
        <v>631.65</v>
      </c>
      <c r="O1693" s="116">
        <v>585.1</v>
      </c>
      <c r="P1693" s="116">
        <v>626</v>
      </c>
      <c r="Q1693" s="116">
        <v>592.54999999999995</v>
      </c>
      <c r="R1693">
        <v>3247580</v>
      </c>
    </row>
    <row r="1694" spans="1:18" x14ac:dyDescent="0.25">
      <c r="A1694" s="170">
        <v>45898</v>
      </c>
      <c r="B1694" s="116">
        <v>595</v>
      </c>
      <c r="C1694" s="116">
        <v>590.54999999999995</v>
      </c>
      <c r="D1694" s="116">
        <v>584</v>
      </c>
      <c r="E1694" s="116">
        <v>593</v>
      </c>
      <c r="F1694" s="116">
        <v>590.54999999999995</v>
      </c>
      <c r="G1694">
        <v>64732</v>
      </c>
      <c r="H1694" s="116"/>
      <c r="I1694" s="116"/>
      <c r="L1694" s="170">
        <v>45898</v>
      </c>
      <c r="M1694" s="116">
        <v>591.1</v>
      </c>
      <c r="N1694" s="116">
        <v>595</v>
      </c>
      <c r="O1694" s="116">
        <v>583.75</v>
      </c>
      <c r="P1694" s="116">
        <v>593</v>
      </c>
      <c r="Q1694" s="116">
        <v>591.1</v>
      </c>
      <c r="R1694">
        <v>839227</v>
      </c>
    </row>
    <row r="1695" spans="1:18" x14ac:dyDescent="0.25">
      <c r="A1695" s="170">
        <v>45901</v>
      </c>
      <c r="B1695" s="116">
        <v>597.15</v>
      </c>
      <c r="C1695" s="116">
        <v>594.04999999999995</v>
      </c>
      <c r="D1695" s="116">
        <v>592</v>
      </c>
      <c r="E1695" s="116">
        <v>595.65</v>
      </c>
      <c r="F1695" s="116">
        <v>594.04999999999995</v>
      </c>
      <c r="G1695">
        <v>32310</v>
      </c>
      <c r="H1695" s="116"/>
      <c r="I1695" s="116"/>
      <c r="L1695" s="170">
        <v>45901</v>
      </c>
      <c r="M1695" s="116">
        <v>594.15</v>
      </c>
      <c r="N1695" s="116">
        <v>597.75</v>
      </c>
      <c r="O1695" s="116">
        <v>592.4</v>
      </c>
      <c r="P1695" s="116">
        <v>593.9</v>
      </c>
      <c r="Q1695" s="116">
        <v>594.15</v>
      </c>
      <c r="R1695">
        <v>397205</v>
      </c>
    </row>
    <row r="1696" spans="1:18" x14ac:dyDescent="0.25">
      <c r="A1696" s="170">
        <v>45902</v>
      </c>
      <c r="B1696" s="116">
        <v>602.95000000000005</v>
      </c>
      <c r="C1696" s="116">
        <v>595.9</v>
      </c>
      <c r="D1696" s="116">
        <v>593.85</v>
      </c>
      <c r="E1696" s="116">
        <v>593.85</v>
      </c>
      <c r="F1696" s="116">
        <v>595.9</v>
      </c>
      <c r="G1696">
        <v>25678</v>
      </c>
      <c r="H1696" s="116"/>
      <c r="I1696" s="116"/>
      <c r="L1696" s="170">
        <v>45902</v>
      </c>
      <c r="M1696" s="116">
        <v>595.85</v>
      </c>
      <c r="N1696" s="116">
        <v>603</v>
      </c>
      <c r="O1696" s="116">
        <v>593</v>
      </c>
      <c r="P1696" s="116">
        <v>594.45000000000005</v>
      </c>
      <c r="Q1696" s="116">
        <v>595.85</v>
      </c>
      <c r="R1696">
        <v>381413</v>
      </c>
    </row>
    <row r="1697" spans="1:18" x14ac:dyDescent="0.25">
      <c r="A1697" s="170">
        <v>45903</v>
      </c>
      <c r="B1697" s="116">
        <v>601.45000000000005</v>
      </c>
      <c r="C1697" s="116">
        <v>597.04999999999995</v>
      </c>
      <c r="D1697" s="116">
        <v>595.4</v>
      </c>
      <c r="E1697" s="116">
        <v>596.9</v>
      </c>
      <c r="F1697" s="116">
        <v>597.04999999999995</v>
      </c>
      <c r="G1697">
        <v>39955</v>
      </c>
      <c r="H1697" s="116"/>
      <c r="I1697" s="116"/>
      <c r="L1697" s="170">
        <v>45903</v>
      </c>
      <c r="M1697" s="116">
        <v>597.15</v>
      </c>
      <c r="N1697" s="116">
        <v>601.29999999999995</v>
      </c>
      <c r="O1697" s="116">
        <v>595.29999999999995</v>
      </c>
      <c r="P1697" s="116">
        <v>598.75</v>
      </c>
      <c r="Q1697" s="116">
        <v>597.15</v>
      </c>
      <c r="R1697">
        <v>286955</v>
      </c>
    </row>
    <row r="1698" spans="1:18" x14ac:dyDescent="0.25">
      <c r="A1698" s="170">
        <v>45904</v>
      </c>
      <c r="B1698" s="116">
        <v>604.35</v>
      </c>
      <c r="C1698" s="116">
        <v>596.4</v>
      </c>
      <c r="D1698" s="116">
        <v>595.35</v>
      </c>
      <c r="E1698" s="116">
        <v>600.45000000000005</v>
      </c>
      <c r="F1698" s="116">
        <v>596.4</v>
      </c>
      <c r="G1698">
        <v>28924</v>
      </c>
      <c r="H1698" s="116"/>
      <c r="I1698" s="116"/>
      <c r="L1698" s="170">
        <v>45904</v>
      </c>
      <c r="M1698" s="116">
        <v>596.04999999999995</v>
      </c>
      <c r="N1698" s="116">
        <v>604.95000000000005</v>
      </c>
      <c r="O1698" s="116">
        <v>595</v>
      </c>
      <c r="P1698" s="116">
        <v>597.95000000000005</v>
      </c>
      <c r="Q1698" s="116">
        <v>596.04999999999995</v>
      </c>
      <c r="R1698">
        <v>298857</v>
      </c>
    </row>
    <row r="1699" spans="1:18" x14ac:dyDescent="0.25">
      <c r="A1699" s="170">
        <v>45905</v>
      </c>
      <c r="B1699" s="116">
        <v>600.04999999999995</v>
      </c>
      <c r="C1699" s="116">
        <v>590.35</v>
      </c>
      <c r="D1699" s="116">
        <v>588</v>
      </c>
      <c r="E1699" s="116">
        <v>597.9</v>
      </c>
      <c r="F1699" s="116">
        <v>590.35</v>
      </c>
      <c r="G1699">
        <v>52541</v>
      </c>
      <c r="H1699" s="116"/>
      <c r="I1699" s="116"/>
      <c r="L1699" s="170">
        <v>45905</v>
      </c>
      <c r="M1699" s="116">
        <v>590.4</v>
      </c>
      <c r="N1699" s="116">
        <v>599.75</v>
      </c>
      <c r="O1699" s="116">
        <v>588.20000000000005</v>
      </c>
      <c r="P1699" s="116">
        <v>597.25</v>
      </c>
      <c r="Q1699" s="116">
        <v>590.4</v>
      </c>
      <c r="R1699">
        <v>268110</v>
      </c>
    </row>
    <row r="1700" spans="1:18" x14ac:dyDescent="0.25">
      <c r="A1700" s="170">
        <v>45908</v>
      </c>
      <c r="B1700" s="116">
        <v>601.25</v>
      </c>
      <c r="C1700" s="116">
        <v>593.25</v>
      </c>
      <c r="D1700" s="116">
        <v>590.54999999999995</v>
      </c>
      <c r="E1700" s="116">
        <v>590.54999999999995</v>
      </c>
      <c r="F1700" s="116">
        <v>593.25</v>
      </c>
      <c r="G1700">
        <v>24285</v>
      </c>
      <c r="H1700" s="116"/>
      <c r="I1700" s="116"/>
      <c r="L1700" s="170">
        <v>45908</v>
      </c>
      <c r="M1700" s="116">
        <v>592.29999999999995</v>
      </c>
      <c r="N1700" s="116">
        <v>601.85</v>
      </c>
      <c r="O1700" s="116">
        <v>590</v>
      </c>
      <c r="P1700" s="116">
        <v>593.1</v>
      </c>
      <c r="Q1700" s="116">
        <v>592.29999999999995</v>
      </c>
      <c r="R1700">
        <v>431824</v>
      </c>
    </row>
    <row r="1701" spans="1:18" x14ac:dyDescent="0.25">
      <c r="A1701" s="170">
        <v>45909</v>
      </c>
      <c r="B1701" s="116">
        <v>597.1</v>
      </c>
      <c r="C1701" s="116">
        <v>594.45000000000005</v>
      </c>
      <c r="D1701" s="116">
        <v>592.45000000000005</v>
      </c>
      <c r="E1701" s="116">
        <v>593.25</v>
      </c>
      <c r="F1701" s="116">
        <v>594.45000000000005</v>
      </c>
      <c r="G1701">
        <v>32380</v>
      </c>
      <c r="H1701" s="116"/>
      <c r="I1701" s="116"/>
      <c r="L1701" s="170">
        <v>45909</v>
      </c>
      <c r="M1701" s="116">
        <v>594.6</v>
      </c>
      <c r="N1701" s="116">
        <v>598.20000000000005</v>
      </c>
      <c r="O1701" s="116">
        <v>592.04999999999995</v>
      </c>
      <c r="P1701" s="116">
        <v>595</v>
      </c>
      <c r="Q1701" s="116">
        <v>594.6</v>
      </c>
      <c r="R1701">
        <v>217589</v>
      </c>
    </row>
    <row r="1702" spans="1:18" x14ac:dyDescent="0.25">
      <c r="A1702" s="170">
        <v>45910</v>
      </c>
      <c r="B1702" s="116">
        <v>602.6</v>
      </c>
      <c r="C1702" s="116">
        <v>597.79999999999995</v>
      </c>
      <c r="D1702" s="116">
        <v>595.45000000000005</v>
      </c>
      <c r="E1702" s="116">
        <v>599.45000000000005</v>
      </c>
      <c r="F1702" s="116">
        <v>597.79999999999995</v>
      </c>
      <c r="G1702">
        <v>24926</v>
      </c>
      <c r="H1702" s="116"/>
      <c r="I1702" s="116"/>
      <c r="L1702" s="170">
        <v>45910</v>
      </c>
      <c r="M1702" s="116">
        <v>597.85</v>
      </c>
      <c r="N1702" s="116">
        <v>602.70000000000005</v>
      </c>
      <c r="O1702" s="116">
        <v>596.04999999999995</v>
      </c>
      <c r="P1702" s="116">
        <v>597.29999999999995</v>
      </c>
      <c r="Q1702" s="116">
        <v>597.85</v>
      </c>
      <c r="R1702">
        <v>398054</v>
      </c>
    </row>
    <row r="1703" spans="1:18" x14ac:dyDescent="0.25">
      <c r="A1703" s="170">
        <v>45911</v>
      </c>
      <c r="B1703" s="116">
        <v>627.95000000000005</v>
      </c>
      <c r="C1703" s="116">
        <v>606.70000000000005</v>
      </c>
      <c r="D1703" s="116">
        <v>599</v>
      </c>
      <c r="E1703" s="116">
        <v>602.25</v>
      </c>
      <c r="F1703" s="116">
        <v>606.70000000000005</v>
      </c>
      <c r="G1703">
        <v>118884</v>
      </c>
      <c r="H1703" s="116"/>
      <c r="I1703" s="116"/>
      <c r="L1703" s="170">
        <v>45911</v>
      </c>
      <c r="M1703" s="116">
        <v>606.25</v>
      </c>
      <c r="N1703" s="116">
        <v>628.95000000000005</v>
      </c>
      <c r="O1703" s="116">
        <v>598.29999999999995</v>
      </c>
      <c r="P1703" s="116">
        <v>600.4</v>
      </c>
      <c r="Q1703" s="116">
        <v>606.25</v>
      </c>
      <c r="R1703">
        <v>1876056</v>
      </c>
    </row>
    <row r="1704" spans="1:18" x14ac:dyDescent="0.25">
      <c r="A1704" s="170">
        <v>45912</v>
      </c>
      <c r="B1704" s="116">
        <v>610.70000000000005</v>
      </c>
      <c r="C1704" s="116">
        <v>605.65</v>
      </c>
      <c r="D1704" s="116">
        <v>604.04999999999995</v>
      </c>
      <c r="E1704" s="116">
        <v>610</v>
      </c>
      <c r="F1704" s="116">
        <v>605.65</v>
      </c>
      <c r="G1704">
        <v>58033</v>
      </c>
      <c r="H1704" s="116"/>
      <c r="I1704" s="116"/>
      <c r="L1704" s="170">
        <v>45912</v>
      </c>
      <c r="M1704" s="116">
        <v>605.6</v>
      </c>
      <c r="N1704" s="116">
        <v>611</v>
      </c>
      <c r="O1704" s="116">
        <v>604.20000000000005</v>
      </c>
      <c r="P1704" s="116">
        <v>610</v>
      </c>
      <c r="Q1704" s="116">
        <v>605.6</v>
      </c>
      <c r="R1704">
        <v>388478</v>
      </c>
    </row>
    <row r="1705" spans="1:18" x14ac:dyDescent="0.25">
      <c r="A1705" s="170">
        <v>45915</v>
      </c>
      <c r="B1705" s="116">
        <v>609.1</v>
      </c>
      <c r="C1705" s="116">
        <v>605.04999999999995</v>
      </c>
      <c r="D1705" s="116">
        <v>603.45000000000005</v>
      </c>
      <c r="E1705" s="116">
        <v>606.20000000000005</v>
      </c>
      <c r="F1705" s="116">
        <v>605.04999999999995</v>
      </c>
      <c r="G1705">
        <v>52326</v>
      </c>
      <c r="H1705" s="116"/>
      <c r="I1705" s="116"/>
      <c r="L1705" s="170">
        <v>45915</v>
      </c>
      <c r="M1705" s="116">
        <v>605.20000000000005</v>
      </c>
      <c r="N1705" s="116">
        <v>609.65</v>
      </c>
      <c r="O1705" s="116">
        <v>603.29999999999995</v>
      </c>
      <c r="P1705" s="116">
        <v>607</v>
      </c>
      <c r="Q1705" s="116">
        <v>605.20000000000005</v>
      </c>
      <c r="R1705">
        <v>314243</v>
      </c>
    </row>
    <row r="1706" spans="1:18" x14ac:dyDescent="0.25">
      <c r="A1706" s="170">
        <v>45916</v>
      </c>
      <c r="B1706" s="116">
        <v>609.70000000000005</v>
      </c>
      <c r="C1706" s="116">
        <v>605.6</v>
      </c>
      <c r="D1706" s="116">
        <v>604</v>
      </c>
      <c r="E1706" s="116">
        <v>609.1</v>
      </c>
      <c r="F1706" s="116">
        <v>605.6</v>
      </c>
      <c r="G1706">
        <v>26301</v>
      </c>
      <c r="H1706" s="116"/>
      <c r="I1706" s="116"/>
      <c r="L1706" s="170">
        <v>45916</v>
      </c>
      <c r="M1706" s="116">
        <v>605.85</v>
      </c>
      <c r="N1706" s="116">
        <v>609.70000000000005</v>
      </c>
      <c r="O1706" s="116">
        <v>604</v>
      </c>
      <c r="P1706" s="116">
        <v>609.70000000000005</v>
      </c>
      <c r="Q1706" s="116">
        <v>605.85</v>
      </c>
      <c r="R1706">
        <v>267037</v>
      </c>
    </row>
    <row r="1707" spans="1:18" x14ac:dyDescent="0.25">
      <c r="A1707" s="170">
        <v>45917</v>
      </c>
      <c r="B1707" s="116">
        <v>612</v>
      </c>
      <c r="C1707" s="116">
        <v>607.04999999999995</v>
      </c>
      <c r="D1707" s="116">
        <v>605.20000000000005</v>
      </c>
      <c r="E1707" s="116">
        <v>611.45000000000005</v>
      </c>
      <c r="F1707" s="116">
        <v>607.04999999999995</v>
      </c>
      <c r="G1707">
        <v>16633</v>
      </c>
      <c r="H1707" s="116"/>
      <c r="I1707" s="116"/>
      <c r="L1707" s="170">
        <v>45917</v>
      </c>
      <c r="M1707" s="116">
        <v>607.04999999999995</v>
      </c>
      <c r="N1707" s="116">
        <v>612.54999999999995</v>
      </c>
      <c r="O1707" s="116">
        <v>605</v>
      </c>
      <c r="P1707" s="116">
        <v>610</v>
      </c>
      <c r="Q1707" s="116">
        <v>607.04999999999995</v>
      </c>
      <c r="R1707">
        <v>321528</v>
      </c>
    </row>
    <row r="1708" spans="1:18" x14ac:dyDescent="0.25">
      <c r="A1708" s="170">
        <v>45918</v>
      </c>
      <c r="B1708" s="116">
        <v>610.70000000000005</v>
      </c>
      <c r="C1708" s="116">
        <v>606.79999999999995</v>
      </c>
      <c r="D1708" s="116">
        <v>604.6</v>
      </c>
      <c r="E1708" s="116">
        <v>605.20000000000005</v>
      </c>
      <c r="F1708" s="116">
        <v>606.79999999999995</v>
      </c>
      <c r="G1708">
        <v>47460</v>
      </c>
      <c r="H1708" s="116"/>
      <c r="I1708" s="116"/>
      <c r="L1708" s="170">
        <v>45918</v>
      </c>
      <c r="M1708" s="116">
        <v>606.95000000000005</v>
      </c>
      <c r="N1708" s="116">
        <v>610.95000000000005</v>
      </c>
      <c r="O1708" s="116">
        <v>605.15</v>
      </c>
      <c r="P1708" s="116">
        <v>608</v>
      </c>
      <c r="Q1708" s="116">
        <v>606.95000000000005</v>
      </c>
      <c r="R1708">
        <v>320497</v>
      </c>
    </row>
    <row r="1709" spans="1:18" x14ac:dyDescent="0.25">
      <c r="A1709" s="170">
        <v>45919</v>
      </c>
      <c r="B1709" s="116">
        <v>687.35</v>
      </c>
      <c r="C1709" s="116">
        <v>651.4</v>
      </c>
      <c r="D1709" s="116">
        <v>634</v>
      </c>
      <c r="E1709" s="116">
        <v>639.79999999999995</v>
      </c>
      <c r="F1709" s="116">
        <v>651.4</v>
      </c>
      <c r="G1709">
        <v>1354888</v>
      </c>
      <c r="H1709" s="116"/>
      <c r="I1709" s="116"/>
      <c r="L1709" s="170">
        <v>45919</v>
      </c>
      <c r="M1709" s="116">
        <v>651.45000000000005</v>
      </c>
      <c r="N1709" s="116">
        <v>687.75</v>
      </c>
      <c r="O1709" s="116">
        <v>634.25</v>
      </c>
      <c r="P1709" s="116">
        <v>635</v>
      </c>
      <c r="Q1709" s="116">
        <v>651.45000000000005</v>
      </c>
      <c r="R1709">
        <v>16380380</v>
      </c>
    </row>
    <row r="1710" spans="1:18" x14ac:dyDescent="0.25">
      <c r="A1710" s="170">
        <v>45922</v>
      </c>
      <c r="B1710" s="116">
        <v>781.65</v>
      </c>
      <c r="C1710" s="116">
        <v>780.85</v>
      </c>
      <c r="D1710" s="116">
        <v>652.35</v>
      </c>
      <c r="E1710" s="116">
        <v>658.7</v>
      </c>
      <c r="F1710" s="116">
        <v>780.85</v>
      </c>
      <c r="G1710">
        <v>2860628</v>
      </c>
      <c r="H1710" s="116"/>
      <c r="I1710" s="116"/>
      <c r="L1710" s="170">
        <v>45922</v>
      </c>
      <c r="M1710" s="116">
        <v>780.75</v>
      </c>
      <c r="N1710" s="116">
        <v>781.7</v>
      </c>
      <c r="O1710" s="116">
        <v>652.35</v>
      </c>
      <c r="P1710" s="116">
        <v>656</v>
      </c>
      <c r="Q1710" s="116">
        <v>780.75</v>
      </c>
      <c r="R1710">
        <v>38847632</v>
      </c>
    </row>
    <row r="1711" spans="1:18" x14ac:dyDescent="0.25">
      <c r="A1711" s="170">
        <v>45923</v>
      </c>
      <c r="B1711" s="116">
        <v>797.4</v>
      </c>
      <c r="C1711" s="116">
        <v>722.4</v>
      </c>
      <c r="D1711" s="116">
        <v>715.75</v>
      </c>
      <c r="E1711" s="116">
        <v>792.7</v>
      </c>
      <c r="F1711" s="116">
        <v>722.4</v>
      </c>
      <c r="G1711">
        <v>1571782</v>
      </c>
      <c r="H1711" s="116"/>
      <c r="I1711" s="116"/>
      <c r="L1711" s="170">
        <v>45923</v>
      </c>
      <c r="M1711" s="116">
        <v>722.95</v>
      </c>
      <c r="N1711" s="116">
        <v>798</v>
      </c>
      <c r="O1711" s="116">
        <v>716.2</v>
      </c>
      <c r="P1711" s="116">
        <v>790</v>
      </c>
      <c r="Q1711" s="116">
        <v>722.95</v>
      </c>
      <c r="R1711">
        <v>14832905</v>
      </c>
    </row>
    <row r="1712" spans="1:18" x14ac:dyDescent="0.25">
      <c r="A1712" s="170">
        <v>45924</v>
      </c>
      <c r="B1712" s="116">
        <v>724</v>
      </c>
      <c r="C1712" s="116">
        <v>667.6</v>
      </c>
      <c r="D1712" s="116">
        <v>662.6</v>
      </c>
      <c r="E1712" s="116">
        <v>723</v>
      </c>
      <c r="F1712" s="116">
        <v>667.6</v>
      </c>
      <c r="G1712">
        <v>530849</v>
      </c>
      <c r="H1712" s="116"/>
      <c r="I1712" s="116"/>
      <c r="L1712" s="170">
        <v>45924</v>
      </c>
      <c r="M1712" s="116">
        <v>667.3</v>
      </c>
      <c r="N1712" s="116">
        <v>724.75</v>
      </c>
      <c r="O1712" s="116">
        <v>662.5</v>
      </c>
      <c r="P1712" s="116">
        <v>724</v>
      </c>
      <c r="Q1712" s="116">
        <v>667.3</v>
      </c>
      <c r="R1712">
        <v>6306234</v>
      </c>
    </row>
    <row r="1713" spans="1:18" x14ac:dyDescent="0.25">
      <c r="A1713" s="170">
        <v>45925</v>
      </c>
      <c r="B1713" s="116">
        <v>704.8</v>
      </c>
      <c r="C1713" s="116">
        <v>671</v>
      </c>
      <c r="D1713" s="116">
        <v>663.55</v>
      </c>
      <c r="E1713" s="116">
        <v>666.05</v>
      </c>
      <c r="F1713" s="116">
        <v>671</v>
      </c>
      <c r="G1713">
        <v>870051</v>
      </c>
      <c r="H1713" s="116"/>
      <c r="I1713" s="116"/>
      <c r="L1713" s="170">
        <v>45925</v>
      </c>
      <c r="M1713" s="116">
        <v>671.7</v>
      </c>
      <c r="N1713" s="116">
        <v>705</v>
      </c>
      <c r="O1713" s="116">
        <v>663.25</v>
      </c>
      <c r="P1713" s="116">
        <v>668</v>
      </c>
      <c r="Q1713" s="116">
        <v>671.7</v>
      </c>
      <c r="R1713">
        <v>8172631</v>
      </c>
    </row>
    <row r="1714" spans="1:18" x14ac:dyDescent="0.25">
      <c r="A1714" s="170">
        <v>45926</v>
      </c>
      <c r="B1714" s="116">
        <v>675.55</v>
      </c>
      <c r="C1714" s="116">
        <v>649.4</v>
      </c>
      <c r="D1714" s="116">
        <v>647.29999999999995</v>
      </c>
      <c r="E1714" s="116">
        <v>675</v>
      </c>
      <c r="F1714" s="116">
        <v>649.4</v>
      </c>
      <c r="G1714">
        <v>193965</v>
      </c>
      <c r="H1714" s="116"/>
      <c r="I1714" s="116"/>
      <c r="L1714" s="170">
        <v>45926</v>
      </c>
      <c r="M1714" s="116">
        <v>649.25</v>
      </c>
      <c r="N1714" s="116">
        <v>681.95</v>
      </c>
      <c r="O1714" s="116">
        <v>646.5</v>
      </c>
      <c r="P1714" s="116">
        <v>674.5</v>
      </c>
      <c r="Q1714" s="116">
        <v>649.25</v>
      </c>
      <c r="R1714">
        <v>3164703</v>
      </c>
    </row>
    <row r="1715" spans="1:18" x14ac:dyDescent="0.25">
      <c r="A1715" s="170">
        <v>45929</v>
      </c>
      <c r="B1715" s="116">
        <v>658.35</v>
      </c>
      <c r="C1715" s="116">
        <v>629.65</v>
      </c>
      <c r="D1715" s="116">
        <v>627.20000000000005</v>
      </c>
      <c r="E1715" s="116">
        <v>655.75</v>
      </c>
      <c r="F1715" s="116">
        <v>629.65</v>
      </c>
      <c r="G1715">
        <v>289944</v>
      </c>
      <c r="H1715" s="116"/>
      <c r="I1715" s="116"/>
      <c r="L1715" s="170">
        <v>45929</v>
      </c>
      <c r="M1715" s="116">
        <v>629.70000000000005</v>
      </c>
      <c r="N1715" s="116">
        <v>658.8</v>
      </c>
      <c r="O1715" s="116">
        <v>627.35</v>
      </c>
      <c r="P1715" s="116">
        <v>658.8</v>
      </c>
      <c r="Q1715" s="116">
        <v>629.70000000000005</v>
      </c>
      <c r="R1715">
        <v>2063464</v>
      </c>
    </row>
    <row r="1716" spans="1:18" x14ac:dyDescent="0.25">
      <c r="A1716" s="170">
        <v>45930</v>
      </c>
      <c r="B1716" s="116">
        <v>637.15</v>
      </c>
      <c r="C1716" s="116">
        <v>625.15</v>
      </c>
      <c r="D1716" s="116">
        <v>618.75</v>
      </c>
      <c r="E1716" s="116">
        <v>637.15</v>
      </c>
      <c r="F1716" s="116">
        <v>625.15</v>
      </c>
      <c r="G1716">
        <v>137154</v>
      </c>
      <c r="H1716" s="116"/>
      <c r="I1716" s="116"/>
      <c r="L1716" s="170">
        <v>45930</v>
      </c>
      <c r="M1716" s="116">
        <v>625.29999999999995</v>
      </c>
      <c r="N1716" s="116">
        <v>637.4</v>
      </c>
      <c r="O1716" s="116">
        <v>618</v>
      </c>
      <c r="P1716" s="116">
        <v>635</v>
      </c>
      <c r="Q1716" s="116">
        <v>625.29999999999995</v>
      </c>
      <c r="R1716">
        <v>1546854</v>
      </c>
    </row>
    <row r="1717" spans="1:18" x14ac:dyDescent="0.25">
      <c r="A1717" s="170">
        <v>45931</v>
      </c>
      <c r="B1717" s="116">
        <v>651.04999999999995</v>
      </c>
      <c r="C1717" s="116">
        <v>641.15</v>
      </c>
      <c r="D1717" s="116">
        <v>626.15</v>
      </c>
      <c r="E1717" s="116">
        <v>626.70000000000005</v>
      </c>
      <c r="F1717" s="116">
        <v>641.15</v>
      </c>
      <c r="G1717">
        <v>123277</v>
      </c>
      <c r="H1717" s="116"/>
      <c r="I1717" s="116"/>
      <c r="L1717" s="170">
        <v>45931</v>
      </c>
      <c r="M1717" s="116">
        <v>641.1</v>
      </c>
      <c r="N1717" s="116">
        <v>651.9</v>
      </c>
      <c r="O1717" s="116">
        <v>626.15</v>
      </c>
      <c r="P1717" s="116">
        <v>630.04999999999995</v>
      </c>
      <c r="Q1717" s="116">
        <v>641.1</v>
      </c>
      <c r="R1717">
        <v>2231579</v>
      </c>
    </row>
    <row r="1718" spans="1:18" x14ac:dyDescent="0.25">
      <c r="A1718" s="170">
        <v>45933</v>
      </c>
      <c r="B1718" s="116">
        <v>646.75</v>
      </c>
      <c r="C1718" s="116">
        <v>637.35</v>
      </c>
      <c r="D1718" s="116">
        <v>632.20000000000005</v>
      </c>
      <c r="E1718" s="116">
        <v>646.75</v>
      </c>
      <c r="F1718" s="116">
        <v>637.35</v>
      </c>
      <c r="G1718">
        <v>166522</v>
      </c>
      <c r="H1718" s="116"/>
      <c r="I1718" s="116"/>
      <c r="L1718" s="170">
        <v>45933</v>
      </c>
      <c r="M1718" s="116">
        <v>637.25</v>
      </c>
      <c r="N1718" s="116">
        <v>644.6</v>
      </c>
      <c r="O1718" s="116">
        <v>631.95000000000005</v>
      </c>
      <c r="P1718" s="116">
        <v>644.6</v>
      </c>
      <c r="Q1718" s="116">
        <v>637.25</v>
      </c>
      <c r="R1718">
        <v>1117569</v>
      </c>
    </row>
    <row r="1719" spans="1:18" x14ac:dyDescent="0.25">
      <c r="A1719" s="170">
        <v>45936</v>
      </c>
      <c r="B1719" s="116">
        <v>640.70000000000005</v>
      </c>
      <c r="C1719" s="116">
        <v>633.4</v>
      </c>
      <c r="D1719" s="116">
        <v>630.35</v>
      </c>
      <c r="E1719" s="116">
        <v>637.65</v>
      </c>
      <c r="F1719" s="116">
        <v>633.4</v>
      </c>
      <c r="G1719">
        <v>150409</v>
      </c>
      <c r="H1719" s="116"/>
      <c r="I1719" s="116"/>
      <c r="L1719" s="170">
        <v>45936</v>
      </c>
      <c r="M1719" s="116">
        <v>633.45000000000005</v>
      </c>
      <c r="N1719" s="116">
        <v>641</v>
      </c>
      <c r="O1719" s="116">
        <v>630.54999999999995</v>
      </c>
      <c r="P1719" s="116">
        <v>640</v>
      </c>
      <c r="Q1719" s="116">
        <v>633.45000000000005</v>
      </c>
      <c r="R1719">
        <v>836261</v>
      </c>
    </row>
    <row r="1720" spans="1:18" x14ac:dyDescent="0.25">
      <c r="A1720" s="170">
        <v>45937</v>
      </c>
      <c r="B1720" s="116">
        <v>655.5</v>
      </c>
      <c r="C1720" s="116">
        <v>636.79999999999995</v>
      </c>
      <c r="D1720" s="116">
        <v>633.1</v>
      </c>
      <c r="E1720" s="116">
        <v>634</v>
      </c>
      <c r="F1720" s="116">
        <v>636.79999999999995</v>
      </c>
      <c r="G1720">
        <v>133240</v>
      </c>
      <c r="H1720" s="116"/>
      <c r="I1720" s="116"/>
      <c r="L1720" s="170">
        <v>45937</v>
      </c>
      <c r="M1720" s="116">
        <v>636.1</v>
      </c>
      <c r="N1720" s="116">
        <v>655.7</v>
      </c>
      <c r="O1720" s="116">
        <v>633.5</v>
      </c>
      <c r="P1720" s="116">
        <v>635.6</v>
      </c>
      <c r="Q1720" s="116">
        <v>636.1</v>
      </c>
      <c r="R1720">
        <v>1784826</v>
      </c>
    </row>
    <row r="1721" spans="1:18" x14ac:dyDescent="0.25">
      <c r="A1721" s="170">
        <v>45938</v>
      </c>
      <c r="B1721" s="116">
        <v>638</v>
      </c>
      <c r="C1721" s="116">
        <v>629</v>
      </c>
      <c r="D1721" s="116">
        <v>627.45000000000005</v>
      </c>
      <c r="E1721" s="116">
        <v>638</v>
      </c>
      <c r="F1721" s="116">
        <v>629</v>
      </c>
      <c r="G1721">
        <v>96449</v>
      </c>
      <c r="H1721" s="116"/>
      <c r="I1721" s="116"/>
      <c r="L1721" s="170">
        <v>45938</v>
      </c>
      <c r="M1721" s="116">
        <v>629.25</v>
      </c>
      <c r="N1721" s="116">
        <v>638.4</v>
      </c>
      <c r="O1721" s="116">
        <v>627.20000000000005</v>
      </c>
      <c r="P1721" s="116">
        <v>638</v>
      </c>
      <c r="Q1721" s="116">
        <v>629.25</v>
      </c>
      <c r="R1721">
        <v>742143</v>
      </c>
    </row>
    <row r="1722" spans="1:18" x14ac:dyDescent="0.25">
      <c r="A1722" s="170">
        <v>45939</v>
      </c>
      <c r="B1722" s="116">
        <v>632.25</v>
      </c>
      <c r="C1722" s="116">
        <v>627.6</v>
      </c>
      <c r="D1722" s="116">
        <v>625.04999999999995</v>
      </c>
      <c r="E1722" s="116">
        <v>628.6</v>
      </c>
      <c r="F1722" s="116">
        <v>627.6</v>
      </c>
      <c r="G1722">
        <v>51867</v>
      </c>
      <c r="H1722" s="116"/>
      <c r="I1722" s="116"/>
      <c r="L1722" s="170">
        <v>45939</v>
      </c>
      <c r="M1722" s="116">
        <v>627.70000000000005</v>
      </c>
      <c r="N1722" s="116">
        <v>632</v>
      </c>
      <c r="O1722" s="116">
        <v>624.04999999999995</v>
      </c>
      <c r="P1722" s="116">
        <v>625.4</v>
      </c>
      <c r="Q1722" s="116">
        <v>627.70000000000005</v>
      </c>
      <c r="R1722">
        <v>697062</v>
      </c>
    </row>
    <row r="1723" spans="1:18" x14ac:dyDescent="0.25">
      <c r="A1723" s="170">
        <v>45940</v>
      </c>
      <c r="B1723" s="116">
        <v>632.79999999999995</v>
      </c>
      <c r="C1723" s="116">
        <v>628.54999999999995</v>
      </c>
      <c r="D1723" s="116">
        <v>625.04999999999995</v>
      </c>
      <c r="E1723" s="116">
        <v>625.04999999999995</v>
      </c>
      <c r="F1723" s="116">
        <v>628.54999999999995</v>
      </c>
      <c r="G1723">
        <v>38080</v>
      </c>
      <c r="H1723" s="116"/>
      <c r="I1723" s="116"/>
      <c r="L1723" s="170">
        <v>45940</v>
      </c>
      <c r="M1723" s="116">
        <v>628.04999999999995</v>
      </c>
      <c r="N1723" s="116">
        <v>632.9</v>
      </c>
      <c r="O1723" s="116">
        <v>626.20000000000005</v>
      </c>
      <c r="P1723" s="116">
        <v>628.5</v>
      </c>
      <c r="Q1723" s="116">
        <v>628.04999999999995</v>
      </c>
      <c r="R1723">
        <v>635866</v>
      </c>
    </row>
    <row r="1724" spans="1:18" x14ac:dyDescent="0.25">
      <c r="A1724" s="170">
        <v>45943</v>
      </c>
      <c r="B1724" s="116">
        <v>628.04999999999995</v>
      </c>
      <c r="C1724" s="116">
        <v>625.15</v>
      </c>
      <c r="D1724" s="116">
        <v>620.20000000000005</v>
      </c>
      <c r="E1724" s="116">
        <v>623.85</v>
      </c>
      <c r="F1724" s="116">
        <v>625.15</v>
      </c>
      <c r="G1724">
        <v>116531</v>
      </c>
      <c r="H1724" s="116"/>
      <c r="I1724" s="116"/>
      <c r="L1724" s="170">
        <v>45943</v>
      </c>
      <c r="M1724" s="116">
        <v>625.35</v>
      </c>
      <c r="N1724" s="116">
        <v>628.4</v>
      </c>
      <c r="O1724" s="116">
        <v>620.15</v>
      </c>
      <c r="P1724" s="116">
        <v>625</v>
      </c>
      <c r="Q1724" s="116">
        <v>625.35</v>
      </c>
      <c r="R1724">
        <v>713900</v>
      </c>
    </row>
    <row r="1725" spans="1:18" x14ac:dyDescent="0.25">
      <c r="A1725" s="170">
        <v>45944</v>
      </c>
      <c r="B1725" s="116">
        <v>631.54999999999995</v>
      </c>
      <c r="C1725" s="116">
        <v>616.85</v>
      </c>
      <c r="D1725" s="116">
        <v>615.35</v>
      </c>
      <c r="E1725" s="116">
        <v>626.9</v>
      </c>
      <c r="F1725" s="116">
        <v>616.85</v>
      </c>
      <c r="G1725">
        <v>62240</v>
      </c>
      <c r="H1725" s="116"/>
      <c r="I1725" s="116"/>
      <c r="L1725" s="170">
        <v>45944</v>
      </c>
      <c r="M1725" s="116">
        <v>616.75</v>
      </c>
      <c r="N1725" s="116">
        <v>631.9</v>
      </c>
      <c r="O1725" s="116">
        <v>615.1</v>
      </c>
      <c r="P1725" s="116">
        <v>626</v>
      </c>
      <c r="Q1725" s="116">
        <v>616.75</v>
      </c>
      <c r="R1725">
        <v>778963</v>
      </c>
    </row>
    <row r="1726" spans="1:18" x14ac:dyDescent="0.25">
      <c r="A1726" s="170">
        <v>45945</v>
      </c>
      <c r="B1726" s="116">
        <v>624.15</v>
      </c>
      <c r="C1726" s="116">
        <v>620.1</v>
      </c>
      <c r="D1726" s="116">
        <v>614</v>
      </c>
      <c r="E1726" s="116">
        <v>622.35</v>
      </c>
      <c r="F1726" s="116">
        <v>620.1</v>
      </c>
      <c r="G1726">
        <v>102897</v>
      </c>
      <c r="H1726" s="116"/>
      <c r="I1726" s="116"/>
      <c r="L1726" s="170">
        <v>45945</v>
      </c>
      <c r="M1726" s="116">
        <v>619</v>
      </c>
      <c r="N1726" s="116">
        <v>624.70000000000005</v>
      </c>
      <c r="O1726" s="116">
        <v>613.70000000000005</v>
      </c>
      <c r="P1726" s="116">
        <v>619.20000000000005</v>
      </c>
      <c r="Q1726" s="116">
        <v>619</v>
      </c>
      <c r="R1726">
        <v>733685</v>
      </c>
    </row>
    <row r="1727" spans="1:18" x14ac:dyDescent="0.25">
      <c r="A1727" s="170">
        <v>45946</v>
      </c>
      <c r="B1727" s="116">
        <v>628</v>
      </c>
      <c r="C1727" s="116">
        <v>621.75</v>
      </c>
      <c r="D1727" s="116">
        <v>620.9</v>
      </c>
      <c r="E1727" s="116">
        <v>621.35</v>
      </c>
      <c r="F1727" s="116">
        <v>621.75</v>
      </c>
      <c r="G1727">
        <v>97936</v>
      </c>
      <c r="H1727" s="116"/>
      <c r="I1727" s="116"/>
      <c r="L1727" s="170">
        <v>45946</v>
      </c>
      <c r="M1727" s="116">
        <v>621.65</v>
      </c>
      <c r="N1727" s="116">
        <v>628.25</v>
      </c>
      <c r="O1727" s="116">
        <v>620.29999999999995</v>
      </c>
      <c r="P1727" s="116">
        <v>621.95000000000005</v>
      </c>
      <c r="Q1727" s="116">
        <v>621.65</v>
      </c>
      <c r="R1727">
        <v>507032</v>
      </c>
    </row>
    <row r="1728" spans="1:18" x14ac:dyDescent="0.25">
      <c r="A1728" s="170">
        <v>45947</v>
      </c>
      <c r="B1728" s="116">
        <v>639.79999999999995</v>
      </c>
      <c r="C1728" s="116">
        <v>620.15</v>
      </c>
      <c r="D1728" s="116">
        <v>617.5</v>
      </c>
      <c r="E1728" s="116">
        <v>620.75</v>
      </c>
      <c r="F1728" s="116">
        <v>620.15</v>
      </c>
      <c r="G1728">
        <v>200971</v>
      </c>
      <c r="H1728" s="116"/>
      <c r="I1728" s="116"/>
      <c r="L1728" s="170">
        <v>45947</v>
      </c>
      <c r="M1728" s="116">
        <v>619.79999999999995</v>
      </c>
      <c r="N1728" s="116">
        <v>639.95000000000005</v>
      </c>
      <c r="O1728" s="116">
        <v>617</v>
      </c>
      <c r="P1728" s="116">
        <v>622.15</v>
      </c>
      <c r="Q1728" s="116">
        <v>619.79999999999995</v>
      </c>
      <c r="R1728">
        <v>1423512</v>
      </c>
    </row>
    <row r="1729" spans="1:18" x14ac:dyDescent="0.25">
      <c r="A1729" s="170">
        <v>45950</v>
      </c>
      <c r="B1729" s="116">
        <v>629.25</v>
      </c>
      <c r="C1729" s="116">
        <v>623.6</v>
      </c>
      <c r="D1729" s="116">
        <v>617.4</v>
      </c>
      <c r="E1729" s="116">
        <v>618.6</v>
      </c>
      <c r="F1729" s="116">
        <v>623.6</v>
      </c>
      <c r="G1729">
        <v>113515</v>
      </c>
      <c r="H1729" s="116"/>
      <c r="I1729" s="116"/>
      <c r="L1729" s="170">
        <v>45950</v>
      </c>
      <c r="M1729" s="116">
        <v>620.70000000000005</v>
      </c>
      <c r="N1729" s="116">
        <v>623.70000000000005</v>
      </c>
      <c r="O1729" s="116">
        <v>617.6</v>
      </c>
      <c r="P1729" s="116">
        <v>621.9</v>
      </c>
      <c r="Q1729" s="116">
        <v>620.70000000000005</v>
      </c>
      <c r="R1729">
        <v>600378</v>
      </c>
    </row>
    <row r="1730" spans="1:18" x14ac:dyDescent="0.25">
      <c r="A1730" s="170">
        <v>45951</v>
      </c>
      <c r="B1730" s="116">
        <v>627.4</v>
      </c>
      <c r="C1730" s="116">
        <v>623.5</v>
      </c>
      <c r="D1730" s="116">
        <v>621.1</v>
      </c>
      <c r="E1730" s="116">
        <v>624.95000000000005</v>
      </c>
      <c r="F1730" s="116">
        <v>623.5</v>
      </c>
      <c r="G1730">
        <v>28288</v>
      </c>
      <c r="H1730" s="116"/>
      <c r="I1730" s="116"/>
      <c r="L1730" s="170">
        <v>45951</v>
      </c>
      <c r="M1730" s="116">
        <v>623.29999999999995</v>
      </c>
      <c r="N1730" s="116">
        <v>627.35</v>
      </c>
      <c r="O1730" s="116">
        <v>621</v>
      </c>
      <c r="P1730" s="116">
        <v>624</v>
      </c>
      <c r="Q1730" s="116">
        <v>623.29999999999995</v>
      </c>
      <c r="R1730">
        <v>120665</v>
      </c>
    </row>
    <row r="1731" spans="1:18" x14ac:dyDescent="0.25">
      <c r="A1731" s="170">
        <v>45953</v>
      </c>
      <c r="B1731" s="116">
        <v>629.9</v>
      </c>
      <c r="C1731" s="116">
        <v>623.15</v>
      </c>
      <c r="D1731" s="116">
        <v>621.85</v>
      </c>
      <c r="E1731" s="116">
        <v>628.04999999999995</v>
      </c>
      <c r="F1731" s="116">
        <v>623.15</v>
      </c>
      <c r="G1731">
        <v>89379</v>
      </c>
      <c r="H1731" s="116"/>
      <c r="I1731" s="116"/>
      <c r="L1731" s="170">
        <v>45953</v>
      </c>
      <c r="M1731" s="116">
        <v>623.4</v>
      </c>
      <c r="N1731" s="116">
        <v>629.75</v>
      </c>
      <c r="O1731" s="116">
        <v>622</v>
      </c>
      <c r="P1731" s="116">
        <v>629.75</v>
      </c>
      <c r="Q1731" s="116">
        <v>623.4</v>
      </c>
      <c r="R1731">
        <v>549010</v>
      </c>
    </row>
    <row r="1732" spans="1:18" x14ac:dyDescent="0.25">
      <c r="A1732" s="170">
        <v>45954</v>
      </c>
      <c r="B1732" s="116">
        <v>624.15</v>
      </c>
      <c r="C1732" s="116">
        <v>622.70000000000005</v>
      </c>
      <c r="D1732" s="116">
        <v>618</v>
      </c>
      <c r="E1732" s="116">
        <v>621</v>
      </c>
      <c r="F1732" s="116">
        <v>622.70000000000005</v>
      </c>
      <c r="G1732">
        <v>32084</v>
      </c>
      <c r="H1732" s="116"/>
      <c r="I1732" s="116"/>
      <c r="L1732" s="170">
        <v>45954</v>
      </c>
      <c r="M1732" s="116">
        <v>622.54999999999995</v>
      </c>
      <c r="N1732" s="116">
        <v>624.9</v>
      </c>
      <c r="O1732" s="116">
        <v>618</v>
      </c>
      <c r="P1732" s="116">
        <v>620.20000000000005</v>
      </c>
      <c r="Q1732" s="116">
        <v>622.54999999999995</v>
      </c>
      <c r="R1732">
        <v>551548</v>
      </c>
    </row>
    <row r="1733" spans="1:18" x14ac:dyDescent="0.25">
      <c r="A1733" s="170">
        <v>45957</v>
      </c>
      <c r="B1733" s="116">
        <v>624.95000000000005</v>
      </c>
      <c r="C1733" s="116">
        <v>619.4</v>
      </c>
      <c r="D1733" s="116">
        <v>618.20000000000005</v>
      </c>
      <c r="E1733" s="116">
        <v>624.95000000000005</v>
      </c>
      <c r="F1733" s="116">
        <v>619.4</v>
      </c>
      <c r="G1733">
        <v>63525</v>
      </c>
      <c r="H1733" s="116"/>
      <c r="I1733" s="116"/>
      <c r="L1733" s="170">
        <v>45957</v>
      </c>
      <c r="M1733" s="116">
        <v>619.04999999999995</v>
      </c>
      <c r="N1733" s="116">
        <v>624</v>
      </c>
      <c r="O1733" s="116">
        <v>618</v>
      </c>
      <c r="P1733" s="116">
        <v>623</v>
      </c>
      <c r="Q1733" s="116">
        <v>619.04999999999995</v>
      </c>
      <c r="R1733">
        <v>377483</v>
      </c>
    </row>
    <row r="1734" spans="1:18" x14ac:dyDescent="0.25">
      <c r="A1734" s="170">
        <v>45958</v>
      </c>
      <c r="B1734" s="116">
        <v>624.5</v>
      </c>
      <c r="C1734" s="116">
        <v>621.15</v>
      </c>
      <c r="D1734" s="116">
        <v>618.35</v>
      </c>
      <c r="E1734" s="116">
        <v>623.45000000000005</v>
      </c>
      <c r="F1734" s="116">
        <v>621.15</v>
      </c>
      <c r="G1734">
        <v>63396</v>
      </c>
      <c r="H1734" s="116"/>
      <c r="I1734" s="116"/>
      <c r="L1734" s="170">
        <v>45958</v>
      </c>
      <c r="M1734" s="116">
        <v>621</v>
      </c>
      <c r="N1734" s="116">
        <v>624.6</v>
      </c>
      <c r="O1734" s="116">
        <v>618.4</v>
      </c>
      <c r="P1734" s="116">
        <v>622.35</v>
      </c>
      <c r="Q1734" s="116">
        <v>621</v>
      </c>
      <c r="R1734">
        <v>438770</v>
      </c>
    </row>
    <row r="1735" spans="1:18" x14ac:dyDescent="0.25">
      <c r="A1735" s="170">
        <v>45959</v>
      </c>
      <c r="B1735" s="116">
        <v>675</v>
      </c>
      <c r="C1735" s="116">
        <v>634.5</v>
      </c>
      <c r="D1735" s="116">
        <v>614</v>
      </c>
      <c r="E1735" s="116">
        <v>620.04999999999995</v>
      </c>
      <c r="F1735" s="116">
        <v>634.5</v>
      </c>
      <c r="G1735">
        <v>1081791</v>
      </c>
      <c r="H1735" s="116"/>
      <c r="I1735" s="116"/>
      <c r="L1735" s="170">
        <v>45959</v>
      </c>
      <c r="M1735" s="116">
        <v>634.25</v>
      </c>
      <c r="N1735" s="116">
        <v>675</v>
      </c>
      <c r="O1735" s="116">
        <v>613.54999999999995</v>
      </c>
      <c r="P1735" s="116">
        <v>620.79999999999995</v>
      </c>
      <c r="Q1735" s="116">
        <v>634.25</v>
      </c>
      <c r="R1735">
        <v>8468521</v>
      </c>
    </row>
    <row r="1736" spans="1:18" x14ac:dyDescent="0.25">
      <c r="A1736" s="170">
        <v>45960</v>
      </c>
      <c r="B1736" s="116">
        <v>643.1</v>
      </c>
      <c r="C1736" s="116">
        <v>638.29999999999995</v>
      </c>
      <c r="D1736" s="116">
        <v>630.54999999999995</v>
      </c>
      <c r="E1736" s="116">
        <v>637.75</v>
      </c>
      <c r="F1736" s="116">
        <v>638.29999999999995</v>
      </c>
      <c r="G1736">
        <v>155174</v>
      </c>
      <c r="H1736" s="116"/>
      <c r="I1736" s="116"/>
      <c r="L1736" s="170">
        <v>45960</v>
      </c>
      <c r="M1736" s="116">
        <v>638.65</v>
      </c>
      <c r="N1736" s="116">
        <v>643.5</v>
      </c>
      <c r="O1736" s="116">
        <v>631.4</v>
      </c>
      <c r="P1736" s="116">
        <v>634.9</v>
      </c>
      <c r="Q1736" s="116">
        <v>638.65</v>
      </c>
      <c r="R1736">
        <v>982877</v>
      </c>
    </row>
    <row r="1737" spans="1:18" x14ac:dyDescent="0.25">
      <c r="A1737" s="170">
        <v>45961</v>
      </c>
      <c r="B1737" s="116">
        <v>643.15</v>
      </c>
      <c r="C1737" s="116">
        <v>632.1</v>
      </c>
      <c r="D1737" s="116">
        <v>629.6</v>
      </c>
      <c r="E1737" s="116">
        <v>639</v>
      </c>
      <c r="F1737" s="116">
        <v>632.1</v>
      </c>
      <c r="G1737">
        <v>59130</v>
      </c>
      <c r="H1737" s="116"/>
      <c r="I1737" s="116"/>
      <c r="L1737" s="170">
        <v>45961</v>
      </c>
      <c r="M1737" s="116">
        <v>631.6</v>
      </c>
      <c r="N1737" s="116">
        <v>643.95000000000005</v>
      </c>
      <c r="O1737" s="116">
        <v>630</v>
      </c>
      <c r="P1737" s="116">
        <v>639</v>
      </c>
      <c r="Q1737" s="116">
        <v>631.6</v>
      </c>
      <c r="R1737">
        <v>860568</v>
      </c>
    </row>
    <row r="1738" spans="1:18" x14ac:dyDescent="0.25">
      <c r="A1738" s="170">
        <v>45964</v>
      </c>
      <c r="B1738" s="116">
        <v>634.79999999999995</v>
      </c>
      <c r="C1738" s="116">
        <v>626.54999999999995</v>
      </c>
      <c r="D1738" s="116">
        <v>625.5</v>
      </c>
      <c r="E1738" s="116">
        <v>632.1</v>
      </c>
      <c r="F1738" s="116">
        <v>626.54999999999995</v>
      </c>
      <c r="G1738">
        <v>73513</v>
      </c>
      <c r="H1738" s="116"/>
      <c r="I1738" s="116"/>
      <c r="L1738" s="170">
        <v>45964</v>
      </c>
      <c r="M1738" s="116">
        <v>626.5</v>
      </c>
      <c r="N1738" s="116">
        <v>634.9</v>
      </c>
      <c r="O1738" s="116">
        <v>625.25</v>
      </c>
      <c r="P1738" s="116">
        <v>631.6</v>
      </c>
      <c r="Q1738" s="116">
        <v>626.5</v>
      </c>
      <c r="R1738">
        <v>507604</v>
      </c>
    </row>
    <row r="1739" spans="1:18" x14ac:dyDescent="0.25">
      <c r="A1739" s="170">
        <v>45965</v>
      </c>
      <c r="B1739" s="116">
        <v>631.45000000000005</v>
      </c>
      <c r="C1739" s="116">
        <v>628.75</v>
      </c>
      <c r="D1739" s="116">
        <v>622.85</v>
      </c>
      <c r="E1739" s="116">
        <v>626.70000000000005</v>
      </c>
      <c r="F1739" s="116">
        <v>628.75</v>
      </c>
      <c r="G1739">
        <v>99310</v>
      </c>
      <c r="H1739" s="116"/>
      <c r="I1739" s="116"/>
      <c r="L1739" s="170">
        <v>45965</v>
      </c>
      <c r="M1739" s="116">
        <v>629.1</v>
      </c>
      <c r="N1739" s="116">
        <v>631.70000000000005</v>
      </c>
      <c r="O1739" s="116">
        <v>623</v>
      </c>
      <c r="P1739" s="116">
        <v>626.1</v>
      </c>
      <c r="Q1739" s="116">
        <v>629.1</v>
      </c>
      <c r="R1739">
        <v>524868</v>
      </c>
    </row>
    <row r="1740" spans="1:18" x14ac:dyDescent="0.25">
      <c r="A1740" s="170">
        <v>45967</v>
      </c>
      <c r="B1740" s="116">
        <v>628.75</v>
      </c>
      <c r="C1740" s="116">
        <v>617.6</v>
      </c>
      <c r="D1740" s="116">
        <v>615.65</v>
      </c>
      <c r="E1740" s="116">
        <v>628.70000000000005</v>
      </c>
      <c r="F1740" s="116">
        <v>617.6</v>
      </c>
      <c r="G1740">
        <v>46587</v>
      </c>
      <c r="H1740" s="116"/>
      <c r="I1740" s="116"/>
      <c r="L1740" s="170">
        <v>45967</v>
      </c>
      <c r="M1740" s="116">
        <v>617.54999999999995</v>
      </c>
      <c r="N1740" s="116">
        <v>630</v>
      </c>
      <c r="O1740" s="116">
        <v>615.9</v>
      </c>
      <c r="P1740" s="116">
        <v>629.1</v>
      </c>
      <c r="Q1740" s="116">
        <v>617.54999999999995</v>
      </c>
      <c r="R1740">
        <v>632993</v>
      </c>
    </row>
    <row r="1741" spans="1:18" x14ac:dyDescent="0.25">
      <c r="A1741" s="170">
        <v>45968</v>
      </c>
      <c r="B1741" s="116">
        <v>617.70000000000005</v>
      </c>
      <c r="C1741" s="116">
        <v>611.29999999999995</v>
      </c>
      <c r="D1741" s="116">
        <v>607.79999999999995</v>
      </c>
      <c r="E1741" s="116">
        <v>617.6</v>
      </c>
      <c r="F1741" s="116">
        <v>611.29999999999995</v>
      </c>
      <c r="G1741">
        <v>104944</v>
      </c>
      <c r="H1741" s="116"/>
      <c r="I1741" s="116"/>
      <c r="L1741" s="170">
        <v>45968</v>
      </c>
      <c r="M1741" s="116">
        <v>611.20000000000005</v>
      </c>
      <c r="N1741" s="116">
        <v>617.45000000000005</v>
      </c>
      <c r="O1741" s="116">
        <v>607.20000000000005</v>
      </c>
      <c r="P1741" s="116">
        <v>615.1</v>
      </c>
      <c r="Q1741" s="116">
        <v>611.20000000000005</v>
      </c>
      <c r="R1741">
        <v>629852</v>
      </c>
    </row>
    <row r="1742" spans="1:18" x14ac:dyDescent="0.25">
      <c r="A1742" s="170">
        <v>45971</v>
      </c>
      <c r="B1742" s="116">
        <v>615.29999999999995</v>
      </c>
      <c r="C1742" s="116">
        <v>610.4</v>
      </c>
      <c r="D1742" s="116">
        <v>608.85</v>
      </c>
      <c r="E1742" s="116">
        <v>611.25</v>
      </c>
      <c r="F1742" s="116">
        <v>610.4</v>
      </c>
      <c r="G1742">
        <v>60972</v>
      </c>
      <c r="H1742" s="116"/>
      <c r="I1742" s="116"/>
      <c r="L1742" s="170">
        <v>45971</v>
      </c>
      <c r="M1742" s="116">
        <v>610.75</v>
      </c>
      <c r="N1742" s="116">
        <v>615.5</v>
      </c>
      <c r="O1742" s="116">
        <v>609.25</v>
      </c>
      <c r="P1742" s="116">
        <v>610.54999999999995</v>
      </c>
      <c r="Q1742" s="116">
        <v>610.75</v>
      </c>
      <c r="R1742">
        <v>436269</v>
      </c>
    </row>
    <row r="1743" spans="1:18" x14ac:dyDescent="0.25">
      <c r="A1743" s="170">
        <v>45972</v>
      </c>
      <c r="B1743" s="116">
        <v>615.70000000000005</v>
      </c>
      <c r="C1743" s="116">
        <v>612.75</v>
      </c>
      <c r="D1743" s="116">
        <v>608.15</v>
      </c>
      <c r="E1743" s="116">
        <v>610.54999999999995</v>
      </c>
      <c r="F1743" s="116">
        <v>612.75</v>
      </c>
      <c r="G1743">
        <v>31044</v>
      </c>
      <c r="H1743" s="116"/>
      <c r="I1743" s="116"/>
      <c r="L1743" s="170">
        <v>45972</v>
      </c>
      <c r="M1743" s="116">
        <v>612.6</v>
      </c>
      <c r="N1743" s="116">
        <v>616</v>
      </c>
      <c r="O1743" s="116">
        <v>608.45000000000005</v>
      </c>
      <c r="P1743" s="116">
        <v>612.9</v>
      </c>
      <c r="Q1743" s="116">
        <v>612.6</v>
      </c>
      <c r="R1743">
        <v>433082</v>
      </c>
    </row>
    <row r="1744" spans="1:18" x14ac:dyDescent="0.25">
      <c r="A1744" s="170">
        <v>45973</v>
      </c>
      <c r="B1744" s="116">
        <v>633.9</v>
      </c>
      <c r="C1744" s="116">
        <v>621.1</v>
      </c>
      <c r="D1744" s="116">
        <v>613.95000000000005</v>
      </c>
      <c r="E1744" s="116">
        <v>619.79999999999995</v>
      </c>
      <c r="F1744" s="116">
        <v>621.1</v>
      </c>
      <c r="G1744">
        <v>201747</v>
      </c>
      <c r="H1744" s="116"/>
      <c r="I1744" s="116"/>
      <c r="L1744" s="170">
        <v>45973</v>
      </c>
      <c r="M1744" s="116">
        <v>620.15</v>
      </c>
      <c r="N1744" s="116">
        <v>634.29999999999995</v>
      </c>
      <c r="O1744" s="116">
        <v>613.79999999999995</v>
      </c>
      <c r="P1744" s="116">
        <v>616</v>
      </c>
      <c r="Q1744" s="116">
        <v>620.15</v>
      </c>
      <c r="R1744">
        <v>1180453</v>
      </c>
    </row>
    <row r="1745" spans="1:18" x14ac:dyDescent="0.25">
      <c r="A1745" s="170">
        <v>45974</v>
      </c>
      <c r="B1745" s="116">
        <v>628.20000000000005</v>
      </c>
      <c r="C1745" s="116">
        <v>619</v>
      </c>
      <c r="D1745" s="116">
        <v>617.20000000000005</v>
      </c>
      <c r="E1745" s="116">
        <v>620.29999999999995</v>
      </c>
      <c r="F1745" s="116">
        <v>619</v>
      </c>
      <c r="G1745">
        <v>80351</v>
      </c>
      <c r="H1745" s="116"/>
      <c r="I1745" s="116"/>
      <c r="L1745" s="170">
        <v>45974</v>
      </c>
      <c r="M1745" s="116">
        <v>619.29999999999995</v>
      </c>
      <c r="N1745" s="116">
        <v>628.5</v>
      </c>
      <c r="O1745" s="116">
        <v>617.6</v>
      </c>
      <c r="P1745" s="116">
        <v>622</v>
      </c>
      <c r="Q1745" s="116">
        <v>619.29999999999995</v>
      </c>
      <c r="R1745">
        <v>539936</v>
      </c>
    </row>
    <row r="1746" spans="1:18" x14ac:dyDescent="0.25">
      <c r="A1746" s="170">
        <v>45975</v>
      </c>
      <c r="B1746" s="116">
        <v>635.1</v>
      </c>
      <c r="C1746" s="116">
        <v>625.25</v>
      </c>
      <c r="D1746" s="116">
        <v>621.9</v>
      </c>
      <c r="E1746" s="116">
        <v>625.85</v>
      </c>
      <c r="F1746" s="116">
        <v>625.25</v>
      </c>
      <c r="G1746">
        <v>65178</v>
      </c>
      <c r="H1746" s="116"/>
      <c r="I1746" s="116"/>
      <c r="L1746" s="170">
        <v>45975</v>
      </c>
      <c r="M1746" s="116">
        <v>625.15</v>
      </c>
      <c r="N1746" s="116">
        <v>634.9</v>
      </c>
      <c r="O1746" s="116">
        <v>621.6</v>
      </c>
      <c r="P1746" s="116">
        <v>623.9</v>
      </c>
      <c r="Q1746" s="116">
        <v>625.15</v>
      </c>
      <c r="R1746">
        <v>931132</v>
      </c>
    </row>
    <row r="1747" spans="1:18" x14ac:dyDescent="0.25">
      <c r="A1747" s="170">
        <v>45978</v>
      </c>
      <c r="B1747" s="116">
        <v>629.29999999999995</v>
      </c>
      <c r="C1747" s="116">
        <v>622.04999999999995</v>
      </c>
      <c r="D1747" s="116">
        <v>620.70000000000005</v>
      </c>
      <c r="E1747" s="116">
        <v>628.15</v>
      </c>
      <c r="F1747" s="116">
        <v>622.04999999999995</v>
      </c>
      <c r="G1747">
        <v>96798</v>
      </c>
      <c r="H1747" s="116"/>
      <c r="I1747" s="116"/>
      <c r="L1747" s="170">
        <v>45978</v>
      </c>
      <c r="M1747" s="116">
        <v>621.85</v>
      </c>
      <c r="N1747" s="116">
        <v>630</v>
      </c>
      <c r="O1747" s="116">
        <v>620.6</v>
      </c>
      <c r="P1747" s="116">
        <v>630</v>
      </c>
      <c r="Q1747" s="116">
        <v>621.85</v>
      </c>
      <c r="R1747">
        <v>387009</v>
      </c>
    </row>
    <row r="1748" spans="1:18" x14ac:dyDescent="0.25">
      <c r="A1748" s="170">
        <v>45979</v>
      </c>
      <c r="B1748" s="116">
        <v>627.95000000000005</v>
      </c>
      <c r="C1748" s="116">
        <v>612.79999999999995</v>
      </c>
      <c r="D1748" s="116">
        <v>611.79999999999995</v>
      </c>
      <c r="E1748" s="116">
        <v>627.95000000000005</v>
      </c>
      <c r="F1748" s="116">
        <v>612.79999999999995</v>
      </c>
      <c r="G1748">
        <v>91609</v>
      </c>
      <c r="H1748" s="116"/>
      <c r="I1748" s="116"/>
      <c r="L1748" s="170">
        <v>45979</v>
      </c>
      <c r="M1748" s="116">
        <v>612.79999999999995</v>
      </c>
      <c r="N1748" s="116">
        <v>625.29999999999995</v>
      </c>
      <c r="O1748" s="116">
        <v>611.85</v>
      </c>
      <c r="P1748" s="116">
        <v>622.20000000000005</v>
      </c>
      <c r="Q1748" s="116">
        <v>612.79999999999995</v>
      </c>
      <c r="R1748">
        <v>530946</v>
      </c>
    </row>
    <row r="1749" spans="1:18" x14ac:dyDescent="0.25">
      <c r="A1749" s="170">
        <v>45980</v>
      </c>
      <c r="B1749" s="116">
        <v>616.45000000000005</v>
      </c>
      <c r="C1749" s="116">
        <v>610.75</v>
      </c>
      <c r="D1749" s="116">
        <v>608.75</v>
      </c>
      <c r="E1749" s="116">
        <v>614.15</v>
      </c>
      <c r="F1749" s="116">
        <v>610.75</v>
      </c>
      <c r="G1749">
        <v>66151</v>
      </c>
      <c r="H1749" s="116"/>
      <c r="I1749" s="116"/>
      <c r="L1749" s="170">
        <v>45980</v>
      </c>
      <c r="M1749" s="116">
        <v>610.5</v>
      </c>
      <c r="N1749" s="116">
        <v>616.95000000000005</v>
      </c>
      <c r="O1749" s="116">
        <v>608.6</v>
      </c>
      <c r="P1749" s="116">
        <v>614.75</v>
      </c>
      <c r="Q1749" s="116">
        <v>610.5</v>
      </c>
      <c r="R1749">
        <v>379035</v>
      </c>
    </row>
    <row r="1750" spans="1:18" x14ac:dyDescent="0.25">
      <c r="A1750" s="170">
        <v>45981</v>
      </c>
      <c r="B1750" s="116">
        <v>621.35</v>
      </c>
      <c r="C1750" s="116">
        <v>609.79999999999995</v>
      </c>
      <c r="D1750" s="116">
        <v>606.65</v>
      </c>
      <c r="E1750" s="116">
        <v>612.20000000000005</v>
      </c>
      <c r="F1750" s="116">
        <v>609.79999999999995</v>
      </c>
      <c r="G1750">
        <v>81073</v>
      </c>
      <c r="H1750" s="116"/>
      <c r="I1750" s="116"/>
      <c r="L1750" s="170">
        <v>45981</v>
      </c>
      <c r="M1750" s="116">
        <v>609.04999999999995</v>
      </c>
      <c r="N1750" s="116">
        <v>621.4</v>
      </c>
      <c r="O1750" s="116">
        <v>605.9</v>
      </c>
      <c r="P1750" s="116">
        <v>613.9</v>
      </c>
      <c r="Q1750" s="116">
        <v>609.04999999999995</v>
      </c>
      <c r="R1750">
        <v>591539</v>
      </c>
    </row>
    <row r="1751" spans="1:18" x14ac:dyDescent="0.25">
      <c r="A1751" s="170">
        <v>45982</v>
      </c>
      <c r="B1751" s="116">
        <v>611.4</v>
      </c>
      <c r="C1751" s="116">
        <v>607.79999999999995</v>
      </c>
      <c r="D1751" s="116">
        <v>600.95000000000005</v>
      </c>
      <c r="E1751" s="116">
        <v>610</v>
      </c>
      <c r="F1751" s="116">
        <v>607.79999999999995</v>
      </c>
      <c r="G1751">
        <v>88623</v>
      </c>
      <c r="H1751" s="116"/>
      <c r="I1751" s="116"/>
      <c r="L1751" s="170">
        <v>45982</v>
      </c>
      <c r="M1751" s="116">
        <v>608</v>
      </c>
      <c r="N1751" s="116">
        <v>611.95000000000005</v>
      </c>
      <c r="O1751" s="116">
        <v>605</v>
      </c>
      <c r="P1751" s="116">
        <v>610</v>
      </c>
      <c r="Q1751" s="116">
        <v>608</v>
      </c>
      <c r="R1751">
        <v>394876</v>
      </c>
    </row>
    <row r="1752" spans="1:18" x14ac:dyDescent="0.25">
      <c r="A1752" s="170">
        <v>45985</v>
      </c>
      <c r="B1752" s="116">
        <v>620</v>
      </c>
      <c r="C1752" s="116">
        <v>601.70000000000005</v>
      </c>
      <c r="D1752" s="116">
        <v>601</v>
      </c>
      <c r="E1752" s="116">
        <v>608.15</v>
      </c>
      <c r="F1752" s="116">
        <v>601.70000000000005</v>
      </c>
      <c r="G1752">
        <v>25794</v>
      </c>
      <c r="H1752" s="116"/>
      <c r="I1752" s="116"/>
      <c r="L1752" s="170">
        <v>45985</v>
      </c>
      <c r="M1752" s="116">
        <v>601.9</v>
      </c>
      <c r="N1752" s="116">
        <v>610</v>
      </c>
      <c r="O1752" s="116">
        <v>601</v>
      </c>
      <c r="P1752" s="116">
        <v>608.79999999999995</v>
      </c>
      <c r="Q1752" s="116">
        <v>601.9</v>
      </c>
      <c r="R1752">
        <v>342090</v>
      </c>
    </row>
    <row r="1753" spans="1:18" x14ac:dyDescent="0.25">
      <c r="A1753" s="170">
        <v>45986</v>
      </c>
      <c r="B1753" s="116">
        <v>607</v>
      </c>
      <c r="C1753" s="116">
        <v>604.75</v>
      </c>
      <c r="D1753" s="116">
        <v>599</v>
      </c>
      <c r="E1753" s="116">
        <v>602</v>
      </c>
      <c r="F1753" s="116">
        <v>604.75</v>
      </c>
      <c r="G1753">
        <v>25103</v>
      </c>
      <c r="H1753" s="116"/>
      <c r="I1753" s="116"/>
      <c r="L1753" s="170">
        <v>45986</v>
      </c>
      <c r="M1753" s="116">
        <v>604.75</v>
      </c>
      <c r="N1753" s="116">
        <v>606.75</v>
      </c>
      <c r="O1753" s="116">
        <v>599.04999999999995</v>
      </c>
      <c r="P1753" s="116">
        <v>602</v>
      </c>
      <c r="Q1753" s="116">
        <v>604.75</v>
      </c>
      <c r="R1753">
        <v>322649</v>
      </c>
    </row>
    <row r="1754" spans="1:18" x14ac:dyDescent="0.25">
      <c r="A1754" s="170">
        <v>45987</v>
      </c>
      <c r="B1754" s="116">
        <v>609</v>
      </c>
      <c r="C1754" s="116">
        <v>606.1</v>
      </c>
      <c r="D1754" s="116">
        <v>605</v>
      </c>
      <c r="E1754" s="116">
        <v>607</v>
      </c>
      <c r="F1754" s="116">
        <v>606.1</v>
      </c>
      <c r="G1754">
        <v>46487</v>
      </c>
      <c r="H1754" s="116"/>
      <c r="I1754" s="116"/>
      <c r="L1754" s="170">
        <v>45987</v>
      </c>
      <c r="M1754" s="116">
        <v>605.75</v>
      </c>
      <c r="N1754" s="116">
        <v>609.20000000000005</v>
      </c>
      <c r="O1754" s="116">
        <v>604.6</v>
      </c>
      <c r="P1754" s="116">
        <v>607.15</v>
      </c>
      <c r="Q1754" s="116">
        <v>605.75</v>
      </c>
      <c r="R1754">
        <v>233339</v>
      </c>
    </row>
    <row r="1755" spans="1:18" x14ac:dyDescent="0.25">
      <c r="A1755" s="170">
        <v>45988</v>
      </c>
      <c r="B1755" s="116">
        <v>609.15</v>
      </c>
      <c r="C1755" s="116">
        <v>603.5</v>
      </c>
      <c r="D1755" s="116">
        <v>602.54999999999995</v>
      </c>
      <c r="E1755" s="116">
        <v>606.25</v>
      </c>
      <c r="F1755" s="116">
        <v>603.5</v>
      </c>
      <c r="G1755">
        <v>41481</v>
      </c>
      <c r="H1755" s="116"/>
      <c r="I1755" s="116"/>
      <c r="L1755" s="170">
        <v>45988</v>
      </c>
      <c r="M1755" s="116">
        <v>603.4</v>
      </c>
      <c r="N1755" s="116">
        <v>609.95000000000005</v>
      </c>
      <c r="O1755" s="116">
        <v>602.1</v>
      </c>
      <c r="P1755" s="116">
        <v>606.75</v>
      </c>
      <c r="Q1755" s="116">
        <v>603.4</v>
      </c>
      <c r="R1755">
        <v>237752</v>
      </c>
    </row>
    <row r="1756" spans="1:18" x14ac:dyDescent="0.25">
      <c r="A1756" s="170">
        <v>45989</v>
      </c>
      <c r="B1756" s="116">
        <v>612.25</v>
      </c>
      <c r="C1756" s="116">
        <v>606.29999999999995</v>
      </c>
      <c r="D1756" s="116">
        <v>601</v>
      </c>
      <c r="E1756" s="116">
        <v>604</v>
      </c>
      <c r="F1756" s="116">
        <v>606.29999999999995</v>
      </c>
      <c r="G1756">
        <v>60146</v>
      </c>
      <c r="H1756" s="116"/>
      <c r="I1756" s="116"/>
      <c r="L1756" s="170">
        <v>45989</v>
      </c>
      <c r="M1756" s="116">
        <v>606.65</v>
      </c>
      <c r="N1756" s="116">
        <v>612.79999999999995</v>
      </c>
      <c r="O1756" s="116">
        <v>601.04999999999995</v>
      </c>
      <c r="P1756" s="116">
        <v>604.29999999999995</v>
      </c>
      <c r="Q1756" s="116">
        <v>606.65</v>
      </c>
      <c r="R1756">
        <v>452534</v>
      </c>
    </row>
    <row r="1757" spans="1:18" x14ac:dyDescent="0.25">
      <c r="A1757" s="170">
        <v>45992</v>
      </c>
      <c r="B1757" s="116">
        <v>611.04999999999995</v>
      </c>
      <c r="C1757" s="116">
        <v>607.25</v>
      </c>
      <c r="D1757" s="116">
        <v>604.04999999999995</v>
      </c>
      <c r="E1757" s="116">
        <v>609</v>
      </c>
      <c r="F1757" s="116">
        <v>607.25</v>
      </c>
      <c r="G1757">
        <v>13046</v>
      </c>
      <c r="H1757" s="116"/>
      <c r="I1757" s="116"/>
      <c r="L1757" s="170">
        <v>45992</v>
      </c>
      <c r="M1757" s="116">
        <v>606.85</v>
      </c>
      <c r="N1757" s="116">
        <v>610.9</v>
      </c>
      <c r="O1757" s="116">
        <v>604</v>
      </c>
      <c r="P1757" s="116">
        <v>609.04999999999995</v>
      </c>
      <c r="Q1757" s="116">
        <v>606.85</v>
      </c>
      <c r="R1757">
        <v>290729</v>
      </c>
    </row>
    <row r="1758" spans="1:18" x14ac:dyDescent="0.25">
      <c r="A1758" s="170">
        <v>45993</v>
      </c>
      <c r="B1758" s="116">
        <v>606.9</v>
      </c>
      <c r="C1758" s="116">
        <v>601.79999999999995</v>
      </c>
      <c r="D1758" s="116">
        <v>600.5</v>
      </c>
      <c r="E1758" s="116">
        <v>606.9</v>
      </c>
      <c r="F1758" s="116">
        <v>601.79999999999995</v>
      </c>
      <c r="G1758">
        <v>35692</v>
      </c>
      <c r="H1758" s="116"/>
      <c r="I1758" s="116"/>
      <c r="L1758" s="170">
        <v>45993</v>
      </c>
      <c r="M1758" s="116">
        <v>601.65</v>
      </c>
      <c r="N1758" s="116">
        <v>606</v>
      </c>
      <c r="O1758" s="116">
        <v>600.25</v>
      </c>
      <c r="P1758" s="116">
        <v>605</v>
      </c>
      <c r="Q1758" s="116">
        <v>601.65</v>
      </c>
      <c r="R1758">
        <v>246342</v>
      </c>
    </row>
    <row r="1759" spans="1:18" x14ac:dyDescent="0.25">
      <c r="A1759" s="170">
        <v>45994</v>
      </c>
      <c r="B1759" s="116">
        <v>602.1</v>
      </c>
      <c r="C1759" s="116">
        <v>593.4</v>
      </c>
      <c r="D1759" s="116">
        <v>591.54999999999995</v>
      </c>
      <c r="E1759" s="116">
        <v>602</v>
      </c>
      <c r="F1759" s="116">
        <v>593.4</v>
      </c>
      <c r="G1759">
        <v>57931</v>
      </c>
      <c r="H1759" s="116"/>
      <c r="I1759" s="116"/>
      <c r="L1759" s="170">
        <v>45994</v>
      </c>
      <c r="M1759" s="116">
        <v>593.4</v>
      </c>
      <c r="N1759" s="116">
        <v>602.25</v>
      </c>
      <c r="O1759" s="116">
        <v>591</v>
      </c>
      <c r="P1759" s="116">
        <v>601.5</v>
      </c>
      <c r="Q1759" s="116">
        <v>593.4</v>
      </c>
      <c r="R1759">
        <v>389279</v>
      </c>
    </row>
    <row r="1760" spans="1:18" x14ac:dyDescent="0.25">
      <c r="A1760" s="170">
        <v>45995</v>
      </c>
      <c r="B1760" s="116">
        <v>596.95000000000005</v>
      </c>
      <c r="C1760" s="116">
        <v>592.95000000000005</v>
      </c>
      <c r="D1760" s="116">
        <v>591.15</v>
      </c>
      <c r="E1760" s="116">
        <v>592.15</v>
      </c>
      <c r="F1760" s="116">
        <v>592.95000000000005</v>
      </c>
      <c r="G1760">
        <v>42843</v>
      </c>
      <c r="H1760" s="116"/>
      <c r="I1760" s="116"/>
      <c r="L1760" s="170">
        <v>45995</v>
      </c>
      <c r="M1760" s="116">
        <v>593</v>
      </c>
      <c r="N1760" s="116">
        <v>597</v>
      </c>
      <c r="O1760" s="116">
        <v>591.1</v>
      </c>
      <c r="P1760" s="116">
        <v>592.79999999999995</v>
      </c>
      <c r="Q1760" s="116">
        <v>593</v>
      </c>
      <c r="R1760">
        <v>231421</v>
      </c>
    </row>
    <row r="1761" spans="1:18" x14ac:dyDescent="0.25">
      <c r="A1761" s="170">
        <v>45996</v>
      </c>
      <c r="B1761" s="116">
        <v>596.95000000000005</v>
      </c>
      <c r="C1761" s="116">
        <v>592.9</v>
      </c>
      <c r="D1761" s="116">
        <v>590.20000000000005</v>
      </c>
      <c r="E1761" s="116">
        <v>594.04999999999995</v>
      </c>
      <c r="F1761" s="116">
        <v>592.9</v>
      </c>
      <c r="G1761">
        <v>13784</v>
      </c>
      <c r="H1761" s="116"/>
      <c r="I1761" s="116"/>
      <c r="L1761" s="170">
        <v>45996</v>
      </c>
      <c r="M1761" s="116">
        <v>593.15</v>
      </c>
      <c r="N1761" s="116">
        <v>597.45000000000005</v>
      </c>
      <c r="O1761" s="116">
        <v>590.15</v>
      </c>
      <c r="P1761" s="116">
        <v>595</v>
      </c>
      <c r="Q1761" s="116">
        <v>593.15</v>
      </c>
      <c r="R1761">
        <v>241999</v>
      </c>
    </row>
    <row r="1762" spans="1:18" x14ac:dyDescent="0.25">
      <c r="A1762" s="170">
        <v>45999</v>
      </c>
      <c r="B1762" s="116">
        <v>594</v>
      </c>
      <c r="C1762" s="116">
        <v>579.20000000000005</v>
      </c>
      <c r="D1762" s="116">
        <v>573.25</v>
      </c>
      <c r="E1762" s="116">
        <v>594</v>
      </c>
      <c r="F1762" s="116">
        <v>579.20000000000005</v>
      </c>
      <c r="G1762">
        <v>61049</v>
      </c>
      <c r="H1762" s="116"/>
      <c r="I1762" s="116"/>
      <c r="L1762" s="170">
        <v>45999</v>
      </c>
      <c r="M1762" s="116">
        <v>577.04999999999995</v>
      </c>
      <c r="N1762" s="116">
        <v>594.04999999999995</v>
      </c>
      <c r="O1762" s="116">
        <v>573</v>
      </c>
      <c r="P1762" s="116">
        <v>594</v>
      </c>
      <c r="Q1762" s="116">
        <v>577.04999999999995</v>
      </c>
      <c r="R1762">
        <v>663922</v>
      </c>
    </row>
    <row r="1763" spans="1:18" x14ac:dyDescent="0.25">
      <c r="A1763" s="170">
        <v>46000</v>
      </c>
      <c r="B1763" s="116">
        <v>593.9</v>
      </c>
      <c r="C1763" s="116">
        <v>588.70000000000005</v>
      </c>
      <c r="D1763" s="116">
        <v>570.4</v>
      </c>
      <c r="E1763" s="116">
        <v>570.4</v>
      </c>
      <c r="F1763" s="116">
        <v>588.70000000000005</v>
      </c>
      <c r="G1763">
        <v>71414</v>
      </c>
      <c r="H1763" s="116"/>
      <c r="I1763" s="116"/>
      <c r="L1763" s="170">
        <v>46000</v>
      </c>
      <c r="M1763" s="116">
        <v>590.1</v>
      </c>
      <c r="N1763" s="116">
        <v>594</v>
      </c>
      <c r="O1763" s="116">
        <v>570.4</v>
      </c>
      <c r="P1763" s="116">
        <v>574</v>
      </c>
      <c r="Q1763" s="116">
        <v>590.1</v>
      </c>
      <c r="R1763">
        <v>635126</v>
      </c>
    </row>
    <row r="1764" spans="1:18" x14ac:dyDescent="0.25">
      <c r="A1764" s="170">
        <v>46001</v>
      </c>
      <c r="B1764" s="116">
        <v>596.25</v>
      </c>
      <c r="C1764" s="116">
        <v>589.65</v>
      </c>
      <c r="D1764" s="116">
        <v>583.85</v>
      </c>
      <c r="E1764" s="116">
        <v>588.45000000000005</v>
      </c>
      <c r="F1764" s="116">
        <v>589.65</v>
      </c>
      <c r="G1764">
        <v>20921</v>
      </c>
      <c r="H1764" s="116"/>
      <c r="I1764" s="116"/>
      <c r="L1764" s="170">
        <v>46001</v>
      </c>
      <c r="M1764" s="116">
        <v>588.9</v>
      </c>
      <c r="N1764" s="116">
        <v>596.70000000000005</v>
      </c>
      <c r="O1764" s="116">
        <v>584</v>
      </c>
      <c r="P1764" s="116">
        <v>591.20000000000005</v>
      </c>
      <c r="Q1764" s="116">
        <v>588.9</v>
      </c>
      <c r="R1764">
        <v>352276</v>
      </c>
    </row>
    <row r="1765" spans="1:18" x14ac:dyDescent="0.25">
      <c r="A1765" s="170">
        <v>46002</v>
      </c>
      <c r="B1765" s="116">
        <v>591.70000000000005</v>
      </c>
      <c r="C1765" s="116">
        <v>586.9</v>
      </c>
      <c r="D1765" s="116">
        <v>581.54999999999995</v>
      </c>
      <c r="E1765" s="116">
        <v>587.5</v>
      </c>
      <c r="F1765" s="116">
        <v>586.9</v>
      </c>
      <c r="G1765">
        <v>49641</v>
      </c>
      <c r="H1765" s="116"/>
      <c r="I1765" s="116"/>
      <c r="L1765" s="170">
        <v>46002</v>
      </c>
      <c r="M1765" s="116">
        <v>587.04999999999995</v>
      </c>
      <c r="N1765" s="116">
        <v>591.25</v>
      </c>
      <c r="O1765" s="116">
        <v>581.54999999999995</v>
      </c>
      <c r="P1765" s="116">
        <v>588</v>
      </c>
      <c r="Q1765" s="116">
        <v>587.04999999999995</v>
      </c>
      <c r="R1765">
        <v>300210</v>
      </c>
    </row>
    <row r="1766" spans="1:18" x14ac:dyDescent="0.25">
      <c r="A1766" s="170">
        <v>46003</v>
      </c>
      <c r="B1766" s="116">
        <v>597.25</v>
      </c>
      <c r="C1766" s="116">
        <v>593.75</v>
      </c>
      <c r="D1766" s="116">
        <v>588.70000000000005</v>
      </c>
      <c r="E1766" s="116">
        <v>588.70000000000005</v>
      </c>
      <c r="F1766" s="116">
        <v>593.75</v>
      </c>
      <c r="G1766">
        <v>14454</v>
      </c>
      <c r="H1766" s="116"/>
      <c r="I1766" s="116"/>
      <c r="L1766" s="170">
        <v>46003</v>
      </c>
      <c r="M1766" s="116">
        <v>593.70000000000005</v>
      </c>
      <c r="N1766" s="116">
        <v>597.29999999999995</v>
      </c>
      <c r="O1766" s="116">
        <v>589.15</v>
      </c>
      <c r="P1766" s="116">
        <v>589.4</v>
      </c>
      <c r="Q1766" s="116">
        <v>593.70000000000005</v>
      </c>
      <c r="R1766">
        <v>288954</v>
      </c>
    </row>
    <row r="1767" spans="1:18" x14ac:dyDescent="0.25">
      <c r="A1767" s="170">
        <v>46006</v>
      </c>
      <c r="B1767" s="116">
        <v>598</v>
      </c>
      <c r="C1767" s="116">
        <v>592.25</v>
      </c>
      <c r="D1767" s="116">
        <v>590.95000000000005</v>
      </c>
      <c r="E1767" s="116">
        <v>592.1</v>
      </c>
      <c r="F1767" s="116">
        <v>592.25</v>
      </c>
      <c r="G1767">
        <v>36554</v>
      </c>
      <c r="H1767" s="116"/>
      <c r="I1767" s="116"/>
      <c r="L1767" s="170">
        <v>46006</v>
      </c>
      <c r="M1767" s="116">
        <v>592.54999999999995</v>
      </c>
      <c r="N1767" s="116">
        <v>597.85</v>
      </c>
      <c r="O1767" s="116">
        <v>590.35</v>
      </c>
      <c r="P1767" s="116">
        <v>593.5</v>
      </c>
      <c r="Q1767" s="116">
        <v>592.54999999999995</v>
      </c>
      <c r="R1767">
        <v>200024</v>
      </c>
    </row>
    <row r="1768" spans="1:18" x14ac:dyDescent="0.25">
      <c r="A1768" s="170">
        <v>46007</v>
      </c>
      <c r="B1768" s="116">
        <v>591.25</v>
      </c>
      <c r="C1768" s="116">
        <v>587.4</v>
      </c>
      <c r="D1768" s="116">
        <v>586</v>
      </c>
      <c r="E1768" s="116">
        <v>590.25</v>
      </c>
      <c r="F1768" s="116">
        <v>587.4</v>
      </c>
      <c r="G1768">
        <v>8865</v>
      </c>
      <c r="H1768" s="116"/>
      <c r="I1768" s="116"/>
      <c r="L1768" s="170">
        <v>46007</v>
      </c>
      <c r="M1768" s="116">
        <v>586.9</v>
      </c>
      <c r="N1768" s="116">
        <v>592.5</v>
      </c>
      <c r="O1768" s="116">
        <v>585.1</v>
      </c>
      <c r="P1768" s="116">
        <v>592</v>
      </c>
      <c r="Q1768" s="116">
        <v>586.9</v>
      </c>
      <c r="R1768">
        <v>189273</v>
      </c>
    </row>
    <row r="1769" spans="1:18" x14ac:dyDescent="0.25">
      <c r="A1769" s="170">
        <v>46008</v>
      </c>
      <c r="B1769" s="116">
        <v>588.35</v>
      </c>
      <c r="C1769" s="116">
        <v>584.1</v>
      </c>
      <c r="D1769" s="116">
        <v>580.1</v>
      </c>
      <c r="E1769" s="116">
        <v>586.15</v>
      </c>
      <c r="F1769" s="116">
        <v>584.1</v>
      </c>
      <c r="G1769">
        <v>47544</v>
      </c>
      <c r="H1769" s="116"/>
      <c r="I1769" s="116"/>
      <c r="L1769" s="170">
        <v>46008</v>
      </c>
      <c r="M1769" s="116">
        <v>584.65</v>
      </c>
      <c r="N1769" s="116">
        <v>590</v>
      </c>
      <c r="O1769" s="116">
        <v>580.29999999999995</v>
      </c>
      <c r="P1769" s="116">
        <v>586.79999999999995</v>
      </c>
      <c r="Q1769" s="116">
        <v>584.65</v>
      </c>
      <c r="R1769">
        <v>232805</v>
      </c>
    </row>
    <row r="1770" spans="1:18" x14ac:dyDescent="0.25">
      <c r="A1770" s="170">
        <v>46009</v>
      </c>
      <c r="B1770" s="116">
        <v>585</v>
      </c>
      <c r="C1770" s="116">
        <v>581.95000000000005</v>
      </c>
      <c r="D1770" s="116">
        <v>575.20000000000005</v>
      </c>
      <c r="E1770" s="116">
        <v>583.15</v>
      </c>
      <c r="F1770" s="116">
        <v>581.95000000000005</v>
      </c>
      <c r="G1770">
        <v>18354</v>
      </c>
      <c r="H1770" s="116"/>
      <c r="I1770" s="116"/>
      <c r="L1770" s="170">
        <v>46009</v>
      </c>
      <c r="M1770" s="116">
        <v>581.95000000000005</v>
      </c>
      <c r="N1770" s="116">
        <v>585</v>
      </c>
      <c r="O1770" s="116">
        <v>575.20000000000005</v>
      </c>
      <c r="P1770" s="116">
        <v>584.54999999999995</v>
      </c>
      <c r="Q1770" s="116">
        <v>581.95000000000005</v>
      </c>
      <c r="R1770">
        <v>252719</v>
      </c>
    </row>
    <row r="1771" spans="1:18" x14ac:dyDescent="0.25">
      <c r="A1771" s="170">
        <v>46010</v>
      </c>
      <c r="B1771" s="116">
        <v>585.6</v>
      </c>
      <c r="C1771" s="116">
        <v>568.79999999999995</v>
      </c>
      <c r="D1771" s="116">
        <v>562.25</v>
      </c>
      <c r="E1771" s="116">
        <v>580.45000000000005</v>
      </c>
      <c r="F1771" s="116">
        <v>568.79999999999995</v>
      </c>
      <c r="G1771">
        <v>95076</v>
      </c>
      <c r="H1771" s="116"/>
      <c r="I1771" s="116"/>
      <c r="L1771" s="170">
        <v>46010</v>
      </c>
      <c r="M1771" s="116">
        <v>568.75</v>
      </c>
      <c r="N1771" s="116">
        <v>585.6</v>
      </c>
      <c r="O1771" s="116">
        <v>562.75</v>
      </c>
      <c r="P1771" s="116">
        <v>582</v>
      </c>
      <c r="Q1771" s="116">
        <v>568.75</v>
      </c>
      <c r="R1771">
        <v>760702</v>
      </c>
    </row>
    <row r="1772" spans="1:18" x14ac:dyDescent="0.25">
      <c r="A1772" s="170">
        <v>46013</v>
      </c>
      <c r="B1772" s="116">
        <v>574.15</v>
      </c>
      <c r="C1772" s="116">
        <v>568.75</v>
      </c>
      <c r="D1772" s="116">
        <v>567.45000000000005</v>
      </c>
      <c r="E1772" s="116">
        <v>571.70000000000005</v>
      </c>
      <c r="F1772" s="116">
        <v>568.75</v>
      </c>
      <c r="G1772">
        <v>101351</v>
      </c>
      <c r="H1772" s="116"/>
      <c r="I1772" s="116"/>
      <c r="L1772" s="170">
        <v>46013</v>
      </c>
      <c r="M1772" s="116">
        <v>568.70000000000005</v>
      </c>
      <c r="N1772" s="116">
        <v>573.70000000000005</v>
      </c>
      <c r="O1772" s="116">
        <v>567.5</v>
      </c>
      <c r="P1772" s="116">
        <v>573.29999999999995</v>
      </c>
      <c r="Q1772" s="116">
        <v>568.70000000000005</v>
      </c>
      <c r="R1772">
        <v>506616</v>
      </c>
    </row>
    <row r="1773" spans="1:18" x14ac:dyDescent="0.25">
      <c r="A1773" s="170">
        <v>46014</v>
      </c>
      <c r="B1773" s="116">
        <v>570.95000000000005</v>
      </c>
      <c r="C1773" s="116">
        <v>563.4</v>
      </c>
      <c r="D1773" s="116">
        <v>562.54999999999995</v>
      </c>
      <c r="E1773" s="116">
        <v>570</v>
      </c>
      <c r="F1773" s="116">
        <v>563.4</v>
      </c>
      <c r="G1773">
        <v>116748</v>
      </c>
      <c r="H1773" s="116"/>
      <c r="I1773" s="116"/>
      <c r="L1773" s="170">
        <v>46014</v>
      </c>
      <c r="M1773" s="116">
        <v>563.4</v>
      </c>
      <c r="N1773" s="116">
        <v>570.9</v>
      </c>
      <c r="O1773" s="116">
        <v>562.4</v>
      </c>
      <c r="P1773" s="116">
        <v>570.85</v>
      </c>
      <c r="Q1773" s="116">
        <v>563.4</v>
      </c>
      <c r="R1773">
        <v>534922</v>
      </c>
    </row>
    <row r="1774" spans="1:18" x14ac:dyDescent="0.25">
      <c r="A1774" s="170">
        <v>46015</v>
      </c>
      <c r="B1774" s="116">
        <v>569.04999999999995</v>
      </c>
      <c r="C1774" s="116">
        <v>565.04999999999995</v>
      </c>
      <c r="D1774" s="116">
        <v>561</v>
      </c>
      <c r="E1774" s="116">
        <v>564.25</v>
      </c>
      <c r="F1774" s="116">
        <v>565.04999999999995</v>
      </c>
      <c r="G1774">
        <v>79392</v>
      </c>
      <c r="H1774" s="116"/>
      <c r="I1774" s="116"/>
      <c r="L1774" s="170">
        <v>46015</v>
      </c>
      <c r="M1774" s="116">
        <v>565.20000000000005</v>
      </c>
      <c r="N1774" s="116">
        <v>569.35</v>
      </c>
      <c r="O1774" s="116">
        <v>561</v>
      </c>
      <c r="P1774" s="116">
        <v>565.1</v>
      </c>
      <c r="Q1774" s="116">
        <v>565.20000000000005</v>
      </c>
      <c r="R1774">
        <v>554316</v>
      </c>
    </row>
    <row r="1775" spans="1:18" x14ac:dyDescent="0.25">
      <c r="A1775" s="170">
        <v>46017</v>
      </c>
      <c r="B1775" s="116">
        <v>584.45000000000005</v>
      </c>
      <c r="C1775" s="116">
        <v>570.20000000000005</v>
      </c>
      <c r="D1775" s="116">
        <v>563.4</v>
      </c>
      <c r="E1775" s="116">
        <v>565.04999999999995</v>
      </c>
      <c r="F1775" s="116">
        <v>570.20000000000005</v>
      </c>
      <c r="G1775">
        <v>48069</v>
      </c>
      <c r="H1775" s="116"/>
      <c r="I1775" s="116"/>
      <c r="L1775" s="170">
        <v>46017</v>
      </c>
      <c r="M1775" s="116">
        <v>569.79999999999995</v>
      </c>
      <c r="N1775" s="116">
        <v>585</v>
      </c>
      <c r="O1775" s="116">
        <v>563</v>
      </c>
      <c r="P1775" s="116">
        <v>565.15</v>
      </c>
      <c r="Q1775" s="116">
        <v>569.79999999999995</v>
      </c>
      <c r="R1775">
        <v>842886</v>
      </c>
    </row>
    <row r="1776" spans="1:18" x14ac:dyDescent="0.25">
      <c r="A1776" s="170">
        <v>46020</v>
      </c>
      <c r="B1776" s="116">
        <v>571.9</v>
      </c>
      <c r="C1776" s="116">
        <v>565.15</v>
      </c>
      <c r="D1776" s="116">
        <v>564</v>
      </c>
      <c r="E1776" s="116">
        <v>569.4</v>
      </c>
      <c r="F1776" s="116">
        <v>565.15</v>
      </c>
      <c r="G1776">
        <v>64982</v>
      </c>
      <c r="H1776" s="116"/>
      <c r="I1776" s="116"/>
      <c r="L1776" s="170">
        <v>46020</v>
      </c>
      <c r="M1776" s="116">
        <v>564.9</v>
      </c>
      <c r="N1776" s="116">
        <v>572.1</v>
      </c>
      <c r="O1776" s="116">
        <v>563.1</v>
      </c>
      <c r="P1776" s="116">
        <v>570.54999999999995</v>
      </c>
      <c r="Q1776" s="116">
        <v>564.9</v>
      </c>
      <c r="R1776">
        <v>302381</v>
      </c>
    </row>
    <row r="1777" spans="1:18" x14ac:dyDescent="0.25">
      <c r="A1777" s="170">
        <v>46021</v>
      </c>
      <c r="B1777" s="116">
        <v>567.4</v>
      </c>
      <c r="C1777" s="116">
        <v>564.04999999999995</v>
      </c>
      <c r="D1777" s="116">
        <v>562.15</v>
      </c>
      <c r="E1777" s="116">
        <v>565.20000000000005</v>
      </c>
      <c r="F1777" s="116">
        <v>564.04999999999995</v>
      </c>
      <c r="G1777">
        <v>46391</v>
      </c>
      <c r="H1777" s="116"/>
      <c r="I1777" s="116"/>
      <c r="L1777" s="170">
        <v>46021</v>
      </c>
      <c r="M1777" s="116">
        <v>564.04999999999995</v>
      </c>
      <c r="N1777" s="116">
        <v>567.15</v>
      </c>
      <c r="O1777" s="116">
        <v>562.5</v>
      </c>
      <c r="P1777" s="116">
        <v>565</v>
      </c>
      <c r="Q1777" s="116">
        <v>564.04999999999995</v>
      </c>
      <c r="R1777">
        <v>243328</v>
      </c>
    </row>
    <row r="1778" spans="1:18" x14ac:dyDescent="0.25">
      <c r="A1778" s="170">
        <v>46022</v>
      </c>
      <c r="B1778" s="116">
        <v>571.15</v>
      </c>
      <c r="C1778" s="116">
        <v>567</v>
      </c>
      <c r="D1778" s="116">
        <v>564.45000000000005</v>
      </c>
      <c r="E1778" s="116">
        <v>565</v>
      </c>
      <c r="F1778" s="116">
        <v>567</v>
      </c>
      <c r="G1778">
        <v>56469</v>
      </c>
      <c r="H1778" s="116"/>
      <c r="I1778" s="116"/>
      <c r="L1778" s="170">
        <v>46022</v>
      </c>
      <c r="M1778" s="116">
        <v>566.70000000000005</v>
      </c>
      <c r="N1778" s="116">
        <v>571.04999999999995</v>
      </c>
      <c r="O1778" s="116">
        <v>564.1</v>
      </c>
      <c r="P1778" s="116">
        <v>564.9</v>
      </c>
      <c r="Q1778" s="116">
        <v>566.70000000000005</v>
      </c>
      <c r="R1778">
        <v>248347</v>
      </c>
    </row>
    <row r="1779" spans="1:18" x14ac:dyDescent="0.25">
      <c r="A1779" s="170">
        <v>46023</v>
      </c>
      <c r="B1779" s="116">
        <v>620.65</v>
      </c>
      <c r="C1779" s="116">
        <v>594.29999999999995</v>
      </c>
      <c r="D1779" s="116">
        <v>567.1</v>
      </c>
      <c r="E1779" s="116">
        <v>570.45000000000005</v>
      </c>
      <c r="F1779" s="116">
        <v>594.29999999999995</v>
      </c>
      <c r="G1779">
        <v>983318</v>
      </c>
      <c r="H1779" s="116"/>
      <c r="I1779" s="116"/>
      <c r="L1779" s="170">
        <v>46023</v>
      </c>
      <c r="M1779" s="116">
        <v>594.1</v>
      </c>
      <c r="N1779" s="116">
        <v>621</v>
      </c>
      <c r="O1779" s="116">
        <v>567.35</v>
      </c>
      <c r="P1779" s="116">
        <v>567.35</v>
      </c>
      <c r="Q1779" s="116">
        <v>594.1</v>
      </c>
      <c r="R1779">
        <v>10982992</v>
      </c>
    </row>
    <row r="1780" spans="1:18" x14ac:dyDescent="0.25">
      <c r="A1780" s="170">
        <v>46024</v>
      </c>
      <c r="B1780" s="116">
        <v>591.54999999999995</v>
      </c>
      <c r="C1780" s="116">
        <v>587.95000000000005</v>
      </c>
      <c r="D1780" s="116">
        <v>578.9</v>
      </c>
      <c r="E1780" s="116">
        <v>591.54999999999995</v>
      </c>
      <c r="F1780" s="116">
        <v>587.95000000000005</v>
      </c>
      <c r="G1780">
        <v>149290</v>
      </c>
      <c r="H1780" s="116"/>
      <c r="I1780" s="116"/>
      <c r="L1780" s="170">
        <v>46024</v>
      </c>
      <c r="M1780" s="116">
        <v>587.6</v>
      </c>
      <c r="N1780" s="116">
        <v>591.79999999999995</v>
      </c>
      <c r="O1780" s="116">
        <v>585.1</v>
      </c>
      <c r="P1780" s="116">
        <v>588.5</v>
      </c>
      <c r="Q1780" s="116">
        <v>587.6</v>
      </c>
      <c r="R1780">
        <v>809537</v>
      </c>
    </row>
    <row r="1781" spans="1:18" x14ac:dyDescent="0.25">
      <c r="A1781" s="170">
        <v>46027</v>
      </c>
      <c r="B1781" s="116">
        <v>587</v>
      </c>
      <c r="C1781" s="116">
        <v>577.15</v>
      </c>
      <c r="D1781" s="116">
        <v>575.79999999999995</v>
      </c>
      <c r="E1781" s="116">
        <v>585.65</v>
      </c>
      <c r="F1781" s="116">
        <v>577.15</v>
      </c>
      <c r="G1781">
        <v>141332</v>
      </c>
      <c r="H1781" s="116"/>
      <c r="I1781" s="116"/>
      <c r="L1781" s="170">
        <v>46027</v>
      </c>
      <c r="M1781" s="116">
        <v>577.04999999999995</v>
      </c>
      <c r="N1781" s="116">
        <v>587.6</v>
      </c>
      <c r="O1781" s="116">
        <v>575.75</v>
      </c>
      <c r="P1781" s="116">
        <v>587.54999999999995</v>
      </c>
      <c r="Q1781" s="116">
        <v>577.04999999999995</v>
      </c>
      <c r="R1781">
        <v>562506</v>
      </c>
    </row>
    <row r="1782" spans="1:18" x14ac:dyDescent="0.25">
      <c r="A1782" s="170">
        <v>46028</v>
      </c>
      <c r="B1782" s="116">
        <v>581.70000000000005</v>
      </c>
      <c r="C1782" s="116">
        <v>569.95000000000005</v>
      </c>
      <c r="D1782" s="116">
        <v>568.65</v>
      </c>
      <c r="E1782" s="116">
        <v>579.70000000000005</v>
      </c>
      <c r="F1782" s="116">
        <v>569.95000000000005</v>
      </c>
      <c r="G1782">
        <v>93370</v>
      </c>
      <c r="H1782" s="116"/>
      <c r="I1782" s="116"/>
      <c r="L1782" s="170">
        <v>46028</v>
      </c>
      <c r="M1782" s="116">
        <v>570.35</v>
      </c>
      <c r="N1782" s="116">
        <v>581.85</v>
      </c>
      <c r="O1782" s="116">
        <v>569</v>
      </c>
      <c r="P1782" s="116">
        <v>578.20000000000005</v>
      </c>
      <c r="Q1782" s="116">
        <v>570.35</v>
      </c>
      <c r="R1782">
        <v>435877</v>
      </c>
    </row>
    <row r="1783" spans="1:18" x14ac:dyDescent="0.25">
      <c r="A1783" s="170">
        <v>46029</v>
      </c>
      <c r="B1783" s="116">
        <v>575.75</v>
      </c>
      <c r="C1783" s="116">
        <v>571.75</v>
      </c>
      <c r="D1783" s="116">
        <v>568</v>
      </c>
      <c r="E1783" s="116">
        <v>575.75</v>
      </c>
      <c r="F1783" s="116">
        <v>571.75</v>
      </c>
      <c r="G1783">
        <v>25541</v>
      </c>
      <c r="H1783" s="116"/>
      <c r="I1783" s="116"/>
      <c r="L1783" s="170">
        <v>46029</v>
      </c>
      <c r="M1783" s="116">
        <v>571.5</v>
      </c>
      <c r="N1783" s="116">
        <v>572.5</v>
      </c>
      <c r="O1783" s="116">
        <v>568</v>
      </c>
      <c r="P1783" s="116">
        <v>571</v>
      </c>
      <c r="Q1783" s="116">
        <v>571.5</v>
      </c>
      <c r="R1783">
        <v>344248</v>
      </c>
    </row>
    <row r="1784" spans="1:18" x14ac:dyDescent="0.25">
      <c r="A1784" s="170">
        <v>46030</v>
      </c>
      <c r="B1784" s="116">
        <v>577.79999999999995</v>
      </c>
      <c r="C1784" s="116">
        <v>564.35</v>
      </c>
      <c r="D1784" s="116">
        <v>561.9</v>
      </c>
      <c r="E1784" s="116">
        <v>571.75</v>
      </c>
      <c r="F1784" s="116">
        <v>564.35</v>
      </c>
      <c r="G1784">
        <v>95817</v>
      </c>
      <c r="H1784" s="116"/>
      <c r="I1784" s="116"/>
      <c r="L1784" s="170">
        <v>46030</v>
      </c>
      <c r="M1784" s="116">
        <v>564.15</v>
      </c>
      <c r="N1784" s="116">
        <v>577.79999999999995</v>
      </c>
      <c r="O1784" s="116">
        <v>561.04999999999995</v>
      </c>
      <c r="P1784" s="116">
        <v>572</v>
      </c>
      <c r="Q1784" s="116">
        <v>564.15</v>
      </c>
      <c r="R1784">
        <v>526321</v>
      </c>
    </row>
    <row r="1785" spans="1:18" x14ac:dyDescent="0.25">
      <c r="A1785" s="170">
        <v>46031</v>
      </c>
      <c r="B1785" s="116">
        <v>566.45000000000005</v>
      </c>
      <c r="C1785" s="116">
        <v>556.79999999999995</v>
      </c>
      <c r="D1785" s="116">
        <v>555.04999999999995</v>
      </c>
      <c r="E1785" s="116">
        <v>566.45000000000005</v>
      </c>
      <c r="F1785" s="116">
        <v>556.79999999999995</v>
      </c>
      <c r="G1785">
        <v>105020</v>
      </c>
      <c r="H1785" s="116"/>
      <c r="I1785" s="116"/>
      <c r="L1785" s="170">
        <v>46031</v>
      </c>
      <c r="M1785" s="116">
        <v>556.54999999999995</v>
      </c>
      <c r="N1785" s="116">
        <v>564</v>
      </c>
      <c r="O1785" s="116">
        <v>555.29999999999995</v>
      </c>
      <c r="P1785" s="116">
        <v>563.95000000000005</v>
      </c>
      <c r="Q1785" s="116">
        <v>556.54999999999995</v>
      </c>
      <c r="R1785">
        <v>375608</v>
      </c>
    </row>
    <row r="1786" spans="1:18" x14ac:dyDescent="0.25">
      <c r="A1786" s="170">
        <v>46034</v>
      </c>
      <c r="B1786" s="116">
        <v>559.35</v>
      </c>
      <c r="C1786" s="116">
        <v>556.9</v>
      </c>
      <c r="D1786" s="116">
        <v>544.25</v>
      </c>
      <c r="E1786" s="116">
        <v>556.65</v>
      </c>
      <c r="F1786" s="116">
        <v>556.9</v>
      </c>
      <c r="G1786">
        <v>100814</v>
      </c>
      <c r="H1786" s="116"/>
      <c r="I1786" s="116"/>
      <c r="L1786" s="170">
        <v>46034</v>
      </c>
      <c r="M1786" s="116">
        <v>557.25</v>
      </c>
      <c r="N1786" s="116">
        <v>559.35</v>
      </c>
      <c r="O1786" s="116">
        <v>544.5</v>
      </c>
      <c r="P1786" s="116">
        <v>555.35</v>
      </c>
      <c r="Q1786" s="116">
        <v>557.25</v>
      </c>
      <c r="R1786">
        <v>484290</v>
      </c>
    </row>
    <row r="1787" spans="1:18" x14ac:dyDescent="0.25">
      <c r="A1787" s="170">
        <v>46035</v>
      </c>
      <c r="B1787" s="116">
        <v>564.1</v>
      </c>
      <c r="C1787" s="116">
        <v>555.79999999999995</v>
      </c>
      <c r="D1787" s="116">
        <v>554.25</v>
      </c>
      <c r="E1787" s="116">
        <v>556.95000000000005</v>
      </c>
      <c r="F1787" s="116">
        <v>555.79999999999995</v>
      </c>
      <c r="G1787">
        <v>22185</v>
      </c>
      <c r="H1787" s="116"/>
      <c r="I1787" s="116"/>
      <c r="L1787" s="170">
        <v>46035</v>
      </c>
      <c r="M1787" s="116">
        <v>555.45000000000005</v>
      </c>
      <c r="N1787" s="116">
        <v>564</v>
      </c>
      <c r="O1787" s="116">
        <v>554</v>
      </c>
      <c r="P1787" s="116">
        <v>558.85</v>
      </c>
      <c r="Q1787" s="116">
        <v>555.45000000000005</v>
      </c>
      <c r="R1787">
        <v>307388</v>
      </c>
    </row>
    <row r="1788" spans="1:18" x14ac:dyDescent="0.25">
      <c r="A1788" s="170">
        <v>46036</v>
      </c>
      <c r="B1788" s="116">
        <v>558.79999999999995</v>
      </c>
      <c r="C1788" s="116">
        <v>554.54999999999995</v>
      </c>
      <c r="D1788" s="116">
        <v>553</v>
      </c>
      <c r="E1788" s="116">
        <v>556.85</v>
      </c>
      <c r="F1788" s="116">
        <v>554.54999999999995</v>
      </c>
      <c r="G1788">
        <v>60184</v>
      </c>
      <c r="H1788" s="116"/>
      <c r="I1788" s="116"/>
      <c r="L1788" s="170">
        <v>46036</v>
      </c>
      <c r="M1788" s="116">
        <v>554.4</v>
      </c>
      <c r="N1788" s="116">
        <v>558.79999999999995</v>
      </c>
      <c r="O1788" s="116">
        <v>552.95000000000005</v>
      </c>
      <c r="P1788" s="116">
        <v>555.45000000000005</v>
      </c>
      <c r="Q1788" s="116">
        <v>554.4</v>
      </c>
      <c r="R1788">
        <v>250494</v>
      </c>
    </row>
    <row r="1789" spans="1:18" x14ac:dyDescent="0.25">
      <c r="A1789" s="170">
        <v>46038</v>
      </c>
      <c r="B1789" s="116">
        <v>557.54999999999995</v>
      </c>
      <c r="C1789" s="116">
        <v>546.20000000000005</v>
      </c>
      <c r="D1789" s="116">
        <v>544.65</v>
      </c>
      <c r="E1789" s="116">
        <v>552.65</v>
      </c>
      <c r="F1789" s="116">
        <v>546.20000000000005</v>
      </c>
      <c r="G1789">
        <v>111113</v>
      </c>
      <c r="H1789" s="116"/>
      <c r="I1789" s="116"/>
      <c r="L1789" s="170">
        <v>46038</v>
      </c>
      <c r="M1789" s="116">
        <v>546.75</v>
      </c>
      <c r="N1789" s="116">
        <v>558.04999999999995</v>
      </c>
      <c r="O1789" s="116">
        <v>545</v>
      </c>
      <c r="P1789" s="116">
        <v>554.95000000000005</v>
      </c>
      <c r="Q1789" s="116">
        <v>546.75</v>
      </c>
      <c r="R1789">
        <v>553847</v>
      </c>
    </row>
    <row r="1790" spans="1:18" x14ac:dyDescent="0.25">
      <c r="A1790" s="170">
        <v>46041</v>
      </c>
      <c r="B1790" s="116">
        <v>551.54999999999995</v>
      </c>
      <c r="C1790" s="116">
        <v>545.15</v>
      </c>
      <c r="D1790" s="116">
        <v>541.79999999999995</v>
      </c>
      <c r="E1790" s="116">
        <v>551.54999999999995</v>
      </c>
      <c r="F1790" s="116">
        <v>545.15</v>
      </c>
      <c r="G1790">
        <v>42485</v>
      </c>
      <c r="H1790" s="116"/>
      <c r="I1790" s="116"/>
      <c r="L1790" s="170">
        <v>46041</v>
      </c>
      <c r="M1790" s="116">
        <v>544.70000000000005</v>
      </c>
      <c r="N1790" s="116">
        <v>550.5</v>
      </c>
      <c r="O1790" s="116">
        <v>541.5</v>
      </c>
      <c r="P1790" s="116">
        <v>548.95000000000005</v>
      </c>
      <c r="Q1790" s="116">
        <v>544.70000000000005</v>
      </c>
      <c r="R1790">
        <v>326610</v>
      </c>
    </row>
    <row r="1791" spans="1:18" x14ac:dyDescent="0.25">
      <c r="A1791" s="170">
        <v>46042</v>
      </c>
      <c r="B1791" s="116">
        <v>548.25</v>
      </c>
      <c r="C1791" s="116">
        <v>532.85</v>
      </c>
      <c r="D1791" s="116">
        <v>530.04999999999995</v>
      </c>
      <c r="E1791" s="116">
        <v>545</v>
      </c>
      <c r="F1791" s="116">
        <v>532.85</v>
      </c>
      <c r="G1791">
        <v>113529</v>
      </c>
      <c r="H1791" s="116"/>
      <c r="I1791" s="116"/>
      <c r="L1791" s="170">
        <v>46042</v>
      </c>
      <c r="M1791" s="116">
        <v>532.29999999999995</v>
      </c>
      <c r="N1791" s="116">
        <v>548.75</v>
      </c>
      <c r="O1791" s="116">
        <v>530</v>
      </c>
      <c r="P1791" s="116">
        <v>544.70000000000005</v>
      </c>
      <c r="Q1791" s="116">
        <v>532.29999999999995</v>
      </c>
      <c r="R1791">
        <v>467312</v>
      </c>
    </row>
    <row r="1792" spans="1:18" x14ac:dyDescent="0.25">
      <c r="A1792" s="170">
        <v>46043</v>
      </c>
      <c r="B1792" s="116">
        <v>537.04999999999995</v>
      </c>
      <c r="C1792" s="116">
        <v>528.04999999999995</v>
      </c>
      <c r="D1792" s="116">
        <v>523</v>
      </c>
      <c r="E1792" s="116">
        <v>531.1</v>
      </c>
      <c r="F1792" s="116">
        <v>528.04999999999995</v>
      </c>
      <c r="G1792">
        <v>151615</v>
      </c>
      <c r="H1792" s="116"/>
      <c r="I1792" s="116"/>
      <c r="L1792" s="170">
        <v>46043</v>
      </c>
      <c r="M1792" s="116">
        <v>528.15</v>
      </c>
      <c r="N1792" s="116">
        <v>537.79999999999995</v>
      </c>
      <c r="O1792" s="116">
        <v>522.79999999999995</v>
      </c>
      <c r="P1792" s="116">
        <v>534.95000000000005</v>
      </c>
      <c r="Q1792" s="116">
        <v>528.15</v>
      </c>
      <c r="R1792">
        <v>650505</v>
      </c>
    </row>
    <row r="1793" spans="1:18" x14ac:dyDescent="0.25">
      <c r="A1793" s="170">
        <v>46044</v>
      </c>
      <c r="B1793" s="116">
        <v>554.25</v>
      </c>
      <c r="C1793" s="116">
        <v>548.4</v>
      </c>
      <c r="D1793" s="116">
        <v>531.15</v>
      </c>
      <c r="E1793" s="116">
        <v>531.15</v>
      </c>
      <c r="F1793" s="116">
        <v>548.4</v>
      </c>
      <c r="G1793">
        <v>38896</v>
      </c>
      <c r="H1793" s="116"/>
      <c r="I1793" s="116"/>
      <c r="L1793" s="170">
        <v>46044</v>
      </c>
      <c r="M1793" s="116">
        <v>548</v>
      </c>
      <c r="N1793" s="116">
        <v>555</v>
      </c>
      <c r="O1793" s="116">
        <v>532.95000000000005</v>
      </c>
      <c r="P1793" s="116">
        <v>532.95000000000005</v>
      </c>
      <c r="Q1793" s="116">
        <v>548</v>
      </c>
      <c r="R1793">
        <v>647552</v>
      </c>
    </row>
    <row r="1794" spans="1:18" x14ac:dyDescent="0.25">
      <c r="A1794" s="170">
        <v>46045</v>
      </c>
      <c r="B1794" s="116">
        <v>551</v>
      </c>
      <c r="C1794" s="116">
        <v>517.1</v>
      </c>
      <c r="D1794" s="116">
        <v>507</v>
      </c>
      <c r="E1794" s="116">
        <v>551</v>
      </c>
      <c r="F1794" s="116">
        <v>517.1</v>
      </c>
      <c r="G1794">
        <v>296428</v>
      </c>
      <c r="H1794" s="116"/>
      <c r="I1794" s="116"/>
      <c r="L1794" s="170">
        <v>46045</v>
      </c>
      <c r="M1794" s="116">
        <v>517.45000000000005</v>
      </c>
      <c r="N1794" s="116">
        <v>550.65</v>
      </c>
      <c r="O1794" s="116">
        <v>507.05</v>
      </c>
      <c r="P1794" s="116">
        <v>550.65</v>
      </c>
      <c r="Q1794" s="116">
        <v>517.45000000000005</v>
      </c>
      <c r="R1794">
        <v>2182806</v>
      </c>
    </row>
    <row r="1795" spans="1:18" x14ac:dyDescent="0.25">
      <c r="A1795" s="170">
        <v>46049</v>
      </c>
      <c r="B1795" s="116">
        <v>536.5</v>
      </c>
      <c r="C1795" s="116">
        <v>525.5</v>
      </c>
      <c r="D1795" s="116">
        <v>512.70000000000005</v>
      </c>
      <c r="E1795" s="116">
        <v>529.95000000000005</v>
      </c>
      <c r="F1795" s="116">
        <v>525.5</v>
      </c>
      <c r="G1795">
        <v>130362</v>
      </c>
      <c r="H1795" s="116"/>
      <c r="I1795" s="116"/>
      <c r="L1795" s="170">
        <v>46049</v>
      </c>
      <c r="M1795" s="116">
        <v>525.29999999999995</v>
      </c>
      <c r="N1795" s="116">
        <v>536.70000000000005</v>
      </c>
      <c r="O1795" s="116">
        <v>513.04999999999995</v>
      </c>
      <c r="P1795" s="116">
        <v>528.04999999999995</v>
      </c>
      <c r="Q1795" s="116">
        <v>525.29999999999995</v>
      </c>
      <c r="R1795">
        <v>1410430</v>
      </c>
    </row>
    <row r="1796" spans="1:18" x14ac:dyDescent="0.25">
      <c r="A1796" s="170">
        <v>46050</v>
      </c>
      <c r="B1796" s="116">
        <v>533.5</v>
      </c>
      <c r="C1796" s="116">
        <v>529.95000000000005</v>
      </c>
      <c r="D1796" s="116">
        <v>519.70000000000005</v>
      </c>
      <c r="E1796" s="116">
        <v>525.54999999999995</v>
      </c>
      <c r="F1796" s="116">
        <v>529.95000000000005</v>
      </c>
      <c r="G1796">
        <v>81141</v>
      </c>
      <c r="H1796" s="116"/>
      <c r="I1796" s="116"/>
      <c r="L1796" s="170">
        <v>46050</v>
      </c>
      <c r="M1796" s="116">
        <v>529.85</v>
      </c>
      <c r="N1796" s="116">
        <v>534.95000000000005</v>
      </c>
      <c r="O1796" s="116">
        <v>519.6</v>
      </c>
      <c r="P1796" s="116">
        <v>527</v>
      </c>
      <c r="Q1796" s="116">
        <v>529.85</v>
      </c>
      <c r="R1796">
        <v>510039</v>
      </c>
    </row>
    <row r="1797" spans="1:18" x14ac:dyDescent="0.25">
      <c r="A1797" s="170">
        <v>46051</v>
      </c>
      <c r="B1797" s="116">
        <v>536.1</v>
      </c>
      <c r="C1797" s="116">
        <v>527.1</v>
      </c>
      <c r="D1797" s="116">
        <v>522.20000000000005</v>
      </c>
      <c r="E1797" s="116">
        <v>529.04999999999995</v>
      </c>
      <c r="F1797" s="116">
        <v>527.1</v>
      </c>
      <c r="G1797">
        <v>108392</v>
      </c>
      <c r="H1797" s="116"/>
      <c r="I1797" s="116"/>
      <c r="L1797" s="170">
        <v>46051</v>
      </c>
      <c r="M1797" s="116">
        <v>527.1</v>
      </c>
      <c r="N1797" s="116">
        <v>536.15</v>
      </c>
      <c r="O1797" s="116">
        <v>522</v>
      </c>
      <c r="P1797" s="116">
        <v>529.85</v>
      </c>
      <c r="Q1797" s="116">
        <v>527.1</v>
      </c>
      <c r="R1797">
        <v>680543</v>
      </c>
    </row>
    <row r="1798" spans="1:18" x14ac:dyDescent="0.25">
      <c r="A1798" s="170">
        <v>46052</v>
      </c>
      <c r="B1798" s="116">
        <v>531.45000000000005</v>
      </c>
      <c r="C1798" s="116">
        <v>526.95000000000005</v>
      </c>
      <c r="D1798" s="116">
        <v>520</v>
      </c>
      <c r="E1798" s="116">
        <v>526.04999999999995</v>
      </c>
      <c r="F1798" s="116">
        <v>526.95000000000005</v>
      </c>
      <c r="G1798">
        <v>74991</v>
      </c>
      <c r="H1798" s="116"/>
      <c r="I1798" s="116"/>
      <c r="L1798" s="170">
        <v>46052</v>
      </c>
      <c r="M1798" s="116">
        <v>526.95000000000005</v>
      </c>
      <c r="N1798" s="116">
        <v>531.25</v>
      </c>
      <c r="O1798" s="116">
        <v>520.6</v>
      </c>
      <c r="P1798" s="116">
        <v>527.1</v>
      </c>
      <c r="Q1798" s="116">
        <v>526.95000000000005</v>
      </c>
      <c r="R1798">
        <v>355049</v>
      </c>
    </row>
    <row r="1799" spans="1:18" x14ac:dyDescent="0.25">
      <c r="A1799" s="170">
        <v>46054</v>
      </c>
      <c r="B1799" s="116">
        <v>530.9</v>
      </c>
      <c r="C1799" s="116">
        <v>517.54999999999995</v>
      </c>
      <c r="D1799" s="116">
        <v>515.15</v>
      </c>
      <c r="E1799" s="116">
        <v>522.45000000000005</v>
      </c>
      <c r="F1799" s="116">
        <v>517.54999999999995</v>
      </c>
      <c r="G1799">
        <v>94442</v>
      </c>
      <c r="H1799" s="116"/>
      <c r="I1799" s="116"/>
      <c r="L1799" s="170">
        <v>46054</v>
      </c>
      <c r="M1799" s="116">
        <v>517.9</v>
      </c>
      <c r="N1799" s="116">
        <v>530.45000000000005</v>
      </c>
      <c r="O1799" s="116">
        <v>514.5</v>
      </c>
      <c r="P1799" s="116">
        <v>529.79999999999995</v>
      </c>
      <c r="Q1799" s="116">
        <v>517.9</v>
      </c>
      <c r="R1799">
        <v>368291</v>
      </c>
    </row>
    <row r="1800" spans="1:18" x14ac:dyDescent="0.25">
      <c r="A1800" s="170">
        <v>46055</v>
      </c>
      <c r="B1800" s="116">
        <v>525.75</v>
      </c>
      <c r="C1800" s="116">
        <v>518.85</v>
      </c>
      <c r="D1800" s="116">
        <v>511</v>
      </c>
      <c r="E1800" s="116">
        <v>525.04999999999995</v>
      </c>
      <c r="F1800" s="116">
        <v>518.85</v>
      </c>
      <c r="G1800">
        <v>42860</v>
      </c>
      <c r="H1800" s="116"/>
      <c r="I1800" s="116"/>
      <c r="L1800" s="170">
        <v>46055</v>
      </c>
      <c r="M1800" s="116">
        <v>519.04999999999995</v>
      </c>
      <c r="N1800" s="116">
        <v>525.9</v>
      </c>
      <c r="O1800" s="116">
        <v>511</v>
      </c>
      <c r="P1800" s="116">
        <v>522.65</v>
      </c>
      <c r="Q1800" s="116">
        <v>519.04999999999995</v>
      </c>
      <c r="R1800">
        <v>500247</v>
      </c>
    </row>
    <row r="1801" spans="1:18" x14ac:dyDescent="0.25">
      <c r="A1801" s="170">
        <v>46056</v>
      </c>
      <c r="B1801" s="116">
        <v>558.1</v>
      </c>
      <c r="C1801" s="116">
        <v>542.29999999999995</v>
      </c>
      <c r="D1801" s="116">
        <v>537.65</v>
      </c>
      <c r="E1801" s="116">
        <v>550</v>
      </c>
      <c r="F1801" s="116">
        <v>542.29999999999995</v>
      </c>
      <c r="G1801">
        <v>132424</v>
      </c>
      <c r="H1801" s="116"/>
      <c r="I1801" s="116"/>
      <c r="L1801" s="170">
        <v>46056</v>
      </c>
      <c r="M1801" s="116">
        <v>542.35</v>
      </c>
      <c r="N1801" s="116">
        <v>558</v>
      </c>
      <c r="O1801" s="116">
        <v>537</v>
      </c>
      <c r="P1801" s="116">
        <v>550</v>
      </c>
      <c r="Q1801" s="116">
        <v>542.35</v>
      </c>
      <c r="R1801">
        <v>1648965</v>
      </c>
    </row>
    <row r="1802" spans="1:18" x14ac:dyDescent="0.25">
      <c r="A1802" s="170">
        <v>46057</v>
      </c>
      <c r="B1802" s="116">
        <v>553</v>
      </c>
      <c r="C1802" s="116">
        <v>548.9</v>
      </c>
      <c r="D1802" s="116">
        <v>537.65</v>
      </c>
      <c r="E1802" s="116">
        <v>539.9</v>
      </c>
      <c r="F1802" s="116">
        <v>548.9</v>
      </c>
      <c r="G1802">
        <v>50700</v>
      </c>
      <c r="H1802" s="116"/>
      <c r="I1802" s="116"/>
      <c r="L1802" s="170">
        <v>46057</v>
      </c>
      <c r="M1802" s="116">
        <v>548.9</v>
      </c>
      <c r="N1802" s="116">
        <v>553.15</v>
      </c>
      <c r="O1802" s="116">
        <v>535.04999999999995</v>
      </c>
      <c r="P1802" s="116">
        <v>535.04999999999995</v>
      </c>
      <c r="Q1802" s="116">
        <v>548.9</v>
      </c>
      <c r="R1802">
        <v>818590</v>
      </c>
    </row>
    <row r="1803" spans="1:18" x14ac:dyDescent="0.25">
      <c r="A1803" s="170">
        <v>46058</v>
      </c>
      <c r="B1803" s="116">
        <v>552.85</v>
      </c>
      <c r="C1803" s="116">
        <v>545.35</v>
      </c>
      <c r="D1803" s="116">
        <v>543.15</v>
      </c>
      <c r="E1803" s="116">
        <v>549.29999999999995</v>
      </c>
      <c r="F1803" s="116">
        <v>545.35</v>
      </c>
      <c r="G1803">
        <v>54080</v>
      </c>
      <c r="H1803" s="116"/>
      <c r="I1803" s="116"/>
      <c r="L1803" s="170">
        <v>46058</v>
      </c>
      <c r="M1803" s="116">
        <v>545.4</v>
      </c>
      <c r="N1803" s="116">
        <v>553.15</v>
      </c>
      <c r="O1803" s="116">
        <v>543</v>
      </c>
      <c r="P1803" s="116">
        <v>549.65</v>
      </c>
      <c r="Q1803" s="116">
        <v>545.4</v>
      </c>
      <c r="R1803">
        <v>303887</v>
      </c>
    </row>
    <row r="1804" spans="1:18" x14ac:dyDescent="0.25">
      <c r="A1804" s="170">
        <v>46059</v>
      </c>
      <c r="B1804" s="116">
        <v>551.45000000000005</v>
      </c>
      <c r="C1804" s="116">
        <v>543.4</v>
      </c>
      <c r="D1804" s="116">
        <v>540.45000000000005</v>
      </c>
      <c r="E1804" s="116">
        <v>549.45000000000005</v>
      </c>
      <c r="F1804" s="116">
        <v>543.4</v>
      </c>
      <c r="G1804">
        <v>22685</v>
      </c>
      <c r="H1804" s="116"/>
      <c r="I1804" s="116"/>
      <c r="L1804" s="170">
        <v>46059</v>
      </c>
      <c r="M1804" s="116">
        <v>543.5</v>
      </c>
      <c r="N1804" s="116">
        <v>552.25</v>
      </c>
      <c r="O1804" s="116">
        <v>540.25</v>
      </c>
      <c r="P1804" s="116">
        <v>545</v>
      </c>
      <c r="Q1804" s="116">
        <v>543.5</v>
      </c>
      <c r="R1804">
        <v>360154</v>
      </c>
    </row>
    <row r="1805" spans="1:18" x14ac:dyDescent="0.25">
      <c r="A1805" s="170">
        <v>46062</v>
      </c>
      <c r="B1805" s="116">
        <v>564</v>
      </c>
      <c r="C1805" s="116">
        <v>545.95000000000005</v>
      </c>
      <c r="D1805" s="116">
        <v>544.04999999999995</v>
      </c>
      <c r="E1805" s="116">
        <v>553.70000000000005</v>
      </c>
      <c r="F1805" s="116">
        <v>545.95000000000005</v>
      </c>
      <c r="G1805">
        <v>33775</v>
      </c>
      <c r="H1805" s="116"/>
      <c r="I1805" s="116"/>
      <c r="L1805" s="170">
        <v>46062</v>
      </c>
      <c r="M1805" s="116">
        <v>545.54999999999995</v>
      </c>
      <c r="N1805" s="116">
        <v>564.79999999999995</v>
      </c>
      <c r="O1805" s="116">
        <v>544</v>
      </c>
      <c r="P1805" s="116">
        <v>552.79999999999995</v>
      </c>
      <c r="Q1805" s="116">
        <v>545.54999999999995</v>
      </c>
      <c r="R1805">
        <v>542445</v>
      </c>
    </row>
    <row r="1806" spans="1:18" x14ac:dyDescent="0.25">
      <c r="A1806" s="170">
        <v>46063</v>
      </c>
      <c r="B1806" s="116">
        <v>548.79999999999995</v>
      </c>
      <c r="C1806" s="116">
        <v>543.35</v>
      </c>
      <c r="D1806" s="116">
        <v>540</v>
      </c>
      <c r="E1806" s="116">
        <v>547.6</v>
      </c>
      <c r="F1806" s="116">
        <v>543.35</v>
      </c>
      <c r="G1806">
        <v>60077</v>
      </c>
      <c r="H1806" s="116"/>
      <c r="I1806" s="116"/>
      <c r="L1806" s="170">
        <v>46063</v>
      </c>
      <c r="M1806" s="116">
        <v>543.20000000000005</v>
      </c>
      <c r="N1806" s="116">
        <v>549</v>
      </c>
      <c r="O1806" s="116">
        <v>539.54999999999995</v>
      </c>
      <c r="P1806" s="116">
        <v>548.20000000000005</v>
      </c>
      <c r="Q1806" s="116">
        <v>543.20000000000005</v>
      </c>
      <c r="R1806">
        <v>380040</v>
      </c>
    </row>
    <row r="1807" spans="1:18" x14ac:dyDescent="0.25">
      <c r="A1807" s="170">
        <v>46064</v>
      </c>
      <c r="B1807" s="116">
        <v>547.75</v>
      </c>
      <c r="C1807" s="116">
        <v>542.04999999999995</v>
      </c>
      <c r="D1807" s="116">
        <v>539.5</v>
      </c>
      <c r="E1807" s="116">
        <v>542.65</v>
      </c>
      <c r="F1807" s="116">
        <v>542.04999999999995</v>
      </c>
      <c r="G1807">
        <v>35390</v>
      </c>
      <c r="H1807" s="116"/>
      <c r="I1807" s="116"/>
      <c r="L1807" s="170">
        <v>46064</v>
      </c>
      <c r="M1807" s="116">
        <v>542.25</v>
      </c>
      <c r="N1807" s="116">
        <v>545</v>
      </c>
      <c r="O1807" s="116">
        <v>539.20000000000005</v>
      </c>
      <c r="P1807" s="116">
        <v>543.20000000000005</v>
      </c>
      <c r="Q1807" s="116">
        <v>542.25</v>
      </c>
      <c r="R1807">
        <v>229071</v>
      </c>
    </row>
    <row r="1808" spans="1:18" x14ac:dyDescent="0.25">
      <c r="A1808" s="170">
        <v>46065</v>
      </c>
      <c r="B1808" s="116">
        <v>542.45000000000005</v>
      </c>
      <c r="C1808" s="116">
        <v>535.9</v>
      </c>
      <c r="D1808" s="116">
        <v>533.25</v>
      </c>
      <c r="E1808" s="116">
        <v>542.4</v>
      </c>
      <c r="F1808" s="116">
        <v>535.9</v>
      </c>
      <c r="G1808">
        <v>18536</v>
      </c>
      <c r="H1808" s="116"/>
      <c r="I1808" s="116"/>
      <c r="L1808" s="170">
        <v>46065</v>
      </c>
      <c r="M1808" s="116">
        <v>535.95000000000005</v>
      </c>
      <c r="N1808" s="116">
        <v>544.35</v>
      </c>
      <c r="O1808" s="116">
        <v>533</v>
      </c>
      <c r="P1808" s="116">
        <v>542</v>
      </c>
      <c r="Q1808" s="116">
        <v>535.95000000000005</v>
      </c>
      <c r="R1808">
        <v>241207</v>
      </c>
    </row>
    <row r="1809" spans="1:18" x14ac:dyDescent="0.25">
      <c r="A1809" s="170">
        <v>46066</v>
      </c>
      <c r="B1809" s="116">
        <v>535</v>
      </c>
      <c r="C1809" s="116">
        <v>520.1</v>
      </c>
      <c r="D1809" s="116">
        <v>518.45000000000005</v>
      </c>
      <c r="E1809" s="116">
        <v>535</v>
      </c>
      <c r="F1809" s="116">
        <v>520.1</v>
      </c>
      <c r="G1809">
        <v>23140</v>
      </c>
      <c r="H1809" s="116"/>
      <c r="I1809" s="116"/>
      <c r="L1809" s="170">
        <v>46066</v>
      </c>
      <c r="M1809" s="116">
        <v>519.9</v>
      </c>
      <c r="N1809" s="116">
        <v>533.5</v>
      </c>
      <c r="O1809" s="116">
        <v>518.04999999999995</v>
      </c>
      <c r="P1809" s="116">
        <v>533</v>
      </c>
      <c r="Q1809" s="116">
        <v>519.9</v>
      </c>
      <c r="R1809">
        <v>473476</v>
      </c>
    </row>
    <row r="1810" spans="1:18" x14ac:dyDescent="0.25">
      <c r="A1810" s="170">
        <v>46069</v>
      </c>
      <c r="B1810" s="116">
        <v>530.25</v>
      </c>
      <c r="C1810" s="116">
        <v>528.79999999999995</v>
      </c>
      <c r="D1810" s="116">
        <v>515.04999999999995</v>
      </c>
      <c r="E1810" s="116">
        <v>519.9</v>
      </c>
      <c r="F1810" s="116">
        <v>528.79999999999995</v>
      </c>
      <c r="G1810">
        <v>59455</v>
      </c>
      <c r="H1810" s="116"/>
      <c r="I1810" s="116"/>
      <c r="L1810" s="170">
        <v>46069</v>
      </c>
      <c r="M1810" s="116">
        <v>529.04999999999995</v>
      </c>
      <c r="N1810" s="116">
        <v>533</v>
      </c>
      <c r="O1810" s="116">
        <v>515.1</v>
      </c>
      <c r="P1810" s="116">
        <v>521</v>
      </c>
      <c r="Q1810" s="116">
        <v>529.04999999999995</v>
      </c>
      <c r="R1810">
        <v>370260</v>
      </c>
    </row>
    <row r="1811" spans="1:18" x14ac:dyDescent="0.25">
      <c r="A1811" s="170">
        <v>46070</v>
      </c>
      <c r="B1811" s="116">
        <v>535.5</v>
      </c>
      <c r="C1811" s="116">
        <v>533.75</v>
      </c>
      <c r="D1811" s="116">
        <v>525.9</v>
      </c>
      <c r="E1811" s="116">
        <v>528.9</v>
      </c>
      <c r="F1811" s="116">
        <v>533.75</v>
      </c>
      <c r="G1811">
        <v>13726</v>
      </c>
      <c r="H1811" s="116"/>
      <c r="I1811" s="116"/>
      <c r="L1811" s="170">
        <v>46070</v>
      </c>
      <c r="M1811" s="116">
        <v>533.85</v>
      </c>
      <c r="N1811" s="116">
        <v>536</v>
      </c>
      <c r="O1811" s="116">
        <v>525</v>
      </c>
      <c r="P1811" s="116">
        <v>529.5</v>
      </c>
      <c r="Q1811" s="116">
        <v>533.85</v>
      </c>
      <c r="R1811">
        <v>277889</v>
      </c>
    </row>
    <row r="1812" spans="1:18" x14ac:dyDescent="0.25">
      <c r="A1812" s="170">
        <v>46071</v>
      </c>
      <c r="B1812" s="116">
        <v>536</v>
      </c>
      <c r="C1812" s="116">
        <v>531.04999999999995</v>
      </c>
      <c r="D1812" s="116">
        <v>528.75</v>
      </c>
      <c r="E1812" s="116">
        <v>533</v>
      </c>
      <c r="F1812" s="116">
        <v>531.04999999999995</v>
      </c>
      <c r="G1812">
        <v>12707</v>
      </c>
      <c r="H1812" s="116"/>
      <c r="I1812" s="116"/>
      <c r="L1812" s="170">
        <v>46071</v>
      </c>
      <c r="M1812" s="116">
        <v>531</v>
      </c>
      <c r="N1812" s="116">
        <v>538.20000000000005</v>
      </c>
      <c r="O1812" s="116">
        <v>528.85</v>
      </c>
      <c r="P1812" s="116">
        <v>533</v>
      </c>
      <c r="Q1812" s="116">
        <v>531</v>
      </c>
      <c r="R1812">
        <v>282162</v>
      </c>
    </row>
    <row r="1813" spans="1:18" x14ac:dyDescent="0.25">
      <c r="A1813" s="170">
        <v>46072</v>
      </c>
      <c r="B1813" s="116">
        <v>533.54999999999995</v>
      </c>
      <c r="C1813" s="116">
        <v>522.35</v>
      </c>
      <c r="D1813" s="116">
        <v>520</v>
      </c>
      <c r="E1813" s="116">
        <v>531</v>
      </c>
      <c r="F1813" s="116">
        <v>522.35</v>
      </c>
      <c r="G1813">
        <v>37132</v>
      </c>
      <c r="H1813" s="116"/>
      <c r="I1813" s="116"/>
      <c r="L1813" s="170">
        <v>46072</v>
      </c>
      <c r="M1813" s="116">
        <v>522</v>
      </c>
      <c r="N1813" s="116">
        <v>534.20000000000005</v>
      </c>
      <c r="O1813" s="116">
        <v>520</v>
      </c>
      <c r="P1813" s="116">
        <v>531</v>
      </c>
      <c r="Q1813" s="116">
        <v>522</v>
      </c>
      <c r="R1813">
        <v>231919</v>
      </c>
    </row>
    <row r="1814" spans="1:18" x14ac:dyDescent="0.25">
      <c r="A1814" s="170">
        <v>46073</v>
      </c>
      <c r="B1814" s="116">
        <v>524.6</v>
      </c>
      <c r="C1814" s="116">
        <v>519.4</v>
      </c>
      <c r="D1814" s="116">
        <v>518</v>
      </c>
      <c r="E1814" s="116">
        <v>522.85</v>
      </c>
      <c r="F1814" s="116">
        <v>519.4</v>
      </c>
      <c r="G1814">
        <v>42942</v>
      </c>
      <c r="H1814" s="116"/>
      <c r="I1814" s="116"/>
      <c r="L1814" s="170">
        <v>46073</v>
      </c>
      <c r="M1814" s="116">
        <v>519.20000000000005</v>
      </c>
      <c r="N1814" s="116">
        <v>524.45000000000005</v>
      </c>
      <c r="O1814" s="116">
        <v>518</v>
      </c>
      <c r="P1814" s="116">
        <v>522.4</v>
      </c>
      <c r="Q1814" s="116">
        <v>519.20000000000005</v>
      </c>
      <c r="R1814">
        <v>317392</v>
      </c>
    </row>
    <row r="1815" spans="1:18" x14ac:dyDescent="0.25">
      <c r="A1815" s="170">
        <v>46076</v>
      </c>
      <c r="B1815" s="116">
        <v>527.79999999999995</v>
      </c>
      <c r="C1815" s="116">
        <v>525.54999999999995</v>
      </c>
      <c r="D1815" s="116">
        <v>519.85</v>
      </c>
      <c r="E1815" s="116">
        <v>519.85</v>
      </c>
      <c r="F1815" s="116">
        <v>525.54999999999995</v>
      </c>
      <c r="G1815">
        <v>40878</v>
      </c>
      <c r="H1815" s="116"/>
      <c r="I1815" s="116"/>
      <c r="L1815" s="170">
        <v>46076</v>
      </c>
      <c r="M1815" s="116">
        <v>525.6</v>
      </c>
      <c r="N1815" s="116">
        <v>528.1</v>
      </c>
      <c r="O1815" s="116">
        <v>521.54999999999995</v>
      </c>
      <c r="P1815" s="116">
        <v>522</v>
      </c>
      <c r="Q1815" s="116">
        <v>525.6</v>
      </c>
      <c r="R1815">
        <v>279098</v>
      </c>
    </row>
    <row r="1816" spans="1:18" x14ac:dyDescent="0.25">
      <c r="A1816" s="170">
        <v>46077</v>
      </c>
      <c r="B1816" s="116">
        <v>524.95000000000005</v>
      </c>
      <c r="C1816" s="116">
        <v>518.15</v>
      </c>
      <c r="D1816" s="116">
        <v>515.20000000000005</v>
      </c>
      <c r="E1816" s="116">
        <v>524.95000000000005</v>
      </c>
      <c r="F1816" s="116">
        <v>518.15</v>
      </c>
      <c r="G1816">
        <v>19094</v>
      </c>
      <c r="H1816" s="116"/>
      <c r="I1816" s="116"/>
      <c r="L1816" s="170">
        <v>46077</v>
      </c>
      <c r="M1816" s="116">
        <v>518.15</v>
      </c>
      <c r="N1816" s="116">
        <v>523.70000000000005</v>
      </c>
      <c r="O1816" s="116">
        <v>515.15</v>
      </c>
      <c r="P1816" s="116">
        <v>523</v>
      </c>
      <c r="Q1816" s="116">
        <v>518.15</v>
      </c>
      <c r="R1816">
        <v>275654</v>
      </c>
    </row>
    <row r="1817" spans="1:18" x14ac:dyDescent="0.25">
      <c r="A1817" s="170">
        <v>46078</v>
      </c>
      <c r="B1817" s="116">
        <v>523.5</v>
      </c>
      <c r="C1817" s="116">
        <v>515.15</v>
      </c>
      <c r="D1817" s="116">
        <v>513.20000000000005</v>
      </c>
      <c r="E1817" s="116">
        <v>521.15</v>
      </c>
      <c r="F1817" s="116">
        <v>515.15</v>
      </c>
      <c r="G1817">
        <v>35720</v>
      </c>
      <c r="H1817" s="116"/>
      <c r="I1817" s="116"/>
      <c r="L1817" s="170">
        <v>46078</v>
      </c>
      <c r="M1817" s="116">
        <v>515.15</v>
      </c>
      <c r="N1817" s="116">
        <v>523.65</v>
      </c>
      <c r="O1817" s="116">
        <v>513.04999999999995</v>
      </c>
      <c r="P1817" s="116">
        <v>523.65</v>
      </c>
      <c r="Q1817" s="116">
        <v>515.15</v>
      </c>
      <c r="R1817">
        <v>276399</v>
      </c>
    </row>
    <row r="1818" spans="1:18" x14ac:dyDescent="0.25">
      <c r="A1818" s="170">
        <v>46079</v>
      </c>
      <c r="B1818" s="116">
        <v>519.75</v>
      </c>
      <c r="C1818" s="116">
        <v>515.95000000000005</v>
      </c>
      <c r="D1818" s="116">
        <v>513.6</v>
      </c>
      <c r="E1818" s="116">
        <v>516</v>
      </c>
      <c r="F1818" s="116">
        <v>515.95000000000005</v>
      </c>
      <c r="G1818">
        <v>25554</v>
      </c>
      <c r="H1818" s="116"/>
      <c r="I1818" s="116"/>
      <c r="L1818" s="170">
        <v>46079</v>
      </c>
      <c r="M1818" s="116">
        <v>516.1</v>
      </c>
      <c r="N1818" s="116">
        <v>519.9</v>
      </c>
      <c r="O1818" s="116">
        <v>514</v>
      </c>
      <c r="P1818" s="116">
        <v>517.5</v>
      </c>
      <c r="Q1818" s="116">
        <v>516.1</v>
      </c>
      <c r="R1818">
        <v>174554</v>
      </c>
    </row>
    <row r="1819" spans="1:18" x14ac:dyDescent="0.25">
      <c r="A1819" s="170">
        <v>46080</v>
      </c>
      <c r="B1819" s="116">
        <v>517.65</v>
      </c>
      <c r="C1819" s="116">
        <v>512</v>
      </c>
      <c r="D1819" s="116">
        <v>511</v>
      </c>
      <c r="E1819" s="116">
        <v>512.95000000000005</v>
      </c>
      <c r="F1819" s="116">
        <v>512</v>
      </c>
      <c r="G1819">
        <v>15146</v>
      </c>
      <c r="H1819" s="116"/>
      <c r="I1819" s="116"/>
      <c r="L1819" s="170">
        <v>46080</v>
      </c>
      <c r="M1819" s="116">
        <v>512</v>
      </c>
      <c r="N1819" s="116">
        <v>517.6</v>
      </c>
      <c r="O1819" s="116">
        <v>510.05</v>
      </c>
      <c r="P1819" s="116">
        <v>516.1</v>
      </c>
      <c r="Q1819" s="116">
        <v>512</v>
      </c>
      <c r="R1819">
        <v>208796</v>
      </c>
    </row>
    <row r="1820" spans="1:18" x14ac:dyDescent="0.25">
      <c r="A1820" s="170">
        <v>46083</v>
      </c>
      <c r="B1820" s="116">
        <v>497.15</v>
      </c>
      <c r="C1820" s="116">
        <v>492.85</v>
      </c>
      <c r="D1820" s="116">
        <v>453.5</v>
      </c>
      <c r="E1820" s="116">
        <v>453.5</v>
      </c>
      <c r="F1820" s="116">
        <v>492.85</v>
      </c>
      <c r="G1820">
        <v>172338</v>
      </c>
      <c r="H1820" s="116"/>
      <c r="I1820" s="116"/>
      <c r="L1820" s="170">
        <v>46083</v>
      </c>
      <c r="M1820" s="116">
        <v>492.85</v>
      </c>
      <c r="N1820" s="116">
        <v>500</v>
      </c>
      <c r="O1820" s="116">
        <v>483</v>
      </c>
      <c r="P1820" s="116">
        <v>489.85</v>
      </c>
      <c r="Q1820" s="116">
        <v>492.85</v>
      </c>
      <c r="R1820">
        <v>754603</v>
      </c>
    </row>
    <row r="1821" spans="1:18" x14ac:dyDescent="0.25">
      <c r="A1821" s="170">
        <v>46085</v>
      </c>
      <c r="B1821" s="116">
        <v>485.7</v>
      </c>
      <c r="C1821" s="116">
        <v>481.1</v>
      </c>
      <c r="D1821" s="116">
        <v>477.15</v>
      </c>
      <c r="E1821" s="116">
        <v>485.65</v>
      </c>
      <c r="F1821" s="116">
        <v>481.1</v>
      </c>
      <c r="G1821">
        <v>86145</v>
      </c>
      <c r="H1821" s="116"/>
      <c r="I1821" s="116"/>
      <c r="L1821" s="170">
        <v>46085</v>
      </c>
      <c r="M1821" s="116">
        <v>480.8</v>
      </c>
      <c r="N1821" s="116">
        <v>487.9</v>
      </c>
      <c r="O1821" s="116">
        <v>477</v>
      </c>
      <c r="P1821" s="116">
        <v>487.9</v>
      </c>
      <c r="Q1821" s="116">
        <v>480.8</v>
      </c>
      <c r="R1821">
        <v>533471</v>
      </c>
    </row>
    <row r="1822" spans="1:18" x14ac:dyDescent="0.25">
      <c r="A1822" s="170">
        <v>46086</v>
      </c>
      <c r="B1822" s="116">
        <v>486.25</v>
      </c>
      <c r="C1822" s="116">
        <v>483.75</v>
      </c>
      <c r="D1822" s="116">
        <v>477.8</v>
      </c>
      <c r="E1822" s="116">
        <v>481</v>
      </c>
      <c r="F1822" s="116">
        <v>483.75</v>
      </c>
      <c r="G1822">
        <v>91529</v>
      </c>
      <c r="H1822" s="116"/>
      <c r="I1822" s="116"/>
      <c r="L1822" s="170">
        <v>46086</v>
      </c>
      <c r="M1822" s="116">
        <v>483.45</v>
      </c>
      <c r="N1822" s="116">
        <v>486.5</v>
      </c>
      <c r="O1822" s="116">
        <v>478</v>
      </c>
      <c r="P1822" s="116">
        <v>481.5</v>
      </c>
      <c r="Q1822" s="116">
        <v>483.45</v>
      </c>
      <c r="R1822">
        <v>459707</v>
      </c>
    </row>
    <row r="1823" spans="1:18" x14ac:dyDescent="0.25">
      <c r="A1823" s="170">
        <v>46087</v>
      </c>
      <c r="B1823" s="116">
        <v>491.85</v>
      </c>
      <c r="C1823" s="116">
        <v>482.5</v>
      </c>
      <c r="D1823" s="116">
        <v>481</v>
      </c>
      <c r="E1823" s="116">
        <v>484</v>
      </c>
      <c r="F1823" s="116">
        <v>482.5</v>
      </c>
      <c r="G1823">
        <v>54316</v>
      </c>
      <c r="H1823" s="116"/>
      <c r="I1823" s="116"/>
      <c r="L1823" s="170">
        <v>46087</v>
      </c>
      <c r="M1823" s="116">
        <v>482.65</v>
      </c>
      <c r="N1823" s="116">
        <v>492</v>
      </c>
      <c r="O1823" s="116">
        <v>481.2</v>
      </c>
      <c r="P1823" s="116">
        <v>485</v>
      </c>
      <c r="Q1823" s="116">
        <v>482.65</v>
      </c>
      <c r="R1823">
        <v>363825</v>
      </c>
    </row>
    <row r="1824" spans="1:18" x14ac:dyDescent="0.25">
      <c r="A1824" s="170">
        <v>46090</v>
      </c>
      <c r="B1824" s="116">
        <v>482.3</v>
      </c>
      <c r="C1824" s="116">
        <v>467.65</v>
      </c>
      <c r="D1824" s="116">
        <v>462.65</v>
      </c>
      <c r="E1824" s="116">
        <v>482.3</v>
      </c>
      <c r="F1824" s="116">
        <v>467.65</v>
      </c>
      <c r="G1824">
        <v>39248</v>
      </c>
      <c r="H1824" s="116"/>
      <c r="I1824" s="116"/>
      <c r="L1824" s="170">
        <v>46090</v>
      </c>
      <c r="M1824" s="116">
        <v>467.9</v>
      </c>
      <c r="N1824" s="116">
        <v>481</v>
      </c>
      <c r="O1824" s="116">
        <v>462.8</v>
      </c>
      <c r="P1824" s="116">
        <v>481</v>
      </c>
      <c r="Q1824" s="116">
        <v>467.9</v>
      </c>
      <c r="R1824">
        <v>476128</v>
      </c>
    </row>
    <row r="1825" spans="1:18" x14ac:dyDescent="0.25">
      <c r="A1825" s="170">
        <v>46091</v>
      </c>
      <c r="B1825" s="116">
        <v>478.9</v>
      </c>
      <c r="C1825" s="116">
        <v>474.35</v>
      </c>
      <c r="D1825" s="116">
        <v>463.8</v>
      </c>
      <c r="E1825" s="116">
        <v>468.45</v>
      </c>
      <c r="F1825" s="116">
        <v>474.35</v>
      </c>
      <c r="G1825">
        <v>32079</v>
      </c>
      <c r="H1825" s="116"/>
      <c r="I1825" s="116"/>
      <c r="L1825" s="170">
        <v>46091</v>
      </c>
      <c r="M1825" s="116">
        <v>472.45</v>
      </c>
      <c r="N1825" s="116">
        <v>478</v>
      </c>
      <c r="O1825" s="116">
        <v>463.45</v>
      </c>
      <c r="P1825" s="116">
        <v>468.95</v>
      </c>
      <c r="Q1825" s="116">
        <v>472.45</v>
      </c>
      <c r="R1825">
        <v>793303</v>
      </c>
    </row>
    <row r="1826" spans="1:18" x14ac:dyDescent="0.25">
      <c r="A1826" s="170">
        <v>46092</v>
      </c>
      <c r="B1826" s="116">
        <v>569.20000000000005</v>
      </c>
      <c r="C1826" s="116">
        <v>569.20000000000005</v>
      </c>
      <c r="D1826" s="116">
        <v>474.75</v>
      </c>
      <c r="E1826" s="116">
        <v>479.55</v>
      </c>
      <c r="F1826" s="116">
        <v>569.20000000000005</v>
      </c>
      <c r="G1826">
        <v>2426263</v>
      </c>
      <c r="H1826" s="116"/>
      <c r="I1826" s="116"/>
      <c r="L1826" s="170">
        <v>46092</v>
      </c>
      <c r="M1826" s="116">
        <v>566.9</v>
      </c>
      <c r="N1826" s="116">
        <v>566.9</v>
      </c>
      <c r="O1826" s="116">
        <v>474.9</v>
      </c>
      <c r="P1826" s="116">
        <v>479</v>
      </c>
      <c r="Q1826" s="116">
        <v>566.9</v>
      </c>
      <c r="R1826">
        <v>18960811</v>
      </c>
    </row>
    <row r="1827" spans="1:18" x14ac:dyDescent="0.25">
      <c r="A1827" s="170">
        <v>46093</v>
      </c>
      <c r="B1827" s="116">
        <v>650</v>
      </c>
      <c r="C1827" s="116">
        <v>606.9</v>
      </c>
      <c r="D1827" s="116">
        <v>591</v>
      </c>
      <c r="E1827" s="116">
        <v>591</v>
      </c>
      <c r="F1827" s="116">
        <v>606.9</v>
      </c>
      <c r="G1827">
        <v>6920547</v>
      </c>
      <c r="H1827" s="116"/>
      <c r="I1827" s="116"/>
      <c r="L1827" s="170">
        <v>46093</v>
      </c>
      <c r="M1827" s="116">
        <v>607.6</v>
      </c>
      <c r="N1827" s="116">
        <v>651</v>
      </c>
      <c r="O1827" s="116">
        <v>589.9</v>
      </c>
      <c r="P1827" s="116">
        <v>594</v>
      </c>
      <c r="Q1827" s="116">
        <v>607.6</v>
      </c>
      <c r="R1827">
        <v>48585918</v>
      </c>
    </row>
    <row r="1828" spans="1:18" x14ac:dyDescent="0.25">
      <c r="A1828" s="170">
        <v>46094</v>
      </c>
      <c r="B1828" s="116">
        <v>644.54999999999995</v>
      </c>
      <c r="C1828" s="116">
        <v>563.9</v>
      </c>
      <c r="D1828" s="116">
        <v>553.15</v>
      </c>
      <c r="E1828" s="116">
        <v>626.04999999999995</v>
      </c>
      <c r="F1828" s="116">
        <v>563.9</v>
      </c>
      <c r="G1828">
        <v>3854316</v>
      </c>
      <c r="H1828" s="116"/>
      <c r="I1828" s="116"/>
      <c r="L1828" s="170">
        <v>46094</v>
      </c>
      <c r="M1828" s="116">
        <v>565.9</v>
      </c>
      <c r="N1828" s="116">
        <v>644.85</v>
      </c>
      <c r="O1828" s="116">
        <v>554</v>
      </c>
      <c r="P1828" s="116">
        <v>624</v>
      </c>
      <c r="Q1828" s="116">
        <v>565.9</v>
      </c>
      <c r="R1828">
        <v>31842446</v>
      </c>
    </row>
    <row r="1829" spans="1:18" x14ac:dyDescent="0.25">
      <c r="A1829" s="170">
        <v>46097</v>
      </c>
      <c r="B1829" s="116">
        <v>604.4</v>
      </c>
      <c r="C1829" s="116">
        <v>521.54999999999995</v>
      </c>
      <c r="D1829" s="116">
        <v>513.85</v>
      </c>
      <c r="E1829" s="116">
        <v>585.29999999999995</v>
      </c>
      <c r="F1829" s="116">
        <v>521.54999999999995</v>
      </c>
      <c r="G1829">
        <v>1696757</v>
      </c>
      <c r="H1829" s="116"/>
      <c r="I1829" s="116"/>
      <c r="L1829" s="170">
        <v>46097</v>
      </c>
      <c r="M1829" s="116">
        <v>522.04999999999995</v>
      </c>
      <c r="N1829" s="116">
        <v>604.29999999999995</v>
      </c>
      <c r="O1829" s="116">
        <v>514.1</v>
      </c>
      <c r="P1829" s="116">
        <v>588.95000000000005</v>
      </c>
      <c r="Q1829" s="116">
        <v>522.04999999999995</v>
      </c>
      <c r="R1829">
        <v>18277892</v>
      </c>
    </row>
    <row r="1830" spans="1:18" x14ac:dyDescent="0.25">
      <c r="A1830" s="170">
        <v>46098</v>
      </c>
      <c r="B1830" s="116">
        <v>533.35</v>
      </c>
      <c r="C1830" s="116">
        <v>516.9</v>
      </c>
      <c r="D1830" s="116">
        <v>501</v>
      </c>
      <c r="E1830" s="116">
        <v>525.04999999999995</v>
      </c>
      <c r="F1830" s="116">
        <v>516.9</v>
      </c>
      <c r="G1830">
        <v>677849</v>
      </c>
      <c r="H1830" s="116"/>
      <c r="I1830" s="116"/>
      <c r="L1830" s="170">
        <v>46098</v>
      </c>
      <c r="M1830" s="116">
        <v>516.85</v>
      </c>
      <c r="N1830" s="116">
        <v>533.70000000000005</v>
      </c>
      <c r="O1830" s="116">
        <v>490</v>
      </c>
      <c r="P1830" s="116">
        <v>525.70000000000005</v>
      </c>
      <c r="Q1830" s="116">
        <v>516.85</v>
      </c>
      <c r="R1830">
        <v>8611067</v>
      </c>
    </row>
    <row r="1831" spans="1:18" x14ac:dyDescent="0.25">
      <c r="A1831" s="170">
        <v>46099</v>
      </c>
      <c r="B1831" s="116">
        <v>520</v>
      </c>
      <c r="C1831" s="116">
        <v>515.95000000000005</v>
      </c>
      <c r="D1831" s="116">
        <v>508.7</v>
      </c>
      <c r="E1831" s="116">
        <v>520</v>
      </c>
      <c r="F1831" s="116">
        <v>515.95000000000005</v>
      </c>
      <c r="G1831">
        <v>317257</v>
      </c>
      <c r="H1831" s="116"/>
      <c r="I1831" s="116"/>
      <c r="L1831" s="170">
        <v>46099</v>
      </c>
      <c r="M1831" s="116">
        <v>515.65</v>
      </c>
      <c r="N1831" s="116">
        <v>520.4</v>
      </c>
      <c r="O1831" s="116">
        <v>508.05</v>
      </c>
      <c r="P1831" s="116">
        <v>520</v>
      </c>
      <c r="Q1831" s="116">
        <v>515.65</v>
      </c>
      <c r="R1831">
        <v>2891422</v>
      </c>
    </row>
    <row r="1832" spans="1:18" x14ac:dyDescent="0.25">
      <c r="A1832" s="170">
        <v>46100</v>
      </c>
      <c r="B1832" s="116">
        <v>580.45000000000005</v>
      </c>
      <c r="C1832" s="116">
        <v>555.65</v>
      </c>
      <c r="D1832" s="116">
        <v>519.04999999999995</v>
      </c>
      <c r="E1832" s="116">
        <v>530.1</v>
      </c>
      <c r="F1832" s="116">
        <v>555.65</v>
      </c>
      <c r="G1832">
        <v>5520391</v>
      </c>
      <c r="H1832" s="116"/>
      <c r="I1832" s="116"/>
      <c r="L1832" s="170">
        <v>46100</v>
      </c>
      <c r="M1832" s="116">
        <v>556.15</v>
      </c>
      <c r="N1832" s="116">
        <v>580</v>
      </c>
      <c r="O1832" s="116">
        <v>517.70000000000005</v>
      </c>
      <c r="P1832" s="116">
        <v>535.65</v>
      </c>
      <c r="Q1832" s="116">
        <v>556.15</v>
      </c>
      <c r="R1832">
        <v>50297135</v>
      </c>
    </row>
    <row r="1833" spans="1:18" x14ac:dyDescent="0.25">
      <c r="A1833" s="170">
        <v>46101</v>
      </c>
      <c r="B1833" s="116">
        <v>591.25</v>
      </c>
      <c r="C1833" s="116">
        <v>551.54999999999995</v>
      </c>
      <c r="D1833" s="116">
        <v>545.85</v>
      </c>
      <c r="E1833" s="116">
        <v>576.04999999999995</v>
      </c>
      <c r="F1833" s="116">
        <v>551.54999999999995</v>
      </c>
      <c r="G1833">
        <v>1870318</v>
      </c>
      <c r="H1833" s="116"/>
      <c r="I1833" s="116"/>
      <c r="L1833" s="170">
        <v>46101</v>
      </c>
      <c r="M1833" s="116">
        <v>551.9</v>
      </c>
      <c r="N1833" s="116">
        <v>592.29999999999995</v>
      </c>
      <c r="O1833" s="116">
        <v>545</v>
      </c>
      <c r="P1833" s="116">
        <v>576.15</v>
      </c>
      <c r="Q1833" s="116">
        <v>551.9</v>
      </c>
      <c r="R1833">
        <v>13348695</v>
      </c>
    </row>
    <row r="1834" spans="1:18" x14ac:dyDescent="0.25">
      <c r="A1834" s="170">
        <v>46104</v>
      </c>
      <c r="B1834" s="116">
        <v>547.9</v>
      </c>
      <c r="C1834" s="116">
        <v>513.35</v>
      </c>
      <c r="D1834" s="116">
        <v>510.1</v>
      </c>
      <c r="E1834" s="116">
        <v>547.9</v>
      </c>
      <c r="F1834" s="116">
        <v>513.35</v>
      </c>
      <c r="G1834">
        <v>380660</v>
      </c>
      <c r="H1834" s="116"/>
      <c r="I1834" s="116"/>
      <c r="L1834" s="170">
        <v>46104</v>
      </c>
      <c r="M1834" s="116">
        <v>513.6</v>
      </c>
      <c r="N1834" s="116">
        <v>547.5</v>
      </c>
      <c r="O1834" s="116">
        <v>510.1</v>
      </c>
      <c r="P1834" s="116">
        <v>547.5</v>
      </c>
      <c r="Q1834" s="116">
        <v>513.6</v>
      </c>
      <c r="R1834">
        <v>3898645</v>
      </c>
    </row>
    <row r="1835" spans="1:18" x14ac:dyDescent="0.25">
      <c r="A1835" s="170">
        <v>46105</v>
      </c>
      <c r="B1835" s="116">
        <v>535</v>
      </c>
      <c r="C1835" s="116">
        <v>521.5</v>
      </c>
      <c r="D1835" s="116">
        <v>509</v>
      </c>
      <c r="E1835" s="116">
        <v>532.15</v>
      </c>
      <c r="F1835" s="116">
        <v>521.5</v>
      </c>
      <c r="G1835">
        <v>472026</v>
      </c>
      <c r="H1835" s="116"/>
      <c r="I1835" s="116"/>
      <c r="L1835" s="170">
        <v>46105</v>
      </c>
      <c r="M1835" s="116">
        <v>521.9</v>
      </c>
      <c r="N1835" s="116">
        <v>534.70000000000005</v>
      </c>
      <c r="O1835" s="116">
        <v>508.65</v>
      </c>
      <c r="P1835" s="116">
        <v>532</v>
      </c>
      <c r="Q1835" s="116">
        <v>521.9</v>
      </c>
      <c r="R1835">
        <v>3665140</v>
      </c>
    </row>
    <row r="1836" spans="1:18" x14ac:dyDescent="0.25">
      <c r="A1836" s="170">
        <v>46106</v>
      </c>
      <c r="B1836" s="116">
        <v>531.70000000000005</v>
      </c>
      <c r="C1836" s="116">
        <v>521.45000000000005</v>
      </c>
      <c r="D1836" s="116">
        <v>518.75</v>
      </c>
      <c r="E1836" s="116">
        <v>528.54999999999995</v>
      </c>
      <c r="F1836" s="116">
        <v>521.45000000000005</v>
      </c>
      <c r="G1836">
        <v>211016</v>
      </c>
      <c r="H1836" s="116"/>
      <c r="I1836" s="116"/>
      <c r="L1836" s="170">
        <v>46106</v>
      </c>
      <c r="M1836" s="116">
        <v>520.79999999999995</v>
      </c>
      <c r="N1836" s="116">
        <v>531.4</v>
      </c>
      <c r="O1836" s="116">
        <v>518.04999999999995</v>
      </c>
      <c r="P1836" s="116">
        <v>529</v>
      </c>
      <c r="Q1836" s="116">
        <v>520.79999999999995</v>
      </c>
      <c r="R1836">
        <v>2035564</v>
      </c>
    </row>
    <row r="1837" spans="1:18" x14ac:dyDescent="0.25">
      <c r="A1837" s="170">
        <v>46108</v>
      </c>
      <c r="B1837" s="116">
        <v>553.79999999999995</v>
      </c>
      <c r="C1837" s="116">
        <v>529.45000000000005</v>
      </c>
      <c r="D1837" s="116">
        <v>511.65</v>
      </c>
      <c r="E1837" s="116">
        <v>520.5</v>
      </c>
      <c r="F1837" s="116">
        <v>529.45000000000005</v>
      </c>
      <c r="G1837">
        <v>1248402</v>
      </c>
      <c r="H1837" s="116"/>
      <c r="I1837" s="116"/>
      <c r="L1837" s="170">
        <v>46108</v>
      </c>
      <c r="M1837" s="116">
        <v>529.1</v>
      </c>
      <c r="N1837" s="116">
        <v>553.5</v>
      </c>
      <c r="O1837" s="116">
        <v>511.5</v>
      </c>
      <c r="P1837" s="116">
        <v>521.95000000000005</v>
      </c>
      <c r="Q1837" s="116">
        <v>529.1</v>
      </c>
      <c r="R1837">
        <v>11384740</v>
      </c>
    </row>
    <row r="1838" spans="1:18" x14ac:dyDescent="0.25">
      <c r="A1838" s="170">
        <v>46111</v>
      </c>
      <c r="B1838" s="116">
        <v>537.29999999999995</v>
      </c>
      <c r="C1838" s="116">
        <v>509.8</v>
      </c>
      <c r="D1838" s="116">
        <v>504</v>
      </c>
      <c r="E1838" s="116">
        <v>525.20000000000005</v>
      </c>
      <c r="F1838" s="116">
        <v>509.8</v>
      </c>
      <c r="G1838">
        <v>633180</v>
      </c>
      <c r="H1838" s="116"/>
      <c r="I1838" s="116"/>
      <c r="L1838" s="170">
        <v>46111</v>
      </c>
      <c r="M1838" s="116">
        <v>509.95</v>
      </c>
      <c r="N1838" s="116">
        <v>537.65</v>
      </c>
      <c r="O1838" s="116">
        <v>502.45</v>
      </c>
      <c r="P1838" s="116">
        <v>527.1</v>
      </c>
      <c r="Q1838" s="116">
        <v>509.95</v>
      </c>
      <c r="R1838">
        <v>3244731</v>
      </c>
    </row>
    <row r="1839" spans="1:18" x14ac:dyDescent="0.25">
      <c r="A1839" s="170">
        <v>46113</v>
      </c>
      <c r="B1839" s="116">
        <v>529.85</v>
      </c>
      <c r="C1839" s="116">
        <v>521.1</v>
      </c>
      <c r="D1839" s="116">
        <v>514</v>
      </c>
      <c r="E1839" s="116">
        <v>529.85</v>
      </c>
      <c r="F1839" s="116">
        <v>521.1</v>
      </c>
      <c r="G1839">
        <v>242076</v>
      </c>
      <c r="H1839" s="116"/>
      <c r="I1839" s="116"/>
      <c r="L1839" s="170">
        <v>46113</v>
      </c>
      <c r="M1839" s="116">
        <v>520.9</v>
      </c>
      <c r="N1839" s="116">
        <v>530</v>
      </c>
      <c r="O1839" s="116">
        <v>513.29999999999995</v>
      </c>
      <c r="P1839" s="116">
        <v>530</v>
      </c>
      <c r="Q1839" s="116">
        <v>520.9</v>
      </c>
      <c r="R1839">
        <v>1854124</v>
      </c>
    </row>
    <row r="1840" spans="1:18" x14ac:dyDescent="0.25">
      <c r="A1840" s="170">
        <v>46114</v>
      </c>
      <c r="B1840" s="116">
        <v>522.25</v>
      </c>
      <c r="C1840" s="116">
        <v>519.79999999999995</v>
      </c>
      <c r="D1840" s="116">
        <v>509</v>
      </c>
      <c r="E1840" s="116">
        <v>511.15</v>
      </c>
      <c r="F1840" s="116">
        <v>519.79999999999995</v>
      </c>
      <c r="G1840">
        <v>226705</v>
      </c>
      <c r="H1840" s="116"/>
      <c r="I1840" s="116"/>
      <c r="L1840" s="170">
        <v>46114</v>
      </c>
      <c r="M1840" s="116">
        <v>520.04999999999995</v>
      </c>
      <c r="N1840" s="116">
        <v>522.54999999999995</v>
      </c>
      <c r="O1840" s="116">
        <v>509.15</v>
      </c>
      <c r="P1840" s="116">
        <v>515</v>
      </c>
      <c r="Q1840" s="116">
        <v>520.04999999999995</v>
      </c>
      <c r="R1840">
        <v>1382666</v>
      </c>
    </row>
    <row r="1841" spans="1:18" x14ac:dyDescent="0.25">
      <c r="A1841" s="170">
        <v>46118</v>
      </c>
      <c r="B1841" s="116">
        <v>525.79999999999995</v>
      </c>
      <c r="C1841" s="116">
        <v>523.65</v>
      </c>
      <c r="D1841" s="116">
        <v>513</v>
      </c>
      <c r="E1841" s="116">
        <v>521.4</v>
      </c>
      <c r="F1841" s="116">
        <v>523.65</v>
      </c>
      <c r="G1841">
        <v>127535</v>
      </c>
      <c r="H1841" s="116"/>
      <c r="I1841" s="116"/>
      <c r="L1841" s="170">
        <v>46118</v>
      </c>
      <c r="M1841" s="116">
        <v>523.45000000000005</v>
      </c>
      <c r="N1841" s="116">
        <v>526</v>
      </c>
      <c r="O1841" s="116">
        <v>512.79999999999995</v>
      </c>
      <c r="P1841" s="116">
        <v>520.04999999999995</v>
      </c>
      <c r="Q1841" s="116">
        <v>523.45000000000005</v>
      </c>
      <c r="R1841">
        <v>1709257</v>
      </c>
    </row>
    <row r="1842" spans="1:18" x14ac:dyDescent="0.25">
      <c r="A1842" s="170">
        <v>46119</v>
      </c>
      <c r="B1842" s="116">
        <v>527.5</v>
      </c>
      <c r="C1842" s="116">
        <v>519.35</v>
      </c>
      <c r="D1842" s="116">
        <v>516.9</v>
      </c>
      <c r="E1842" s="116">
        <v>520.35</v>
      </c>
      <c r="F1842" s="116">
        <v>519.35</v>
      </c>
      <c r="G1842">
        <v>133752</v>
      </c>
      <c r="H1842" s="116"/>
      <c r="I1842" s="116"/>
      <c r="L1842" s="170">
        <v>46119</v>
      </c>
      <c r="M1842" s="116">
        <v>519.54999999999995</v>
      </c>
      <c r="N1842" s="116">
        <v>527.70000000000005</v>
      </c>
      <c r="O1842" s="116">
        <v>516.15</v>
      </c>
      <c r="P1842" s="116">
        <v>521</v>
      </c>
      <c r="Q1842" s="116">
        <v>519.54999999999995</v>
      </c>
      <c r="R1842">
        <v>994818</v>
      </c>
    </row>
    <row r="1843" spans="1:18" x14ac:dyDescent="0.25">
      <c r="A1843" s="170">
        <v>46120</v>
      </c>
      <c r="B1843" s="116">
        <v>589.20000000000005</v>
      </c>
      <c r="C1843" s="116">
        <v>558.79999999999995</v>
      </c>
      <c r="D1843" s="116">
        <v>527</v>
      </c>
      <c r="E1843" s="116">
        <v>539.9</v>
      </c>
      <c r="F1843" s="116">
        <v>558.79999999999995</v>
      </c>
      <c r="G1843">
        <v>948947</v>
      </c>
      <c r="H1843" s="116"/>
      <c r="I1843" s="116"/>
      <c r="L1843" s="170">
        <v>46120</v>
      </c>
      <c r="M1843" s="116">
        <v>559</v>
      </c>
      <c r="N1843" s="116">
        <v>589</v>
      </c>
      <c r="O1843" s="116">
        <v>522.54999999999995</v>
      </c>
      <c r="P1843" s="116">
        <v>522.54999999999995</v>
      </c>
      <c r="Q1843" s="116">
        <v>559</v>
      </c>
      <c r="R1843">
        <v>15289752</v>
      </c>
    </row>
    <row r="1844" spans="1:18" x14ac:dyDescent="0.25">
      <c r="A1844" s="170">
        <v>46121</v>
      </c>
      <c r="B1844" s="116">
        <v>556.04999999999995</v>
      </c>
      <c r="C1844" s="116">
        <v>549.9</v>
      </c>
      <c r="D1844" s="116">
        <v>544.1</v>
      </c>
      <c r="E1844" s="116">
        <v>556.04999999999995</v>
      </c>
      <c r="F1844" s="116">
        <v>549.9</v>
      </c>
      <c r="G1844">
        <v>159070</v>
      </c>
      <c r="H1844" s="116"/>
      <c r="I1844" s="116"/>
      <c r="L1844" s="170">
        <v>46121</v>
      </c>
      <c r="M1844" s="116">
        <v>549.9</v>
      </c>
      <c r="N1844" s="116">
        <v>554.65</v>
      </c>
      <c r="O1844" s="116">
        <v>544.25</v>
      </c>
      <c r="P1844" s="116">
        <v>554</v>
      </c>
      <c r="Q1844" s="116">
        <v>549.9</v>
      </c>
      <c r="R1844">
        <v>1974221</v>
      </c>
    </row>
    <row r="1845" spans="1:18" x14ac:dyDescent="0.25">
      <c r="A1845" s="170">
        <v>46122</v>
      </c>
      <c r="B1845" s="116">
        <v>585.25</v>
      </c>
      <c r="C1845" s="116">
        <v>580.70000000000005</v>
      </c>
      <c r="D1845" s="116">
        <v>551.04999999999995</v>
      </c>
      <c r="E1845" s="116">
        <v>552.4</v>
      </c>
      <c r="F1845" s="116">
        <v>580.70000000000005</v>
      </c>
      <c r="G1845">
        <v>660798</v>
      </c>
      <c r="H1845" s="116"/>
      <c r="I1845" s="116"/>
      <c r="L1845" s="170">
        <v>46122</v>
      </c>
      <c r="M1845" s="116">
        <v>581.04999999999995</v>
      </c>
      <c r="N1845" s="116">
        <v>585.6</v>
      </c>
      <c r="O1845" s="116">
        <v>551.4</v>
      </c>
      <c r="P1845" s="116">
        <v>552.95000000000005</v>
      </c>
      <c r="Q1845" s="116">
        <v>581.04999999999995</v>
      </c>
      <c r="R1845">
        <v>7676199</v>
      </c>
    </row>
    <row r="1846" spans="1:18" x14ac:dyDescent="0.25">
      <c r="A1846" s="170">
        <v>46125</v>
      </c>
      <c r="B1846" s="116">
        <v>593</v>
      </c>
      <c r="C1846" s="116">
        <v>572.70000000000005</v>
      </c>
      <c r="D1846" s="116">
        <v>554.54999999999995</v>
      </c>
      <c r="E1846" s="116">
        <v>558.45000000000005</v>
      </c>
      <c r="F1846" s="116">
        <v>572.70000000000005</v>
      </c>
      <c r="G1846">
        <v>357389</v>
      </c>
      <c r="H1846" s="116"/>
      <c r="I1846" s="116"/>
      <c r="L1846" s="170">
        <v>46125</v>
      </c>
      <c r="M1846" s="116">
        <v>572.4</v>
      </c>
      <c r="N1846" s="116">
        <v>593.45000000000005</v>
      </c>
      <c r="O1846" s="116">
        <v>551.04999999999995</v>
      </c>
      <c r="P1846" s="116">
        <v>551.04999999999995</v>
      </c>
      <c r="Q1846" s="116">
        <v>572.4</v>
      </c>
      <c r="R1846">
        <v>4867094</v>
      </c>
    </row>
    <row r="1847" spans="1:18" x14ac:dyDescent="0.25">
      <c r="A1847" s="170">
        <v>46127</v>
      </c>
      <c r="B1847" s="116">
        <v>591</v>
      </c>
      <c r="C1847" s="116">
        <v>585.85</v>
      </c>
      <c r="D1847" s="116">
        <v>573.4</v>
      </c>
      <c r="E1847" s="116">
        <v>581.45000000000005</v>
      </c>
      <c r="F1847" s="116">
        <v>585.85</v>
      </c>
      <c r="G1847">
        <v>356878</v>
      </c>
      <c r="H1847" s="116"/>
      <c r="I1847" s="116"/>
      <c r="L1847" s="170">
        <v>46127</v>
      </c>
      <c r="M1847" s="116">
        <v>586.1</v>
      </c>
      <c r="N1847" s="116">
        <v>590.95000000000005</v>
      </c>
      <c r="O1847" s="116">
        <v>573.04999999999995</v>
      </c>
      <c r="P1847" s="116">
        <v>585</v>
      </c>
      <c r="Q1847" s="116">
        <v>586.1</v>
      </c>
      <c r="R1847">
        <v>2469791</v>
      </c>
    </row>
    <row r="1848" spans="1:18" x14ac:dyDescent="0.25">
      <c r="A1848" s="170">
        <v>46128</v>
      </c>
      <c r="B1848" s="116">
        <v>602.70000000000005</v>
      </c>
      <c r="C1848" s="116">
        <v>597.95000000000005</v>
      </c>
      <c r="D1848" s="116">
        <v>583</v>
      </c>
      <c r="E1848" s="116">
        <v>592.04999999999995</v>
      </c>
      <c r="F1848" s="116">
        <v>597.95000000000005</v>
      </c>
      <c r="G1848">
        <v>265046</v>
      </c>
      <c r="H1848" s="116"/>
      <c r="I1848" s="116"/>
      <c r="L1848" s="170">
        <v>46128</v>
      </c>
      <c r="M1848" s="116">
        <v>597.6</v>
      </c>
      <c r="N1848" s="116">
        <v>603</v>
      </c>
      <c r="O1848" s="116">
        <v>582.5</v>
      </c>
      <c r="P1848" s="116">
        <v>589.9</v>
      </c>
      <c r="Q1848" s="116">
        <v>597.6</v>
      </c>
      <c r="R1848">
        <v>3797212</v>
      </c>
    </row>
    <row r="1849" spans="1:18" x14ac:dyDescent="0.25">
      <c r="A1849" s="170">
        <v>46129</v>
      </c>
      <c r="B1849" s="116">
        <v>649</v>
      </c>
      <c r="C1849" s="116">
        <v>632.9</v>
      </c>
      <c r="D1849" s="116">
        <v>602.25</v>
      </c>
      <c r="E1849" s="116">
        <v>610</v>
      </c>
      <c r="F1849" s="116">
        <v>632.9</v>
      </c>
      <c r="G1849">
        <v>907374</v>
      </c>
      <c r="H1849" s="116"/>
      <c r="I1849" s="116"/>
      <c r="L1849" s="170">
        <v>46129</v>
      </c>
      <c r="M1849" s="116">
        <v>632.9</v>
      </c>
      <c r="N1849" s="116">
        <v>649.5</v>
      </c>
      <c r="O1849" s="116">
        <v>602.1</v>
      </c>
      <c r="P1849" s="116">
        <v>610</v>
      </c>
      <c r="Q1849" s="116">
        <v>632.9</v>
      </c>
      <c r="R1849">
        <v>8867488</v>
      </c>
    </row>
    <row r="1850" spans="1:18" x14ac:dyDescent="0.25">
      <c r="A1850" s="170">
        <v>46132</v>
      </c>
      <c r="B1850" s="116">
        <v>640.70000000000005</v>
      </c>
      <c r="C1850" s="116">
        <v>620.54999999999995</v>
      </c>
      <c r="D1850" s="116">
        <v>612.1</v>
      </c>
      <c r="E1850" s="116">
        <v>633.20000000000005</v>
      </c>
      <c r="F1850" s="116">
        <v>620.54999999999995</v>
      </c>
      <c r="G1850">
        <v>372095</v>
      </c>
      <c r="H1850" s="116"/>
      <c r="I1850" s="116"/>
      <c r="L1850" s="170">
        <v>46132</v>
      </c>
      <c r="M1850" s="116">
        <v>620.35</v>
      </c>
      <c r="N1850" s="116">
        <v>640.5</v>
      </c>
      <c r="O1850" s="116">
        <v>611.04999999999995</v>
      </c>
      <c r="P1850" s="116">
        <v>634.35</v>
      </c>
      <c r="Q1850" s="116">
        <v>620.35</v>
      </c>
      <c r="R1850">
        <v>3748704</v>
      </c>
    </row>
    <row r="1851" spans="1:18" x14ac:dyDescent="0.25">
      <c r="A1851" s="170">
        <v>46133</v>
      </c>
      <c r="B1851" s="116">
        <v>631.5</v>
      </c>
      <c r="C1851" s="116">
        <v>614.85</v>
      </c>
      <c r="D1851" s="116">
        <v>613</v>
      </c>
      <c r="E1851" s="116">
        <v>620.4</v>
      </c>
      <c r="F1851" s="116">
        <v>614.85</v>
      </c>
      <c r="G1851">
        <v>238072</v>
      </c>
      <c r="H1851" s="116"/>
      <c r="I1851" s="116"/>
      <c r="L1851" s="170">
        <v>46133</v>
      </c>
      <c r="M1851" s="116">
        <v>614.65</v>
      </c>
      <c r="N1851" s="116">
        <v>631.70000000000005</v>
      </c>
      <c r="O1851" s="116">
        <v>612.5</v>
      </c>
      <c r="P1851" s="116">
        <v>621</v>
      </c>
      <c r="Q1851" s="116">
        <v>614.65</v>
      </c>
      <c r="R1851">
        <v>1844260</v>
      </c>
    </row>
    <row r="1852" spans="1:18" x14ac:dyDescent="0.25">
      <c r="A1852" s="170">
        <v>46134</v>
      </c>
      <c r="B1852" s="116">
        <v>633.15</v>
      </c>
      <c r="C1852" s="116">
        <v>629.25</v>
      </c>
      <c r="D1852" s="116">
        <v>614.25</v>
      </c>
      <c r="E1852" s="116">
        <v>614.9</v>
      </c>
      <c r="F1852" s="116">
        <v>629.25</v>
      </c>
      <c r="G1852">
        <v>380350</v>
      </c>
      <c r="H1852" s="116"/>
      <c r="I1852" s="116"/>
      <c r="L1852" s="170">
        <v>46134</v>
      </c>
      <c r="M1852" s="116">
        <v>629.1</v>
      </c>
      <c r="N1852" s="116">
        <v>633.54999999999995</v>
      </c>
      <c r="O1852" s="116">
        <v>614</v>
      </c>
      <c r="P1852" s="116">
        <v>615.75</v>
      </c>
      <c r="Q1852" s="116">
        <v>629.1</v>
      </c>
      <c r="R1852">
        <v>2992016</v>
      </c>
    </row>
    <row r="1853" spans="1:18" x14ac:dyDescent="0.25">
      <c r="A1853" s="170">
        <v>46135</v>
      </c>
      <c r="B1853" s="116">
        <v>638</v>
      </c>
      <c r="C1853" s="116">
        <v>621.79999999999995</v>
      </c>
      <c r="D1853" s="116">
        <v>620</v>
      </c>
      <c r="E1853" s="116">
        <v>627.6</v>
      </c>
      <c r="F1853" s="116">
        <v>621.79999999999995</v>
      </c>
      <c r="G1853">
        <v>284463</v>
      </c>
      <c r="H1853" s="116"/>
      <c r="I1853" s="116"/>
      <c r="L1853" s="170">
        <v>46135</v>
      </c>
      <c r="M1853" s="116">
        <v>621.70000000000005</v>
      </c>
      <c r="N1853" s="116">
        <v>638</v>
      </c>
      <c r="O1853" s="116">
        <v>620.1</v>
      </c>
      <c r="P1853" s="116">
        <v>629</v>
      </c>
      <c r="Q1853" s="116">
        <v>621.70000000000005</v>
      </c>
      <c r="R1853">
        <v>2315288</v>
      </c>
    </row>
    <row r="1854" spans="1:18" x14ac:dyDescent="0.25">
      <c r="A1854" s="170">
        <v>46136</v>
      </c>
      <c r="B1854" s="116">
        <v>629.45000000000005</v>
      </c>
      <c r="C1854" s="116">
        <v>627</v>
      </c>
      <c r="D1854" s="116">
        <v>604.35</v>
      </c>
      <c r="E1854" s="116">
        <v>625.95000000000005</v>
      </c>
      <c r="F1854" s="116">
        <v>627</v>
      </c>
      <c r="G1854">
        <v>327354</v>
      </c>
      <c r="H1854" s="116"/>
      <c r="I1854" s="116"/>
      <c r="L1854" s="170">
        <v>46136</v>
      </c>
      <c r="M1854" s="116">
        <v>626.85</v>
      </c>
      <c r="N1854" s="116">
        <v>629.70000000000005</v>
      </c>
      <c r="O1854" s="116">
        <v>604.4</v>
      </c>
      <c r="P1854" s="116">
        <v>625</v>
      </c>
      <c r="Q1854" s="116">
        <v>626.85</v>
      </c>
      <c r="R1854">
        <v>2586116</v>
      </c>
    </row>
    <row r="1855" spans="1:18" x14ac:dyDescent="0.25">
      <c r="A1855" s="170">
        <v>46139</v>
      </c>
      <c r="B1855" s="116">
        <v>648.65</v>
      </c>
      <c r="C1855" s="116">
        <v>636.1</v>
      </c>
      <c r="D1855" s="116">
        <v>625.79999999999995</v>
      </c>
      <c r="E1855" s="116">
        <v>631.20000000000005</v>
      </c>
      <c r="F1855" s="116">
        <v>636.1</v>
      </c>
      <c r="G1855">
        <v>466851</v>
      </c>
      <c r="H1855" s="116"/>
      <c r="I1855" s="116"/>
      <c r="L1855" s="170">
        <v>46139</v>
      </c>
      <c r="M1855" s="116">
        <v>635.6</v>
      </c>
      <c r="N1855" s="116">
        <v>649</v>
      </c>
      <c r="O1855" s="116">
        <v>626</v>
      </c>
      <c r="P1855" s="116">
        <v>632</v>
      </c>
      <c r="Q1855" s="116">
        <v>635.6</v>
      </c>
      <c r="R1855">
        <v>3229223</v>
      </c>
    </row>
    <row r="1856" spans="1:18" x14ac:dyDescent="0.25">
      <c r="A1856" s="170"/>
      <c r="B1856" s="116"/>
      <c r="C1856" s="116"/>
      <c r="D1856" s="116"/>
      <c r="E1856" s="116"/>
      <c r="F1856" s="116"/>
      <c r="H1856" s="116"/>
      <c r="I1856" s="116"/>
      <c r="L1856" s="170"/>
    </row>
    <row r="1857" spans="1:12" x14ac:dyDescent="0.25">
      <c r="A1857" s="170"/>
      <c r="B1857" s="116"/>
      <c r="C1857" s="116"/>
      <c r="D1857" s="116"/>
      <c r="E1857" s="116"/>
      <c r="F1857" s="116"/>
      <c r="H1857" s="116"/>
      <c r="I1857" s="116"/>
      <c r="L1857" s="170"/>
    </row>
    <row r="1858" spans="1:12" x14ac:dyDescent="0.25">
      <c r="A1858" s="170"/>
      <c r="B1858" s="116"/>
      <c r="C1858" s="116"/>
      <c r="D1858" s="116"/>
      <c r="E1858" s="116"/>
      <c r="F1858" s="116"/>
      <c r="H1858" s="116"/>
      <c r="I1858" s="116"/>
      <c r="L1858" s="170"/>
    </row>
    <row r="1859" spans="1:12" x14ac:dyDescent="0.25">
      <c r="A1859" s="170"/>
      <c r="B1859" s="116"/>
      <c r="C1859" s="116"/>
      <c r="D1859" s="116"/>
      <c r="E1859" s="116"/>
      <c r="F1859" s="116"/>
      <c r="H1859" s="116"/>
      <c r="I1859" s="116"/>
      <c r="L1859" s="170"/>
    </row>
    <row r="1860" spans="1:12" x14ac:dyDescent="0.25">
      <c r="A1860" s="170"/>
      <c r="B1860" s="116"/>
      <c r="C1860" s="116"/>
      <c r="D1860" s="116"/>
      <c r="E1860" s="116"/>
      <c r="F1860" s="116"/>
      <c r="H1860" s="116"/>
      <c r="I1860" s="116"/>
      <c r="L1860" s="170"/>
    </row>
    <row r="1861" spans="1:12" x14ac:dyDescent="0.25">
      <c r="A1861" s="170"/>
      <c r="B1861" s="116"/>
      <c r="C1861" s="116"/>
      <c r="D1861" s="116"/>
      <c r="E1861" s="116"/>
      <c r="F1861" s="116"/>
      <c r="H1861" s="116"/>
      <c r="I1861" s="116"/>
      <c r="L1861" s="170"/>
    </row>
    <row r="1862" spans="1:12" x14ac:dyDescent="0.25">
      <c r="A1862" s="170"/>
      <c r="B1862" s="116"/>
      <c r="C1862" s="116"/>
      <c r="D1862" s="116"/>
      <c r="E1862" s="116"/>
      <c r="F1862" s="116"/>
      <c r="H1862" s="116"/>
      <c r="I1862" s="116"/>
      <c r="L1862" s="170"/>
    </row>
    <row r="1863" spans="1:12" x14ac:dyDescent="0.25">
      <c r="A1863" s="170"/>
      <c r="B1863" s="116"/>
      <c r="C1863" s="116"/>
      <c r="D1863" s="116"/>
      <c r="E1863" s="116"/>
      <c r="F1863" s="116"/>
      <c r="H1863" s="116"/>
      <c r="I1863" s="116"/>
      <c r="L1863" s="170"/>
    </row>
    <row r="1864" spans="1:12" x14ac:dyDescent="0.25">
      <c r="A1864" s="170"/>
      <c r="B1864" s="116"/>
      <c r="C1864" s="116"/>
      <c r="D1864" s="116"/>
      <c r="E1864" s="116"/>
      <c r="F1864" s="116"/>
      <c r="H1864" s="116"/>
      <c r="I1864" s="116"/>
      <c r="L1864" s="170"/>
    </row>
    <row r="1865" spans="1:12" x14ac:dyDescent="0.25">
      <c r="A1865" s="170"/>
      <c r="B1865" s="116"/>
      <c r="C1865" s="116"/>
      <c r="D1865" s="116"/>
      <c r="E1865" s="116"/>
      <c r="F1865" s="116"/>
      <c r="H1865" s="116"/>
      <c r="I1865" s="116"/>
      <c r="L1865" s="170"/>
    </row>
    <row r="1866" spans="1:12" x14ac:dyDescent="0.25">
      <c r="A1866" s="170"/>
      <c r="B1866" s="116"/>
      <c r="C1866" s="116"/>
      <c r="D1866" s="116"/>
      <c r="E1866" s="116"/>
      <c r="F1866" s="116"/>
      <c r="H1866" s="116"/>
      <c r="I1866" s="116"/>
      <c r="L1866" s="170"/>
    </row>
    <row r="1867" spans="1:12" x14ac:dyDescent="0.25">
      <c r="A1867" s="170"/>
      <c r="B1867" s="116"/>
      <c r="C1867" s="116"/>
      <c r="D1867" s="116"/>
      <c r="E1867" s="116"/>
      <c r="F1867" s="116"/>
      <c r="H1867" s="116"/>
      <c r="I1867" s="116"/>
      <c r="L1867" s="170"/>
    </row>
    <row r="1868" spans="1:12" x14ac:dyDescent="0.25">
      <c r="A1868" s="170"/>
      <c r="B1868" s="116"/>
      <c r="C1868" s="116"/>
      <c r="D1868" s="116"/>
      <c r="E1868" s="116"/>
      <c r="F1868" s="116"/>
      <c r="H1868" s="116"/>
      <c r="I1868" s="116"/>
      <c r="L1868" s="170"/>
    </row>
    <row r="1869" spans="1:12" x14ac:dyDescent="0.25">
      <c r="A1869" s="170"/>
      <c r="B1869" s="116"/>
      <c r="C1869" s="116"/>
      <c r="D1869" s="116"/>
      <c r="E1869" s="116"/>
      <c r="F1869" s="116"/>
      <c r="H1869" s="116"/>
      <c r="I1869" s="116"/>
      <c r="L1869" s="170"/>
    </row>
    <row r="1870" spans="1:12" x14ac:dyDescent="0.25">
      <c r="A1870" s="170"/>
      <c r="B1870" s="116"/>
      <c r="C1870" s="116"/>
      <c r="D1870" s="116"/>
      <c r="E1870" s="116"/>
      <c r="F1870" s="116"/>
      <c r="H1870" s="116"/>
      <c r="I1870" s="116"/>
      <c r="L1870" s="170"/>
    </row>
    <row r="1871" spans="1:12" x14ac:dyDescent="0.25">
      <c r="A1871" s="170"/>
      <c r="B1871" s="116"/>
      <c r="C1871" s="116"/>
      <c r="D1871" s="116"/>
      <c r="E1871" s="116"/>
      <c r="F1871" s="116"/>
      <c r="H1871" s="116"/>
      <c r="I1871" s="116"/>
      <c r="L1871" s="170"/>
    </row>
    <row r="1872" spans="1:12" x14ac:dyDescent="0.25">
      <c r="A1872" s="170"/>
      <c r="B1872" s="116"/>
      <c r="C1872" s="116"/>
      <c r="D1872" s="116"/>
      <c r="E1872" s="116"/>
      <c r="F1872" s="116"/>
      <c r="H1872" s="116"/>
      <c r="I1872" s="116"/>
      <c r="L1872" s="170"/>
    </row>
    <row r="1873" spans="1:12" x14ac:dyDescent="0.25">
      <c r="A1873" s="170"/>
      <c r="B1873" s="116"/>
      <c r="C1873" s="116"/>
      <c r="D1873" s="116"/>
      <c r="E1873" s="116"/>
      <c r="F1873" s="116"/>
      <c r="H1873" s="116"/>
      <c r="I1873" s="116"/>
      <c r="L1873" s="170"/>
    </row>
    <row r="1874" spans="1:12" x14ac:dyDescent="0.25">
      <c r="A1874" s="170"/>
      <c r="B1874" s="116"/>
      <c r="C1874" s="116"/>
      <c r="D1874" s="116"/>
      <c r="E1874" s="116"/>
      <c r="F1874" s="116"/>
      <c r="H1874" s="116"/>
      <c r="I1874" s="116"/>
      <c r="L1874" s="170"/>
    </row>
    <row r="1875" spans="1:12" x14ac:dyDescent="0.25">
      <c r="A1875" s="170"/>
      <c r="B1875" s="116"/>
      <c r="C1875" s="116"/>
      <c r="D1875" s="116"/>
      <c r="E1875" s="116"/>
      <c r="F1875" s="116"/>
      <c r="H1875" s="116"/>
      <c r="I1875" s="116"/>
      <c r="L1875" s="170"/>
    </row>
    <row r="1876" spans="1:12" x14ac:dyDescent="0.25">
      <c r="A1876" s="170"/>
      <c r="B1876" s="116"/>
      <c r="C1876" s="116"/>
      <c r="D1876" s="116"/>
      <c r="E1876" s="116"/>
      <c r="F1876" s="116"/>
      <c r="H1876" s="116"/>
      <c r="I1876" s="116"/>
      <c r="L1876" s="170"/>
    </row>
    <row r="1877" spans="1:12" x14ac:dyDescent="0.25">
      <c r="A1877" s="170"/>
      <c r="B1877" s="116"/>
      <c r="C1877" s="116"/>
      <c r="D1877" s="116"/>
      <c r="E1877" s="116"/>
      <c r="F1877" s="116"/>
      <c r="H1877" s="116"/>
      <c r="I1877" s="116"/>
      <c r="L1877" s="170"/>
    </row>
    <row r="1878" spans="1:12" x14ac:dyDescent="0.25">
      <c r="A1878" s="170"/>
      <c r="B1878" s="116"/>
      <c r="C1878" s="116"/>
      <c r="D1878" s="116"/>
      <c r="E1878" s="116"/>
      <c r="F1878" s="116"/>
      <c r="H1878" s="116"/>
      <c r="I1878" s="116"/>
      <c r="L1878" s="170"/>
    </row>
    <row r="1879" spans="1:12" x14ac:dyDescent="0.25">
      <c r="A1879" s="170"/>
      <c r="B1879" s="116"/>
      <c r="C1879" s="116"/>
      <c r="D1879" s="116"/>
      <c r="E1879" s="116"/>
      <c r="F1879" s="116"/>
      <c r="H1879" s="116"/>
      <c r="I1879" s="116"/>
      <c r="L1879" s="170"/>
    </row>
    <row r="1880" spans="1:12" x14ac:dyDescent="0.25">
      <c r="A1880" s="170"/>
      <c r="B1880" s="116"/>
      <c r="C1880" s="116"/>
      <c r="D1880" s="116"/>
      <c r="E1880" s="116"/>
      <c r="F1880" s="116"/>
      <c r="H1880" s="116"/>
      <c r="I1880" s="116"/>
      <c r="L1880" s="170"/>
    </row>
    <row r="1881" spans="1:12" x14ac:dyDescent="0.25">
      <c r="A1881" s="170"/>
      <c r="B1881" s="116"/>
      <c r="C1881" s="116"/>
      <c r="D1881" s="116"/>
      <c r="E1881" s="116"/>
      <c r="F1881" s="116"/>
      <c r="H1881" s="116"/>
      <c r="I1881" s="116"/>
      <c r="L1881" s="170"/>
    </row>
    <row r="1882" spans="1:12" x14ac:dyDescent="0.25">
      <c r="A1882" s="170"/>
      <c r="B1882" s="116"/>
      <c r="C1882" s="116"/>
      <c r="D1882" s="116"/>
      <c r="E1882" s="116"/>
      <c r="F1882" s="116"/>
      <c r="H1882" s="116"/>
      <c r="I1882" s="116"/>
      <c r="L1882" s="170"/>
    </row>
    <row r="1883" spans="1:12" x14ac:dyDescent="0.25">
      <c r="A1883" s="170"/>
      <c r="B1883" s="116"/>
      <c r="C1883" s="116"/>
      <c r="D1883" s="116"/>
      <c r="E1883" s="116"/>
      <c r="F1883" s="116"/>
      <c r="H1883" s="116"/>
      <c r="I1883" s="116"/>
      <c r="L1883" s="170"/>
    </row>
    <row r="1884" spans="1:12" x14ac:dyDescent="0.25">
      <c r="A1884" s="170"/>
      <c r="B1884" s="116"/>
      <c r="C1884" s="116"/>
      <c r="D1884" s="116"/>
      <c r="E1884" s="116"/>
      <c r="F1884" s="116"/>
      <c r="H1884" s="116"/>
      <c r="I1884" s="116"/>
      <c r="L1884" s="170"/>
    </row>
    <row r="1885" spans="1:12" x14ac:dyDescent="0.25">
      <c r="A1885" s="170"/>
      <c r="B1885" s="116"/>
      <c r="C1885" s="116"/>
      <c r="D1885" s="116"/>
      <c r="E1885" s="116"/>
      <c r="F1885" s="116"/>
      <c r="H1885" s="116"/>
      <c r="I1885" s="116"/>
      <c r="L1885" s="170"/>
    </row>
    <row r="1886" spans="1:12" x14ac:dyDescent="0.25">
      <c r="A1886" s="170"/>
      <c r="B1886" s="116"/>
      <c r="C1886" s="116"/>
      <c r="D1886" s="116"/>
      <c r="E1886" s="116"/>
      <c r="F1886" s="116"/>
      <c r="H1886" s="116"/>
      <c r="I1886" s="116"/>
      <c r="L1886" s="170"/>
    </row>
    <row r="1887" spans="1:12" x14ac:dyDescent="0.25">
      <c r="A1887" s="170"/>
      <c r="B1887" s="116"/>
      <c r="C1887" s="116"/>
      <c r="D1887" s="116"/>
      <c r="E1887" s="116"/>
      <c r="F1887" s="116"/>
      <c r="H1887" s="116"/>
      <c r="I1887" s="116"/>
      <c r="L1887" s="170"/>
    </row>
    <row r="1888" spans="1:12" x14ac:dyDescent="0.25">
      <c r="A1888" s="170"/>
      <c r="B1888" s="116"/>
      <c r="C1888" s="116"/>
      <c r="D1888" s="116"/>
      <c r="E1888" s="116"/>
      <c r="F1888" s="116"/>
      <c r="H1888" s="116"/>
      <c r="I1888" s="116"/>
      <c r="L1888" s="170"/>
    </row>
    <row r="1889" spans="1:12" x14ac:dyDescent="0.25">
      <c r="A1889" s="170"/>
      <c r="B1889" s="116"/>
      <c r="C1889" s="116"/>
      <c r="D1889" s="116"/>
      <c r="E1889" s="116"/>
      <c r="F1889" s="116"/>
      <c r="H1889" s="116"/>
      <c r="I1889" s="116"/>
      <c r="L1889" s="170"/>
    </row>
    <row r="1890" spans="1:12" x14ac:dyDescent="0.25">
      <c r="A1890" s="170"/>
      <c r="B1890" s="116"/>
      <c r="C1890" s="116"/>
      <c r="D1890" s="116"/>
      <c r="E1890" s="116"/>
      <c r="F1890" s="116"/>
      <c r="H1890" s="116"/>
      <c r="I1890" s="116"/>
      <c r="L1890" s="170"/>
    </row>
    <row r="1891" spans="1:12" x14ac:dyDescent="0.25">
      <c r="A1891" s="170"/>
      <c r="B1891" s="116"/>
      <c r="C1891" s="116"/>
      <c r="D1891" s="116"/>
      <c r="E1891" s="116"/>
      <c r="F1891" s="116"/>
      <c r="H1891" s="116"/>
      <c r="I1891" s="116"/>
      <c r="L1891" s="170"/>
    </row>
    <row r="1892" spans="1:12" x14ac:dyDescent="0.25">
      <c r="A1892" s="170"/>
      <c r="B1892" s="116"/>
      <c r="C1892" s="116"/>
      <c r="D1892" s="116"/>
      <c r="E1892" s="116"/>
      <c r="F1892" s="116"/>
      <c r="H1892" s="116"/>
      <c r="I1892" s="116"/>
      <c r="L1892" s="170"/>
    </row>
    <row r="1893" spans="1:12" x14ac:dyDescent="0.25">
      <c r="A1893" s="170"/>
      <c r="B1893" s="116"/>
      <c r="C1893" s="116"/>
      <c r="D1893" s="116"/>
      <c r="E1893" s="116"/>
      <c r="F1893" s="116"/>
      <c r="H1893" s="116"/>
      <c r="I1893" s="116"/>
      <c r="L1893" s="170"/>
    </row>
    <row r="1894" spans="1:12" x14ac:dyDescent="0.25">
      <c r="A1894" s="170"/>
      <c r="B1894" s="116"/>
      <c r="C1894" s="116"/>
      <c r="D1894" s="116"/>
      <c r="E1894" s="116"/>
      <c r="F1894" s="116"/>
      <c r="H1894" s="116"/>
      <c r="I1894" s="116"/>
      <c r="L1894" s="170"/>
    </row>
    <row r="1895" spans="1:12" x14ac:dyDescent="0.25">
      <c r="A1895" s="170"/>
      <c r="B1895" s="116"/>
      <c r="C1895" s="116"/>
      <c r="D1895" s="116"/>
      <c r="E1895" s="116"/>
      <c r="F1895" s="116"/>
      <c r="H1895" s="116"/>
      <c r="I1895" s="116"/>
      <c r="L1895" s="170"/>
    </row>
    <row r="1896" spans="1:12" x14ac:dyDescent="0.25">
      <c r="A1896" s="170"/>
      <c r="B1896" s="116"/>
      <c r="C1896" s="116"/>
      <c r="D1896" s="116"/>
      <c r="E1896" s="116"/>
      <c r="F1896" s="116"/>
      <c r="H1896" s="116"/>
      <c r="I1896" s="116"/>
      <c r="L1896" s="170"/>
    </row>
    <row r="1897" spans="1:12" x14ac:dyDescent="0.25">
      <c r="A1897" s="170"/>
      <c r="B1897" s="116"/>
      <c r="C1897" s="116"/>
      <c r="D1897" s="116"/>
      <c r="E1897" s="116"/>
      <c r="F1897" s="116"/>
      <c r="H1897" s="116"/>
      <c r="I1897" s="116"/>
      <c r="L1897" s="170"/>
    </row>
    <row r="1898" spans="1:12" x14ac:dyDescent="0.25">
      <c r="A1898" s="170"/>
      <c r="B1898" s="116"/>
      <c r="C1898" s="116"/>
      <c r="D1898" s="116"/>
      <c r="E1898" s="116"/>
      <c r="F1898" s="116"/>
      <c r="H1898" s="116"/>
      <c r="I1898" s="116"/>
      <c r="L1898" s="170"/>
    </row>
    <row r="1899" spans="1:12" x14ac:dyDescent="0.25">
      <c r="A1899" s="170"/>
      <c r="B1899" s="116"/>
      <c r="C1899" s="116"/>
      <c r="D1899" s="116"/>
      <c r="E1899" s="116"/>
      <c r="F1899" s="116"/>
      <c r="H1899" s="116"/>
      <c r="I1899" s="116"/>
      <c r="L1899" s="170"/>
    </row>
    <row r="1900" spans="1:12" x14ac:dyDescent="0.25">
      <c r="A1900" s="170"/>
      <c r="B1900" s="116"/>
      <c r="C1900" s="116"/>
      <c r="D1900" s="116"/>
      <c r="E1900" s="116"/>
      <c r="F1900" s="116"/>
      <c r="H1900" s="116"/>
      <c r="I1900" s="116"/>
      <c r="L1900" s="170"/>
    </row>
    <row r="1901" spans="1:12" x14ac:dyDescent="0.25">
      <c r="A1901" s="170"/>
      <c r="B1901" s="116"/>
      <c r="C1901" s="116"/>
      <c r="D1901" s="116"/>
      <c r="E1901" s="116"/>
      <c r="F1901" s="116"/>
      <c r="H1901" s="116"/>
      <c r="I1901" s="116"/>
      <c r="L1901" s="170"/>
    </row>
    <row r="1902" spans="1:12" x14ac:dyDescent="0.25">
      <c r="A1902" s="170"/>
      <c r="B1902" s="116"/>
      <c r="C1902" s="116"/>
      <c r="D1902" s="116"/>
      <c r="E1902" s="116"/>
      <c r="F1902" s="116"/>
      <c r="H1902" s="116"/>
      <c r="I1902" s="116"/>
      <c r="L1902" s="170"/>
    </row>
    <row r="1903" spans="1:12" x14ac:dyDescent="0.25">
      <c r="A1903" s="170"/>
      <c r="B1903" s="116"/>
      <c r="C1903" s="116"/>
      <c r="D1903" s="116"/>
      <c r="E1903" s="116"/>
      <c r="F1903" s="116"/>
      <c r="H1903" s="116"/>
      <c r="I1903" s="116"/>
      <c r="L1903" s="170"/>
    </row>
    <row r="1904" spans="1:12" x14ac:dyDescent="0.25">
      <c r="A1904" s="170"/>
      <c r="B1904" s="116"/>
      <c r="C1904" s="116"/>
      <c r="D1904" s="116"/>
      <c r="E1904" s="116"/>
      <c r="F1904" s="116"/>
      <c r="H1904" s="116"/>
      <c r="I1904" s="116"/>
      <c r="L1904" s="170"/>
    </row>
    <row r="1905" spans="1:12" x14ac:dyDescent="0.25">
      <c r="A1905" s="170"/>
      <c r="B1905" s="116"/>
      <c r="C1905" s="116"/>
      <c r="D1905" s="116"/>
      <c r="E1905" s="116"/>
      <c r="F1905" s="116"/>
      <c r="H1905" s="116"/>
      <c r="I1905" s="116"/>
      <c r="L1905" s="170"/>
    </row>
    <row r="1906" spans="1:12" x14ac:dyDescent="0.25">
      <c r="A1906" s="170"/>
      <c r="B1906" s="116"/>
      <c r="C1906" s="116"/>
      <c r="D1906" s="116"/>
      <c r="E1906" s="116"/>
      <c r="F1906" s="116"/>
      <c r="H1906" s="116"/>
      <c r="I1906" s="116"/>
      <c r="L1906" s="170"/>
    </row>
    <row r="1907" spans="1:12" x14ac:dyDescent="0.25">
      <c r="A1907" s="170"/>
      <c r="B1907" s="116"/>
      <c r="C1907" s="116"/>
      <c r="D1907" s="116"/>
      <c r="E1907" s="116"/>
      <c r="F1907" s="116"/>
      <c r="H1907" s="116"/>
      <c r="I1907" s="116"/>
      <c r="L1907" s="170"/>
    </row>
    <row r="1908" spans="1:12" x14ac:dyDescent="0.25">
      <c r="A1908" s="170"/>
      <c r="B1908" s="116"/>
      <c r="C1908" s="116"/>
      <c r="D1908" s="116"/>
      <c r="E1908" s="116"/>
      <c r="F1908" s="116"/>
      <c r="H1908" s="116"/>
      <c r="I1908" s="116"/>
      <c r="L1908" s="170"/>
    </row>
    <row r="1909" spans="1:12" x14ac:dyDescent="0.25">
      <c r="A1909" s="170"/>
      <c r="B1909" s="116"/>
      <c r="C1909" s="116"/>
      <c r="D1909" s="116"/>
      <c r="E1909" s="116"/>
      <c r="F1909" s="116"/>
      <c r="H1909" s="116"/>
      <c r="I1909" s="116"/>
      <c r="L1909" s="170"/>
    </row>
    <row r="1910" spans="1:12" x14ac:dyDescent="0.25">
      <c r="A1910" s="170"/>
      <c r="B1910" s="116"/>
      <c r="C1910" s="116"/>
      <c r="D1910" s="116"/>
      <c r="E1910" s="116"/>
      <c r="F1910" s="116"/>
      <c r="H1910" s="116"/>
      <c r="I1910" s="116"/>
      <c r="L1910" s="170"/>
    </row>
    <row r="1911" spans="1:12" x14ac:dyDescent="0.25">
      <c r="A1911" s="170"/>
      <c r="B1911" s="116"/>
      <c r="C1911" s="116"/>
      <c r="D1911" s="116"/>
      <c r="E1911" s="116"/>
      <c r="F1911" s="116"/>
      <c r="H1911" s="116"/>
      <c r="I1911" s="116"/>
      <c r="L1911" s="170"/>
    </row>
    <row r="1912" spans="1:12" x14ac:dyDescent="0.25">
      <c r="A1912" s="170"/>
      <c r="B1912" s="116"/>
      <c r="C1912" s="116"/>
      <c r="D1912" s="116"/>
      <c r="E1912" s="116"/>
      <c r="F1912" s="116"/>
      <c r="H1912" s="116"/>
      <c r="I1912" s="116"/>
      <c r="L1912" s="170"/>
    </row>
    <row r="1913" spans="1:12" x14ac:dyDescent="0.25">
      <c r="A1913" s="170"/>
      <c r="B1913" s="116"/>
      <c r="C1913" s="116"/>
      <c r="D1913" s="116"/>
      <c r="E1913" s="116"/>
      <c r="F1913" s="116"/>
      <c r="H1913" s="116"/>
      <c r="I1913" s="116"/>
      <c r="L1913" s="170"/>
    </row>
    <row r="1914" spans="1:12" x14ac:dyDescent="0.25">
      <c r="A1914" s="170"/>
      <c r="B1914" s="116"/>
      <c r="C1914" s="116"/>
      <c r="D1914" s="116"/>
      <c r="E1914" s="116"/>
      <c r="F1914" s="116"/>
      <c r="H1914" s="116"/>
      <c r="I1914" s="116"/>
      <c r="L1914" s="170"/>
    </row>
    <row r="1915" spans="1:12" x14ac:dyDescent="0.25">
      <c r="A1915" s="170"/>
      <c r="B1915" s="116"/>
      <c r="C1915" s="116"/>
      <c r="D1915" s="116"/>
      <c r="E1915" s="116"/>
      <c r="F1915" s="116"/>
      <c r="H1915" s="116"/>
      <c r="I1915" s="116"/>
      <c r="L1915" s="170"/>
    </row>
    <row r="1916" spans="1:12" x14ac:dyDescent="0.25">
      <c r="A1916" s="170"/>
      <c r="B1916" s="116"/>
      <c r="C1916" s="116"/>
      <c r="D1916" s="116"/>
      <c r="E1916" s="116"/>
      <c r="F1916" s="116"/>
      <c r="H1916" s="116"/>
      <c r="I1916" s="116"/>
      <c r="L1916" s="170"/>
    </row>
    <row r="1917" spans="1:12" x14ac:dyDescent="0.25">
      <c r="A1917" s="170"/>
      <c r="B1917" s="116"/>
      <c r="C1917" s="116"/>
      <c r="D1917" s="116"/>
      <c r="E1917" s="116"/>
      <c r="F1917" s="116"/>
      <c r="H1917" s="116"/>
      <c r="I1917" s="116"/>
      <c r="L1917" s="170"/>
    </row>
    <row r="1918" spans="1:12" x14ac:dyDescent="0.25">
      <c r="A1918" s="170"/>
      <c r="B1918" s="116"/>
      <c r="C1918" s="116"/>
      <c r="D1918" s="116"/>
      <c r="E1918" s="116"/>
      <c r="F1918" s="116"/>
      <c r="H1918" s="116"/>
      <c r="I1918" s="116"/>
      <c r="L1918" s="170"/>
    </row>
    <row r="1919" spans="1:12" x14ac:dyDescent="0.25">
      <c r="A1919" s="170"/>
      <c r="B1919" s="116"/>
      <c r="C1919" s="116"/>
      <c r="D1919" s="116"/>
      <c r="E1919" s="116"/>
      <c r="F1919" s="116"/>
      <c r="H1919" s="116"/>
      <c r="I1919" s="116"/>
      <c r="L1919" s="170"/>
    </row>
    <row r="1920" spans="1:12" x14ac:dyDescent="0.25">
      <c r="A1920" s="170"/>
      <c r="B1920" s="116"/>
      <c r="C1920" s="116"/>
      <c r="D1920" s="116"/>
      <c r="E1920" s="116"/>
      <c r="F1920" s="116"/>
      <c r="H1920" s="116"/>
      <c r="I1920" s="116"/>
      <c r="L1920" s="170"/>
    </row>
    <row r="1921" spans="1:12" x14ac:dyDescent="0.25">
      <c r="A1921" s="170"/>
      <c r="B1921" s="116"/>
      <c r="C1921" s="116"/>
      <c r="D1921" s="116"/>
      <c r="E1921" s="116"/>
      <c r="F1921" s="116"/>
      <c r="H1921" s="116"/>
      <c r="I1921" s="116"/>
      <c r="L1921" s="170"/>
    </row>
    <row r="1922" spans="1:12" x14ac:dyDescent="0.25">
      <c r="A1922" s="170"/>
      <c r="B1922" s="116"/>
      <c r="C1922" s="116"/>
      <c r="D1922" s="116"/>
      <c r="E1922" s="116"/>
      <c r="F1922" s="116"/>
      <c r="H1922" s="116"/>
      <c r="I1922" s="116"/>
      <c r="L1922" s="170"/>
    </row>
    <row r="1923" spans="1:12" x14ac:dyDescent="0.25">
      <c r="A1923" s="170"/>
      <c r="B1923" s="116"/>
      <c r="C1923" s="116"/>
      <c r="D1923" s="116"/>
      <c r="E1923" s="116"/>
      <c r="F1923" s="116"/>
      <c r="H1923" s="116"/>
      <c r="I1923" s="116"/>
      <c r="L1923" s="170"/>
    </row>
    <row r="1924" spans="1:12" x14ac:dyDescent="0.25">
      <c r="A1924" s="170"/>
      <c r="B1924" s="116"/>
      <c r="C1924" s="116"/>
      <c r="D1924" s="116"/>
      <c r="E1924" s="116"/>
      <c r="F1924" s="116"/>
      <c r="H1924" s="116"/>
      <c r="I1924" s="116"/>
      <c r="L1924" s="170"/>
    </row>
    <row r="1925" spans="1:12" x14ac:dyDescent="0.25">
      <c r="A1925" s="170"/>
      <c r="B1925" s="116"/>
      <c r="C1925" s="116"/>
      <c r="D1925" s="116"/>
      <c r="E1925" s="116"/>
      <c r="F1925" s="116"/>
      <c r="H1925" s="116"/>
      <c r="I1925" s="116"/>
      <c r="L1925" s="170"/>
    </row>
    <row r="1926" spans="1:12" x14ac:dyDescent="0.25">
      <c r="A1926" s="170"/>
      <c r="B1926" s="116"/>
      <c r="C1926" s="116"/>
      <c r="D1926" s="116"/>
      <c r="E1926" s="116"/>
      <c r="F1926" s="116"/>
      <c r="H1926" s="116"/>
      <c r="I1926" s="116"/>
      <c r="L1926" s="170"/>
    </row>
    <row r="1927" spans="1:12" x14ac:dyDescent="0.25">
      <c r="A1927" s="170"/>
      <c r="B1927" s="116"/>
      <c r="C1927" s="116"/>
      <c r="D1927" s="116"/>
      <c r="E1927" s="116"/>
      <c r="F1927" s="116"/>
      <c r="H1927" s="116"/>
      <c r="I1927" s="116"/>
      <c r="L1927" s="170"/>
    </row>
    <row r="1928" spans="1:12" x14ac:dyDescent="0.25">
      <c r="A1928" s="170"/>
      <c r="B1928" s="116"/>
      <c r="C1928" s="116"/>
      <c r="D1928" s="116"/>
      <c r="E1928" s="116"/>
      <c r="F1928" s="116"/>
      <c r="H1928" s="116"/>
      <c r="I1928" s="116"/>
      <c r="L1928" s="170"/>
    </row>
    <row r="1929" spans="1:12" x14ac:dyDescent="0.25">
      <c r="A1929" s="170"/>
      <c r="B1929" s="116"/>
      <c r="C1929" s="116"/>
      <c r="D1929" s="116"/>
      <c r="E1929" s="116"/>
      <c r="F1929" s="116"/>
      <c r="H1929" s="116"/>
      <c r="I1929" s="116"/>
      <c r="L1929" s="170"/>
    </row>
    <row r="1930" spans="1:12" x14ac:dyDescent="0.25">
      <c r="A1930" s="170"/>
      <c r="B1930" s="116"/>
      <c r="C1930" s="116"/>
      <c r="D1930" s="116"/>
      <c r="E1930" s="116"/>
      <c r="F1930" s="116"/>
      <c r="H1930" s="116"/>
      <c r="I1930" s="116"/>
      <c r="L1930" s="170"/>
    </row>
    <row r="1931" spans="1:12" x14ac:dyDescent="0.25">
      <c r="A1931" s="170"/>
      <c r="B1931" s="116"/>
      <c r="C1931" s="116"/>
      <c r="D1931" s="116"/>
      <c r="E1931" s="116"/>
      <c r="F1931" s="116"/>
      <c r="H1931" s="116"/>
      <c r="I1931" s="116"/>
      <c r="L1931" s="170"/>
    </row>
    <row r="1932" spans="1:12" x14ac:dyDescent="0.25">
      <c r="A1932" s="170"/>
      <c r="B1932" s="116"/>
      <c r="C1932" s="116"/>
      <c r="D1932" s="116"/>
      <c r="E1932" s="116"/>
      <c r="F1932" s="116"/>
      <c r="H1932" s="116"/>
      <c r="I1932" s="116"/>
      <c r="L1932" s="170"/>
    </row>
    <row r="1933" spans="1:12" x14ac:dyDescent="0.25">
      <c r="A1933" s="170"/>
      <c r="B1933" s="116"/>
      <c r="C1933" s="116"/>
      <c r="D1933" s="116"/>
      <c r="E1933" s="116"/>
      <c r="F1933" s="116"/>
      <c r="H1933" s="116"/>
      <c r="I1933" s="116"/>
      <c r="L1933" s="170"/>
    </row>
    <row r="1934" spans="1:12" x14ac:dyDescent="0.25">
      <c r="A1934" s="170"/>
      <c r="B1934" s="116"/>
      <c r="C1934" s="116"/>
      <c r="D1934" s="116"/>
      <c r="E1934" s="116"/>
      <c r="F1934" s="116"/>
      <c r="H1934" s="116"/>
      <c r="I1934" s="116"/>
      <c r="L1934" s="170"/>
    </row>
    <row r="1935" spans="1:12" x14ac:dyDescent="0.25">
      <c r="A1935" s="170"/>
      <c r="B1935" s="116"/>
      <c r="C1935" s="116"/>
      <c r="D1935" s="116"/>
      <c r="E1935" s="116"/>
      <c r="F1935" s="116"/>
      <c r="H1935" s="116"/>
      <c r="I1935" s="116"/>
      <c r="L1935" s="170"/>
    </row>
    <row r="1936" spans="1:12" x14ac:dyDescent="0.25">
      <c r="A1936" s="170"/>
      <c r="B1936" s="116"/>
      <c r="C1936" s="116"/>
      <c r="D1936" s="116"/>
      <c r="E1936" s="116"/>
      <c r="F1936" s="116"/>
      <c r="H1936" s="116"/>
      <c r="I1936" s="116"/>
      <c r="L1936" s="170"/>
    </row>
    <row r="1937" spans="1:12" x14ac:dyDescent="0.25">
      <c r="A1937" s="170"/>
      <c r="B1937" s="116"/>
      <c r="C1937" s="116"/>
      <c r="D1937" s="116"/>
      <c r="E1937" s="116"/>
      <c r="F1937" s="116"/>
      <c r="H1937" s="116"/>
      <c r="I1937" s="116"/>
      <c r="L1937" s="170"/>
    </row>
    <row r="1938" spans="1:12" x14ac:dyDescent="0.25">
      <c r="A1938" s="170"/>
      <c r="B1938" s="116"/>
      <c r="C1938" s="116"/>
      <c r="D1938" s="116"/>
      <c r="E1938" s="116"/>
      <c r="F1938" s="116"/>
      <c r="H1938" s="116"/>
      <c r="I1938" s="116"/>
      <c r="L1938" s="170"/>
    </row>
    <row r="1939" spans="1:12" x14ac:dyDescent="0.25">
      <c r="A1939" s="170"/>
      <c r="B1939" s="116"/>
      <c r="C1939" s="116"/>
      <c r="D1939" s="116"/>
      <c r="E1939" s="116"/>
      <c r="F1939" s="116"/>
      <c r="H1939" s="116"/>
      <c r="I1939" s="116"/>
      <c r="L1939" s="170"/>
    </row>
    <row r="1940" spans="1:12" x14ac:dyDescent="0.25">
      <c r="A1940" s="170"/>
      <c r="B1940" s="116"/>
      <c r="C1940" s="116"/>
      <c r="D1940" s="116"/>
      <c r="E1940" s="116"/>
      <c r="F1940" s="116"/>
      <c r="H1940" s="116"/>
      <c r="I1940" s="116"/>
      <c r="L1940" s="170"/>
    </row>
    <row r="1941" spans="1:12" x14ac:dyDescent="0.25">
      <c r="A1941" s="170"/>
      <c r="B1941" s="116"/>
      <c r="C1941" s="116"/>
      <c r="D1941" s="116"/>
      <c r="E1941" s="116"/>
      <c r="F1941" s="116"/>
      <c r="H1941" s="116"/>
      <c r="I1941" s="116"/>
      <c r="L1941" s="170"/>
    </row>
    <row r="1942" spans="1:12" x14ac:dyDescent="0.25">
      <c r="A1942" s="170"/>
      <c r="B1942" s="116"/>
      <c r="C1942" s="116"/>
      <c r="D1942" s="116"/>
      <c r="E1942" s="116"/>
      <c r="F1942" s="116"/>
      <c r="H1942" s="116"/>
      <c r="I1942" s="116"/>
      <c r="L1942" s="170"/>
    </row>
    <row r="1943" spans="1:12" x14ac:dyDescent="0.25">
      <c r="A1943" s="170"/>
      <c r="B1943" s="116"/>
      <c r="C1943" s="116"/>
      <c r="D1943" s="116"/>
      <c r="E1943" s="116"/>
      <c r="F1943" s="116"/>
      <c r="H1943" s="116"/>
      <c r="I1943" s="116"/>
      <c r="L1943" s="170"/>
    </row>
    <row r="1944" spans="1:12" x14ac:dyDescent="0.25">
      <c r="A1944" s="170"/>
      <c r="B1944" s="116"/>
      <c r="C1944" s="116"/>
      <c r="D1944" s="116"/>
      <c r="E1944" s="116"/>
      <c r="F1944" s="116"/>
      <c r="H1944" s="116"/>
      <c r="I1944" s="116"/>
      <c r="L1944" s="170"/>
    </row>
    <row r="1945" spans="1:12" x14ac:dyDescent="0.25">
      <c r="A1945" s="170"/>
      <c r="B1945" s="116"/>
      <c r="C1945" s="116"/>
      <c r="D1945" s="116"/>
      <c r="E1945" s="116"/>
      <c r="F1945" s="116"/>
      <c r="H1945" s="116"/>
      <c r="I1945" s="116"/>
      <c r="L1945" s="170"/>
    </row>
    <row r="1946" spans="1:12" x14ac:dyDescent="0.25">
      <c r="A1946" s="170"/>
      <c r="B1946" s="116"/>
      <c r="C1946" s="116"/>
      <c r="D1946" s="116"/>
      <c r="E1946" s="116"/>
      <c r="F1946" s="116"/>
      <c r="H1946" s="116"/>
      <c r="I1946" s="116"/>
      <c r="L1946" s="170"/>
    </row>
    <row r="1947" spans="1:12" x14ac:dyDescent="0.25">
      <c r="A1947" s="170"/>
      <c r="B1947" s="116"/>
      <c r="C1947" s="116"/>
      <c r="D1947" s="116"/>
      <c r="E1947" s="116"/>
      <c r="F1947" s="116"/>
      <c r="H1947" s="116"/>
      <c r="I1947" s="116"/>
      <c r="L1947" s="170"/>
    </row>
    <row r="1948" spans="1:12" x14ac:dyDescent="0.25">
      <c r="A1948" s="170"/>
      <c r="B1948" s="116"/>
      <c r="C1948" s="116"/>
      <c r="D1948" s="116"/>
      <c r="E1948" s="116"/>
      <c r="F1948" s="116"/>
      <c r="H1948" s="116"/>
      <c r="I1948" s="116"/>
      <c r="L1948" s="170"/>
    </row>
    <row r="1949" spans="1:12" x14ac:dyDescent="0.25">
      <c r="A1949" s="170"/>
      <c r="B1949" s="116"/>
      <c r="C1949" s="116"/>
      <c r="D1949" s="116"/>
      <c r="E1949" s="116"/>
      <c r="F1949" s="116"/>
      <c r="H1949" s="116"/>
      <c r="I1949" s="116"/>
      <c r="L1949" s="170"/>
    </row>
    <row r="1950" spans="1:12" x14ac:dyDescent="0.25">
      <c r="A1950" s="170"/>
      <c r="B1950" s="116"/>
      <c r="C1950" s="116"/>
      <c r="D1950" s="116"/>
      <c r="E1950" s="116"/>
      <c r="F1950" s="116"/>
      <c r="H1950" s="116"/>
      <c r="I1950" s="116"/>
      <c r="L1950" s="170"/>
    </row>
    <row r="1951" spans="1:12" x14ac:dyDescent="0.25">
      <c r="A1951" s="170"/>
      <c r="B1951" s="116"/>
      <c r="C1951" s="116"/>
      <c r="D1951" s="116"/>
      <c r="E1951" s="116"/>
      <c r="F1951" s="116"/>
      <c r="H1951" s="116"/>
      <c r="I1951" s="116"/>
      <c r="L1951" s="170"/>
    </row>
    <row r="1952" spans="1:12" x14ac:dyDescent="0.25">
      <c r="A1952" s="170"/>
      <c r="B1952" s="116"/>
      <c r="C1952" s="116"/>
      <c r="D1952" s="116"/>
      <c r="E1952" s="116"/>
      <c r="F1952" s="116"/>
      <c r="H1952" s="116"/>
      <c r="I1952" s="116"/>
      <c r="L1952" s="170"/>
    </row>
    <row r="1953" spans="1:12" x14ac:dyDescent="0.25">
      <c r="A1953" s="170"/>
      <c r="B1953" s="116"/>
      <c r="C1953" s="116"/>
      <c r="D1953" s="116"/>
      <c r="E1953" s="116"/>
      <c r="F1953" s="116"/>
      <c r="H1953" s="116"/>
      <c r="I1953" s="116"/>
      <c r="L1953" s="170"/>
    </row>
    <row r="1954" spans="1:12" x14ac:dyDescent="0.25">
      <c r="A1954" s="170"/>
      <c r="B1954" s="116"/>
      <c r="C1954" s="116"/>
      <c r="D1954" s="116"/>
      <c r="E1954" s="116"/>
      <c r="F1954" s="116"/>
      <c r="H1954" s="116"/>
      <c r="I1954" s="116"/>
      <c r="L1954" s="170"/>
    </row>
    <row r="1955" spans="1:12" x14ac:dyDescent="0.25">
      <c r="A1955" s="170"/>
      <c r="B1955" s="116"/>
      <c r="C1955" s="116"/>
      <c r="D1955" s="116"/>
      <c r="E1955" s="116"/>
      <c r="F1955" s="116"/>
      <c r="H1955" s="116"/>
      <c r="I1955" s="116"/>
      <c r="L1955" s="170"/>
    </row>
    <row r="1956" spans="1:12" x14ac:dyDescent="0.25">
      <c r="A1956" s="170"/>
      <c r="B1956" s="116"/>
      <c r="C1956" s="116"/>
      <c r="D1956" s="116"/>
      <c r="E1956" s="116"/>
      <c r="F1956" s="116"/>
      <c r="H1956" s="116"/>
      <c r="I1956" s="116"/>
      <c r="L1956" s="170"/>
    </row>
    <row r="1957" spans="1:12" x14ac:dyDescent="0.25">
      <c r="A1957" s="170"/>
      <c r="B1957" s="116"/>
      <c r="C1957" s="116"/>
      <c r="D1957" s="116"/>
      <c r="E1957" s="116"/>
      <c r="F1957" s="116"/>
      <c r="H1957" s="116"/>
      <c r="I1957" s="116"/>
      <c r="L1957" s="170"/>
    </row>
    <row r="1958" spans="1:12" x14ac:dyDescent="0.25">
      <c r="A1958" s="170"/>
      <c r="B1958" s="116"/>
      <c r="C1958" s="116"/>
      <c r="D1958" s="116"/>
      <c r="E1958" s="116"/>
      <c r="F1958" s="116"/>
      <c r="H1958" s="116"/>
      <c r="I1958" s="116"/>
      <c r="L1958" s="170"/>
    </row>
    <row r="1959" spans="1:12" x14ac:dyDescent="0.25">
      <c r="A1959" s="170"/>
      <c r="B1959" s="116"/>
      <c r="C1959" s="116"/>
      <c r="D1959" s="116"/>
      <c r="E1959" s="116"/>
      <c r="F1959" s="116"/>
      <c r="H1959" s="116"/>
      <c r="I1959" s="116"/>
      <c r="L1959" s="170"/>
    </row>
    <row r="1960" spans="1:12" x14ac:dyDescent="0.25">
      <c r="A1960" s="170"/>
      <c r="B1960" s="116"/>
      <c r="C1960" s="116"/>
      <c r="D1960" s="116"/>
      <c r="E1960" s="116"/>
      <c r="F1960" s="116"/>
      <c r="H1960" s="116"/>
      <c r="I1960" s="116"/>
      <c r="L1960" s="170"/>
    </row>
    <row r="1961" spans="1:12" x14ac:dyDescent="0.25">
      <c r="A1961" s="170"/>
      <c r="B1961" s="116"/>
      <c r="C1961" s="116"/>
      <c r="D1961" s="116"/>
      <c r="E1961" s="116"/>
      <c r="F1961" s="116"/>
      <c r="H1961" s="116"/>
      <c r="I1961" s="116"/>
      <c r="L1961" s="170"/>
    </row>
    <row r="1962" spans="1:12" x14ac:dyDescent="0.25">
      <c r="A1962" s="170"/>
      <c r="B1962" s="116"/>
      <c r="C1962" s="116"/>
      <c r="D1962" s="116"/>
      <c r="E1962" s="116"/>
      <c r="F1962" s="116"/>
      <c r="H1962" s="116"/>
      <c r="I1962" s="116"/>
      <c r="L1962" s="170"/>
    </row>
    <row r="1963" spans="1:12" x14ac:dyDescent="0.25">
      <c r="A1963" s="170"/>
      <c r="B1963" s="116"/>
      <c r="C1963" s="116"/>
      <c r="D1963" s="116"/>
      <c r="E1963" s="116"/>
      <c r="F1963" s="116"/>
      <c r="H1963" s="116"/>
      <c r="I1963" s="116"/>
      <c r="L1963" s="170"/>
    </row>
    <row r="1964" spans="1:12" x14ac:dyDescent="0.25">
      <c r="A1964" s="170"/>
      <c r="B1964" s="116"/>
      <c r="C1964" s="116"/>
      <c r="D1964" s="116"/>
      <c r="E1964" s="116"/>
      <c r="F1964" s="116"/>
      <c r="H1964" s="116"/>
      <c r="I1964" s="116"/>
      <c r="L1964" s="170"/>
    </row>
    <row r="1965" spans="1:12" x14ac:dyDescent="0.25">
      <c r="A1965" s="170"/>
      <c r="B1965" s="116"/>
      <c r="C1965" s="116"/>
      <c r="D1965" s="116"/>
      <c r="E1965" s="116"/>
      <c r="F1965" s="116"/>
      <c r="H1965" s="116"/>
      <c r="I1965" s="116"/>
      <c r="L1965" s="170"/>
    </row>
    <row r="1966" spans="1:12" x14ac:dyDescent="0.25">
      <c r="A1966" s="170"/>
      <c r="B1966" s="116"/>
      <c r="C1966" s="116"/>
      <c r="D1966" s="116"/>
      <c r="E1966" s="116"/>
      <c r="F1966" s="116"/>
      <c r="H1966" s="116"/>
      <c r="I1966" s="116"/>
      <c r="L1966" s="170"/>
    </row>
    <row r="1967" spans="1:12" x14ac:dyDescent="0.25">
      <c r="A1967" s="170"/>
      <c r="B1967" s="116"/>
      <c r="C1967" s="116"/>
      <c r="D1967" s="116"/>
      <c r="E1967" s="116"/>
      <c r="F1967" s="116"/>
      <c r="H1967" s="116"/>
      <c r="I1967" s="116"/>
      <c r="L1967" s="170"/>
    </row>
    <row r="1968" spans="1:12" x14ac:dyDescent="0.25">
      <c r="A1968" s="170"/>
      <c r="B1968" s="116"/>
      <c r="C1968" s="116"/>
      <c r="D1968" s="116"/>
      <c r="E1968" s="116"/>
      <c r="F1968" s="116"/>
      <c r="H1968" s="116"/>
      <c r="I1968" s="116"/>
      <c r="L1968" s="170"/>
    </row>
    <row r="1969" spans="1:12" x14ac:dyDescent="0.25">
      <c r="A1969" s="170"/>
      <c r="B1969" s="116"/>
      <c r="C1969" s="116"/>
      <c r="D1969" s="116"/>
      <c r="E1969" s="116"/>
      <c r="F1969" s="116"/>
      <c r="H1969" s="116"/>
      <c r="I1969" s="116"/>
      <c r="L1969" s="170"/>
    </row>
    <row r="1970" spans="1:12" x14ac:dyDescent="0.25">
      <c r="A1970" s="170"/>
      <c r="B1970" s="116"/>
      <c r="C1970" s="116"/>
      <c r="D1970" s="116"/>
      <c r="E1970" s="116"/>
      <c r="F1970" s="116"/>
      <c r="H1970" s="116"/>
      <c r="I1970" s="116"/>
      <c r="L1970" s="170"/>
    </row>
    <row r="1971" spans="1:12" x14ac:dyDescent="0.25">
      <c r="A1971" s="170"/>
      <c r="B1971" s="116"/>
      <c r="C1971" s="116"/>
      <c r="D1971" s="116"/>
      <c r="E1971" s="116"/>
      <c r="F1971" s="116"/>
      <c r="H1971" s="116"/>
      <c r="I1971" s="116"/>
      <c r="L1971" s="170"/>
    </row>
    <row r="1972" spans="1:12" x14ac:dyDescent="0.25">
      <c r="A1972" s="170"/>
      <c r="B1972" s="116"/>
      <c r="C1972" s="116"/>
      <c r="D1972" s="116"/>
      <c r="E1972" s="116"/>
      <c r="F1972" s="116"/>
      <c r="H1972" s="116"/>
      <c r="I1972" s="116"/>
      <c r="L1972" s="170"/>
    </row>
    <row r="1973" spans="1:12" x14ac:dyDescent="0.25">
      <c r="A1973" s="170"/>
      <c r="B1973" s="116"/>
      <c r="C1973" s="116"/>
      <c r="D1973" s="116"/>
      <c r="E1973" s="116"/>
      <c r="F1973" s="116"/>
      <c r="H1973" s="116"/>
      <c r="I1973" s="116"/>
      <c r="L1973" s="170"/>
    </row>
    <row r="1974" spans="1:12" x14ac:dyDescent="0.25">
      <c r="A1974" s="170"/>
      <c r="B1974" s="116"/>
      <c r="C1974" s="116"/>
      <c r="D1974" s="116"/>
      <c r="E1974" s="116"/>
      <c r="F1974" s="116"/>
      <c r="H1974" s="116"/>
      <c r="I1974" s="116"/>
      <c r="L1974" s="170"/>
    </row>
    <row r="1975" spans="1:12" x14ac:dyDescent="0.25">
      <c r="A1975" s="170"/>
      <c r="B1975" s="116"/>
      <c r="C1975" s="116"/>
      <c r="D1975" s="116"/>
      <c r="E1975" s="116"/>
      <c r="F1975" s="116"/>
      <c r="H1975" s="116"/>
      <c r="I1975" s="116"/>
      <c r="L1975" s="170"/>
    </row>
    <row r="1976" spans="1:12" x14ac:dyDescent="0.25">
      <c r="A1976" s="170"/>
      <c r="B1976" s="116"/>
      <c r="C1976" s="116"/>
      <c r="D1976" s="116"/>
      <c r="E1976" s="116"/>
      <c r="F1976" s="116"/>
      <c r="H1976" s="116"/>
      <c r="I1976" s="116"/>
      <c r="L1976" s="170"/>
    </row>
    <row r="1977" spans="1:12" x14ac:dyDescent="0.25">
      <c r="A1977" s="170"/>
      <c r="B1977" s="116"/>
      <c r="C1977" s="116"/>
      <c r="D1977" s="116"/>
      <c r="E1977" s="116"/>
      <c r="F1977" s="116"/>
      <c r="H1977" s="116"/>
      <c r="I1977" s="116"/>
      <c r="L1977" s="170"/>
    </row>
    <row r="1978" spans="1:12" x14ac:dyDescent="0.25">
      <c r="A1978" s="170"/>
      <c r="B1978" s="116"/>
      <c r="C1978" s="116"/>
      <c r="D1978" s="116"/>
      <c r="E1978" s="116"/>
      <c r="F1978" s="116"/>
      <c r="H1978" s="116"/>
      <c r="I1978" s="116"/>
      <c r="L1978" s="170"/>
    </row>
    <row r="1979" spans="1:12" x14ac:dyDescent="0.25">
      <c r="A1979" s="170"/>
      <c r="B1979" s="116"/>
      <c r="C1979" s="116"/>
      <c r="D1979" s="116"/>
      <c r="E1979" s="116"/>
      <c r="F1979" s="116"/>
      <c r="H1979" s="116"/>
      <c r="I1979" s="116"/>
      <c r="L1979" s="170"/>
    </row>
    <row r="1980" spans="1:12" x14ac:dyDescent="0.25">
      <c r="A1980" s="170"/>
      <c r="B1980" s="116"/>
      <c r="C1980" s="116"/>
      <c r="D1980" s="116"/>
      <c r="E1980" s="116"/>
      <c r="F1980" s="116"/>
      <c r="H1980" s="116"/>
      <c r="I1980" s="116"/>
      <c r="L1980" s="170"/>
    </row>
    <row r="1981" spans="1:12" x14ac:dyDescent="0.25">
      <c r="A1981" s="170"/>
      <c r="B1981" s="116"/>
      <c r="C1981" s="116"/>
      <c r="D1981" s="116"/>
      <c r="E1981" s="116"/>
      <c r="F1981" s="116"/>
      <c r="H1981" s="116"/>
      <c r="I1981" s="116"/>
      <c r="L1981" s="170"/>
    </row>
    <row r="1982" spans="1:12" x14ac:dyDescent="0.25">
      <c r="A1982" s="170"/>
      <c r="B1982" s="116"/>
      <c r="C1982" s="116"/>
      <c r="D1982" s="116"/>
      <c r="E1982" s="116"/>
      <c r="F1982" s="116"/>
      <c r="H1982" s="116"/>
      <c r="I1982" s="116"/>
      <c r="L1982" s="170"/>
    </row>
    <row r="1983" spans="1:12" x14ac:dyDescent="0.25">
      <c r="A1983" s="170"/>
      <c r="B1983" s="116"/>
      <c r="C1983" s="116"/>
      <c r="D1983" s="116"/>
      <c r="E1983" s="116"/>
      <c r="F1983" s="116"/>
      <c r="H1983" s="116"/>
      <c r="I1983" s="116"/>
      <c r="L1983" s="170"/>
    </row>
    <row r="1984" spans="1:12" x14ac:dyDescent="0.25">
      <c r="A1984" s="170"/>
      <c r="B1984" s="116"/>
      <c r="C1984" s="116"/>
      <c r="D1984" s="116"/>
      <c r="E1984" s="116"/>
      <c r="F1984" s="116"/>
      <c r="H1984" s="116"/>
      <c r="I1984" s="116"/>
      <c r="L1984" s="170"/>
    </row>
    <row r="1985" spans="1:12" x14ac:dyDescent="0.25">
      <c r="A1985" s="170"/>
      <c r="B1985" s="116"/>
      <c r="C1985" s="116"/>
      <c r="D1985" s="116"/>
      <c r="E1985" s="116"/>
      <c r="F1985" s="116"/>
      <c r="H1985" s="116"/>
      <c r="I1985" s="116"/>
      <c r="L1985" s="170"/>
    </row>
    <row r="1986" spans="1:12" x14ac:dyDescent="0.25">
      <c r="A1986" s="170"/>
      <c r="B1986" s="116"/>
      <c r="C1986" s="116"/>
      <c r="D1986" s="116"/>
      <c r="E1986" s="116"/>
      <c r="F1986" s="116"/>
      <c r="H1986" s="116"/>
      <c r="I1986" s="116"/>
      <c r="L1986" s="170"/>
    </row>
    <row r="1987" spans="1:12" x14ac:dyDescent="0.25">
      <c r="A1987" s="170"/>
      <c r="B1987" s="116"/>
      <c r="C1987" s="116"/>
      <c r="D1987" s="116"/>
      <c r="E1987" s="116"/>
      <c r="F1987" s="116"/>
      <c r="H1987" s="116"/>
      <c r="I1987" s="116"/>
      <c r="L1987" s="170"/>
    </row>
    <row r="1988" spans="1:12" x14ac:dyDescent="0.25">
      <c r="A1988" s="170"/>
      <c r="B1988" s="116"/>
      <c r="C1988" s="116"/>
      <c r="D1988" s="116"/>
      <c r="E1988" s="116"/>
      <c r="F1988" s="116"/>
      <c r="H1988" s="116"/>
      <c r="I1988" s="116"/>
      <c r="L1988" s="170"/>
    </row>
    <row r="1989" spans="1:12" x14ac:dyDescent="0.25">
      <c r="A1989" s="170"/>
      <c r="B1989" s="116"/>
      <c r="C1989" s="116"/>
      <c r="D1989" s="116"/>
      <c r="E1989" s="116"/>
      <c r="F1989" s="116"/>
      <c r="H1989" s="116"/>
      <c r="I1989" s="116"/>
      <c r="L1989" s="170"/>
    </row>
    <row r="1990" spans="1:12" x14ac:dyDescent="0.25">
      <c r="A1990" s="170"/>
      <c r="B1990" s="116"/>
      <c r="C1990" s="116"/>
      <c r="D1990" s="116"/>
      <c r="E1990" s="116"/>
      <c r="F1990" s="116"/>
      <c r="H1990" s="116"/>
      <c r="I1990" s="116"/>
      <c r="L1990" s="170"/>
    </row>
    <row r="1991" spans="1:12" x14ac:dyDescent="0.25">
      <c r="A1991" s="170"/>
      <c r="B1991" s="116"/>
      <c r="C1991" s="116"/>
      <c r="D1991" s="116"/>
      <c r="E1991" s="116"/>
      <c r="F1991" s="116"/>
      <c r="H1991" s="116"/>
      <c r="I1991" s="116"/>
      <c r="L1991" s="170"/>
    </row>
    <row r="1992" spans="1:12" x14ac:dyDescent="0.25">
      <c r="A1992" s="170"/>
      <c r="B1992" s="116"/>
      <c r="C1992" s="116"/>
      <c r="D1992" s="116"/>
      <c r="E1992" s="116"/>
      <c r="F1992" s="116"/>
      <c r="H1992" s="116"/>
      <c r="I1992" s="116"/>
      <c r="L1992" s="170"/>
    </row>
    <row r="1993" spans="1:12" x14ac:dyDescent="0.25">
      <c r="A1993" s="170"/>
      <c r="B1993" s="116"/>
      <c r="C1993" s="116"/>
      <c r="D1993" s="116"/>
      <c r="E1993" s="116"/>
      <c r="F1993" s="116"/>
      <c r="H1993" s="116"/>
      <c r="I1993" s="116"/>
      <c r="L1993" s="170"/>
    </row>
    <row r="1994" spans="1:12" x14ac:dyDescent="0.25">
      <c r="A1994" s="170"/>
      <c r="B1994" s="116"/>
      <c r="C1994" s="116"/>
      <c r="D1994" s="116"/>
      <c r="E1994" s="116"/>
      <c r="F1994" s="116"/>
      <c r="H1994" s="116"/>
      <c r="I1994" s="116"/>
      <c r="L1994" s="170"/>
    </row>
    <row r="1995" spans="1:12" x14ac:dyDescent="0.25">
      <c r="A1995" s="170"/>
      <c r="B1995" s="116"/>
      <c r="C1995" s="116"/>
      <c r="D1995" s="116"/>
      <c r="E1995" s="116"/>
      <c r="F1995" s="116"/>
      <c r="H1995" s="116"/>
      <c r="I1995" s="116"/>
      <c r="L1995" s="170"/>
    </row>
    <row r="1996" spans="1:12" x14ac:dyDescent="0.25">
      <c r="A1996" s="170"/>
      <c r="B1996" s="116"/>
      <c r="C1996" s="116"/>
      <c r="D1996" s="116"/>
      <c r="E1996" s="116"/>
      <c r="F1996" s="116"/>
      <c r="H1996" s="116"/>
      <c r="I1996" s="116"/>
      <c r="L1996" s="170"/>
    </row>
    <row r="1997" spans="1:12" x14ac:dyDescent="0.25">
      <c r="A1997" s="170"/>
      <c r="B1997" s="116"/>
      <c r="C1997" s="116"/>
      <c r="D1997" s="116"/>
      <c r="E1997" s="116"/>
      <c r="F1997" s="116"/>
      <c r="H1997" s="116"/>
      <c r="I1997" s="116"/>
      <c r="L1997" s="170"/>
    </row>
    <row r="1998" spans="1:12" x14ac:dyDescent="0.25">
      <c r="A1998" s="170"/>
      <c r="B1998" s="116"/>
      <c r="C1998" s="116"/>
      <c r="D1998" s="116"/>
      <c r="E1998" s="116"/>
      <c r="F1998" s="116"/>
      <c r="H1998" s="116"/>
      <c r="I1998" s="116"/>
      <c r="L1998" s="170"/>
    </row>
    <row r="1999" spans="1:12" x14ac:dyDescent="0.25">
      <c r="A1999" s="170"/>
      <c r="B1999" s="116"/>
      <c r="C1999" s="116"/>
      <c r="D1999" s="116"/>
      <c r="E1999" s="116"/>
      <c r="F1999" s="116"/>
      <c r="H1999" s="116"/>
      <c r="I1999" s="116"/>
      <c r="L1999" s="170"/>
    </row>
    <row r="2000" spans="1:12" x14ac:dyDescent="0.25">
      <c r="A2000" s="170"/>
      <c r="B2000" s="116"/>
      <c r="C2000" s="116"/>
      <c r="D2000" s="116"/>
      <c r="E2000" s="116"/>
      <c r="F2000" s="116"/>
      <c r="H2000" s="116"/>
      <c r="I2000" s="116"/>
      <c r="L2000" s="170"/>
    </row>
    <row r="2001" spans="1:18" x14ac:dyDescent="0.25">
      <c r="A2001" s="170"/>
      <c r="B2001" s="116"/>
      <c r="C2001" s="116"/>
      <c r="D2001" s="116"/>
      <c r="E2001" s="116"/>
      <c r="F2001" s="116"/>
      <c r="H2001" s="116"/>
      <c r="I2001" s="116"/>
      <c r="L2001" s="170"/>
    </row>
    <row r="2002" spans="1:18" x14ac:dyDescent="0.25">
      <c r="A2002" s="170"/>
      <c r="B2002" s="116"/>
      <c r="C2002" s="116"/>
      <c r="D2002" s="116"/>
      <c r="E2002" s="116"/>
      <c r="F2002" s="116"/>
      <c r="H2002" s="116"/>
      <c r="I2002" s="116"/>
      <c r="L2002" s="170"/>
    </row>
    <row r="2003" spans="1:18" x14ac:dyDescent="0.25">
      <c r="A2003" s="170"/>
      <c r="B2003" s="116"/>
      <c r="C2003" s="116"/>
      <c r="D2003" s="116"/>
      <c r="E2003" s="116"/>
      <c r="F2003" s="116"/>
      <c r="H2003" s="116"/>
      <c r="I2003" s="116"/>
      <c r="L2003" s="170"/>
    </row>
    <row r="2004" spans="1:18" x14ac:dyDescent="0.25">
      <c r="A2004" s="170"/>
      <c r="B2004" s="116"/>
      <c r="C2004" s="116"/>
      <c r="D2004" s="116"/>
      <c r="E2004" s="116"/>
      <c r="F2004" s="116"/>
      <c r="H2004" s="116"/>
      <c r="I2004" s="116"/>
      <c r="L2004" s="170"/>
    </row>
    <row r="2005" spans="1:18" x14ac:dyDescent="0.25">
      <c r="A2005" s="170"/>
      <c r="B2005" s="116"/>
      <c r="C2005" s="116"/>
      <c r="D2005" s="116"/>
      <c r="E2005" s="116"/>
      <c r="F2005" s="116"/>
      <c r="H2005" s="116"/>
      <c r="I2005" s="116"/>
      <c r="L2005" s="170"/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2026-06-15T14:15:13Z</dcterms:modified>
  <cp:category/>
  <cp:contentStatus/>
</cp:coreProperties>
</file>